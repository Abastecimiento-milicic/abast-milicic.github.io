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.benitez\Desktop\PARTIDAS ABIERTAS\"/>
    </mc:Choice>
  </mc:AlternateContent>
  <xr:revisionPtr revIDLastSave="0" documentId="13_ncr:1_{A1F21655-0355-4EA8-8620-E9F1405CA3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Hoja2" sheetId="3" r:id="rId2"/>
    <sheet name="Hoja1" sheetId="2" r:id="rId3"/>
  </sheets>
  <definedNames>
    <definedName name="_xlnm._FilterDatabase" localSheetId="0" hidden="1">Data!$A$1:$T$693</definedName>
    <definedName name="_xlnm._FilterDatabase" localSheetId="1" hidden="1">Hoja2!$A$1:$D$1190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91" i="3" l="1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2" i="3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2" i="1"/>
  <c r="T643" i="1" l="1"/>
  <c r="T647" i="1"/>
  <c r="T544" i="1"/>
  <c r="T564" i="1"/>
  <c r="T573" i="1"/>
  <c r="T578" i="1"/>
  <c r="T584" i="1"/>
  <c r="T594" i="1"/>
  <c r="T605" i="1"/>
  <c r="T614" i="1"/>
  <c r="T624" i="1"/>
  <c r="T630" i="1"/>
  <c r="T660" i="1"/>
  <c r="T670" i="1"/>
  <c r="T679" i="1"/>
  <c r="T688" i="1"/>
  <c r="T545" i="1"/>
  <c r="T566" i="1"/>
  <c r="T574" i="1"/>
  <c r="T581" i="1"/>
  <c r="T589" i="1"/>
  <c r="T596" i="1"/>
  <c r="T606" i="1"/>
  <c r="T615" i="1"/>
  <c r="T625" i="1"/>
  <c r="T633" i="1"/>
  <c r="T648" i="1"/>
  <c r="T654" i="1"/>
  <c r="T662" i="1"/>
  <c r="T671" i="1"/>
  <c r="T680" i="1"/>
  <c r="T691" i="1"/>
  <c r="T561" i="1"/>
  <c r="T592" i="1"/>
  <c r="T602" i="1"/>
  <c r="T613" i="1"/>
  <c r="T622" i="1"/>
  <c r="T635" i="1"/>
  <c r="T650" i="1"/>
  <c r="T657" i="1"/>
  <c r="T667" i="1"/>
  <c r="T676" i="1"/>
  <c r="T685" i="1"/>
  <c r="T3" i="1"/>
  <c r="T5" i="1"/>
  <c r="T6" i="1"/>
  <c r="T7" i="1"/>
  <c r="T8" i="1"/>
  <c r="T10" i="1"/>
  <c r="T12" i="1"/>
  <c r="T14" i="1"/>
  <c r="T15" i="1"/>
  <c r="T17" i="1"/>
  <c r="T19" i="1"/>
  <c r="T21" i="1"/>
  <c r="T23" i="1"/>
  <c r="T25" i="1"/>
  <c r="T27" i="1"/>
  <c r="T29" i="1"/>
  <c r="T31" i="1"/>
  <c r="T33" i="1"/>
  <c r="T36" i="1"/>
  <c r="T38" i="1"/>
  <c r="T40" i="1"/>
  <c r="T41" i="1"/>
  <c r="T43" i="1"/>
  <c r="T45" i="1"/>
  <c r="T47" i="1"/>
  <c r="T49" i="1"/>
  <c r="T52" i="1"/>
  <c r="T54" i="1"/>
  <c r="T56" i="1"/>
  <c r="T57" i="1"/>
  <c r="T59" i="1"/>
  <c r="T62" i="1"/>
  <c r="T64" i="1"/>
  <c r="T66" i="1"/>
  <c r="T67" i="1"/>
  <c r="T69" i="1"/>
  <c r="T71" i="1"/>
  <c r="T73" i="1"/>
  <c r="T75" i="1"/>
  <c r="T77" i="1"/>
  <c r="T79" i="1"/>
  <c r="T81" i="1"/>
  <c r="T84" i="1"/>
  <c r="T86" i="1"/>
  <c r="T88" i="1"/>
  <c r="T91" i="1"/>
  <c r="T93" i="1"/>
  <c r="T95" i="1"/>
  <c r="T97" i="1"/>
  <c r="T99" i="1"/>
  <c r="T102" i="1"/>
  <c r="T104" i="1"/>
  <c r="T106" i="1"/>
  <c r="T147" i="1"/>
  <c r="T150" i="1"/>
  <c r="T153" i="1"/>
  <c r="T155" i="1"/>
  <c r="T159" i="1"/>
  <c r="T162" i="1"/>
  <c r="T164" i="1"/>
  <c r="T168" i="1"/>
  <c r="T171" i="1"/>
  <c r="T176" i="1"/>
  <c r="T179" i="1"/>
  <c r="T183" i="1"/>
  <c r="T187" i="1"/>
  <c r="T189" i="1"/>
  <c r="T192" i="1"/>
  <c r="T195" i="1"/>
  <c r="T198" i="1"/>
  <c r="T201" i="1"/>
  <c r="T204" i="1"/>
  <c r="T208" i="1"/>
  <c r="T211" i="1"/>
  <c r="T214" i="1"/>
  <c r="T217" i="1"/>
  <c r="T221" i="1"/>
  <c r="T223" i="1"/>
  <c r="T416" i="1"/>
  <c r="T420" i="1"/>
  <c r="T424" i="1"/>
  <c r="T428" i="1"/>
  <c r="T431" i="1"/>
  <c r="T436" i="1"/>
  <c r="T438" i="1"/>
  <c r="T450" i="1"/>
  <c r="T464" i="1"/>
  <c r="T472" i="1"/>
  <c r="T475" i="1"/>
  <c r="T479" i="1"/>
  <c r="T484" i="1"/>
  <c r="T489" i="1"/>
  <c r="T491" i="1"/>
  <c r="T498" i="1"/>
  <c r="T507" i="1"/>
  <c r="T513" i="1"/>
  <c r="T519" i="1"/>
  <c r="T523" i="1"/>
  <c r="T527" i="1"/>
  <c r="T530" i="1"/>
  <c r="T534" i="1"/>
  <c r="T538" i="1"/>
  <c r="T540" i="1"/>
  <c r="T548" i="1"/>
  <c r="T553" i="1"/>
  <c r="T557" i="1"/>
  <c r="T565" i="1"/>
  <c r="T570" i="1"/>
  <c r="T576" i="1"/>
  <c r="T580" i="1"/>
  <c r="T588" i="1"/>
  <c r="T595" i="1"/>
  <c r="T603" i="1"/>
  <c r="T612" i="1"/>
  <c r="T620" i="1"/>
  <c r="T631" i="1"/>
  <c r="T644" i="1"/>
  <c r="T653" i="1"/>
  <c r="T661" i="1"/>
  <c r="T669" i="1"/>
  <c r="T678" i="1"/>
  <c r="T687" i="1"/>
  <c r="T4" i="1"/>
  <c r="T9" i="1"/>
  <c r="T11" i="1"/>
  <c r="T13" i="1"/>
  <c r="T16" i="1"/>
  <c r="T18" i="1"/>
  <c r="T20" i="1"/>
  <c r="T22" i="1"/>
  <c r="T24" i="1"/>
  <c r="T26" i="1"/>
  <c r="T28" i="1"/>
  <c r="T30" i="1"/>
  <c r="T32" i="1"/>
  <c r="T34" i="1"/>
  <c r="T35" i="1"/>
  <c r="T37" i="1"/>
  <c r="T39" i="1"/>
  <c r="T42" i="1"/>
  <c r="T44" i="1"/>
  <c r="T46" i="1"/>
  <c r="T48" i="1"/>
  <c r="T50" i="1"/>
  <c r="T51" i="1"/>
  <c r="T53" i="1"/>
  <c r="T55" i="1"/>
  <c r="T58" i="1"/>
  <c r="T60" i="1"/>
  <c r="T61" i="1"/>
  <c r="T63" i="1"/>
  <c r="T65" i="1"/>
  <c r="T68" i="1"/>
  <c r="T70" i="1"/>
  <c r="T72" i="1"/>
  <c r="T74" i="1"/>
  <c r="T76" i="1"/>
  <c r="T78" i="1"/>
  <c r="T80" i="1"/>
  <c r="T82" i="1"/>
  <c r="T83" i="1"/>
  <c r="T85" i="1"/>
  <c r="T87" i="1"/>
  <c r="T89" i="1"/>
  <c r="T90" i="1"/>
  <c r="T92" i="1"/>
  <c r="T94" i="1"/>
  <c r="T96" i="1"/>
  <c r="T98" i="1"/>
  <c r="T100" i="1"/>
  <c r="T101" i="1"/>
  <c r="T103" i="1"/>
  <c r="T105" i="1"/>
  <c r="T107" i="1"/>
  <c r="T146" i="1"/>
  <c r="T149" i="1"/>
  <c r="T151" i="1"/>
  <c r="T154" i="1"/>
  <c r="T157" i="1"/>
  <c r="T160" i="1"/>
  <c r="T163" i="1"/>
  <c r="T166" i="1"/>
  <c r="T167" i="1"/>
  <c r="T170" i="1"/>
  <c r="T174" i="1"/>
  <c r="T177" i="1"/>
  <c r="T180" i="1"/>
  <c r="T181" i="1"/>
  <c r="T184" i="1"/>
  <c r="T185" i="1"/>
  <c r="T188" i="1"/>
  <c r="T191" i="1"/>
  <c r="T194" i="1"/>
  <c r="T196" i="1"/>
  <c r="T199" i="1"/>
  <c r="T202" i="1"/>
  <c r="T205" i="1"/>
  <c r="T207" i="1"/>
  <c r="T210" i="1"/>
  <c r="T213" i="1"/>
  <c r="T215" i="1"/>
  <c r="T218" i="1"/>
  <c r="T219" i="1"/>
  <c r="T222" i="1"/>
  <c r="T415" i="1"/>
  <c r="T419" i="1"/>
  <c r="T422" i="1"/>
  <c r="T426" i="1"/>
  <c r="T448" i="1"/>
  <c r="T452" i="1"/>
  <c r="T459" i="1"/>
  <c r="T470" i="1"/>
  <c r="T473" i="1"/>
  <c r="T477" i="1"/>
  <c r="T481" i="1"/>
  <c r="T485" i="1"/>
  <c r="T488" i="1"/>
  <c r="T492" i="1"/>
  <c r="T499" i="1"/>
  <c r="T502" i="1"/>
  <c r="T511" i="1"/>
  <c r="T518" i="1"/>
  <c r="T521" i="1"/>
  <c r="T524" i="1"/>
  <c r="T528" i="1"/>
  <c r="T532" i="1"/>
  <c r="T536" i="1"/>
  <c r="T542" i="1"/>
  <c r="T546" i="1"/>
  <c r="T550" i="1"/>
  <c r="T555" i="1"/>
  <c r="T560" i="1"/>
  <c r="T568" i="1"/>
  <c r="T571" i="1"/>
  <c r="T577" i="1"/>
  <c r="T583" i="1"/>
  <c r="T591" i="1"/>
  <c r="T597" i="1"/>
  <c r="T604" i="1"/>
  <c r="T610" i="1"/>
  <c r="T618" i="1"/>
  <c r="T627" i="1"/>
  <c r="T636" i="1"/>
  <c r="T651" i="1"/>
  <c r="T658" i="1"/>
  <c r="T666" i="1"/>
  <c r="T675" i="1"/>
  <c r="T682" i="1"/>
  <c r="T689" i="1"/>
  <c r="T554" i="1"/>
  <c r="T586" i="1"/>
  <c r="T599" i="1"/>
  <c r="T608" i="1"/>
  <c r="T617" i="1"/>
  <c r="T628" i="1"/>
  <c r="T642" i="1"/>
  <c r="T655" i="1"/>
  <c r="T664" i="1"/>
  <c r="T674" i="1"/>
  <c r="T684" i="1"/>
  <c r="T693" i="1"/>
  <c r="T559" i="1"/>
  <c r="T587" i="1"/>
  <c r="T600" i="1"/>
  <c r="T609" i="1"/>
  <c r="T619" i="1"/>
  <c r="T634" i="1"/>
  <c r="T649" i="1"/>
  <c r="T656" i="1"/>
  <c r="T663" i="1"/>
  <c r="T672" i="1"/>
  <c r="T683" i="1"/>
  <c r="T692" i="1"/>
  <c r="T2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8" i="1"/>
  <c r="T152" i="1"/>
  <c r="T156" i="1"/>
  <c r="T158" i="1"/>
  <c r="T161" i="1"/>
  <c r="T165" i="1"/>
  <c r="T169" i="1"/>
  <c r="T175" i="1"/>
  <c r="T178" i="1"/>
  <c r="T182" i="1"/>
  <c r="T186" i="1"/>
  <c r="T190" i="1"/>
  <c r="T193" i="1"/>
  <c r="T197" i="1"/>
  <c r="T200" i="1"/>
  <c r="T203" i="1"/>
  <c r="T206" i="1"/>
  <c r="T209" i="1"/>
  <c r="T212" i="1"/>
  <c r="T216" i="1"/>
  <c r="T220" i="1"/>
  <c r="T224" i="1"/>
  <c r="T418" i="1"/>
  <c r="T423" i="1"/>
  <c r="T427" i="1"/>
  <c r="T434" i="1"/>
  <c r="T437" i="1"/>
  <c r="T451" i="1"/>
  <c r="T458" i="1"/>
  <c r="T469" i="1"/>
  <c r="T476" i="1"/>
  <c r="T482" i="1"/>
  <c r="T487" i="1"/>
  <c r="T493" i="1"/>
  <c r="T501" i="1"/>
  <c r="T508" i="1"/>
  <c r="T516" i="1"/>
  <c r="T522" i="1"/>
  <c r="T526" i="1"/>
  <c r="T531" i="1"/>
  <c r="T535" i="1"/>
  <c r="T539" i="1"/>
  <c r="T543" i="1"/>
  <c r="T547" i="1"/>
  <c r="T552" i="1"/>
  <c r="T558" i="1"/>
  <c r="T563" i="1"/>
  <c r="T567" i="1"/>
  <c r="T572" i="1"/>
  <c r="T582" i="1"/>
  <c r="T590" i="1"/>
  <c r="T598" i="1"/>
  <c r="T607" i="1"/>
  <c r="T616" i="1"/>
  <c r="T623" i="1"/>
  <c r="T629" i="1"/>
  <c r="T637" i="1"/>
  <c r="T652" i="1"/>
  <c r="T659" i="1"/>
  <c r="T668" i="1"/>
  <c r="T677" i="1"/>
  <c r="T686" i="1"/>
  <c r="T225" i="1"/>
  <c r="T226" i="1"/>
  <c r="T227" i="1"/>
  <c r="T228" i="1"/>
  <c r="T256" i="1"/>
  <c r="T259" i="1"/>
  <c r="T260" i="1"/>
  <c r="T271" i="1"/>
  <c r="T272" i="1"/>
  <c r="T273" i="1"/>
  <c r="T274" i="1"/>
  <c r="T283" i="1"/>
  <c r="T284" i="1"/>
  <c r="T285" i="1"/>
  <c r="T286" i="1"/>
  <c r="T287" i="1"/>
  <c r="T288" i="1"/>
  <c r="T289" i="1"/>
  <c r="T290" i="1"/>
  <c r="T298" i="1"/>
  <c r="T299" i="1"/>
  <c r="T300" i="1"/>
  <c r="T303" i="1"/>
  <c r="T304" i="1"/>
  <c r="T311" i="1"/>
  <c r="T312" i="1"/>
  <c r="T313" i="1"/>
  <c r="T314" i="1"/>
  <c r="T315" i="1"/>
  <c r="T316" i="1"/>
  <c r="T317" i="1"/>
  <c r="T318" i="1"/>
  <c r="T319" i="1"/>
  <c r="T320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4" i="1"/>
  <c r="T380" i="1"/>
  <c r="T381" i="1"/>
  <c r="T382" i="1"/>
  <c r="T383" i="1"/>
  <c r="T384" i="1"/>
  <c r="T387" i="1"/>
  <c r="T388" i="1"/>
  <c r="T389" i="1"/>
  <c r="T398" i="1"/>
  <c r="T399" i="1"/>
  <c r="T400" i="1"/>
  <c r="T401" i="1"/>
  <c r="T406" i="1"/>
  <c r="T407" i="1"/>
  <c r="T412" i="1"/>
  <c r="T413" i="1"/>
  <c r="T414" i="1"/>
  <c r="T417" i="1"/>
  <c r="T421" i="1"/>
  <c r="T425" i="1"/>
  <c r="T429" i="1"/>
  <c r="T430" i="1"/>
  <c r="T435" i="1"/>
  <c r="T439" i="1"/>
  <c r="T449" i="1"/>
  <c r="T455" i="1"/>
  <c r="T460" i="1"/>
  <c r="T471" i="1"/>
  <c r="T474" i="1"/>
  <c r="T480" i="1"/>
  <c r="T483" i="1"/>
  <c r="T486" i="1"/>
  <c r="T490" i="1"/>
  <c r="T494" i="1"/>
  <c r="T500" i="1"/>
  <c r="T504" i="1"/>
  <c r="T512" i="1"/>
  <c r="T517" i="1"/>
  <c r="T520" i="1"/>
  <c r="T525" i="1"/>
  <c r="T529" i="1"/>
  <c r="T533" i="1"/>
  <c r="T537" i="1"/>
  <c r="T541" i="1"/>
  <c r="T549" i="1"/>
  <c r="T551" i="1"/>
  <c r="T556" i="1"/>
  <c r="T562" i="1"/>
  <c r="T569" i="1"/>
  <c r="T575" i="1"/>
  <c r="T579" i="1"/>
  <c r="T585" i="1"/>
  <c r="T593" i="1"/>
  <c r="T601" i="1"/>
  <c r="T611" i="1"/>
  <c r="T621" i="1"/>
  <c r="T632" i="1"/>
  <c r="T665" i="1"/>
  <c r="T673" i="1"/>
  <c r="T681" i="1"/>
  <c r="T690" i="1"/>
  <c r="Q432" i="1" a="1"/>
  <c r="T432" i="1"/>
  <c r="Q229" i="1" a="1"/>
  <c r="T229" i="1"/>
  <c r="Q230" i="1" a="1"/>
  <c r="T230" i="1"/>
  <c r="Q231" i="1" a="1"/>
  <c r="T231" i="1"/>
  <c r="Q232" i="1" a="1"/>
  <c r="T232" i="1"/>
  <c r="Q233" i="1" a="1"/>
  <c r="T233" i="1"/>
  <c r="Q234" i="1" a="1"/>
  <c r="T234" i="1"/>
  <c r="Q235" i="1" a="1"/>
  <c r="T235" i="1"/>
  <c r="Q236" i="1" a="1"/>
  <c r="T236" i="1"/>
  <c r="Q237" i="1" a="1"/>
  <c r="T237" i="1"/>
  <c r="Q238" i="1" a="1"/>
  <c r="T238" i="1"/>
  <c r="Q239" i="1" a="1"/>
  <c r="T239" i="1"/>
  <c r="Q240" i="1" a="1"/>
  <c r="T240" i="1"/>
  <c r="Q241" i="1" a="1"/>
  <c r="T241" i="1"/>
  <c r="Q242" i="1" a="1"/>
  <c r="T242" i="1"/>
  <c r="Q243" i="1" a="1"/>
  <c r="T243" i="1"/>
  <c r="Q244" i="1" a="1"/>
  <c r="T244" i="1"/>
  <c r="Q245" i="1" a="1"/>
  <c r="T245" i="1"/>
  <c r="Q246" i="1" a="1"/>
  <c r="T246" i="1"/>
  <c r="Q247" i="1" a="1"/>
  <c r="T247" i="1"/>
  <c r="Q248" i="1" a="1"/>
  <c r="T248" i="1"/>
  <c r="Q249" i="1" a="1"/>
  <c r="T249" i="1"/>
  <c r="Q250" i="1" a="1"/>
  <c r="T250" i="1"/>
  <c r="Q251" i="1" a="1"/>
  <c r="T251" i="1"/>
  <c r="Q252" i="1" a="1"/>
  <c r="T252" i="1"/>
  <c r="Q253" i="1" a="1"/>
  <c r="T253" i="1"/>
  <c r="Q254" i="1" a="1"/>
  <c r="T254" i="1"/>
  <c r="Q255" i="1" a="1"/>
  <c r="T255" i="1"/>
  <c r="Q257" i="1" a="1"/>
  <c r="T257" i="1"/>
  <c r="Q258" i="1" a="1"/>
  <c r="T258" i="1"/>
  <c r="Q261" i="1" a="1"/>
  <c r="T261" i="1"/>
  <c r="Q262" i="1" a="1"/>
  <c r="T262" i="1"/>
  <c r="Q263" i="1" a="1"/>
  <c r="T263" i="1"/>
  <c r="Q264" i="1" a="1"/>
  <c r="T264" i="1"/>
  <c r="Q265" i="1" a="1"/>
  <c r="T265" i="1"/>
  <c r="Q266" i="1" a="1"/>
  <c r="T266" i="1"/>
  <c r="Q267" i="1" a="1"/>
  <c r="T267" i="1"/>
  <c r="Q268" i="1" a="1"/>
  <c r="T268" i="1"/>
  <c r="Q269" i="1" a="1"/>
  <c r="T269" i="1"/>
  <c r="Q270" i="1" a="1"/>
  <c r="T270" i="1"/>
  <c r="Q275" i="1" a="1"/>
  <c r="T275" i="1"/>
  <c r="Q276" i="1" a="1"/>
  <c r="T276" i="1"/>
  <c r="Q277" i="1" a="1"/>
  <c r="T277" i="1"/>
  <c r="Q278" i="1" a="1"/>
  <c r="T278" i="1"/>
  <c r="Q279" i="1" a="1"/>
  <c r="T279" i="1"/>
  <c r="Q280" i="1" a="1"/>
  <c r="T280" i="1"/>
  <c r="Q281" i="1" a="1"/>
  <c r="T281" i="1"/>
  <c r="Q282" i="1" a="1"/>
  <c r="T282" i="1"/>
  <c r="Q291" i="1" a="1"/>
  <c r="T291" i="1"/>
  <c r="Q292" i="1" a="1"/>
  <c r="T292" i="1"/>
  <c r="Q293" i="1" a="1"/>
  <c r="T293" i="1"/>
  <c r="Q294" i="1" a="1"/>
  <c r="T294" i="1"/>
  <c r="Q295" i="1" a="1"/>
  <c r="T295" i="1"/>
  <c r="Q296" i="1" a="1"/>
  <c r="T296" i="1"/>
  <c r="Q297" i="1" a="1"/>
  <c r="T297" i="1"/>
  <c r="Q301" i="1" a="1"/>
  <c r="T301" i="1"/>
  <c r="Q302" i="1" a="1"/>
  <c r="T302" i="1"/>
  <c r="Q305" i="1" a="1"/>
  <c r="T305" i="1"/>
  <c r="Q306" i="1" a="1"/>
  <c r="T306" i="1"/>
  <c r="Q307" i="1" a="1"/>
  <c r="T307" i="1"/>
  <c r="Q308" i="1" a="1"/>
  <c r="T308" i="1"/>
  <c r="Q309" i="1" a="1"/>
  <c r="T309" i="1"/>
  <c r="Q310" i="1" a="1"/>
  <c r="T310" i="1"/>
  <c r="Q321" i="1" a="1"/>
  <c r="T321" i="1"/>
  <c r="Q322" i="1" a="1"/>
  <c r="T322" i="1"/>
  <c r="Q361" i="1" a="1"/>
  <c r="T361" i="1"/>
  <c r="Q362" i="1" a="1"/>
  <c r="T362" i="1"/>
  <c r="Q363" i="1" a="1"/>
  <c r="T363" i="1"/>
  <c r="Q365" i="1" a="1"/>
  <c r="T365" i="1"/>
  <c r="Q366" i="1" a="1"/>
  <c r="T366" i="1"/>
  <c r="Q367" i="1" a="1"/>
  <c r="T367" i="1"/>
  <c r="Q368" i="1" a="1"/>
  <c r="T368" i="1"/>
  <c r="Q369" i="1" a="1"/>
  <c r="T369" i="1"/>
  <c r="Q370" i="1" a="1"/>
  <c r="T370" i="1"/>
  <c r="Q371" i="1" a="1"/>
  <c r="T371" i="1"/>
  <c r="Q372" i="1" a="1"/>
  <c r="T372" i="1"/>
  <c r="Q373" i="1" a="1"/>
  <c r="T373" i="1"/>
  <c r="Q374" i="1" a="1"/>
  <c r="T374" i="1"/>
  <c r="Q375" i="1" a="1"/>
  <c r="T375" i="1"/>
  <c r="Q376" i="1" a="1"/>
  <c r="T376" i="1"/>
  <c r="Q377" i="1" a="1"/>
  <c r="T377" i="1"/>
  <c r="Q378" i="1" a="1"/>
  <c r="T378" i="1"/>
  <c r="Q379" i="1" a="1"/>
  <c r="T379" i="1"/>
  <c r="Q385" i="1" a="1"/>
  <c r="T385" i="1"/>
  <c r="Q386" i="1" a="1"/>
  <c r="T386" i="1"/>
  <c r="Q390" i="1" a="1"/>
  <c r="T390" i="1"/>
  <c r="Q391" i="1" a="1"/>
  <c r="T391" i="1"/>
  <c r="Q392" i="1" a="1"/>
  <c r="T392" i="1"/>
  <c r="Q393" i="1" a="1"/>
  <c r="T393" i="1"/>
  <c r="Q394" i="1" a="1"/>
  <c r="T394" i="1"/>
  <c r="Q395" i="1" a="1"/>
  <c r="T395" i="1"/>
  <c r="Q396" i="1" a="1"/>
  <c r="T396" i="1"/>
  <c r="Q397" i="1" a="1"/>
  <c r="T397" i="1"/>
  <c r="Q402" i="1" a="1"/>
  <c r="T402" i="1"/>
  <c r="Q403" i="1" a="1"/>
  <c r="T403" i="1"/>
  <c r="Q404" i="1" a="1"/>
  <c r="T404" i="1"/>
  <c r="Q405" i="1" a="1"/>
  <c r="T405" i="1"/>
  <c r="Q408" i="1" a="1"/>
  <c r="T408" i="1"/>
  <c r="Q409" i="1" a="1"/>
  <c r="T409" i="1"/>
  <c r="Q410" i="1" a="1"/>
  <c r="T410" i="1"/>
  <c r="Q411" i="1" a="1"/>
  <c r="T411" i="1"/>
  <c r="Q433" i="1" a="1"/>
  <c r="T433" i="1"/>
  <c r="Q440" i="1" a="1"/>
  <c r="T440" i="1"/>
  <c r="Q441" i="1" a="1"/>
  <c r="T441" i="1"/>
  <c r="Q442" i="1" a="1"/>
  <c r="T442" i="1"/>
  <c r="Q443" i="1" a="1"/>
  <c r="T443" i="1"/>
  <c r="Q444" i="1" a="1"/>
  <c r="T444" i="1"/>
  <c r="Q445" i="1" a="1"/>
  <c r="T445" i="1"/>
  <c r="Q446" i="1" a="1"/>
  <c r="T446" i="1"/>
  <c r="Q447" i="1" a="1"/>
  <c r="T447" i="1"/>
  <c r="Q453" i="1" a="1"/>
  <c r="T453" i="1"/>
  <c r="Q454" i="1" a="1"/>
  <c r="T454" i="1"/>
  <c r="Q456" i="1" a="1"/>
  <c r="T456" i="1"/>
  <c r="Q457" i="1" a="1"/>
  <c r="T457" i="1"/>
  <c r="Q461" i="1" a="1"/>
  <c r="T461" i="1"/>
  <c r="Q462" i="1" a="1"/>
  <c r="T462" i="1"/>
  <c r="Q463" i="1" a="1"/>
  <c r="T463" i="1"/>
  <c r="Q465" i="1" a="1"/>
  <c r="T465" i="1"/>
  <c r="Q466" i="1" a="1"/>
  <c r="T466" i="1"/>
  <c r="Q467" i="1" a="1"/>
  <c r="T467" i="1"/>
  <c r="Q468" i="1" a="1"/>
  <c r="T468" i="1"/>
  <c r="Q478" i="1" a="1"/>
  <c r="T478" i="1"/>
  <c r="Q495" i="1" a="1"/>
  <c r="T495" i="1"/>
  <c r="Q496" i="1" a="1"/>
  <c r="T496" i="1"/>
  <c r="Q497" i="1" a="1"/>
  <c r="T497" i="1"/>
  <c r="Q503" i="1" a="1"/>
  <c r="T503" i="1"/>
  <c r="Q505" i="1" a="1"/>
  <c r="T505" i="1"/>
  <c r="Q506" i="1" a="1"/>
  <c r="T506" i="1"/>
  <c r="Q509" i="1" a="1"/>
  <c r="T509" i="1"/>
  <c r="Q510" i="1" a="1"/>
  <c r="T510" i="1"/>
  <c r="Q514" i="1" a="1"/>
  <c r="T514" i="1"/>
  <c r="Q515" i="1" a="1"/>
  <c r="T515" i="1"/>
  <c r="Q640" i="1" a="1"/>
  <c r="T640" i="1"/>
  <c r="Q641" i="1" a="1"/>
  <c r="T641" i="1"/>
  <c r="Q256" i="1" a="1"/>
  <c r="Q290" i="1" a="1"/>
  <c r="Q315" i="1" a="1"/>
  <c r="Q382" i="1" a="1"/>
  <c r="Q418" i="1" a="1"/>
  <c r="Q470" i="1" a="1"/>
  <c r="Q488" i="1" a="1"/>
  <c r="Q502" i="1" a="1"/>
  <c r="Q521" i="1" a="1"/>
  <c r="Q260" i="1" a="1"/>
  <c r="Q274" i="1" a="1"/>
  <c r="Q284" i="1" a="1"/>
  <c r="Q316" i="1" a="1"/>
  <c r="Q387" i="1" a="1"/>
  <c r="Q412" i="1" a="1"/>
  <c r="Q426" i="1" a="1"/>
  <c r="Q434" i="1" a="1"/>
  <c r="Q455" i="1" a="1"/>
  <c r="Q475" i="1" a="1"/>
  <c r="Q498" i="1" a="1"/>
  <c r="Q520" i="1" a="1"/>
  <c r="Q533" i="1" a="1"/>
  <c r="Q288" i="1" a="1"/>
  <c r="Q299" i="1" a="1"/>
  <c r="Q317" i="1" a="1"/>
  <c r="Q388" i="1" a="1"/>
  <c r="Q407" i="1" a="1"/>
  <c r="Q422" i="1" a="1"/>
  <c r="Q427" i="1" a="1"/>
  <c r="Q435" i="1" a="1"/>
  <c r="Q459" i="1" a="1"/>
  <c r="Q479" i="1" a="1"/>
  <c r="Q482" i="1" a="1"/>
  <c r="Q490" i="1" a="1"/>
  <c r="Q511" i="1" a="1"/>
  <c r="Q525" i="1" a="1"/>
  <c r="Q3" i="1" a="1"/>
  <c r="Q4" i="1" a="1"/>
  <c r="Q5" i="1" a="1"/>
  <c r="Q6" i="1" a="1"/>
  <c r="Q7" i="1" a="1"/>
  <c r="Q8" i="1" a="1"/>
  <c r="Q9" i="1" a="1"/>
  <c r="Q10" i="1" a="1"/>
  <c r="Q11" i="1" a="1"/>
  <c r="Q12" i="1" a="1"/>
  <c r="Q13" i="1" a="1"/>
  <c r="Q14" i="1" a="1"/>
  <c r="Q15" i="1" a="1"/>
  <c r="Q16" i="1" a="1"/>
  <c r="Q17" i="1" a="1"/>
  <c r="Q18" i="1" a="1"/>
  <c r="Q19" i="1" a="1"/>
  <c r="Q20" i="1" a="1"/>
  <c r="Q21" i="1" a="1"/>
  <c r="Q22" i="1" a="1"/>
  <c r="Q23" i="1" a="1"/>
  <c r="Q24" i="1" a="1"/>
  <c r="Q25" i="1" a="1"/>
  <c r="Q26" i="1" a="1"/>
  <c r="Q27" i="1" a="1"/>
  <c r="Q28" i="1" a="1"/>
  <c r="Q29" i="1" a="1"/>
  <c r="Q30" i="1" a="1"/>
  <c r="Q31" i="1" a="1"/>
  <c r="Q32" i="1" a="1"/>
  <c r="Q33" i="1" a="1"/>
  <c r="Q34" i="1" a="1"/>
  <c r="Q35" i="1" a="1"/>
  <c r="Q36" i="1" a="1"/>
  <c r="Q37" i="1" a="1"/>
  <c r="Q38" i="1" a="1"/>
  <c r="Q39" i="1" a="1"/>
  <c r="Q40" i="1" a="1"/>
  <c r="Q41" i="1" a="1"/>
  <c r="Q42" i="1" a="1"/>
  <c r="Q43" i="1" a="1"/>
  <c r="Q44" i="1" a="1"/>
  <c r="Q45" i="1" a="1"/>
  <c r="Q46" i="1" a="1"/>
  <c r="Q47" i="1" a="1"/>
  <c r="Q48" i="1" a="1"/>
  <c r="Q49" i="1" a="1"/>
  <c r="Q50" i="1" a="1"/>
  <c r="Q51" i="1" a="1"/>
  <c r="Q52" i="1" a="1"/>
  <c r="Q53" i="1" a="1"/>
  <c r="Q54" i="1" a="1"/>
  <c r="Q55" i="1" a="1"/>
  <c r="Q57" i="1" a="1"/>
  <c r="Q59" i="1" a="1"/>
  <c r="Q60" i="1" a="1"/>
  <c r="Q61" i="1" a="1"/>
  <c r="Q62" i="1" a="1"/>
  <c r="Q63" i="1" a="1"/>
  <c r="Q64" i="1" a="1"/>
  <c r="Q65" i="1" a="1"/>
  <c r="Q66" i="1" a="1"/>
  <c r="Q67" i="1" a="1"/>
  <c r="Q68" i="1" a="1"/>
  <c r="Q69" i="1" a="1"/>
  <c r="Q70" i="1" a="1"/>
  <c r="Q71" i="1" a="1"/>
  <c r="Q72" i="1" a="1"/>
  <c r="Q73" i="1" a="1"/>
  <c r="Q76" i="1" a="1"/>
  <c r="Q77" i="1" a="1"/>
  <c r="Q78" i="1" a="1"/>
  <c r="Q79" i="1" a="1"/>
  <c r="Q82" i="1" a="1"/>
  <c r="Q83" i="1" a="1"/>
  <c r="Q86" i="1" a="1"/>
  <c r="Q88" i="1" a="1"/>
  <c r="Q90" i="1" a="1"/>
  <c r="Q93" i="1" a="1"/>
  <c r="Q95" i="1" a="1"/>
  <c r="Q98" i="1" a="1"/>
  <c r="Q100" i="1" a="1"/>
  <c r="Q103" i="1" a="1"/>
  <c r="Q105" i="1" a="1"/>
  <c r="Q108" i="1" a="1"/>
  <c r="Q111" i="1" a="1"/>
  <c r="Q119" i="1" a="1"/>
  <c r="Q122" i="1" a="1"/>
  <c r="Q125" i="1" a="1"/>
  <c r="Q127" i="1" a="1"/>
  <c r="Q129" i="1" a="1"/>
  <c r="Q132" i="1" a="1"/>
  <c r="Q135" i="1" a="1"/>
  <c r="Q138" i="1" a="1"/>
  <c r="Q140" i="1" a="1"/>
  <c r="Q143" i="1" a="1"/>
  <c r="Q145" i="1" a="1"/>
  <c r="Q148" i="1" a="1"/>
  <c r="Q150" i="1" a="1"/>
  <c r="Q153" i="1" a="1"/>
  <c r="Q156" i="1" a="1"/>
  <c r="Q158" i="1" a="1"/>
  <c r="Q161" i="1" a="1"/>
  <c r="Q164" i="1" a="1"/>
  <c r="Q167" i="1" a="1"/>
  <c r="Q170" i="1" a="1"/>
  <c r="Q172" i="1" a="1"/>
  <c r="Q176" i="1" a="1"/>
  <c r="Q179" i="1" a="1"/>
  <c r="Q184" i="1" a="1"/>
  <c r="Q186" i="1" a="1"/>
  <c r="Q190" i="1" a="1"/>
  <c r="Q194" i="1" a="1"/>
  <c r="Q197" i="1" a="1"/>
  <c r="Q201" i="1" a="1"/>
  <c r="Q205" i="1" a="1"/>
  <c r="Q209" i="1" a="1"/>
  <c r="Q214" i="1" a="1"/>
  <c r="Q218" i="1" a="1"/>
  <c r="Q220" i="1" a="1"/>
  <c r="Q224" i="1" a="1"/>
  <c r="Q228" i="1" a="1"/>
  <c r="Q271" i="1" a="1"/>
  <c r="Q285" i="1" a="1"/>
  <c r="Q311" i="1" a="1"/>
  <c r="Q319" i="1" a="1"/>
  <c r="Q383" i="1" a="1"/>
  <c r="Q413" i="1" a="1"/>
  <c r="Q423" i="1" a="1"/>
  <c r="Q430" i="1" a="1"/>
  <c r="Q450" i="1" a="1"/>
  <c r="Q471" i="1" a="1"/>
  <c r="Q487" i="1" a="1"/>
  <c r="Q501" i="1" a="1"/>
  <c r="Q518" i="1" a="1"/>
  <c r="Q529" i="1" a="1"/>
  <c r="Q534" i="1" a="1"/>
  <c r="Q136" i="1" a="1"/>
  <c r="Q163" i="1" a="1"/>
  <c r="Q168" i="1" a="1"/>
  <c r="Q173" i="1" a="1"/>
  <c r="Q177" i="1" a="1"/>
  <c r="Q181" i="1" a="1"/>
  <c r="Q185" i="1" a="1"/>
  <c r="Q189" i="1" a="1"/>
  <c r="Q192" i="1" a="1"/>
  <c r="Q196" i="1" a="1"/>
  <c r="Q200" i="1" a="1"/>
  <c r="Q203" i="1" a="1"/>
  <c r="Q207" i="1" a="1"/>
  <c r="Q211" i="1" a="1"/>
  <c r="Q215" i="1" a="1"/>
  <c r="Q219" i="1" a="1"/>
  <c r="Q223" i="1" a="1"/>
  <c r="Q226" i="1" a="1"/>
  <c r="Q286" i="1" a="1"/>
  <c r="Q298" i="1" a="1"/>
  <c r="Q314" i="1" a="1"/>
  <c r="Q380" i="1" a="1"/>
  <c r="Q400" i="1" a="1"/>
  <c r="Q415" i="1" a="1"/>
  <c r="Q428" i="1" a="1"/>
  <c r="Q436" i="1" a="1"/>
  <c r="Q451" i="1" a="1"/>
  <c r="Q473" i="1" a="1"/>
  <c r="Q486" i="1" a="1"/>
  <c r="Q494" i="1" a="1"/>
  <c r="Q504" i="1" a="1"/>
  <c r="Q513" i="1" a="1"/>
  <c r="Q523" i="1" a="1"/>
  <c r="Q56" i="1" a="1"/>
  <c r="Q75" i="1" a="1"/>
  <c r="Q80" i="1" a="1"/>
  <c r="Q84" i="1" a="1"/>
  <c r="Q87" i="1" a="1"/>
  <c r="Q91" i="1" a="1"/>
  <c r="Q94" i="1" a="1"/>
  <c r="Q97" i="1" a="1"/>
  <c r="Q101" i="1" a="1"/>
  <c r="Q104" i="1" a="1"/>
  <c r="Q107" i="1" a="1"/>
  <c r="Q110" i="1" a="1"/>
  <c r="Q113" i="1" a="1"/>
  <c r="Q115" i="1" a="1"/>
  <c r="Q117" i="1" a="1"/>
  <c r="Q120" i="1" a="1"/>
  <c r="Q123" i="1" a="1"/>
  <c r="Q126" i="1" a="1"/>
  <c r="Q130" i="1" a="1"/>
  <c r="Q133" i="1" a="1"/>
  <c r="Q137" i="1" a="1"/>
  <c r="Q141" i="1" a="1"/>
  <c r="Q144" i="1" a="1"/>
  <c r="Q147" i="1" a="1"/>
  <c r="Q151" i="1" a="1"/>
  <c r="Q154" i="1" a="1"/>
  <c r="Q157" i="1" a="1"/>
  <c r="Q160" i="1" a="1"/>
  <c r="Q165" i="1" a="1"/>
  <c r="Q169" i="1" a="1"/>
  <c r="Q174" i="1" a="1"/>
  <c r="Q178" i="1" a="1"/>
  <c r="Q182" i="1" a="1"/>
  <c r="Q187" i="1" a="1"/>
  <c r="Q191" i="1" a="1"/>
  <c r="Q195" i="1" a="1"/>
  <c r="Q199" i="1" a="1"/>
  <c r="Q204" i="1" a="1"/>
  <c r="Q208" i="1" a="1"/>
  <c r="Q212" i="1" a="1"/>
  <c r="Q216" i="1" a="1"/>
  <c r="Q221" i="1" a="1"/>
  <c r="Q225" i="1" a="1"/>
  <c r="Q272" i="1" a="1"/>
  <c r="Q287" i="1" a="1"/>
  <c r="Q304" i="1" a="1"/>
  <c r="Q313" i="1" a="1"/>
  <c r="Q381" i="1" a="1"/>
  <c r="Q401" i="1" a="1"/>
  <c r="Q417" i="1" a="1"/>
  <c r="Q448" i="1" a="1"/>
  <c r="Q469" i="1" a="1"/>
  <c r="Q484" i="1" a="1"/>
  <c r="Q492" i="1" a="1"/>
  <c r="Q508" i="1" a="1"/>
  <c r="Q524" i="1" a="1"/>
  <c r="Q58" i="1" a="1"/>
  <c r="Q74" i="1" a="1"/>
  <c r="Q81" i="1" a="1"/>
  <c r="Q85" i="1" a="1"/>
  <c r="Q89" i="1" a="1"/>
  <c r="Q92" i="1" a="1"/>
  <c r="Q96" i="1" a="1"/>
  <c r="Q99" i="1" a="1"/>
  <c r="Q102" i="1" a="1"/>
  <c r="Q106" i="1" a="1"/>
  <c r="Q109" i="1" a="1"/>
  <c r="Q112" i="1" a="1"/>
  <c r="Q114" i="1" a="1"/>
  <c r="Q116" i="1" a="1"/>
  <c r="Q118" i="1" a="1"/>
  <c r="Q121" i="1" a="1"/>
  <c r="Q124" i="1" a="1"/>
  <c r="Q128" i="1" a="1"/>
  <c r="Q131" i="1" a="1"/>
  <c r="Q134" i="1" a="1"/>
  <c r="Q139" i="1" a="1"/>
  <c r="Q142" i="1" a="1"/>
  <c r="Q146" i="1" a="1"/>
  <c r="Q149" i="1" a="1"/>
  <c r="Q152" i="1" a="1"/>
  <c r="Q155" i="1" a="1"/>
  <c r="Q159" i="1" a="1"/>
  <c r="Q162" i="1" a="1"/>
  <c r="Q166" i="1" a="1"/>
  <c r="Q171" i="1" a="1"/>
  <c r="Q175" i="1" a="1"/>
  <c r="Q180" i="1" a="1"/>
  <c r="Q183" i="1" a="1"/>
  <c r="Q188" i="1" a="1"/>
  <c r="Q193" i="1" a="1"/>
  <c r="Q198" i="1" a="1"/>
  <c r="Q202" i="1" a="1"/>
  <c r="Q206" i="1" a="1"/>
  <c r="Q210" i="1" a="1"/>
  <c r="Q213" i="1" a="1"/>
  <c r="Q217" i="1" a="1"/>
  <c r="Q222" i="1" a="1"/>
  <c r="Q227" i="1" a="1"/>
  <c r="Q259" i="1" a="1"/>
  <c r="Q273" i="1" a="1"/>
  <c r="Q283" i="1" a="1"/>
  <c r="Q289" i="1" a="1"/>
  <c r="Q300" i="1" a="1"/>
  <c r="Q318" i="1" a="1"/>
  <c r="Q389" i="1" a="1"/>
  <c r="Q406" i="1" a="1"/>
  <c r="Q420" i="1" a="1"/>
  <c r="Q424" i="1" a="1"/>
  <c r="Q438" i="1" a="1"/>
  <c r="Q464" i="1" a="1"/>
  <c r="Q480" i="1" a="1"/>
  <c r="Q483" i="1" a="1"/>
  <c r="Q491" i="1" a="1"/>
  <c r="Q519" i="1" a="1"/>
  <c r="Q530" i="1" a="1"/>
  <c r="Q536" i="1" a="1"/>
  <c r="Q303" i="1" a="1"/>
  <c r="Q312" i="1" a="1"/>
  <c r="Q320" i="1" a="1"/>
  <c r="Q384" i="1" a="1"/>
  <c r="Q398" i="1" a="1"/>
  <c r="Q414" i="1" a="1"/>
  <c r="Q429" i="1" a="1"/>
  <c r="Q437" i="1" a="1"/>
  <c r="Q460" i="1" a="1"/>
  <c r="Q476" i="1" a="1"/>
  <c r="Q500" i="1" a="1"/>
  <c r="Q517" i="1" a="1"/>
  <c r="Q527" i="1" a="1"/>
  <c r="Q532" i="1" a="1"/>
  <c r="Q537" i="1" a="1"/>
  <c r="Q323" i="1" a="1"/>
  <c r="Q324" i="1" a="1"/>
  <c r="Q325" i="1" a="1"/>
  <c r="Q326" i="1" a="1"/>
  <c r="Q327" i="1" a="1"/>
  <c r="Q328" i="1" a="1"/>
  <c r="Q329" i="1" a="1"/>
  <c r="Q330" i="1" a="1"/>
  <c r="Q331" i="1" a="1"/>
  <c r="Q332" i="1" a="1"/>
  <c r="Q333" i="1" a="1"/>
  <c r="Q334" i="1" a="1"/>
  <c r="Q335" i="1" a="1"/>
  <c r="Q336" i="1" a="1"/>
  <c r="Q337" i="1" a="1"/>
  <c r="Q338" i="1" a="1"/>
  <c r="Q339" i="1" a="1"/>
  <c r="Q340" i="1" a="1"/>
  <c r="Q341" i="1" a="1"/>
  <c r="Q342" i="1" a="1"/>
  <c r="Q343" i="1" a="1"/>
  <c r="Q344" i="1" a="1"/>
  <c r="Q345" i="1" a="1"/>
  <c r="Q346" i="1" a="1"/>
  <c r="Q347" i="1" a="1"/>
  <c r="Q348" i="1" a="1"/>
  <c r="Q349" i="1" a="1"/>
  <c r="Q350" i="1" a="1"/>
  <c r="Q351" i="1" a="1"/>
  <c r="Q352" i="1" a="1"/>
  <c r="Q353" i="1" a="1"/>
  <c r="Q354" i="1" a="1"/>
  <c r="Q355" i="1" a="1"/>
  <c r="Q356" i="1" a="1"/>
  <c r="Q357" i="1" a="1"/>
  <c r="Q358" i="1" a="1"/>
  <c r="Q359" i="1" a="1"/>
  <c r="Q360" i="1" a="1"/>
  <c r="Q364" i="1" a="1"/>
  <c r="Q419" i="1" a="1"/>
  <c r="Q449" i="1" a="1"/>
  <c r="Q472" i="1" a="1"/>
  <c r="Q489" i="1" a="1"/>
  <c r="Q507" i="1" a="1"/>
  <c r="Q522" i="1" a="1"/>
  <c r="Q538" i="1" a="1"/>
  <c r="Q539" i="1" a="1"/>
  <c r="Q540" i="1" a="1"/>
  <c r="Q541" i="1" a="1"/>
  <c r="Q542" i="1" a="1"/>
  <c r="Q543" i="1" a="1"/>
  <c r="Q544" i="1" a="1"/>
  <c r="Q545" i="1" a="1"/>
  <c r="Q546" i="1" a="1"/>
  <c r="Q547" i="1" a="1"/>
  <c r="Q548" i="1" a="1"/>
  <c r="Q549" i="1" a="1"/>
  <c r="Q550" i="1" a="1"/>
  <c r="Q551" i="1" a="1"/>
  <c r="Q552" i="1" a="1"/>
  <c r="Q553" i="1" a="1"/>
  <c r="Q554" i="1" a="1"/>
  <c r="Q555" i="1" a="1"/>
  <c r="Q556" i="1" a="1"/>
  <c r="Q557" i="1" a="1"/>
  <c r="Q558" i="1" a="1"/>
  <c r="Q559" i="1" a="1"/>
  <c r="Q560" i="1" a="1"/>
  <c r="Q561" i="1" a="1"/>
  <c r="Q562" i="1" a="1"/>
  <c r="Q563" i="1" a="1"/>
  <c r="Q564" i="1" a="1"/>
  <c r="Q565" i="1" a="1"/>
  <c r="Q566" i="1" a="1"/>
  <c r="Q567" i="1" a="1"/>
  <c r="Q568" i="1" a="1"/>
  <c r="Q569" i="1" a="1"/>
  <c r="Q570" i="1" a="1"/>
  <c r="Q571" i="1" a="1"/>
  <c r="Q572" i="1" a="1"/>
  <c r="Q573" i="1" a="1"/>
  <c r="Q574" i="1" a="1"/>
  <c r="Q575" i="1" a="1"/>
  <c r="Q576" i="1" a="1"/>
  <c r="Q577" i="1" a="1"/>
  <c r="Q578" i="1" a="1"/>
  <c r="Q579" i="1" a="1"/>
  <c r="Q580" i="1" a="1"/>
  <c r="Q581" i="1" a="1"/>
  <c r="Q582" i="1" a="1"/>
  <c r="Q583" i="1" a="1"/>
  <c r="Q584" i="1" a="1"/>
  <c r="Q585" i="1" a="1"/>
  <c r="Q586" i="1" a="1"/>
  <c r="Q587" i="1" a="1"/>
  <c r="Q588" i="1" a="1"/>
  <c r="Q589" i="1" a="1"/>
  <c r="Q590" i="1" a="1"/>
  <c r="Q591" i="1" a="1"/>
  <c r="Q592" i="1" a="1"/>
  <c r="Q593" i="1" a="1"/>
  <c r="Q594" i="1" a="1"/>
  <c r="Q595" i="1" a="1"/>
  <c r="Q596" i="1" a="1"/>
  <c r="Q597" i="1" a="1"/>
  <c r="Q598" i="1" a="1"/>
  <c r="Q599" i="1" a="1"/>
  <c r="Q600" i="1" a="1"/>
  <c r="Q601" i="1" a="1"/>
  <c r="Q602" i="1" a="1"/>
  <c r="Q603" i="1" a="1"/>
  <c r="Q604" i="1" a="1"/>
  <c r="Q605" i="1" a="1"/>
  <c r="Q606" i="1" a="1"/>
  <c r="Q607" i="1" a="1"/>
  <c r="Q608" i="1" a="1"/>
  <c r="Q609" i="1" a="1"/>
  <c r="Q610" i="1" a="1"/>
  <c r="Q611" i="1" a="1"/>
  <c r="Q612" i="1" a="1"/>
  <c r="Q613" i="1" a="1"/>
  <c r="Q614" i="1" a="1"/>
  <c r="Q615" i="1" a="1"/>
  <c r="Q616" i="1" a="1"/>
  <c r="Q617" i="1" a="1"/>
  <c r="Q618" i="1" a="1"/>
  <c r="Q619" i="1" a="1"/>
  <c r="Q620" i="1" a="1"/>
  <c r="Q621" i="1" a="1"/>
  <c r="Q622" i="1" a="1"/>
  <c r="Q623" i="1" a="1"/>
  <c r="Q624" i="1" a="1"/>
  <c r="Q625" i="1" a="1"/>
  <c r="Q626" i="1" a="1"/>
  <c r="Q627" i="1" a="1"/>
  <c r="Q628" i="1" a="1"/>
  <c r="Q629" i="1" a="1"/>
  <c r="Q630" i="1" a="1"/>
  <c r="Q631" i="1" a="1"/>
  <c r="Q632" i="1" a="1"/>
  <c r="Q633" i="1" a="1"/>
  <c r="Q634" i="1" a="1"/>
  <c r="Q635" i="1" a="1"/>
  <c r="Q636" i="1" a="1"/>
  <c r="Q637" i="1" a="1"/>
  <c r="Q638" i="1" a="1"/>
  <c r="Q639" i="1" a="1"/>
  <c r="Q642" i="1" a="1"/>
  <c r="Q643" i="1" a="1"/>
  <c r="Q644" i="1" a="1"/>
  <c r="Q645" i="1" a="1"/>
  <c r="Q399" i="1" a="1"/>
  <c r="Q416" i="1" a="1"/>
  <c r="Q431" i="1" a="1"/>
  <c r="Q452" i="1" a="1"/>
  <c r="Q474" i="1" a="1"/>
  <c r="Q499" i="1" a="1"/>
  <c r="Q516" i="1" a="1"/>
  <c r="Q528" i="1" a="1"/>
  <c r="Q535" i="1" a="1"/>
  <c r="Q646" i="1" a="1"/>
  <c r="Q647" i="1" a="1"/>
  <c r="Q648" i="1" a="1"/>
  <c r="Q649" i="1" a="1"/>
  <c r="Q650" i="1" a="1"/>
  <c r="Q651" i="1" a="1"/>
  <c r="Q652" i="1" a="1"/>
  <c r="Q653" i="1" a="1"/>
  <c r="Q654" i="1" a="1"/>
  <c r="Q655" i="1" a="1"/>
  <c r="Q656" i="1" a="1"/>
  <c r="Q657" i="1" a="1"/>
  <c r="Q658" i="1" a="1"/>
  <c r="Q659" i="1" a="1"/>
  <c r="Q660" i="1" a="1"/>
  <c r="Q661" i="1" a="1"/>
  <c r="Q662" i="1" a="1"/>
  <c r="Q663" i="1" a="1"/>
  <c r="Q664" i="1" a="1"/>
  <c r="Q665" i="1" a="1"/>
  <c r="Q666" i="1" a="1"/>
  <c r="Q667" i="1" a="1"/>
  <c r="Q668" i="1" a="1"/>
  <c r="Q669" i="1" a="1"/>
  <c r="Q670" i="1" a="1"/>
  <c r="Q671" i="1" a="1"/>
  <c r="Q672" i="1" a="1"/>
  <c r="Q673" i="1" a="1"/>
  <c r="Q674" i="1" a="1"/>
  <c r="Q675" i="1" a="1"/>
  <c r="Q676" i="1" a="1"/>
  <c r="Q677" i="1" a="1"/>
  <c r="Q678" i="1" a="1"/>
  <c r="Q679" i="1" a="1"/>
  <c r="Q680" i="1" a="1"/>
  <c r="Q681" i="1" a="1"/>
  <c r="Q682" i="1" a="1"/>
  <c r="Q683" i="1" a="1"/>
  <c r="Q684" i="1" a="1"/>
  <c r="Q685" i="1" a="1"/>
  <c r="Q686" i="1" a="1"/>
  <c r="Q687" i="1" a="1"/>
  <c r="Q688" i="1" a="1"/>
  <c r="Q689" i="1" a="1"/>
  <c r="Q690" i="1" a="1"/>
  <c r="Q691" i="1" a="1"/>
  <c r="Q692" i="1" a="1"/>
  <c r="Q693" i="1" a="1"/>
  <c r="Q2" i="1" a="1"/>
  <c r="Q421" i="1" a="1"/>
  <c r="Q425" i="1" a="1"/>
  <c r="Q439" i="1" a="1"/>
  <c r="Q458" i="1" a="1"/>
  <c r="Q477" i="1" a="1"/>
  <c r="Q481" i="1" a="1"/>
  <c r="Q485" i="1" a="1"/>
  <c r="Q493" i="1" a="1"/>
  <c r="Q512" i="1" a="1"/>
  <c r="Q526" i="1" a="1"/>
  <c r="Q53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<sst xmlns="http://schemas.openxmlformats.org/spreadsheetml/2006/main" count="17071" uniqueCount="1319">
  <si>
    <t>Icono part.abiertas/comp.</t>
  </si>
  <si>
    <t>Asignación</t>
  </si>
  <si>
    <t>Nº documento</t>
  </si>
  <si>
    <t>División</t>
  </si>
  <si>
    <t>Clase de documento</t>
  </si>
  <si>
    <t>Fecha de documento</t>
  </si>
  <si>
    <t>Clave contabiliz.</t>
  </si>
  <si>
    <t>Importe en moneda local</t>
  </si>
  <si>
    <t>Moneda local</t>
  </si>
  <si>
    <t>Indicador impuestos</t>
  </si>
  <si>
    <t>Doc.compensación</t>
  </si>
  <si>
    <t>Nombre</t>
  </si>
  <si>
    <t>Documento compras</t>
  </si>
  <si>
    <t>Posición</t>
  </si>
  <si>
    <t/>
  </si>
  <si>
    <t>86</t>
  </si>
  <si>
    <t>ARS</t>
  </si>
  <si>
    <t>C1</t>
  </si>
  <si>
    <t>SUDAMERICANA CAMIONES SA</t>
  </si>
  <si>
    <t>4500138368</t>
  </si>
  <si>
    <t>20</t>
  </si>
  <si>
    <t>30</t>
  </si>
  <si>
    <t>50</t>
  </si>
  <si>
    <t>60</t>
  </si>
  <si>
    <t>70</t>
  </si>
  <si>
    <t>40</t>
  </si>
  <si>
    <t>5100001467</t>
  </si>
  <si>
    <t>RE</t>
  </si>
  <si>
    <t>RODRIGUEZ MARTINEZ EMILIO JOAQUIN</t>
  </si>
  <si>
    <t>4500116451</t>
  </si>
  <si>
    <t>5100001949</t>
  </si>
  <si>
    <t>DOBLE TRACCION SRL</t>
  </si>
  <si>
    <t>4500117899</t>
  </si>
  <si>
    <t>10</t>
  </si>
  <si>
    <t>5100002298</t>
  </si>
  <si>
    <t>1000</t>
  </si>
  <si>
    <t>C9</t>
  </si>
  <si>
    <t>LOPEZ RIOS FACUNDO GABRIE</t>
  </si>
  <si>
    <t>4500118735</t>
  </si>
  <si>
    <t>5100002668</t>
  </si>
  <si>
    <t>4500120029</t>
  </si>
  <si>
    <t>5100004150</t>
  </si>
  <si>
    <t>5100004195</t>
  </si>
  <si>
    <t>96</t>
  </si>
  <si>
    <t>5100004198</t>
  </si>
  <si>
    <t>5100004976</t>
  </si>
  <si>
    <t>AONA SA</t>
  </si>
  <si>
    <t>4500127644</t>
  </si>
  <si>
    <t>5100004980</t>
  </si>
  <si>
    <t>4500127645</t>
  </si>
  <si>
    <t>5100005190</t>
  </si>
  <si>
    <t>5100005409</t>
  </si>
  <si>
    <t>J.M.F. VIAL &amp; PARTS SAS</t>
  </si>
  <si>
    <t>4500128181</t>
  </si>
  <si>
    <t>5100005629</t>
  </si>
  <si>
    <t>2000</t>
  </si>
  <si>
    <t>GANGAS REYES MARCELO DAVID</t>
  </si>
  <si>
    <t>4500121227</t>
  </si>
  <si>
    <t>5100005860</t>
  </si>
  <si>
    <t>5100005861</t>
  </si>
  <si>
    <t>4500127646</t>
  </si>
  <si>
    <t>5100005862</t>
  </si>
  <si>
    <t>5100005863</t>
  </si>
  <si>
    <t>5100005864</t>
  </si>
  <si>
    <t>5100005866</t>
  </si>
  <si>
    <t>PINTURERIA CENTRAL SRL</t>
  </si>
  <si>
    <t>4500131732</t>
  </si>
  <si>
    <t>5100006500</t>
  </si>
  <si>
    <t>5100006501</t>
  </si>
  <si>
    <t>5100006502</t>
  </si>
  <si>
    <t>MEYNIEL S.R.L.</t>
  </si>
  <si>
    <t>4500132970</t>
  </si>
  <si>
    <t>5100007358</t>
  </si>
  <si>
    <t>4500133352</t>
  </si>
  <si>
    <t>4500133353</t>
  </si>
  <si>
    <t>4500133354</t>
  </si>
  <si>
    <t>5100007362</t>
  </si>
  <si>
    <t>5100007365</t>
  </si>
  <si>
    <t>5100007635</t>
  </si>
  <si>
    <t>IGARRETA MAQUINAS S.A.</t>
  </si>
  <si>
    <t>4500123815</t>
  </si>
  <si>
    <t>5100007636</t>
  </si>
  <si>
    <t>4500121760</t>
  </si>
  <si>
    <t>5100007747</t>
  </si>
  <si>
    <t>5100008175</t>
  </si>
  <si>
    <t>5100008381</t>
  </si>
  <si>
    <t>SOSTEN S.A.</t>
  </si>
  <si>
    <t>4500133351</t>
  </si>
  <si>
    <t>4500137849</t>
  </si>
  <si>
    <t>5100008798</t>
  </si>
  <si>
    <t>ESCANDINAVIA DEL PLATA SA</t>
  </si>
  <si>
    <t>4500133374</t>
  </si>
  <si>
    <t>5100008913</t>
  </si>
  <si>
    <t>4500139476</t>
  </si>
  <si>
    <t>4500132946</t>
  </si>
  <si>
    <t>5000001878</t>
  </si>
  <si>
    <t>WE</t>
  </si>
  <si>
    <t>COMBUSTIBLES BARCELO S.R.L.</t>
  </si>
  <si>
    <t>4500116800</t>
  </si>
  <si>
    <t>5000002293</t>
  </si>
  <si>
    <t>5000002602</t>
  </si>
  <si>
    <t>DISEL CENTRO S.A.</t>
  </si>
  <si>
    <t>4500118654</t>
  </si>
  <si>
    <t>5000002645</t>
  </si>
  <si>
    <t>5000002686</t>
  </si>
  <si>
    <t>ELEC.PELLEGRINI DE OCCHI Y ORO</t>
  </si>
  <si>
    <t>4500118886</t>
  </si>
  <si>
    <t>5000002733</t>
  </si>
  <si>
    <t>4500119034</t>
  </si>
  <si>
    <t>5000002766</t>
  </si>
  <si>
    <t>4500119045</t>
  </si>
  <si>
    <t>5000002793</t>
  </si>
  <si>
    <t>4500119174</t>
  </si>
  <si>
    <t>REMOLQUES OMBU SA</t>
  </si>
  <si>
    <t>4500119029</t>
  </si>
  <si>
    <t>4500119032</t>
  </si>
  <si>
    <t>5000002818</t>
  </si>
  <si>
    <t>BASUALDO NECCHI MARCOS GABRIEL</t>
  </si>
  <si>
    <t>4500119159</t>
  </si>
  <si>
    <t>5000002851</t>
  </si>
  <si>
    <t>4500119263</t>
  </si>
  <si>
    <t>5000003062</t>
  </si>
  <si>
    <t>4500119413</t>
  </si>
  <si>
    <t>5000003194</t>
  </si>
  <si>
    <t>4500120245</t>
  </si>
  <si>
    <t>5000003196</t>
  </si>
  <si>
    <t>M D AUTOELEVADORES Y EQUIPOS S</t>
  </si>
  <si>
    <t>4500119953</t>
  </si>
  <si>
    <t>5000003199</t>
  </si>
  <si>
    <t>4500120186</t>
  </si>
  <si>
    <t>5000003245</t>
  </si>
  <si>
    <t>4500120358</t>
  </si>
  <si>
    <t>5000003322</t>
  </si>
  <si>
    <t>NEUMATICOS GOODYEAR S R L</t>
  </si>
  <si>
    <t>4500118906</t>
  </si>
  <si>
    <t>5000003365</t>
  </si>
  <si>
    <t>4500120630</t>
  </si>
  <si>
    <t>5000003448</t>
  </si>
  <si>
    <t>5000003510</t>
  </si>
  <si>
    <t>4500120038</t>
  </si>
  <si>
    <t>5000003563</t>
  </si>
  <si>
    <t>4500118604</t>
  </si>
  <si>
    <t>5000003613</t>
  </si>
  <si>
    <t>5000003715</t>
  </si>
  <si>
    <t>TURBOS T&amp;T S.R.L</t>
  </si>
  <si>
    <t>4500118885</t>
  </si>
  <si>
    <t>5000003753</t>
  </si>
  <si>
    <t>5000003754</t>
  </si>
  <si>
    <t>FINNING ARGENTINA S.A.</t>
  </si>
  <si>
    <t>4500117803</t>
  </si>
  <si>
    <t>5000003845</t>
  </si>
  <si>
    <t>4500122092</t>
  </si>
  <si>
    <t>5000003916</t>
  </si>
  <si>
    <t>5000003951</t>
  </si>
  <si>
    <t>DIESEL LANGE S.R.L</t>
  </si>
  <si>
    <t>4500122211</t>
  </si>
  <si>
    <t>5000003952</t>
  </si>
  <si>
    <t>5000003961</t>
  </si>
  <si>
    <t>5000004079</t>
  </si>
  <si>
    <t>5000004115</t>
  </si>
  <si>
    <t>4500121991</t>
  </si>
  <si>
    <t>5000004278</t>
  </si>
  <si>
    <t>5000004291</t>
  </si>
  <si>
    <t>4500119117</t>
  </si>
  <si>
    <t>5000004320</t>
  </si>
  <si>
    <t>4500123389</t>
  </si>
  <si>
    <t>5000004357</t>
  </si>
  <si>
    <t>5000004368</t>
  </si>
  <si>
    <t>GIMENEZ JUAN OMAR</t>
  </si>
  <si>
    <t>4500118682</t>
  </si>
  <si>
    <t>5000004404</t>
  </si>
  <si>
    <t>5000004581</t>
  </si>
  <si>
    <t>5000004695</t>
  </si>
  <si>
    <t>5000004722</t>
  </si>
  <si>
    <t>4500122735</t>
  </si>
  <si>
    <t>110</t>
  </si>
  <si>
    <t>5000004727</t>
  </si>
  <si>
    <t>4500124449</t>
  </si>
  <si>
    <t>5000004731</t>
  </si>
  <si>
    <t>5000004759</t>
  </si>
  <si>
    <t>4500124613</t>
  </si>
  <si>
    <t>5000004770</t>
  </si>
  <si>
    <t>5000004932</t>
  </si>
  <si>
    <t>5000004935</t>
  </si>
  <si>
    <t>5000004953</t>
  </si>
  <si>
    <t>5000005002</t>
  </si>
  <si>
    <t>4500124801</t>
  </si>
  <si>
    <t>5000005024</t>
  </si>
  <si>
    <t>4500125282</t>
  </si>
  <si>
    <t>5000005079</t>
  </si>
  <si>
    <t>5000005080</t>
  </si>
  <si>
    <t>5000005203</t>
  </si>
  <si>
    <t>5000005284</t>
  </si>
  <si>
    <t>BIOENDESA SA</t>
  </si>
  <si>
    <t>4500124206</t>
  </si>
  <si>
    <t>5000005302</t>
  </si>
  <si>
    <t>4500125926</t>
  </si>
  <si>
    <t>5000005305</t>
  </si>
  <si>
    <t>PROTEC S.R.L.</t>
  </si>
  <si>
    <t>4500124710</t>
  </si>
  <si>
    <t>5000005306</t>
  </si>
  <si>
    <t>4500124464</t>
  </si>
  <si>
    <t>5000005360</t>
  </si>
  <si>
    <t>130</t>
  </si>
  <si>
    <t>5000005376</t>
  </si>
  <si>
    <t>5000005377</t>
  </si>
  <si>
    <t>5000005385</t>
  </si>
  <si>
    <t>5000005433</t>
  </si>
  <si>
    <t>4500126508</t>
  </si>
  <si>
    <t>5000005438</t>
  </si>
  <si>
    <t>BETA S.A.</t>
  </si>
  <si>
    <t>4500126230</t>
  </si>
  <si>
    <t>5000005476</t>
  </si>
  <si>
    <t>5000005581</t>
  </si>
  <si>
    <t>4500126792</t>
  </si>
  <si>
    <t>5000005603</t>
  </si>
  <si>
    <t>5000005609</t>
  </si>
  <si>
    <t>5000005690</t>
  </si>
  <si>
    <t>5000005693</t>
  </si>
  <si>
    <t>4500127012</t>
  </si>
  <si>
    <t>5000005734</t>
  </si>
  <si>
    <t>4500127160</t>
  </si>
  <si>
    <t>5000005736</t>
  </si>
  <si>
    <t>5000005738</t>
  </si>
  <si>
    <t>4500127283</t>
  </si>
  <si>
    <t>5000005776</t>
  </si>
  <si>
    <t>4500127571</t>
  </si>
  <si>
    <t>5000005908</t>
  </si>
  <si>
    <t>5000005909</t>
  </si>
  <si>
    <t>5000005917</t>
  </si>
  <si>
    <t>5000005932</t>
  </si>
  <si>
    <t>5000005944</t>
  </si>
  <si>
    <t>5000005972</t>
  </si>
  <si>
    <t>4500127903</t>
  </si>
  <si>
    <t>5000005987</t>
  </si>
  <si>
    <t>5000006030</t>
  </si>
  <si>
    <t>CABRAL LAUTARO MIGUEL</t>
  </si>
  <si>
    <t>4500124433</t>
  </si>
  <si>
    <t>5000006056</t>
  </si>
  <si>
    <t>4500124179</t>
  </si>
  <si>
    <t>5000006109</t>
  </si>
  <si>
    <t>5000006140</t>
  </si>
  <si>
    <t>4500128345</t>
  </si>
  <si>
    <t>5000006159</t>
  </si>
  <si>
    <t>5000006178</t>
  </si>
  <si>
    <t>SERVICIOS VIALES DE STA. FE SA</t>
  </si>
  <si>
    <t>4500127486</t>
  </si>
  <si>
    <t>5000006237</t>
  </si>
  <si>
    <t>4500128830</t>
  </si>
  <si>
    <t>5000006263</t>
  </si>
  <si>
    <t>4500129005</t>
  </si>
  <si>
    <t>5000006292</t>
  </si>
  <si>
    <t>5000006309</t>
  </si>
  <si>
    <t>5000006313</t>
  </si>
  <si>
    <t>4500124171</t>
  </si>
  <si>
    <t>5000006425</t>
  </si>
  <si>
    <t>4500129081</t>
  </si>
  <si>
    <t>5000006453</t>
  </si>
  <si>
    <t>5000006597</t>
  </si>
  <si>
    <t>5000006627</t>
  </si>
  <si>
    <t>MEI GROUP PTY. LTD.SUC. ARG.</t>
  </si>
  <si>
    <t>4500126654</t>
  </si>
  <si>
    <t>5000006667</t>
  </si>
  <si>
    <t>5000006692</t>
  </si>
  <si>
    <t>5000006695</t>
  </si>
  <si>
    <t>GINER CARLOS ALBERTO</t>
  </si>
  <si>
    <t>4500121498</t>
  </si>
  <si>
    <t>5000006696</t>
  </si>
  <si>
    <t>ANDRE FRENO S.R.L.</t>
  </si>
  <si>
    <t>4500121260</t>
  </si>
  <si>
    <t>5000006699</t>
  </si>
  <si>
    <t>LIRUSSI ARAGON FERNANDO ARIEL</t>
  </si>
  <si>
    <t>4500123369</t>
  </si>
  <si>
    <t>5000006700</t>
  </si>
  <si>
    <t>4500115516</t>
  </si>
  <si>
    <t>5000006701</t>
  </si>
  <si>
    <t>4500116082</t>
  </si>
  <si>
    <t>5000006705</t>
  </si>
  <si>
    <t>ANNCAR EQUIPMENT &amp; PARTS</t>
  </si>
  <si>
    <t>4500114356</t>
  </si>
  <si>
    <t>5000006735</t>
  </si>
  <si>
    <t>5000006796</t>
  </si>
  <si>
    <t>4500130496</t>
  </si>
  <si>
    <t>5000006886</t>
  </si>
  <si>
    <t>ANTINORO FRANCISCO ERNESTO</t>
  </si>
  <si>
    <t>4500130453</t>
  </si>
  <si>
    <t>5000006887</t>
  </si>
  <si>
    <t>4500130171</t>
  </si>
  <si>
    <t>5000006926</t>
  </si>
  <si>
    <t>4500128223</t>
  </si>
  <si>
    <t>5000006938</t>
  </si>
  <si>
    <t>4500129412</t>
  </si>
  <si>
    <t>5000006939</t>
  </si>
  <si>
    <t>5000006940</t>
  </si>
  <si>
    <t>5000006941</t>
  </si>
  <si>
    <t>5000006953</t>
  </si>
  <si>
    <t>4500111732</t>
  </si>
  <si>
    <t>5000006954</t>
  </si>
  <si>
    <t>4500111819</t>
  </si>
  <si>
    <t>5000007023</t>
  </si>
  <si>
    <t>5000007028</t>
  </si>
  <si>
    <t>5000007032</t>
  </si>
  <si>
    <t>4500130773</t>
  </si>
  <si>
    <t>5000007043</t>
  </si>
  <si>
    <t>TRIGUY Y LOMBARDI SRL</t>
  </si>
  <si>
    <t>4500131301</t>
  </si>
  <si>
    <t>5000007057</t>
  </si>
  <si>
    <t>4500131356</t>
  </si>
  <si>
    <t>5000007117</t>
  </si>
  <si>
    <t>RUSSO E HIJAS SERV.LOG Y T SRL</t>
  </si>
  <si>
    <t>4500101237</t>
  </si>
  <si>
    <t>5000007127</t>
  </si>
  <si>
    <t>5000007142</t>
  </si>
  <si>
    <t>NEUMAGOM SAS</t>
  </si>
  <si>
    <t>4500131599</t>
  </si>
  <si>
    <t>5000007164</t>
  </si>
  <si>
    <t>4500128735</t>
  </si>
  <si>
    <t>5000007172</t>
  </si>
  <si>
    <t>5000007196</t>
  </si>
  <si>
    <t>5000007210</t>
  </si>
  <si>
    <t>4500130855</t>
  </si>
  <si>
    <t>80</t>
  </si>
  <si>
    <t>90</t>
  </si>
  <si>
    <t>100</t>
  </si>
  <si>
    <t>170</t>
  </si>
  <si>
    <t>180</t>
  </si>
  <si>
    <t>210</t>
  </si>
  <si>
    <t>230</t>
  </si>
  <si>
    <t>240</t>
  </si>
  <si>
    <t>250</t>
  </si>
  <si>
    <t>260</t>
  </si>
  <si>
    <t>5000007247</t>
  </si>
  <si>
    <t>4500131884</t>
  </si>
  <si>
    <t>5000007275</t>
  </si>
  <si>
    <t>5000007279</t>
  </si>
  <si>
    <t>SEGUFER S.A.</t>
  </si>
  <si>
    <t>4500131965</t>
  </si>
  <si>
    <t>5000007381</t>
  </si>
  <si>
    <t>4500130238</t>
  </si>
  <si>
    <t>5000007397</t>
  </si>
  <si>
    <t>MADERAS GÜIDO SRL</t>
  </si>
  <si>
    <t>4500131696</t>
  </si>
  <si>
    <t>5000007422</t>
  </si>
  <si>
    <t>4500132257</t>
  </si>
  <si>
    <t>5000007428</t>
  </si>
  <si>
    <t>5000007512</t>
  </si>
  <si>
    <t>CUPER S. R. L.</t>
  </si>
  <si>
    <t>4500121873</t>
  </si>
  <si>
    <t>5000007513</t>
  </si>
  <si>
    <t>5000007609</t>
  </si>
  <si>
    <t>5000007721</t>
  </si>
  <si>
    <t>4500133177</t>
  </si>
  <si>
    <t>5000007730</t>
  </si>
  <si>
    <t>4500130404</t>
  </si>
  <si>
    <t>5000007742</t>
  </si>
  <si>
    <t>4500132137</t>
  </si>
  <si>
    <t>5000007748</t>
  </si>
  <si>
    <t>4500133346</t>
  </si>
  <si>
    <t>5000007762</t>
  </si>
  <si>
    <t>5000007790</t>
  </si>
  <si>
    <t>4500133462</t>
  </si>
  <si>
    <t>5000007793</t>
  </si>
  <si>
    <t>5000007819</t>
  </si>
  <si>
    <t>4500133437</t>
  </si>
  <si>
    <t>4500132833</t>
  </si>
  <si>
    <t>5000007907</t>
  </si>
  <si>
    <t>ROYON HNOS SRL</t>
  </si>
  <si>
    <t>4500132162</t>
  </si>
  <si>
    <t>4500116389</t>
  </si>
  <si>
    <t>5000007965</t>
  </si>
  <si>
    <t>5000008012</t>
  </si>
  <si>
    <t>5000008017</t>
  </si>
  <si>
    <t>5000008059</t>
  </si>
  <si>
    <t>5000008079</t>
  </si>
  <si>
    <t>4500132791</t>
  </si>
  <si>
    <t>120</t>
  </si>
  <si>
    <t>140</t>
  </si>
  <si>
    <t>150</t>
  </si>
  <si>
    <t>160</t>
  </si>
  <si>
    <t>190</t>
  </si>
  <si>
    <t>200</t>
  </si>
  <si>
    <t>5000008092</t>
  </si>
  <si>
    <t>5000008141</t>
  </si>
  <si>
    <t>5000008179</t>
  </si>
  <si>
    <t>5000008180</t>
  </si>
  <si>
    <t>5000008181</t>
  </si>
  <si>
    <t>5000008210</t>
  </si>
  <si>
    <t>5000008257</t>
  </si>
  <si>
    <t>4500124041</t>
  </si>
  <si>
    <t>5000008270</t>
  </si>
  <si>
    <t>5000008363</t>
  </si>
  <si>
    <t>5000008371</t>
  </si>
  <si>
    <t>NEUMATICOS VERONA S.R.L.</t>
  </si>
  <si>
    <t>4500134438</t>
  </si>
  <si>
    <t>5000008374</t>
  </si>
  <si>
    <t>4500134821</t>
  </si>
  <si>
    <t>5000008409</t>
  </si>
  <si>
    <t>4500134823</t>
  </si>
  <si>
    <t>4500133974</t>
  </si>
  <si>
    <t>5000008421</t>
  </si>
  <si>
    <t>5000008462</t>
  </si>
  <si>
    <t>4500134021</t>
  </si>
  <si>
    <t>5000008465</t>
  </si>
  <si>
    <t>4500135275</t>
  </si>
  <si>
    <t>5000008499</t>
  </si>
  <si>
    <t>5000008511</t>
  </si>
  <si>
    <t>5000008536</t>
  </si>
  <si>
    <t>4500135529</t>
  </si>
  <si>
    <t>5000008588</t>
  </si>
  <si>
    <t>4500135282</t>
  </si>
  <si>
    <t>5000008589</t>
  </si>
  <si>
    <t>5000008610</t>
  </si>
  <si>
    <t>4500135377</t>
  </si>
  <si>
    <t>220</t>
  </si>
  <si>
    <t>270</t>
  </si>
  <si>
    <t>280</t>
  </si>
  <si>
    <t>5000008686</t>
  </si>
  <si>
    <t>5000008693</t>
  </si>
  <si>
    <t>5000008756</t>
  </si>
  <si>
    <t>LENOR SRL</t>
  </si>
  <si>
    <t>4500134818</t>
  </si>
  <si>
    <t>5000008810</t>
  </si>
  <si>
    <t>5000008848</t>
  </si>
  <si>
    <t>PIZZOLON PIETRO S.A.</t>
  </si>
  <si>
    <t>4500136088</t>
  </si>
  <si>
    <t>5000008851</t>
  </si>
  <si>
    <t>4500136093</t>
  </si>
  <si>
    <t>5000008873</t>
  </si>
  <si>
    <t>5000008962</t>
  </si>
  <si>
    <t>5000009008</t>
  </si>
  <si>
    <t>4500136505</t>
  </si>
  <si>
    <t>5000009016</t>
  </si>
  <si>
    <t>5000009079</t>
  </si>
  <si>
    <t>5000009107</t>
  </si>
  <si>
    <t>4500136941</t>
  </si>
  <si>
    <t>5000009126</t>
  </si>
  <si>
    <t>GILIGROUP S.A.S.</t>
  </si>
  <si>
    <t>4500135853</t>
  </si>
  <si>
    <t>4500136044</t>
  </si>
  <si>
    <t>5000009150</t>
  </si>
  <si>
    <t>4500137177</t>
  </si>
  <si>
    <t>5000009178</t>
  </si>
  <si>
    <t>4500135723</t>
  </si>
  <si>
    <t>5000009213</t>
  </si>
  <si>
    <t>REUTEMANN AUTOMOTORES S.A.</t>
  </si>
  <si>
    <t>4500137076</t>
  </si>
  <si>
    <t>5000009234</t>
  </si>
  <si>
    <t>RODAMIENTOS CUYO SEL</t>
  </si>
  <si>
    <t>4500136781</t>
  </si>
  <si>
    <t>5000009240</t>
  </si>
  <si>
    <t>4500137004</t>
  </si>
  <si>
    <t>5000009242</t>
  </si>
  <si>
    <t>4500135714</t>
  </si>
  <si>
    <t>5000009243</t>
  </si>
  <si>
    <t>4500136700</t>
  </si>
  <si>
    <t>5000009244</t>
  </si>
  <si>
    <t>5000009245</t>
  </si>
  <si>
    <t>DEVOL S.A.</t>
  </si>
  <si>
    <t>4500136757</t>
  </si>
  <si>
    <t>5000009253</t>
  </si>
  <si>
    <t>AGU GUILLERMO ANDRES</t>
  </si>
  <si>
    <t>4500136909</t>
  </si>
  <si>
    <t>5000009284</t>
  </si>
  <si>
    <t>4500136651</t>
  </si>
  <si>
    <t>5000009293</t>
  </si>
  <si>
    <t>4500137133</t>
  </si>
  <si>
    <t>5000009327</t>
  </si>
  <si>
    <t>TRUCKSTORE S.A.</t>
  </si>
  <si>
    <t>4500137328</t>
  </si>
  <si>
    <t>5000009330</t>
  </si>
  <si>
    <t>5000009332</t>
  </si>
  <si>
    <t>DBT S.A.</t>
  </si>
  <si>
    <t>4500136756</t>
  </si>
  <si>
    <t>5000009351</t>
  </si>
  <si>
    <t>4500136787</t>
  </si>
  <si>
    <t>5000009374</t>
  </si>
  <si>
    <t>YPF S.A.</t>
  </si>
  <si>
    <t>4500136323</t>
  </si>
  <si>
    <t>5000009404</t>
  </si>
  <si>
    <t>4500136936</t>
  </si>
  <si>
    <t>5000009479</t>
  </si>
  <si>
    <t>4500137334</t>
  </si>
  <si>
    <t>5000009505</t>
  </si>
  <si>
    <t>5000009512</t>
  </si>
  <si>
    <t>5000009513</t>
  </si>
  <si>
    <t>4500137704</t>
  </si>
  <si>
    <t>4500136665</t>
  </si>
  <si>
    <t>PIACENZA SRL</t>
  </si>
  <si>
    <t>4500134647</t>
  </si>
  <si>
    <t>5000009562</t>
  </si>
  <si>
    <t>ROCA FUNES MARCELO SEBASTIAN</t>
  </si>
  <si>
    <t>4500134184</t>
  </si>
  <si>
    <t>5000009616</t>
  </si>
  <si>
    <t>4500138066</t>
  </si>
  <si>
    <t>5000009626</t>
  </si>
  <si>
    <t>LACIAR LEANDRO ADOLFO</t>
  </si>
  <si>
    <t>4500133325</t>
  </si>
  <si>
    <t>5000009661</t>
  </si>
  <si>
    <t>PARANA MAQUINARIAS SRL</t>
  </si>
  <si>
    <t>4500138129</t>
  </si>
  <si>
    <t>5000009665</t>
  </si>
  <si>
    <t>4500138146</t>
  </si>
  <si>
    <t>5000009698</t>
  </si>
  <si>
    <t>4500137996</t>
  </si>
  <si>
    <t>4500137641</t>
  </si>
  <si>
    <t>5000009750</t>
  </si>
  <si>
    <t>4500137624</t>
  </si>
  <si>
    <t>4500129943</t>
  </si>
  <si>
    <t>4500137435</t>
  </si>
  <si>
    <t>5000009841</t>
  </si>
  <si>
    <t>MAXFA SA</t>
  </si>
  <si>
    <t>4500138318</t>
  </si>
  <si>
    <t>5000009849</t>
  </si>
  <si>
    <t>OSVALDO L.SANTILLI E HIJOS S.A</t>
  </si>
  <si>
    <t>4500137136</t>
  </si>
  <si>
    <t>5000009851</t>
  </si>
  <si>
    <t>DERGAM SRL</t>
  </si>
  <si>
    <t>4500124519</t>
  </si>
  <si>
    <t>5000009853</t>
  </si>
  <si>
    <t>LA PLATENSE SA</t>
  </si>
  <si>
    <t>4500138680</t>
  </si>
  <si>
    <t>5000009875</t>
  </si>
  <si>
    <t>4500137245</t>
  </si>
  <si>
    <t>5000009892</t>
  </si>
  <si>
    <t>4500133441</t>
  </si>
  <si>
    <t>4500138749</t>
  </si>
  <si>
    <t>5000009922</t>
  </si>
  <si>
    <t>4500138521</t>
  </si>
  <si>
    <t>4500138053</t>
  </si>
  <si>
    <t>4500138045</t>
  </si>
  <si>
    <t>4500137727</t>
  </si>
  <si>
    <t>5000009984</t>
  </si>
  <si>
    <t>4500138709</t>
  </si>
  <si>
    <t>4500136729</t>
  </si>
  <si>
    <t>5000010054</t>
  </si>
  <si>
    <t>OLIVARES ANTONIO ALBERTO</t>
  </si>
  <si>
    <t>4500132971</t>
  </si>
  <si>
    <t>5000010055</t>
  </si>
  <si>
    <t>5000010062</t>
  </si>
  <si>
    <t>PASFERR ENERGY SRL</t>
  </si>
  <si>
    <t>4500135793</t>
  </si>
  <si>
    <t>5000010067</t>
  </si>
  <si>
    <t>4500134505</t>
  </si>
  <si>
    <t>5000010070</t>
  </si>
  <si>
    <t>5000010096</t>
  </si>
  <si>
    <t>5000010117</t>
  </si>
  <si>
    <t>4500136956</t>
  </si>
  <si>
    <t>4500136918</t>
  </si>
  <si>
    <t>4500137511</t>
  </si>
  <si>
    <t>5000010211</t>
  </si>
  <si>
    <t>4500136954</t>
  </si>
  <si>
    <t>5000010233</t>
  </si>
  <si>
    <t>LOOPING REPUESTOS SOCIEDAD ANONIMA</t>
  </si>
  <si>
    <t>4500138667</t>
  </si>
  <si>
    <t>4500136574</t>
  </si>
  <si>
    <t>4500136879</t>
  </si>
  <si>
    <t>4500139503</t>
  </si>
  <si>
    <t>TRAVEL FILTERS SRL</t>
  </si>
  <si>
    <t>5000010266</t>
  </si>
  <si>
    <t>4500139527</t>
  </si>
  <si>
    <t>5000010267</t>
  </si>
  <si>
    <t>4500139382</t>
  </si>
  <si>
    <t>4500139173</t>
  </si>
  <si>
    <t>4500134646</t>
  </si>
  <si>
    <t>4500139134</t>
  </si>
  <si>
    <t>5000010359</t>
  </si>
  <si>
    <t>MILLA MAR DEL PLATA S.A.</t>
  </si>
  <si>
    <t>4500136490</t>
  </si>
  <si>
    <t>4500136673</t>
  </si>
  <si>
    <t>4500137240</t>
  </si>
  <si>
    <t>5000010369</t>
  </si>
  <si>
    <t>MIGUEL ANGEL ALVAREZ</t>
  </si>
  <si>
    <t>4500120869</t>
  </si>
  <si>
    <t>5000010370</t>
  </si>
  <si>
    <t>4500136923</t>
  </si>
  <si>
    <t>5000010372</t>
  </si>
  <si>
    <t>4500138131</t>
  </si>
  <si>
    <t>4500139182</t>
  </si>
  <si>
    <t>4500139149</t>
  </si>
  <si>
    <t>5000010428</t>
  </si>
  <si>
    <t>4500139204</t>
  </si>
  <si>
    <t>4500101570</t>
  </si>
  <si>
    <t>5000010430</t>
  </si>
  <si>
    <t>DOMINGUEZ ELIAS IVAN</t>
  </si>
  <si>
    <t>4500132661</t>
  </si>
  <si>
    <t>4500124266</t>
  </si>
  <si>
    <t>5000010432</t>
  </si>
  <si>
    <t>SAVE TRACK S.A.</t>
  </si>
  <si>
    <t>4500132459</t>
  </si>
  <si>
    <t>5000010440</t>
  </si>
  <si>
    <t>4500139427</t>
  </si>
  <si>
    <t>4500137110</t>
  </si>
  <si>
    <t>4500139401</t>
  </si>
  <si>
    <t>4500139127</t>
  </si>
  <si>
    <t>4500139888</t>
  </si>
  <si>
    <t>4500138117</t>
  </si>
  <si>
    <t>4500137178</t>
  </si>
  <si>
    <t>4500117334</t>
  </si>
  <si>
    <t>5000010471</t>
  </si>
  <si>
    <t>4500139311</t>
  </si>
  <si>
    <t>5000010474</t>
  </si>
  <si>
    <t>4500133118</t>
  </si>
  <si>
    <t>4500139738</t>
  </si>
  <si>
    <t>4500139774</t>
  </si>
  <si>
    <t>5000010479</t>
  </si>
  <si>
    <t>REHABILITAR SAN JUAN SRL</t>
  </si>
  <si>
    <t>4500134449</t>
  </si>
  <si>
    <t>4500139819</t>
  </si>
  <si>
    <t>4500139027</t>
  </si>
  <si>
    <t>C25</t>
  </si>
  <si>
    <t>C04</t>
  </si>
  <si>
    <t>EFO</t>
  </si>
  <si>
    <t>C03</t>
  </si>
  <si>
    <t>C26</t>
  </si>
  <si>
    <t>C43</t>
  </si>
  <si>
    <t>C07</t>
  </si>
  <si>
    <t>C21</t>
  </si>
  <si>
    <t>C28</t>
  </si>
  <si>
    <t>C39</t>
  </si>
  <si>
    <t>C29</t>
  </si>
  <si>
    <t>C13</t>
  </si>
  <si>
    <t>C17</t>
  </si>
  <si>
    <t>C18</t>
  </si>
  <si>
    <t>L02</t>
  </si>
  <si>
    <t>L01</t>
  </si>
  <si>
    <t>C01</t>
  </si>
  <si>
    <t>C50</t>
  </si>
  <si>
    <t>379</t>
  </si>
  <si>
    <t>C48</t>
  </si>
  <si>
    <t>F07</t>
  </si>
  <si>
    <t>CGT</t>
  </si>
  <si>
    <t>G05</t>
  </si>
  <si>
    <t>L03</t>
  </si>
  <si>
    <t>C38</t>
  </si>
  <si>
    <t>290</t>
  </si>
  <si>
    <t>300</t>
  </si>
  <si>
    <t>310</t>
  </si>
  <si>
    <t>C27</t>
  </si>
  <si>
    <t>C47</t>
  </si>
  <si>
    <t>G04</t>
  </si>
  <si>
    <t>F05</t>
  </si>
  <si>
    <t>C52</t>
  </si>
  <si>
    <t>F06</t>
  </si>
  <si>
    <t>F10</t>
  </si>
  <si>
    <t>F04</t>
  </si>
  <si>
    <t>C05</t>
  </si>
  <si>
    <t>Fe.contabilización</t>
  </si>
  <si>
    <t>4500139211</t>
  </si>
  <si>
    <t>4500137560</t>
  </si>
  <si>
    <t>4500138811</t>
  </si>
  <si>
    <t>4500138745</t>
  </si>
  <si>
    <t>5000010487</t>
  </si>
  <si>
    <t>EL ALTILLO SRL</t>
  </si>
  <si>
    <t>4500139209</t>
  </si>
  <si>
    <t>5000010489</t>
  </si>
  <si>
    <t>FERNANDEZ INSUA S.A.</t>
  </si>
  <si>
    <t>4500138348</t>
  </si>
  <si>
    <t>4500135699</t>
  </si>
  <si>
    <t>4500137591</t>
  </si>
  <si>
    <t>4500137174</t>
  </si>
  <si>
    <t>4500133385</t>
  </si>
  <si>
    <t>5000010494</t>
  </si>
  <si>
    <t>4500139496</t>
  </si>
  <si>
    <t>4500138681</t>
  </si>
  <si>
    <t>4500139556</t>
  </si>
  <si>
    <t>4500136861</t>
  </si>
  <si>
    <t>5000010499</t>
  </si>
  <si>
    <t>4500137952</t>
  </si>
  <si>
    <t>5000010500</t>
  </si>
  <si>
    <t>TRANSPORTE ANA S.R.L.</t>
  </si>
  <si>
    <t>4500138951</t>
  </si>
  <si>
    <t>4500139505</t>
  </si>
  <si>
    <t>4500134877</t>
  </si>
  <si>
    <t>5000010504</t>
  </si>
  <si>
    <t>VALLEJO OMAR OSVALDO</t>
  </si>
  <si>
    <t>4500139703</t>
  </si>
  <si>
    <t>4500140026</t>
  </si>
  <si>
    <t>4500114017</t>
  </si>
  <si>
    <t>4500129709</t>
  </si>
  <si>
    <t>4500085665</t>
  </si>
  <si>
    <t>4500130316</t>
  </si>
  <si>
    <t>4500085234</t>
  </si>
  <si>
    <t>4500139978</t>
  </si>
  <si>
    <t>4500139601</t>
  </si>
  <si>
    <t>4500140035</t>
  </si>
  <si>
    <t>4500139602</t>
  </si>
  <si>
    <t>4500139016</t>
  </si>
  <si>
    <t>5000010519</t>
  </si>
  <si>
    <t>MAQBULON SAN BENITO S.A.S.</t>
  </si>
  <si>
    <t>4500139696</t>
  </si>
  <si>
    <t>4500139611</t>
  </si>
  <si>
    <t>4500139697</t>
  </si>
  <si>
    <t>4500138266</t>
  </si>
  <si>
    <t>4500140023</t>
  </si>
  <si>
    <t>4500139682</t>
  </si>
  <si>
    <t>4500139530</t>
  </si>
  <si>
    <t>Fecha de entrega</t>
  </si>
  <si>
    <t>Grupo de compras</t>
  </si>
  <si>
    <t>Proveedor/Centro suministrador</t>
  </si>
  <si>
    <t>C15</t>
  </si>
  <si>
    <t>1000001107 TRANSPORTES SAN JOSE SRL</t>
  </si>
  <si>
    <t>1000000634 RAIZEN ARGENTINA S.A.U.</t>
  </si>
  <si>
    <t>1000013345 PASFERR ENERGY SRL</t>
  </si>
  <si>
    <t>1000004943 DANIEL SORIN E HIJOS SRL</t>
  </si>
  <si>
    <t>1000013572 MAXFA SA</t>
  </si>
  <si>
    <t>1000009728 HOJMAN JORGE ALFREDO</t>
  </si>
  <si>
    <t>1000009587 THOMAS BUS S. R. L.</t>
  </si>
  <si>
    <t>1000010957 GANGAS REYES MARCELO DAVID</t>
  </si>
  <si>
    <t>1000008807 CRIMALDI BRUNO</t>
  </si>
  <si>
    <t>1000001020 COMBUSTIBLES BARCELO S.R.L.</t>
  </si>
  <si>
    <t>1000001040 REHABILITAR SAN JUAN SRL</t>
  </si>
  <si>
    <t>1000002607 DIESEL LANGE S.R.L</t>
  </si>
  <si>
    <t>1000001691 LENOR SRL</t>
  </si>
  <si>
    <t>1000000561 ESCANDINAVIA DEL PLATA SA</t>
  </si>
  <si>
    <t>1000003378 PINTURERIA CENTRAL SRL</t>
  </si>
  <si>
    <t>1000007091 VALLEJO OMAR OSVALDO</t>
  </si>
  <si>
    <t>1000003883 DOMINGUEZ ELIAS IVAN</t>
  </si>
  <si>
    <t>1000007320 GILIGROUP S.A.S.</t>
  </si>
  <si>
    <t>1000000062 FINNING ARGENTINA S.A.</t>
  </si>
  <si>
    <t>1000001683 PIACENZA SRL</t>
  </si>
  <si>
    <t>1000007459 SAVE TRACK S.A.</t>
  </si>
  <si>
    <t>1000002834 J.M.F. VIAL &amp; PARTS SAS</t>
  </si>
  <si>
    <t>1000003373 MEYNIEL S.R.L.</t>
  </si>
  <si>
    <t>1000002774 MILLA MAR DEL PLATA S.A.</t>
  </si>
  <si>
    <t>1000012394 HOUSE SERVICIOS E INSUMOS S. A. S.</t>
  </si>
  <si>
    <t>1000003825 GRUPO SICCTOP S.R.L.</t>
  </si>
  <si>
    <t>1000000907 SERVICIOS VIALES DE STA. FE SA</t>
  </si>
  <si>
    <t>1000000190 FERNANDEZ INSUA S.A.</t>
  </si>
  <si>
    <t>1000012568 DERGAM SRL</t>
  </si>
  <si>
    <t>1000000754 AURELIA SACIYF</t>
  </si>
  <si>
    <t>1000001470 SUDAMERICANA CAMIONES SA</t>
  </si>
  <si>
    <t>1000001129 AGRONORTE S.R.L.</t>
  </si>
  <si>
    <t>1000012227 LOPEZ RIOS FACUNDO GABRIE</t>
  </si>
  <si>
    <t>1000000012 IGARRETA MAQUINAS S.A.</t>
  </si>
  <si>
    <t>1000000154 BLASTING S.A.</t>
  </si>
  <si>
    <t>1000001248 RUSSO E HIJAS SERV.LOG Y T SRL</t>
  </si>
  <si>
    <t>1000011956 CARDOSO JOSE DANIEL</t>
  </si>
  <si>
    <t>1000007436 RODRIGUEZ MARTINEZ EMILIO JOAQUIN</t>
  </si>
  <si>
    <t>1000010401 BASUALDO NECCHI MARCOS GABRIEL</t>
  </si>
  <si>
    <t>2000000032 ANNCAR EQUIPMENT &amp; PARTS</t>
  </si>
  <si>
    <t>1000002978 LIRUSSI ARAGON FERNANDO ARIEL</t>
  </si>
  <si>
    <t>2000000023 MILLENNIUM MACHINERY P&amp;S, CORP</t>
  </si>
  <si>
    <t>1000003696 DOBLE TRACCION SRL</t>
  </si>
  <si>
    <t>1000012671 STYLUS S.A</t>
  </si>
  <si>
    <t>1000003173 DISEL CENTRO S.A.</t>
  </si>
  <si>
    <t>1000012459 GIMENEZ JUAN OMAR</t>
  </si>
  <si>
    <t>1000010438 TURBOS T&amp;T S.R.L</t>
  </si>
  <si>
    <t>1000001690 ELEC.PELLEGRINI DE OCCHI Y ORO</t>
  </si>
  <si>
    <t>1000011072 NEUMATICOS GOODYEAR S R L</t>
  </si>
  <si>
    <t>1000002106 REMOLQUES OMBU SA</t>
  </si>
  <si>
    <t>1000003490 M D AUTOELEVADORES Y EQUIPOS S</t>
  </si>
  <si>
    <t>1000001262 MIGUEL ANGEL ALVAREZ</t>
  </si>
  <si>
    <t>1000001014 ANDRE FRENO S.R.L.</t>
  </si>
  <si>
    <t>1000010126 GINER CARLOS ALBERTO</t>
  </si>
  <si>
    <t>1000009851 CUPER S. R. L.</t>
  </si>
  <si>
    <t>1000008805 SAKURA MOTORS S. A.</t>
  </si>
  <si>
    <t>1000002248 BIOENDESA SA</t>
  </si>
  <si>
    <t>1000009161 CABRAL LAUTARO MIGUEL</t>
  </si>
  <si>
    <t>1000007102 PROTEC S.R.L.</t>
  </si>
  <si>
    <t>1000000488 BETA S.A.</t>
  </si>
  <si>
    <t>1000003716 MEI GROUP PTY. LTD.SUC. ARG.</t>
  </si>
  <si>
    <t>1000001841 AONA SA</t>
  </si>
  <si>
    <t>1000003804 ALL DRILL S.A.</t>
  </si>
  <si>
    <t>1000000929 ANTINORO FRANCISCO ERNESTO</t>
  </si>
  <si>
    <t>1000003511 FIPH SA</t>
  </si>
  <si>
    <t>1000003665 TRIGUY Y LOMBARDI SRL</t>
  </si>
  <si>
    <t>1000003384 NEUMAGOM SAS</t>
  </si>
  <si>
    <t>1000008168 MADERAS GÜIDO SRL</t>
  </si>
  <si>
    <t>1000000183 SEGUFER S.A.</t>
  </si>
  <si>
    <t>1000003377 ROYON HNOS SRL</t>
  </si>
  <si>
    <t>1000009543 AC SAT S.R.L.</t>
  </si>
  <si>
    <t>1000001550 OLIVARES ANTONIO ALBERTO</t>
  </si>
  <si>
    <t>1000002964 LACIAR LEANDRO ADOLFO</t>
  </si>
  <si>
    <t>1000001028 SOSTEN S.A.</t>
  </si>
  <si>
    <t>1000013392 ROCA FUNES MARCELO SEBASTIAN</t>
  </si>
  <si>
    <t>1000000279 NEUMATICOS VERONA S.R.L.</t>
  </si>
  <si>
    <t>1000001514 PIZZOLON PIETRO S.A.</t>
  </si>
  <si>
    <t>1000000038 YPF S.A.</t>
  </si>
  <si>
    <t>1000002050 RODAMIENTOS CUYO SEL</t>
  </si>
  <si>
    <t>1000008044 AGUDO DOHMEN MARIA ROMINA</t>
  </si>
  <si>
    <t>1000001474 CALZADOS ARGENTINOS SA</t>
  </si>
  <si>
    <t>1000002077 DBT S.A.</t>
  </si>
  <si>
    <t>1000000052 DEVOL S.A.</t>
  </si>
  <si>
    <t>1000013533 PREAR MINING SAS</t>
  </si>
  <si>
    <t>1000010056 AGU GUILLERMO ANDRES</t>
  </si>
  <si>
    <t>1000011286 FERMEB SAS</t>
  </si>
  <si>
    <t>1000000482 REUTEMANN AUTOMOTORES S.A.</t>
  </si>
  <si>
    <t>1000000016 OSVALDO L.SANTILLI E HIJOS S.A</t>
  </si>
  <si>
    <t>1000000884 TRUCKSTORE S.A.</t>
  </si>
  <si>
    <t>1000000257 RODAMAR SRL</t>
  </si>
  <si>
    <t>1000001488 PC SHOWS SRL</t>
  </si>
  <si>
    <t>1000000261 PARANA MAQUINARIAS SRL</t>
  </si>
  <si>
    <t>1000012464 LOOPING REPUESTOS SOCIEDAD ANONIMA</t>
  </si>
  <si>
    <t>1000003386 LA PLATENSE SA</t>
  </si>
  <si>
    <t>1000006823 SPEED BUSINESS S. A.</t>
  </si>
  <si>
    <t>1000002138 AMERICAN HEAVY PARTS S.R.L.</t>
  </si>
  <si>
    <t>1000009284 TRANSPORTE ANA S.R.L.</t>
  </si>
  <si>
    <t>1000013664 RAMOS ROBERTO DANIEL</t>
  </si>
  <si>
    <t>1000007442 CALINS SA</t>
  </si>
  <si>
    <t>1000001154 TRAVEL FILTERS SRL</t>
  </si>
  <si>
    <t>1000013098 EL ALTILLO SRL</t>
  </si>
  <si>
    <t>1000007799 VIDABLE CASTRO FERNANDO SEBASTIAN</t>
  </si>
  <si>
    <t>1000001477 ACER SAN JUAN S.R.L.</t>
  </si>
  <si>
    <t>1000009567 MAQBULON SAN BENITO S.A.S.</t>
  </si>
  <si>
    <t>1000012277 MARPAOL S.R.L.</t>
  </si>
  <si>
    <t>1000013728 FORMICA CARLOS ALBERTO</t>
  </si>
  <si>
    <t>1000010371 BARCELO NEUMATICOS SA</t>
  </si>
  <si>
    <t>CONCATENA</t>
  </si>
  <si>
    <t>4500132621</t>
  </si>
  <si>
    <t>4500140034</t>
  </si>
  <si>
    <t>4500138114</t>
  </si>
  <si>
    <t>4500140028</t>
  </si>
  <si>
    <t>4500138452</t>
  </si>
  <si>
    <t>5000010533</t>
  </si>
  <si>
    <t>GINZA S.A.</t>
  </si>
  <si>
    <t>4500139730</t>
  </si>
  <si>
    <t>4500138569</t>
  </si>
  <si>
    <t>4500139890</t>
  </si>
  <si>
    <t>4500137581</t>
  </si>
  <si>
    <t>4500139936</t>
  </si>
  <si>
    <t>4500134423</t>
  </si>
  <si>
    <t>4500138206</t>
  </si>
  <si>
    <t>4500138324</t>
  </si>
  <si>
    <t>4500139650</t>
  </si>
  <si>
    <t>4500139541</t>
  </si>
  <si>
    <t>4500139746</t>
  </si>
  <si>
    <t>4500119822</t>
  </si>
  <si>
    <t>4500136872</t>
  </si>
  <si>
    <t>4500139925</t>
  </si>
  <si>
    <t>4500136602</t>
  </si>
  <si>
    <t>4500117642</t>
  </si>
  <si>
    <t>4500135720</t>
  </si>
  <si>
    <t>4500135508</t>
  </si>
  <si>
    <t>4500131299</t>
  </si>
  <si>
    <t>4500137628</t>
  </si>
  <si>
    <t>4500138982</t>
  </si>
  <si>
    <t>4500136599</t>
  </si>
  <si>
    <t>4500136776</t>
  </si>
  <si>
    <t>4500139203</t>
  </si>
  <si>
    <t>4500139396</t>
  </si>
  <si>
    <t>BOTAS MERCADO DAVID ESTEBAN</t>
  </si>
  <si>
    <t>4500139584</t>
  </si>
  <si>
    <t>C24</t>
  </si>
  <si>
    <t>1000012493 MAXICONSUMO S A</t>
  </si>
  <si>
    <t>1000010190 ANDREANI LOGISTICA SA</t>
  </si>
  <si>
    <t>1000000577 IMPERIAL MOTOR S.A.</t>
  </si>
  <si>
    <t>1000003582 EL GUARDIAN SRL</t>
  </si>
  <si>
    <t>1000009487 REINA NACUSI GERARDO RAUL</t>
  </si>
  <si>
    <t>1000001756 EPIROC ARGENTINA S.A.</t>
  </si>
  <si>
    <t>1000001491 ALUMETAL S A</t>
  </si>
  <si>
    <t>1000001306 JAR COMPUTACION SRL</t>
  </si>
  <si>
    <t>1000009391 BOTAS MERCADO DAVID ESTEBAN</t>
  </si>
  <si>
    <t>1000000581 GINZA S.A.</t>
  </si>
  <si>
    <t>1000000636 GIOVAGNOLI S.R.L.</t>
  </si>
  <si>
    <t>NRO. OC</t>
  </si>
  <si>
    <t>POS. OC</t>
  </si>
  <si>
    <t>OPERADOR OC</t>
  </si>
  <si>
    <t>MPITTIA</t>
  </si>
  <si>
    <t>EREGALADO</t>
  </si>
  <si>
    <t>GROSES</t>
  </si>
  <si>
    <t>EFUNES</t>
  </si>
  <si>
    <t>WVENTURINI</t>
  </si>
  <si>
    <t>AGONZALEZ</t>
  </si>
  <si>
    <t>RPEREZ</t>
  </si>
  <si>
    <t>ARIVERO</t>
  </si>
  <si>
    <t>FBERARDO</t>
  </si>
  <si>
    <t>RMIR</t>
  </si>
  <si>
    <t>GJULIANI</t>
  </si>
  <si>
    <t>JPUPULIN</t>
  </si>
  <si>
    <t>YCOLMAN</t>
  </si>
  <si>
    <t>ALOPEZ</t>
  </si>
  <si>
    <t>GORIHUELA</t>
  </si>
  <si>
    <t>MALVAREZ</t>
  </si>
  <si>
    <t>GDIAZ</t>
  </si>
  <si>
    <t>JESPARZA</t>
  </si>
  <si>
    <t>MFREIJOMIL</t>
  </si>
  <si>
    <t>FALBARELLOS</t>
  </si>
  <si>
    <t>CBAREA</t>
  </si>
  <si>
    <t>PBENITEZ</t>
  </si>
  <si>
    <t>ANAVARRO</t>
  </si>
  <si>
    <t>PRODRIGUEZ</t>
  </si>
  <si>
    <t>OBANEGA</t>
  </si>
  <si>
    <t>FPRUDENTE</t>
  </si>
  <si>
    <t>4500136242</t>
  </si>
  <si>
    <t>4500132438</t>
  </si>
  <si>
    <t>5100009117</t>
  </si>
  <si>
    <t>4500138595</t>
  </si>
  <si>
    <t>4500108948</t>
  </si>
  <si>
    <t>4500136957</t>
  </si>
  <si>
    <t>4500140424</t>
  </si>
  <si>
    <t>4500128608</t>
  </si>
  <si>
    <t>4500140437</t>
  </si>
  <si>
    <t>4500126767</t>
  </si>
  <si>
    <t>4500140439</t>
  </si>
  <si>
    <t>4500130343</t>
  </si>
  <si>
    <t>4500140474</t>
  </si>
  <si>
    <t>4500140380</t>
  </si>
  <si>
    <t>4500139673</t>
  </si>
  <si>
    <t>4500140483</t>
  </si>
  <si>
    <t>4500140266</t>
  </si>
  <si>
    <t>4500140340</t>
  </si>
  <si>
    <t>4500137861</t>
  </si>
  <si>
    <t>4500139194</t>
  </si>
  <si>
    <t>5000010582</t>
  </si>
  <si>
    <t>GB ENERGIA SAU</t>
  </si>
  <si>
    <t>4500138413</t>
  </si>
  <si>
    <t>5000010596</t>
  </si>
  <si>
    <t>4500129151</t>
  </si>
  <si>
    <t>4500138879</t>
  </si>
  <si>
    <t>4500139583</t>
  </si>
  <si>
    <t>5000010599</t>
  </si>
  <si>
    <t>4500138974</t>
  </si>
  <si>
    <t>4500138973</t>
  </si>
  <si>
    <t>4500139567</t>
  </si>
  <si>
    <t>4500123411</t>
  </si>
  <si>
    <t>4500123428</t>
  </si>
  <si>
    <t>5000010608</t>
  </si>
  <si>
    <t>OVIEDO CRISTIAN EDUARDO</t>
  </si>
  <si>
    <t>4500112826</t>
  </si>
  <si>
    <t>4500136537</t>
  </si>
  <si>
    <t>4500139534</t>
  </si>
  <si>
    <t>4500136987</t>
  </si>
  <si>
    <t>4500130331</t>
  </si>
  <si>
    <t>4500112197</t>
  </si>
  <si>
    <t>4500135672</t>
  </si>
  <si>
    <t>5000010633</t>
  </si>
  <si>
    <t>HUGO SANCHEZ S.A.</t>
  </si>
  <si>
    <t>4500139056</t>
  </si>
  <si>
    <t>4500115843</t>
  </si>
  <si>
    <t>5000010645</t>
  </si>
  <si>
    <t>4500140110</t>
  </si>
  <si>
    <t>5000010646</t>
  </si>
  <si>
    <t>VICEM SAN JUAN S.A.</t>
  </si>
  <si>
    <t>4500140257</t>
  </si>
  <si>
    <t>5000010647</t>
  </si>
  <si>
    <t>4500139836</t>
  </si>
  <si>
    <t>4500139137</t>
  </si>
  <si>
    <t>4500138185</t>
  </si>
  <si>
    <t>5000010654</t>
  </si>
  <si>
    <t>FERRETERA SAN LUIS</t>
  </si>
  <si>
    <t>4500139992</t>
  </si>
  <si>
    <t>4500139547</t>
  </si>
  <si>
    <t>4500138971</t>
  </si>
  <si>
    <t>4500138594</t>
  </si>
  <si>
    <t>5000010664</t>
  </si>
  <si>
    <t>4500140384</t>
  </si>
  <si>
    <t>4500140404</t>
  </si>
  <si>
    <t>5000010671</t>
  </si>
  <si>
    <t>4500140223</t>
  </si>
  <si>
    <t>5000010674</t>
  </si>
  <si>
    <t>4500134667</t>
  </si>
  <si>
    <t>5000010675</t>
  </si>
  <si>
    <t>4500140224</t>
  </si>
  <si>
    <t>4500140362</t>
  </si>
  <si>
    <t>4500140436</t>
  </si>
  <si>
    <t>5000010680</t>
  </si>
  <si>
    <t>MILLENNIUM ARGENTINA S.R.L.</t>
  </si>
  <si>
    <t>4500140368</t>
  </si>
  <si>
    <t>4500139138</t>
  </si>
  <si>
    <t>5000010682</t>
  </si>
  <si>
    <t>4500139908</t>
  </si>
  <si>
    <t>5000010686</t>
  </si>
  <si>
    <t>4500140268</t>
  </si>
  <si>
    <t>5000010688</t>
  </si>
  <si>
    <t>4500140022</t>
  </si>
  <si>
    <t>5000010696</t>
  </si>
  <si>
    <t>SUDAMERICA INSPECTION SERVICES S.R.</t>
  </si>
  <si>
    <t>4500135891</t>
  </si>
  <si>
    <t>4500137309</t>
  </si>
  <si>
    <t>4500139802</t>
  </si>
  <si>
    <t>5000010701</t>
  </si>
  <si>
    <t>4500136717</t>
  </si>
  <si>
    <t>5000010703</t>
  </si>
  <si>
    <t>4500139605</t>
  </si>
  <si>
    <t>4500140391</t>
  </si>
  <si>
    <t>4500140402</t>
  </si>
  <si>
    <t>4500140395</t>
  </si>
  <si>
    <t>4500140394</t>
  </si>
  <si>
    <t>4500140397</t>
  </si>
  <si>
    <t>4500140366</t>
  </si>
  <si>
    <t>4500140405</t>
  </si>
  <si>
    <t>4500136718</t>
  </si>
  <si>
    <t>1000000069 V.MASSON TRAP.CRUZ DEL SUR SA</t>
  </si>
  <si>
    <t>1000002916 MP TRANSPORTES S.R.L.</t>
  </si>
  <si>
    <t>1000002547 TRANSPORTE MALVINAS SRL</t>
  </si>
  <si>
    <t>1000002636 CUST DE ARCHIVOS SAN JUAN SRL</t>
  </si>
  <si>
    <t>1000011535 MDLS S. A. S.</t>
  </si>
  <si>
    <t>1000003420 OVIEDO CRISTIAN EDUARDO</t>
  </si>
  <si>
    <t>F03</t>
  </si>
  <si>
    <t>1000010923 PROVIARG SRL</t>
  </si>
  <si>
    <t>1000011559 OLAYA JORGE ADRIAN</t>
  </si>
  <si>
    <t>1000002120 INGEAP S.A.S.</t>
  </si>
  <si>
    <t>1000011179 SUDAMERICA INSPECTION SERVICES S.R.</t>
  </si>
  <si>
    <t>1000001532 HORMISERV SRL</t>
  </si>
  <si>
    <t>1000002952 ANDDES ARGENTINA S.A.</t>
  </si>
  <si>
    <t>C11</t>
  </si>
  <si>
    <t>1000013361 GB ENERGIA SAU</t>
  </si>
  <si>
    <t>1000012797 INGENIERIA Y REPRESENTACIONES BAHIE</t>
  </si>
  <si>
    <t>1000007485 MULTITEC SUDAMERICANA S R L</t>
  </si>
  <si>
    <t>1000012395 ABSORB PAD S.R.L.</t>
  </si>
  <si>
    <t>1000000001 FERRETERA SAN LUIS</t>
  </si>
  <si>
    <t>1000000077 HUGO SANCHEZ S.A.</t>
  </si>
  <si>
    <t>1000010668 SERSOLIN S. A. S.</t>
  </si>
  <si>
    <t>1000003271 METALES CONCEPCION SRL</t>
  </si>
  <si>
    <t>C22</t>
  </si>
  <si>
    <t>1000008830 VICEM SAN JUAN S.A.</t>
  </si>
  <si>
    <t>1000000797 FICAMEN SA</t>
  </si>
  <si>
    <t>1000007232 MARUN AGUILAR JULIETTE BELEN</t>
  </si>
  <si>
    <t>1000009155 MILLENNIUM ARGENTINA S.R.L.</t>
  </si>
  <si>
    <t>1000003176 GRAMUNDO VAZZANO GABRIEL EDGAR</t>
  </si>
  <si>
    <t>1000003454 GENEBRE DE ARGENTINA S.A.</t>
  </si>
  <si>
    <t>1000013064 S.H. SAS</t>
  </si>
  <si>
    <t>1000000911 ORTEGA SRL</t>
  </si>
  <si>
    <t>LHANCEVICH</t>
  </si>
  <si>
    <t>LGERBALDO</t>
  </si>
  <si>
    <t>4500140426</t>
  </si>
  <si>
    <t>4500140408</t>
  </si>
  <si>
    <t>4500139420</t>
  </si>
  <si>
    <t>4500140522</t>
  </si>
  <si>
    <t>4500140399</t>
  </si>
  <si>
    <t>4500140555</t>
  </si>
  <si>
    <t>4500140559</t>
  </si>
  <si>
    <t>4500140570</t>
  </si>
  <si>
    <t>4500140568</t>
  </si>
  <si>
    <t>4500140118</t>
  </si>
  <si>
    <t>4500140574</t>
  </si>
  <si>
    <t>4500140582</t>
  </si>
  <si>
    <t>4500137427</t>
  </si>
  <si>
    <t>4500140127</t>
  </si>
  <si>
    <t>4500114063</t>
  </si>
  <si>
    <t>4500118648</t>
  </si>
  <si>
    <t>4500136276</t>
  </si>
  <si>
    <t>4500135347</t>
  </si>
  <si>
    <t>4500140528</t>
  </si>
  <si>
    <t>4500135191</t>
  </si>
  <si>
    <t>4500140523</t>
  </si>
  <si>
    <t>4500139017</t>
  </si>
  <si>
    <t>4500140526</t>
  </si>
  <si>
    <t>4500140525</t>
  </si>
  <si>
    <t>4500140527</t>
  </si>
  <si>
    <t>4500140606</t>
  </si>
  <si>
    <t>4500139713</t>
  </si>
  <si>
    <t>4500140609</t>
  </si>
  <si>
    <t>4500140605</t>
  </si>
  <si>
    <t>4500136838</t>
  </si>
  <si>
    <t>4500140576</t>
  </si>
  <si>
    <t>4500140597</t>
  </si>
  <si>
    <t>4500140598</t>
  </si>
  <si>
    <t>4500140599</t>
  </si>
  <si>
    <t>4500137359</t>
  </si>
  <si>
    <t>4500140666</t>
  </si>
  <si>
    <t>4500139576</t>
  </si>
  <si>
    <t>4500140253</t>
  </si>
  <si>
    <t>4500140111</t>
  </si>
  <si>
    <t>4500135702</t>
  </si>
  <si>
    <t>4500140029</t>
  </si>
  <si>
    <t>5000010712</t>
  </si>
  <si>
    <t>4500140193</t>
  </si>
  <si>
    <t>4500140508</t>
  </si>
  <si>
    <t>5000010716</t>
  </si>
  <si>
    <t>TELMEX ARGENTINA SA</t>
  </si>
  <si>
    <t>4500125452</t>
  </si>
  <si>
    <t>5000010718</t>
  </si>
  <si>
    <t>4500140450</t>
  </si>
  <si>
    <t>YEMA REPUESTOS SRL</t>
  </si>
  <si>
    <t>4500139627</t>
  </si>
  <si>
    <t>5000010721</t>
  </si>
  <si>
    <t>4500132773</t>
  </si>
  <si>
    <t>4500123675</t>
  </si>
  <si>
    <t>5000010725</t>
  </si>
  <si>
    <t>TELEFONICA MOVILES ARG. S.A. (MOVIS</t>
  </si>
  <si>
    <t>4500125240</t>
  </si>
  <si>
    <t>4500139944</t>
  </si>
  <si>
    <t>5000010737</t>
  </si>
  <si>
    <t>AGRONORTE S.R.L.</t>
  </si>
  <si>
    <t>4500140449</t>
  </si>
  <si>
    <t>5000010738</t>
  </si>
  <si>
    <t>5000010740</t>
  </si>
  <si>
    <t>4500140353</t>
  </si>
  <si>
    <t>5000010743</t>
  </si>
  <si>
    <t>4500140258</t>
  </si>
  <si>
    <t>4500133861</t>
  </si>
  <si>
    <t>5000010745</t>
  </si>
  <si>
    <t>DIAZ MERINO SRL</t>
  </si>
  <si>
    <t>4500139548</t>
  </si>
  <si>
    <t>4500139972</t>
  </si>
  <si>
    <t>4500140604</t>
  </si>
  <si>
    <t>4500140603</t>
  </si>
  <si>
    <t>4500140594</t>
  </si>
  <si>
    <t>4500140595</t>
  </si>
  <si>
    <t>4500140600</t>
  </si>
  <si>
    <t>4500140601</t>
  </si>
  <si>
    <t>4500140602</t>
  </si>
  <si>
    <t>4500140030</t>
  </si>
  <si>
    <t>4500140610</t>
  </si>
  <si>
    <t>4500140608</t>
  </si>
  <si>
    <t>4500140607</t>
  </si>
  <si>
    <t>FERMEB SAS</t>
  </si>
  <si>
    <t>4500138057</t>
  </si>
  <si>
    <t>4500139689</t>
  </si>
  <si>
    <t>4500138523</t>
  </si>
  <si>
    <t>5000010788</t>
  </si>
  <si>
    <t>4500140354</t>
  </si>
  <si>
    <t>5000010789</t>
  </si>
  <si>
    <t>5000010796</t>
  </si>
  <si>
    <t>4500139398</t>
  </si>
  <si>
    <t>5000010797</t>
  </si>
  <si>
    <t>OBLAN SA</t>
  </si>
  <si>
    <t>4500137428</t>
  </si>
  <si>
    <t>4500140105</t>
  </si>
  <si>
    <t>4500139869</t>
  </si>
  <si>
    <t>4500140328</t>
  </si>
  <si>
    <t>5000010806</t>
  </si>
  <si>
    <t>4500138309</t>
  </si>
  <si>
    <t>4500139315</t>
  </si>
  <si>
    <t>4500140162</t>
  </si>
  <si>
    <t>4500140438</t>
  </si>
  <si>
    <t>4500139498</t>
  </si>
  <si>
    <t>4500140270</t>
  </si>
  <si>
    <t>4500139904</t>
  </si>
  <si>
    <t>4500140189</t>
  </si>
  <si>
    <t>4500139539</t>
  </si>
  <si>
    <t>4500139794</t>
  </si>
  <si>
    <t>4500110275</t>
  </si>
  <si>
    <t>4500135884</t>
  </si>
  <si>
    <t>4500134953</t>
  </si>
  <si>
    <t>4500134734</t>
  </si>
  <si>
    <t>4500139239</t>
  </si>
  <si>
    <t>4500128002</t>
  </si>
  <si>
    <t>4500140668</t>
  </si>
  <si>
    <t>5000010834</t>
  </si>
  <si>
    <t>HERRAMIENTAS SRL</t>
  </si>
  <si>
    <t>4500140590</t>
  </si>
  <si>
    <t>4500140567</t>
  </si>
  <si>
    <t>4500140676</t>
  </si>
  <si>
    <t>5000010840</t>
  </si>
  <si>
    <t>4500140578</t>
  </si>
  <si>
    <t>5000010841</t>
  </si>
  <si>
    <t>4500140182</t>
  </si>
  <si>
    <t>5000010842</t>
  </si>
  <si>
    <t>4500140316</t>
  </si>
  <si>
    <t>F13</t>
  </si>
  <si>
    <t>C19</t>
  </si>
  <si>
    <t>1000004489 ROJAS DIEGO HECTOR</t>
  </si>
  <si>
    <t>1000002643 LOGISTICA VW S.A</t>
  </si>
  <si>
    <t>1000010529 25 DE MAYO SRL</t>
  </si>
  <si>
    <t>1000011424 FRAM SRL</t>
  </si>
  <si>
    <t>1000000967 TRIELEC SA</t>
  </si>
  <si>
    <t>1000000466 TELEFONICA MOVILES ARG. S.A. (MOVIS</t>
  </si>
  <si>
    <t>1000000548 TELMEX ARGENTINA SA</t>
  </si>
  <si>
    <t>1000007795 JAWIT S.A.</t>
  </si>
  <si>
    <t>1000002363 OBLAN SA</t>
  </si>
  <si>
    <t>1000010268 YEMA REPUESTOS SRL</t>
  </si>
  <si>
    <t>1000012177 AGUILERA RODOLFO HECTOR</t>
  </si>
  <si>
    <t>1000000003 ARROYITO MAQUINARIAS S.R.L.</t>
  </si>
  <si>
    <t>1000003484 DIAZ MERINO SRL</t>
  </si>
  <si>
    <t>1000000388 WURTH ARGENTINA S.A.</t>
  </si>
  <si>
    <t>1000012429 ESCAÑUELA JORGE PABLO</t>
  </si>
  <si>
    <t>1000001465 GUZMAN DANIEL ALFREDO</t>
  </si>
  <si>
    <t>1000008095 VALLEJOS GASTON EMILIANO</t>
  </si>
  <si>
    <t>1000007783 CORRUGADOS CUYO SRL</t>
  </si>
  <si>
    <t>1000003886 GODOY GUILLERMO HERNAN</t>
  </si>
  <si>
    <t>1000000931 GONZALEZ ROLANDO CLAUDIO</t>
  </si>
  <si>
    <t>1000003548 CARLOS A DIORIO</t>
  </si>
  <si>
    <t>1000003610 TIMPANARO HUGO ALFREDO</t>
  </si>
  <si>
    <t>1000003683 RUPPEL JAVIER EDGARDO</t>
  </si>
  <si>
    <t>1000003603 MORC SRL</t>
  </si>
  <si>
    <t>1000003196 PEDRO H CAMINO SRL</t>
  </si>
  <si>
    <t>1000004930 ARDINO SAUL OSCAR</t>
  </si>
  <si>
    <t>1000008698 GIACOMINO MAXIMILIANO GUSTAVO</t>
  </si>
  <si>
    <t>1000012352 ROXAF</t>
  </si>
  <si>
    <t>1000000659 ALVAREZ NEUMATICOS S.A.</t>
  </si>
  <si>
    <t>1000012914 ATENCIO RIVERO JULIO VICENTE</t>
  </si>
  <si>
    <t>1000003171 LA CASA DE LOS HIERROS S.A.</t>
  </si>
  <si>
    <t>1000012980 DEMOGRAFICO - GABRIEL ACOSTA</t>
  </si>
  <si>
    <t>1000003474 HERRAMIENTAS SRL</t>
  </si>
  <si>
    <t>1000003819 TODO BULON SA</t>
  </si>
  <si>
    <t>1000003172 MATERIALES RURALES EL QUEBRACHO S.A</t>
  </si>
  <si>
    <t>1000003955 FRASCHETTI CIRISTIAN RUBEN</t>
  </si>
  <si>
    <t>1000008675 GALLARDO DANIEL JESUS</t>
  </si>
  <si>
    <t>1000001398 B Y C INFR. Y CONSTRUC  SRL</t>
  </si>
  <si>
    <t>1000003606 ZAMOLO HNOS SA</t>
  </si>
  <si>
    <t>1000003514 GOMERIA CASTAGNARI SRL</t>
  </si>
  <si>
    <t>1000012296 AUTOMATIZACION OLAVARRIA SRL</t>
  </si>
  <si>
    <t>1000011075 VIDAL MANUELA</t>
  </si>
  <si>
    <t>1000005425 MAURICIO GAMBERINI</t>
  </si>
  <si>
    <t>1000003183 TODO RULEMAN DE HA PONCE DE LE</t>
  </si>
  <si>
    <t>1000009727 AMARFIL GASTON ABEL</t>
  </si>
  <si>
    <t>5000010848</t>
  </si>
  <si>
    <t>4500140545</t>
  </si>
  <si>
    <t>5000010852</t>
  </si>
  <si>
    <t>BIO CORDILLERANA SRL</t>
  </si>
  <si>
    <t>4500128937</t>
  </si>
  <si>
    <t>5000010854</t>
  </si>
  <si>
    <t>4500140157</t>
  </si>
  <si>
    <t>5000010859</t>
  </si>
  <si>
    <t>4500140764</t>
  </si>
  <si>
    <t>4500140092</t>
  </si>
  <si>
    <t>4500140093</t>
  </si>
  <si>
    <t>4500140203</t>
  </si>
  <si>
    <t>5000010868</t>
  </si>
  <si>
    <t>4500139892</t>
  </si>
  <si>
    <t>5000010872</t>
  </si>
  <si>
    <t>4500139147</t>
  </si>
  <si>
    <t>4500140247</t>
  </si>
  <si>
    <t>5000010874</t>
  </si>
  <si>
    <t>4500140532</t>
  </si>
  <si>
    <t>4500140056</t>
  </si>
  <si>
    <t>5000010877</t>
  </si>
  <si>
    <t>4500140444</t>
  </si>
  <si>
    <t>5000010878</t>
  </si>
  <si>
    <t>4500137816</t>
  </si>
  <si>
    <t>5000010879</t>
  </si>
  <si>
    <t>4500138076</t>
  </si>
  <si>
    <t>5000010880</t>
  </si>
  <si>
    <t>4500140064</t>
  </si>
  <si>
    <t>5000010883</t>
  </si>
  <si>
    <t>GIOVAGNOLI S.R.L.</t>
  </si>
  <si>
    <t>4500140722</t>
  </si>
  <si>
    <t>5000010889</t>
  </si>
  <si>
    <t>4500140680</t>
  </si>
  <si>
    <t>4500137283</t>
  </si>
  <si>
    <t>4500135841</t>
  </si>
  <si>
    <t>4500140706</t>
  </si>
  <si>
    <t>4500140273</t>
  </si>
  <si>
    <t>4500139679</t>
  </si>
  <si>
    <t>5000010902</t>
  </si>
  <si>
    <t>PRANAMAR S.R.L.</t>
  </si>
  <si>
    <t>4500140621</t>
  </si>
  <si>
    <t>5000010904</t>
  </si>
  <si>
    <t>4500140564</t>
  </si>
  <si>
    <t>4500140262</t>
  </si>
  <si>
    <t>4500140587</t>
  </si>
  <si>
    <t>4500138564</t>
  </si>
  <si>
    <t>4500131003</t>
  </si>
  <si>
    <t>4500140767</t>
  </si>
  <si>
    <t>4500140831</t>
  </si>
  <si>
    <t>EPIROC ARGENTINA S.A.</t>
  </si>
  <si>
    <t>4500138548</t>
  </si>
  <si>
    <t>5000010918</t>
  </si>
  <si>
    <t>SEGOVIA OFELIA MARIA DEL VAL</t>
  </si>
  <si>
    <t>4500140841</t>
  </si>
  <si>
    <t>4500135386</t>
  </si>
  <si>
    <t>4500140633</t>
  </si>
  <si>
    <t>4500138544</t>
  </si>
  <si>
    <t>5000010922</t>
  </si>
  <si>
    <t>5000010923</t>
  </si>
  <si>
    <t>TECHNICAL PERFORMANCE S.A.</t>
  </si>
  <si>
    <t>4500139934</t>
  </si>
  <si>
    <t>4500137255</t>
  </si>
  <si>
    <t>5000010927</t>
  </si>
  <si>
    <t>4500140891</t>
  </si>
  <si>
    <t>5000010928</t>
  </si>
  <si>
    <t>4500130921</t>
  </si>
  <si>
    <t>G02</t>
  </si>
  <si>
    <t>1000003395 SOTUR SRL</t>
  </si>
  <si>
    <t>1000008319 PRANAMAR S.R.L.</t>
  </si>
  <si>
    <t>1000003612 SEGOVIA OFELIA MARIA DEL VAL</t>
  </si>
  <si>
    <t>1000002580 BIO CORDILLERANA SRL</t>
  </si>
  <si>
    <t>1000000161 BOSCO GERMAN, BOSCO LUCIO Y BOSCO</t>
  </si>
  <si>
    <t>1000008067 CORCEL SAFETY S.A.</t>
  </si>
  <si>
    <t>1000013423 TECHNICAL PERFORMANCE S.A.</t>
  </si>
  <si>
    <t>1000000023 IND. QUIMICAS KAISER S.R.L.</t>
  </si>
  <si>
    <t>1000007267 MARATA GERMAN DANIEL</t>
  </si>
  <si>
    <t>1000001548 MIODOWKY MARCELO</t>
  </si>
  <si>
    <t>JJCABRERA</t>
  </si>
  <si>
    <t>5100009448</t>
  </si>
  <si>
    <t>5100009449</t>
  </si>
  <si>
    <t>5100009450</t>
  </si>
  <si>
    <t>LATAM  DOWNSTREAM ARG. S.A.U.</t>
  </si>
  <si>
    <t>5000010934</t>
  </si>
  <si>
    <t>5000010938</t>
  </si>
  <si>
    <t>AURELIA SACIYF</t>
  </si>
  <si>
    <t>4500140925</t>
  </si>
  <si>
    <t>5000010939</t>
  </si>
  <si>
    <t>5000010943</t>
  </si>
  <si>
    <t>4500140265</t>
  </si>
  <si>
    <t>5000010944</t>
  </si>
  <si>
    <t>4500140566</t>
  </si>
  <si>
    <t>5000010948</t>
  </si>
  <si>
    <t>VERINO MARCELO LEANDRO</t>
  </si>
  <si>
    <t>4500140922</t>
  </si>
  <si>
    <t>5000010957</t>
  </si>
  <si>
    <t>4500134938</t>
  </si>
  <si>
    <t>5000010958</t>
  </si>
  <si>
    <t>5000010959</t>
  </si>
  <si>
    <t>4500139475</t>
  </si>
  <si>
    <t>5000010960</t>
  </si>
  <si>
    <t>4500139376</t>
  </si>
  <si>
    <t>5000010961</t>
  </si>
  <si>
    <t>4500138755</t>
  </si>
  <si>
    <t>5000010963</t>
  </si>
  <si>
    <t>4500140873</t>
  </si>
  <si>
    <t>5000010965</t>
  </si>
  <si>
    <t>5000010966</t>
  </si>
  <si>
    <t>4500140512</t>
  </si>
  <si>
    <t>5000010967</t>
  </si>
  <si>
    <t>4500140998</t>
  </si>
  <si>
    <t>5000010968</t>
  </si>
  <si>
    <t>MANULI FLUICONNECTO S.R.L.</t>
  </si>
  <si>
    <t>4500140905</t>
  </si>
  <si>
    <t>5000010971</t>
  </si>
  <si>
    <t>4500141112</t>
  </si>
  <si>
    <t>5000010973</t>
  </si>
  <si>
    <t>4500135395</t>
  </si>
  <si>
    <t>5000010974</t>
  </si>
  <si>
    <t>4500140524</t>
  </si>
  <si>
    <t>5000010976</t>
  </si>
  <si>
    <t>PELLETIER JUAN CARLOS</t>
  </si>
  <si>
    <t>4500141157</t>
  </si>
  <si>
    <t>5000010977</t>
  </si>
  <si>
    <t>ALL SERVICE SRL</t>
  </si>
  <si>
    <t>4500141041</t>
  </si>
  <si>
    <t>5000010978</t>
  </si>
  <si>
    <t>4500141071</t>
  </si>
  <si>
    <t>1000003595 MANULI FLUICONNECTO S.R.L.</t>
  </si>
  <si>
    <t>1000003731 VERINO MARCELO LEANDRO</t>
  </si>
  <si>
    <t>1000001084 ALL SERVICE SRL</t>
  </si>
  <si>
    <t>1000008421 PELLETIER JUAN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</si>
</sst>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 indent="2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14" fontId="0" fillId="0" borderId="0" xfId="0" applyNumberFormat="1" applyAlignment="1">
      <alignment vertical="top"/>
    </xf>
    <xf numFmtId="3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767" name="Picture@5C\QPendientes@" descr="@5C\QPendientes@">
          <a:extLst>
            <a:ext uri="{FF2B5EF4-FFF2-40B4-BE49-F238E27FC236}">
              <a16:creationId xmlns:a16="http://schemas.microsoft.com/office/drawing/2014/main" id="{26E24C17-0506-4621-82ED-AE05E0D149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768" name="Picture@5C\QPendientes@" descr="@5C\QPendientes@">
          <a:extLst>
            <a:ext uri="{FF2B5EF4-FFF2-40B4-BE49-F238E27FC236}">
              <a16:creationId xmlns:a16="http://schemas.microsoft.com/office/drawing/2014/main" id="{7BF49D25-0743-42CC-9B64-176892DCB9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769" name="Picture@5C\QPendientes@" descr="@5C\QPendientes@">
          <a:extLst>
            <a:ext uri="{FF2B5EF4-FFF2-40B4-BE49-F238E27FC236}">
              <a16:creationId xmlns:a16="http://schemas.microsoft.com/office/drawing/2014/main" id="{684F7CB5-FDBC-4B7C-90E3-4DB9B40C2F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770" name="Picture@5C\QPendientes@" descr="@5C\QPendientes@">
          <a:extLst>
            <a:ext uri="{FF2B5EF4-FFF2-40B4-BE49-F238E27FC236}">
              <a16:creationId xmlns:a16="http://schemas.microsoft.com/office/drawing/2014/main" id="{CFFD59B5-C3AA-4CC1-A387-D33CDBC565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771" name="Picture@5C\QPendientes@" descr="@5C\QPendientes@">
          <a:extLst>
            <a:ext uri="{FF2B5EF4-FFF2-40B4-BE49-F238E27FC236}">
              <a16:creationId xmlns:a16="http://schemas.microsoft.com/office/drawing/2014/main" id="{B3A03C09-8946-4279-A369-17F51FD72C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772" name="Picture@5C\QPendientes@" descr="@5C\QPendientes@">
          <a:extLst>
            <a:ext uri="{FF2B5EF4-FFF2-40B4-BE49-F238E27FC236}">
              <a16:creationId xmlns:a16="http://schemas.microsoft.com/office/drawing/2014/main" id="{680C1898-94E8-4C95-81EF-164F5D8AE4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773" name="Picture@5C\QPendientes@" descr="@5C\QPendientes@">
          <a:extLst>
            <a:ext uri="{FF2B5EF4-FFF2-40B4-BE49-F238E27FC236}">
              <a16:creationId xmlns:a16="http://schemas.microsoft.com/office/drawing/2014/main" id="{E95B955D-6477-4B22-B031-83CF5B70AE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774" name="Picture@5C\QPendientes@" descr="@5C\QPendientes@">
          <a:extLst>
            <a:ext uri="{FF2B5EF4-FFF2-40B4-BE49-F238E27FC236}">
              <a16:creationId xmlns:a16="http://schemas.microsoft.com/office/drawing/2014/main" id="{95ACEF4A-CDCC-4F3E-A246-FC5C7BC173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775" name="Picture@5C\QPendientes@" descr="@5C\QPendientes@">
          <a:extLst>
            <a:ext uri="{FF2B5EF4-FFF2-40B4-BE49-F238E27FC236}">
              <a16:creationId xmlns:a16="http://schemas.microsoft.com/office/drawing/2014/main" id="{EC8DC9E9-AF71-4A09-B142-442FA662BE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776" name="Picture@5C\QPendientes@" descr="@5C\QPendientes@">
          <a:extLst>
            <a:ext uri="{FF2B5EF4-FFF2-40B4-BE49-F238E27FC236}">
              <a16:creationId xmlns:a16="http://schemas.microsoft.com/office/drawing/2014/main" id="{7060E165-C3C1-45B8-A0A5-3BC753A66E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777" name="Picture@5C\QPendientes@" descr="@5C\QPendientes@">
          <a:extLst>
            <a:ext uri="{FF2B5EF4-FFF2-40B4-BE49-F238E27FC236}">
              <a16:creationId xmlns:a16="http://schemas.microsoft.com/office/drawing/2014/main" id="{4447A395-E9BF-464A-875C-7C5BA43C38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778" name="Picture@5C\QPendientes@" descr="@5C\QPendientes@">
          <a:extLst>
            <a:ext uri="{FF2B5EF4-FFF2-40B4-BE49-F238E27FC236}">
              <a16:creationId xmlns:a16="http://schemas.microsoft.com/office/drawing/2014/main" id="{D73A2569-06A5-4883-8DB7-D60B7D0F47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779" name="Picture@5C\QPendientes@" descr="@5C\QPendientes@">
          <a:extLst>
            <a:ext uri="{FF2B5EF4-FFF2-40B4-BE49-F238E27FC236}">
              <a16:creationId xmlns:a16="http://schemas.microsoft.com/office/drawing/2014/main" id="{3E7DAD2D-35EA-43EF-AD13-26B52E020A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780" name="Picture@5C\QPendientes@" descr="@5C\QPendientes@">
          <a:extLst>
            <a:ext uri="{FF2B5EF4-FFF2-40B4-BE49-F238E27FC236}">
              <a16:creationId xmlns:a16="http://schemas.microsoft.com/office/drawing/2014/main" id="{360735F9-E546-419A-9171-697257DBCC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781" name="Picture@5C\QPendientes@" descr="@5C\QPendientes@">
          <a:extLst>
            <a:ext uri="{FF2B5EF4-FFF2-40B4-BE49-F238E27FC236}">
              <a16:creationId xmlns:a16="http://schemas.microsoft.com/office/drawing/2014/main" id="{712E6025-6A4A-4C65-86ED-E0CC2097E1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782" name="Picture@5C\QPendientes@" descr="@5C\QPendientes@">
          <a:extLst>
            <a:ext uri="{FF2B5EF4-FFF2-40B4-BE49-F238E27FC236}">
              <a16:creationId xmlns:a16="http://schemas.microsoft.com/office/drawing/2014/main" id="{0398A5AA-D6FE-46DD-933B-30ADA72132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783" name="Picture@5C\QPendientes@" descr="@5C\QPendientes@">
          <a:extLst>
            <a:ext uri="{FF2B5EF4-FFF2-40B4-BE49-F238E27FC236}">
              <a16:creationId xmlns:a16="http://schemas.microsoft.com/office/drawing/2014/main" id="{820FFF40-9F86-45D7-B4E4-6447D3009C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784" name="Picture@5C\QPendientes@" descr="@5C\QPendientes@">
          <a:extLst>
            <a:ext uri="{FF2B5EF4-FFF2-40B4-BE49-F238E27FC236}">
              <a16:creationId xmlns:a16="http://schemas.microsoft.com/office/drawing/2014/main" id="{A051F0F0-A0E2-4267-83AF-C8AD57888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785" name="Picture@5C\QPendientes@" descr="@5C\QPendientes@">
          <a:extLst>
            <a:ext uri="{FF2B5EF4-FFF2-40B4-BE49-F238E27FC236}">
              <a16:creationId xmlns:a16="http://schemas.microsoft.com/office/drawing/2014/main" id="{77F84C6C-3329-4CC0-9542-D27D791680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786" name="Picture@5C\QPendientes@" descr="@5C\QPendientes@">
          <a:extLst>
            <a:ext uri="{FF2B5EF4-FFF2-40B4-BE49-F238E27FC236}">
              <a16:creationId xmlns:a16="http://schemas.microsoft.com/office/drawing/2014/main" id="{0457A6CF-2EFC-42D0-A65A-5DDEAE070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787" name="Picture@5C\QPendientes@" descr="@5C\QPendientes@">
          <a:extLst>
            <a:ext uri="{FF2B5EF4-FFF2-40B4-BE49-F238E27FC236}">
              <a16:creationId xmlns:a16="http://schemas.microsoft.com/office/drawing/2014/main" id="{3BA8E554-06CE-4EDE-A708-2997BF8103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788" name="Picture@5C\QPendientes@" descr="@5C\QPendientes@">
          <a:extLst>
            <a:ext uri="{FF2B5EF4-FFF2-40B4-BE49-F238E27FC236}">
              <a16:creationId xmlns:a16="http://schemas.microsoft.com/office/drawing/2014/main" id="{B93759FA-424D-482C-AACC-2633388499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789" name="Picture@5C\QPendientes@" descr="@5C\QPendientes@">
          <a:extLst>
            <a:ext uri="{FF2B5EF4-FFF2-40B4-BE49-F238E27FC236}">
              <a16:creationId xmlns:a16="http://schemas.microsoft.com/office/drawing/2014/main" id="{D37F2566-04C7-44C0-8A8E-3B6841415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790" name="Picture@5C\QPendientes@" descr="@5C\QPendientes@">
          <a:extLst>
            <a:ext uri="{FF2B5EF4-FFF2-40B4-BE49-F238E27FC236}">
              <a16:creationId xmlns:a16="http://schemas.microsoft.com/office/drawing/2014/main" id="{0EB27F50-F2F6-49CD-AB43-EFDD1AC4A3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791" name="Picture@5C\QPendientes@" descr="@5C\QPendientes@">
          <a:extLst>
            <a:ext uri="{FF2B5EF4-FFF2-40B4-BE49-F238E27FC236}">
              <a16:creationId xmlns:a16="http://schemas.microsoft.com/office/drawing/2014/main" id="{A89228E8-A039-4E99-90E7-FE31496664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792" name="Picture@5C\QPendientes@" descr="@5C\QPendientes@">
          <a:extLst>
            <a:ext uri="{FF2B5EF4-FFF2-40B4-BE49-F238E27FC236}">
              <a16:creationId xmlns:a16="http://schemas.microsoft.com/office/drawing/2014/main" id="{395B00B5-4717-4CA6-8D31-4AFBF3A82E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793" name="Picture@5C\QPendientes@" descr="@5C\QPendientes@">
          <a:extLst>
            <a:ext uri="{FF2B5EF4-FFF2-40B4-BE49-F238E27FC236}">
              <a16:creationId xmlns:a16="http://schemas.microsoft.com/office/drawing/2014/main" id="{78069B3D-DB22-4313-81D8-8A4DF2AC0E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794" name="Picture@5C\QPendientes@" descr="@5C\QPendientes@">
          <a:extLst>
            <a:ext uri="{FF2B5EF4-FFF2-40B4-BE49-F238E27FC236}">
              <a16:creationId xmlns:a16="http://schemas.microsoft.com/office/drawing/2014/main" id="{77E3A1C0-C9BC-4698-9603-5AF889E57F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795" name="Picture@5C\QPendientes@" descr="@5C\QPendientes@">
          <a:extLst>
            <a:ext uri="{FF2B5EF4-FFF2-40B4-BE49-F238E27FC236}">
              <a16:creationId xmlns:a16="http://schemas.microsoft.com/office/drawing/2014/main" id="{A7413995-25F1-49CA-A701-D29C06D21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796" name="Picture@5C\QPendientes@" descr="@5C\QPendientes@">
          <a:extLst>
            <a:ext uri="{FF2B5EF4-FFF2-40B4-BE49-F238E27FC236}">
              <a16:creationId xmlns:a16="http://schemas.microsoft.com/office/drawing/2014/main" id="{9F4D19AD-0B6B-444A-B7E3-3C087F0159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797" name="Picture@5C\QPendientes@" descr="@5C\QPendientes@">
          <a:extLst>
            <a:ext uri="{FF2B5EF4-FFF2-40B4-BE49-F238E27FC236}">
              <a16:creationId xmlns:a16="http://schemas.microsoft.com/office/drawing/2014/main" id="{C9A74F6D-60B2-43F1-AA8E-1454342F9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798" name="Picture@5C\QPendientes@" descr="@5C\QPendientes@">
          <a:extLst>
            <a:ext uri="{FF2B5EF4-FFF2-40B4-BE49-F238E27FC236}">
              <a16:creationId xmlns:a16="http://schemas.microsoft.com/office/drawing/2014/main" id="{4C440329-DC05-4912-9831-3EFA5FC78A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799" name="Picture@5C\QPendientes@" descr="@5C\QPendientes@">
          <a:extLst>
            <a:ext uri="{FF2B5EF4-FFF2-40B4-BE49-F238E27FC236}">
              <a16:creationId xmlns:a16="http://schemas.microsoft.com/office/drawing/2014/main" id="{058A7302-D14B-4BDB-9637-ED23296876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800" name="Picture@5C\QPendientes@" descr="@5C\QPendientes@">
          <a:extLst>
            <a:ext uri="{FF2B5EF4-FFF2-40B4-BE49-F238E27FC236}">
              <a16:creationId xmlns:a16="http://schemas.microsoft.com/office/drawing/2014/main" id="{CE1705EC-ACA8-49AB-942F-48391B980E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801" name="Picture@5C\QPendientes@" descr="@5C\QPendientes@">
          <a:extLst>
            <a:ext uri="{FF2B5EF4-FFF2-40B4-BE49-F238E27FC236}">
              <a16:creationId xmlns:a16="http://schemas.microsoft.com/office/drawing/2014/main" id="{687550D6-AD97-4331-9805-E2465D690E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802" name="Picture@5C\QPendientes@" descr="@5C\QPendientes@">
          <a:extLst>
            <a:ext uri="{FF2B5EF4-FFF2-40B4-BE49-F238E27FC236}">
              <a16:creationId xmlns:a16="http://schemas.microsoft.com/office/drawing/2014/main" id="{D8830A80-3BAB-4D87-A5E4-4C2AEE2636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803" name="Picture@5C\QPendientes@" descr="@5C\QPendientes@">
          <a:extLst>
            <a:ext uri="{FF2B5EF4-FFF2-40B4-BE49-F238E27FC236}">
              <a16:creationId xmlns:a16="http://schemas.microsoft.com/office/drawing/2014/main" id="{366839D9-741E-4CBA-9705-4E49B899D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804" name="Picture@5C\QPendientes@" descr="@5C\QPendientes@">
          <a:extLst>
            <a:ext uri="{FF2B5EF4-FFF2-40B4-BE49-F238E27FC236}">
              <a16:creationId xmlns:a16="http://schemas.microsoft.com/office/drawing/2014/main" id="{5D57DA16-7F92-40C3-8306-0996A3DD39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805" name="Picture@5C\QPendientes@" descr="@5C\QPendientes@">
          <a:extLst>
            <a:ext uri="{FF2B5EF4-FFF2-40B4-BE49-F238E27FC236}">
              <a16:creationId xmlns:a16="http://schemas.microsoft.com/office/drawing/2014/main" id="{01EAB14F-D78D-4FA6-905F-921AFCA45E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806" name="Picture@5C\QPendientes@" descr="@5C\QPendientes@">
          <a:extLst>
            <a:ext uri="{FF2B5EF4-FFF2-40B4-BE49-F238E27FC236}">
              <a16:creationId xmlns:a16="http://schemas.microsoft.com/office/drawing/2014/main" id="{7966A982-1711-4467-8508-4307E738F9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807" name="Picture@5C\QPendientes@" descr="@5C\QPendientes@">
          <a:extLst>
            <a:ext uri="{FF2B5EF4-FFF2-40B4-BE49-F238E27FC236}">
              <a16:creationId xmlns:a16="http://schemas.microsoft.com/office/drawing/2014/main" id="{B042AF55-1895-46F2-963B-FE872B131B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808" name="Picture@5C\QPendientes@" descr="@5C\QPendientes@">
          <a:extLst>
            <a:ext uri="{FF2B5EF4-FFF2-40B4-BE49-F238E27FC236}">
              <a16:creationId xmlns:a16="http://schemas.microsoft.com/office/drawing/2014/main" id="{EBFB2734-31F9-4640-800B-847BCBD13B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809" name="Picture@5C\QPendientes@" descr="@5C\QPendientes@">
          <a:extLst>
            <a:ext uri="{FF2B5EF4-FFF2-40B4-BE49-F238E27FC236}">
              <a16:creationId xmlns:a16="http://schemas.microsoft.com/office/drawing/2014/main" id="{639C23EE-110E-405A-8211-9C3D76261C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810" name="Picture@5C\QPendientes@" descr="@5C\QPendientes@">
          <a:extLst>
            <a:ext uri="{FF2B5EF4-FFF2-40B4-BE49-F238E27FC236}">
              <a16:creationId xmlns:a16="http://schemas.microsoft.com/office/drawing/2014/main" id="{112DCF7F-3983-47E7-946C-E402E7A283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811" name="Picture@5C\QPendientes@" descr="@5C\QPendientes@">
          <a:extLst>
            <a:ext uri="{FF2B5EF4-FFF2-40B4-BE49-F238E27FC236}">
              <a16:creationId xmlns:a16="http://schemas.microsoft.com/office/drawing/2014/main" id="{12B67456-4EE1-4844-85EF-B958499D88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812" name="Picture@5C\QPendientes@" descr="@5C\QPendientes@">
          <a:extLst>
            <a:ext uri="{FF2B5EF4-FFF2-40B4-BE49-F238E27FC236}">
              <a16:creationId xmlns:a16="http://schemas.microsoft.com/office/drawing/2014/main" id="{CD077096-F5C7-4660-BB37-5E9189E439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813" name="Picture@5C\QPendientes@" descr="@5C\QPendientes@">
          <a:extLst>
            <a:ext uri="{FF2B5EF4-FFF2-40B4-BE49-F238E27FC236}">
              <a16:creationId xmlns:a16="http://schemas.microsoft.com/office/drawing/2014/main" id="{9D62860C-39DC-4BF3-90E4-A7C08FD0B4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814" name="Picture@5C\QPendientes@" descr="@5C\QPendientes@">
          <a:extLst>
            <a:ext uri="{FF2B5EF4-FFF2-40B4-BE49-F238E27FC236}">
              <a16:creationId xmlns:a16="http://schemas.microsoft.com/office/drawing/2014/main" id="{F5F082E8-C8A7-480E-BE01-1266CE8DB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815" name="Picture@5C\QPendientes@" descr="@5C\QPendientes@">
          <a:extLst>
            <a:ext uri="{FF2B5EF4-FFF2-40B4-BE49-F238E27FC236}">
              <a16:creationId xmlns:a16="http://schemas.microsoft.com/office/drawing/2014/main" id="{C7E59BE0-FCF5-45EB-A5D8-843739FEC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816" name="Picture@5C\QPendientes@" descr="@5C\QPendientes@">
          <a:extLst>
            <a:ext uri="{FF2B5EF4-FFF2-40B4-BE49-F238E27FC236}">
              <a16:creationId xmlns:a16="http://schemas.microsoft.com/office/drawing/2014/main" id="{A4CC6682-397A-49A4-A643-1258FB351A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817" name="Picture@5C\QPendientes@" descr="@5C\QPendientes@">
          <a:extLst>
            <a:ext uri="{FF2B5EF4-FFF2-40B4-BE49-F238E27FC236}">
              <a16:creationId xmlns:a16="http://schemas.microsoft.com/office/drawing/2014/main" id="{2E7C4C6C-7A9D-4B8B-A55E-5107058EB4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818" name="Picture@5C\QPendientes@" descr="@5C\QPendientes@">
          <a:extLst>
            <a:ext uri="{FF2B5EF4-FFF2-40B4-BE49-F238E27FC236}">
              <a16:creationId xmlns:a16="http://schemas.microsoft.com/office/drawing/2014/main" id="{D16B50D4-DB64-44C9-B865-EC62461EB3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819" name="Picture@5C\QPendientes@" descr="@5C\QPendientes@">
          <a:extLst>
            <a:ext uri="{FF2B5EF4-FFF2-40B4-BE49-F238E27FC236}">
              <a16:creationId xmlns:a16="http://schemas.microsoft.com/office/drawing/2014/main" id="{C98D5578-192C-40C2-849D-E275332F30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820" name="Picture@5C\QPendientes@" descr="@5C\QPendientes@">
          <a:extLst>
            <a:ext uri="{FF2B5EF4-FFF2-40B4-BE49-F238E27FC236}">
              <a16:creationId xmlns:a16="http://schemas.microsoft.com/office/drawing/2014/main" id="{8732631C-3E99-490B-8DA5-4B7D805CB8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821" name="Picture@5C\QPendientes@" descr="@5C\QPendientes@">
          <a:extLst>
            <a:ext uri="{FF2B5EF4-FFF2-40B4-BE49-F238E27FC236}">
              <a16:creationId xmlns:a16="http://schemas.microsoft.com/office/drawing/2014/main" id="{70570F3A-DCD8-4FC5-A6B0-7445651723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822" name="Picture@5C\QPendientes@" descr="@5C\QPendientes@">
          <a:extLst>
            <a:ext uri="{FF2B5EF4-FFF2-40B4-BE49-F238E27FC236}">
              <a16:creationId xmlns:a16="http://schemas.microsoft.com/office/drawing/2014/main" id="{603850D7-0BB1-4351-95A7-6AF0E477E2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823" name="Picture@5C\QPendientes@" descr="@5C\QPendientes@">
          <a:extLst>
            <a:ext uri="{FF2B5EF4-FFF2-40B4-BE49-F238E27FC236}">
              <a16:creationId xmlns:a16="http://schemas.microsoft.com/office/drawing/2014/main" id="{7875D15A-8057-4B4B-A13F-59E8837081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824" name="Picture@5C\QPendientes@" descr="@5C\QPendientes@">
          <a:extLst>
            <a:ext uri="{FF2B5EF4-FFF2-40B4-BE49-F238E27FC236}">
              <a16:creationId xmlns:a16="http://schemas.microsoft.com/office/drawing/2014/main" id="{8C142381-B4FE-41D9-B989-410525A5C8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825" name="Picture@5C\QPendientes@" descr="@5C\QPendientes@">
          <a:extLst>
            <a:ext uri="{FF2B5EF4-FFF2-40B4-BE49-F238E27FC236}">
              <a16:creationId xmlns:a16="http://schemas.microsoft.com/office/drawing/2014/main" id="{9911C3DB-8C86-431C-9FC6-FB3C8AA88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826" name="Picture@5C\QPendientes@" descr="@5C\QPendientes@">
          <a:extLst>
            <a:ext uri="{FF2B5EF4-FFF2-40B4-BE49-F238E27FC236}">
              <a16:creationId xmlns:a16="http://schemas.microsoft.com/office/drawing/2014/main" id="{5D118D2F-5E93-45CB-B935-E434265C3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827" name="Picture@5C\QPendientes@" descr="@5C\QPendientes@">
          <a:extLst>
            <a:ext uri="{FF2B5EF4-FFF2-40B4-BE49-F238E27FC236}">
              <a16:creationId xmlns:a16="http://schemas.microsoft.com/office/drawing/2014/main" id="{F1D5CC65-2007-40E8-B6BF-87435F4B4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828" name="Picture@5C\QPendientes@" descr="@5C\QPendientes@">
          <a:extLst>
            <a:ext uri="{FF2B5EF4-FFF2-40B4-BE49-F238E27FC236}">
              <a16:creationId xmlns:a16="http://schemas.microsoft.com/office/drawing/2014/main" id="{AF24E152-8349-4D09-8C39-4993F06D6C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829" name="Picture@5C\QPendientes@" descr="@5C\QPendientes@">
          <a:extLst>
            <a:ext uri="{FF2B5EF4-FFF2-40B4-BE49-F238E27FC236}">
              <a16:creationId xmlns:a16="http://schemas.microsoft.com/office/drawing/2014/main" id="{13D7F208-7495-4C8A-9090-0D56DC0D8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830" name="Picture@5C\QPendientes@" descr="@5C\QPendientes@">
          <a:extLst>
            <a:ext uri="{FF2B5EF4-FFF2-40B4-BE49-F238E27FC236}">
              <a16:creationId xmlns:a16="http://schemas.microsoft.com/office/drawing/2014/main" id="{0804B8AA-28C8-4002-8BDE-0B418B5B8A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831" name="Picture@5C\QPendientes@" descr="@5C\QPendientes@">
          <a:extLst>
            <a:ext uri="{FF2B5EF4-FFF2-40B4-BE49-F238E27FC236}">
              <a16:creationId xmlns:a16="http://schemas.microsoft.com/office/drawing/2014/main" id="{A990E6FD-C69D-44B6-BE4E-08C035A94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832" name="Picture@5C\QPendientes@" descr="@5C\QPendientes@">
          <a:extLst>
            <a:ext uri="{FF2B5EF4-FFF2-40B4-BE49-F238E27FC236}">
              <a16:creationId xmlns:a16="http://schemas.microsoft.com/office/drawing/2014/main" id="{2A7C57D7-E05D-43D1-A0D9-E21494128F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833" name="Picture@5C\QPendientes@" descr="@5C\QPendientes@">
          <a:extLst>
            <a:ext uri="{FF2B5EF4-FFF2-40B4-BE49-F238E27FC236}">
              <a16:creationId xmlns:a16="http://schemas.microsoft.com/office/drawing/2014/main" id="{4C1367F3-B16C-4377-9307-9FB0378C4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834" name="Picture@5C\QPendientes@" descr="@5C\QPendientes@">
          <a:extLst>
            <a:ext uri="{FF2B5EF4-FFF2-40B4-BE49-F238E27FC236}">
              <a16:creationId xmlns:a16="http://schemas.microsoft.com/office/drawing/2014/main" id="{712E6C8A-A484-4A2A-A4FA-C4312EC40E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835" name="Picture@5C\QPendientes@" descr="@5C\QPendientes@">
          <a:extLst>
            <a:ext uri="{FF2B5EF4-FFF2-40B4-BE49-F238E27FC236}">
              <a16:creationId xmlns:a16="http://schemas.microsoft.com/office/drawing/2014/main" id="{C03A7F10-0C68-43CD-BB24-2B4ABA9FAA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836" name="Picture@5C\QPendientes@" descr="@5C\QPendientes@">
          <a:extLst>
            <a:ext uri="{FF2B5EF4-FFF2-40B4-BE49-F238E27FC236}">
              <a16:creationId xmlns:a16="http://schemas.microsoft.com/office/drawing/2014/main" id="{B81FC055-CBF0-4B63-B97A-36DEB48AEE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837" name="Picture@5C\QPendientes@" descr="@5C\QPendientes@">
          <a:extLst>
            <a:ext uri="{FF2B5EF4-FFF2-40B4-BE49-F238E27FC236}">
              <a16:creationId xmlns:a16="http://schemas.microsoft.com/office/drawing/2014/main" id="{38F5085C-003F-444D-A651-0FE2CAA54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838" name="Picture@5C\QPendientes@" descr="@5C\QPendientes@">
          <a:extLst>
            <a:ext uri="{FF2B5EF4-FFF2-40B4-BE49-F238E27FC236}">
              <a16:creationId xmlns:a16="http://schemas.microsoft.com/office/drawing/2014/main" id="{9CC8F8E8-990A-4389-864D-627C9E43F9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839" name="Picture@5C\QPendientes@" descr="@5C\QPendientes@">
          <a:extLst>
            <a:ext uri="{FF2B5EF4-FFF2-40B4-BE49-F238E27FC236}">
              <a16:creationId xmlns:a16="http://schemas.microsoft.com/office/drawing/2014/main" id="{E131D918-4F49-4562-AEFA-66BA03E916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840" name="Picture@5C\QPendientes@" descr="@5C\QPendientes@">
          <a:extLst>
            <a:ext uri="{FF2B5EF4-FFF2-40B4-BE49-F238E27FC236}">
              <a16:creationId xmlns:a16="http://schemas.microsoft.com/office/drawing/2014/main" id="{FE6C62B1-1444-4BD3-9319-D0D8B3F9A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841" name="Picture@5C\QPendientes@" descr="@5C\QPendientes@">
          <a:extLst>
            <a:ext uri="{FF2B5EF4-FFF2-40B4-BE49-F238E27FC236}">
              <a16:creationId xmlns:a16="http://schemas.microsoft.com/office/drawing/2014/main" id="{27AD7BDB-8AE4-461C-B61E-A92132AD6D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842" name="Picture@5C\QPendientes@" descr="@5C\QPendientes@">
          <a:extLst>
            <a:ext uri="{FF2B5EF4-FFF2-40B4-BE49-F238E27FC236}">
              <a16:creationId xmlns:a16="http://schemas.microsoft.com/office/drawing/2014/main" id="{8DA45B82-BAAC-43B5-8EB6-9EA856C802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843" name="Picture@5C\QPendientes@" descr="@5C\QPendientes@">
          <a:extLst>
            <a:ext uri="{FF2B5EF4-FFF2-40B4-BE49-F238E27FC236}">
              <a16:creationId xmlns:a16="http://schemas.microsoft.com/office/drawing/2014/main" id="{68BEF335-843B-42C4-A842-83523A648C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844" name="Picture@5C\QPendientes@" descr="@5C\QPendientes@">
          <a:extLst>
            <a:ext uri="{FF2B5EF4-FFF2-40B4-BE49-F238E27FC236}">
              <a16:creationId xmlns:a16="http://schemas.microsoft.com/office/drawing/2014/main" id="{633083B0-13FE-4B0E-997A-71BFBB9499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845" name="Picture@5C\QPendientes@" descr="@5C\QPendientes@">
          <a:extLst>
            <a:ext uri="{FF2B5EF4-FFF2-40B4-BE49-F238E27FC236}">
              <a16:creationId xmlns:a16="http://schemas.microsoft.com/office/drawing/2014/main" id="{8239A2FB-BDC4-4125-90D1-F8BDCBA038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846" name="Picture@5C\QPendientes@" descr="@5C\QPendientes@">
          <a:extLst>
            <a:ext uri="{FF2B5EF4-FFF2-40B4-BE49-F238E27FC236}">
              <a16:creationId xmlns:a16="http://schemas.microsoft.com/office/drawing/2014/main" id="{457235CD-2537-49B5-A9BC-2D63E19859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847" name="Picture@5C\QPendientes@" descr="@5C\QPendientes@">
          <a:extLst>
            <a:ext uri="{FF2B5EF4-FFF2-40B4-BE49-F238E27FC236}">
              <a16:creationId xmlns:a16="http://schemas.microsoft.com/office/drawing/2014/main" id="{707E3221-0DA8-4C76-8D36-6949EC9C93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848" name="Picture@5C\QPendientes@" descr="@5C\QPendientes@">
          <a:extLst>
            <a:ext uri="{FF2B5EF4-FFF2-40B4-BE49-F238E27FC236}">
              <a16:creationId xmlns:a16="http://schemas.microsoft.com/office/drawing/2014/main" id="{6E27CFDD-AD51-4D75-8205-3B9895D302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849" name="Picture@5C\QPendientes@" descr="@5C\QPendientes@">
          <a:extLst>
            <a:ext uri="{FF2B5EF4-FFF2-40B4-BE49-F238E27FC236}">
              <a16:creationId xmlns:a16="http://schemas.microsoft.com/office/drawing/2014/main" id="{8EE7CB61-2692-424D-B21C-30427D7090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850" name="Picture@5C\QPendientes@" descr="@5C\QPendientes@">
          <a:extLst>
            <a:ext uri="{FF2B5EF4-FFF2-40B4-BE49-F238E27FC236}">
              <a16:creationId xmlns:a16="http://schemas.microsoft.com/office/drawing/2014/main" id="{479C0F62-4A09-46D7-A669-881778A2E7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851" name="Picture@5C\QPendientes@" descr="@5C\QPendientes@">
          <a:extLst>
            <a:ext uri="{FF2B5EF4-FFF2-40B4-BE49-F238E27FC236}">
              <a16:creationId xmlns:a16="http://schemas.microsoft.com/office/drawing/2014/main" id="{F90F8B82-1253-4349-B75D-3B83E1116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852" name="Picture@5C\QPendientes@" descr="@5C\QPendientes@">
          <a:extLst>
            <a:ext uri="{FF2B5EF4-FFF2-40B4-BE49-F238E27FC236}">
              <a16:creationId xmlns:a16="http://schemas.microsoft.com/office/drawing/2014/main" id="{15503D97-AF6B-40F3-A401-16DDF41E2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853" name="Picture@5C\QPendientes@" descr="@5C\QPendientes@">
          <a:extLst>
            <a:ext uri="{FF2B5EF4-FFF2-40B4-BE49-F238E27FC236}">
              <a16:creationId xmlns:a16="http://schemas.microsoft.com/office/drawing/2014/main" id="{C34BECA1-DE99-4FCF-888C-F51A1AA4A7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854" name="Picture@5C\QPendientes@" descr="@5C\QPendientes@">
          <a:extLst>
            <a:ext uri="{FF2B5EF4-FFF2-40B4-BE49-F238E27FC236}">
              <a16:creationId xmlns:a16="http://schemas.microsoft.com/office/drawing/2014/main" id="{10F6864D-A437-4979-9C9C-E9884678FF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855" name="Picture@5C\QPendientes@" descr="@5C\QPendientes@">
          <a:extLst>
            <a:ext uri="{FF2B5EF4-FFF2-40B4-BE49-F238E27FC236}">
              <a16:creationId xmlns:a16="http://schemas.microsoft.com/office/drawing/2014/main" id="{0BF6EDC2-3E89-426B-807A-3D92AE3C53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856" name="Picture@5C\QPendientes@" descr="@5C\QPendientes@">
          <a:extLst>
            <a:ext uri="{FF2B5EF4-FFF2-40B4-BE49-F238E27FC236}">
              <a16:creationId xmlns:a16="http://schemas.microsoft.com/office/drawing/2014/main" id="{32E2484B-C985-452E-A763-2924366A4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857" name="Picture@5C\QPendientes@" descr="@5C\QPendientes@">
          <a:extLst>
            <a:ext uri="{FF2B5EF4-FFF2-40B4-BE49-F238E27FC236}">
              <a16:creationId xmlns:a16="http://schemas.microsoft.com/office/drawing/2014/main" id="{DB5EE333-1384-43FE-A3A6-5C8BE1AA82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858" name="Picture@5C\QPendientes@" descr="@5C\QPendientes@">
          <a:extLst>
            <a:ext uri="{FF2B5EF4-FFF2-40B4-BE49-F238E27FC236}">
              <a16:creationId xmlns:a16="http://schemas.microsoft.com/office/drawing/2014/main" id="{1CB6B6FB-4D44-4C39-A942-C9E2C35357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859" name="Picture@5C\QPendientes@" descr="@5C\QPendientes@">
          <a:extLst>
            <a:ext uri="{FF2B5EF4-FFF2-40B4-BE49-F238E27FC236}">
              <a16:creationId xmlns:a16="http://schemas.microsoft.com/office/drawing/2014/main" id="{26BD0E72-7981-4636-8101-167D2A9CD7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860" name="Picture@5C\QPendientes@" descr="@5C\QPendientes@">
          <a:extLst>
            <a:ext uri="{FF2B5EF4-FFF2-40B4-BE49-F238E27FC236}">
              <a16:creationId xmlns:a16="http://schemas.microsoft.com/office/drawing/2014/main" id="{FECD463A-258E-43EB-9B65-61C1D4354B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861" name="Picture@5C\QPendientes@" descr="@5C\QPendientes@">
          <a:extLst>
            <a:ext uri="{FF2B5EF4-FFF2-40B4-BE49-F238E27FC236}">
              <a16:creationId xmlns:a16="http://schemas.microsoft.com/office/drawing/2014/main" id="{9EEA4A57-F518-4EDC-9F59-B0D4BDCBE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862" name="Picture@5C\QPendientes@" descr="@5C\QPendientes@">
          <a:extLst>
            <a:ext uri="{FF2B5EF4-FFF2-40B4-BE49-F238E27FC236}">
              <a16:creationId xmlns:a16="http://schemas.microsoft.com/office/drawing/2014/main" id="{3CE3E457-B382-4C72-B1BF-D8B2E45529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863" name="Picture@5C\QPendientes@" descr="@5C\QPendientes@">
          <a:extLst>
            <a:ext uri="{FF2B5EF4-FFF2-40B4-BE49-F238E27FC236}">
              <a16:creationId xmlns:a16="http://schemas.microsoft.com/office/drawing/2014/main" id="{1F0EBDAD-B1B3-4D98-ADF6-1FF08D3D6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864" name="Picture@5C\QPendientes@" descr="@5C\QPendientes@">
          <a:extLst>
            <a:ext uri="{FF2B5EF4-FFF2-40B4-BE49-F238E27FC236}">
              <a16:creationId xmlns:a16="http://schemas.microsoft.com/office/drawing/2014/main" id="{3A119B9C-E0BD-49A8-902B-AC4C038997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865" name="Picture@5C\QPendientes@" descr="@5C\QPendientes@">
          <a:extLst>
            <a:ext uri="{FF2B5EF4-FFF2-40B4-BE49-F238E27FC236}">
              <a16:creationId xmlns:a16="http://schemas.microsoft.com/office/drawing/2014/main" id="{A098E4F2-AB43-4DD5-98B0-DF324660AE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866" name="Picture@5C\QPendientes@" descr="@5C\QPendientes@">
          <a:extLst>
            <a:ext uri="{FF2B5EF4-FFF2-40B4-BE49-F238E27FC236}">
              <a16:creationId xmlns:a16="http://schemas.microsoft.com/office/drawing/2014/main" id="{3083BDBC-D459-4977-A99D-10764BF0F6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867" name="Picture@5C\QPendientes@" descr="@5C\QPendientes@">
          <a:extLst>
            <a:ext uri="{FF2B5EF4-FFF2-40B4-BE49-F238E27FC236}">
              <a16:creationId xmlns:a16="http://schemas.microsoft.com/office/drawing/2014/main" id="{4BB552FA-F571-4C6F-B726-1A2D3BC864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868" name="Picture@5C\QPendientes@" descr="@5C\QPendientes@">
          <a:extLst>
            <a:ext uri="{FF2B5EF4-FFF2-40B4-BE49-F238E27FC236}">
              <a16:creationId xmlns:a16="http://schemas.microsoft.com/office/drawing/2014/main" id="{F82D2AE8-CE99-4C46-AED8-20958BD13A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869" name="Picture@5C\QPendientes@" descr="@5C\QPendientes@">
          <a:extLst>
            <a:ext uri="{FF2B5EF4-FFF2-40B4-BE49-F238E27FC236}">
              <a16:creationId xmlns:a16="http://schemas.microsoft.com/office/drawing/2014/main" id="{F822E64B-4E9F-4FBC-9438-B5C19894F7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870" name="Picture@5C\QPendientes@" descr="@5C\QPendientes@">
          <a:extLst>
            <a:ext uri="{FF2B5EF4-FFF2-40B4-BE49-F238E27FC236}">
              <a16:creationId xmlns:a16="http://schemas.microsoft.com/office/drawing/2014/main" id="{F59612E4-2861-49AD-8D15-C8EA947FA8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871" name="Picture@5C\QPendientes@" descr="@5C\QPendientes@">
          <a:extLst>
            <a:ext uri="{FF2B5EF4-FFF2-40B4-BE49-F238E27FC236}">
              <a16:creationId xmlns:a16="http://schemas.microsoft.com/office/drawing/2014/main" id="{3242CC66-39B2-4C5A-A8DD-BCB6ACF104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872" name="Picture@5C\QPendientes@" descr="@5C\QPendientes@">
          <a:extLst>
            <a:ext uri="{FF2B5EF4-FFF2-40B4-BE49-F238E27FC236}">
              <a16:creationId xmlns:a16="http://schemas.microsoft.com/office/drawing/2014/main" id="{A254F97E-95BE-4AD1-88AA-478E5529AA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873" name="Picture@5C\QPendientes@" descr="@5C\QPendientes@">
          <a:extLst>
            <a:ext uri="{FF2B5EF4-FFF2-40B4-BE49-F238E27FC236}">
              <a16:creationId xmlns:a16="http://schemas.microsoft.com/office/drawing/2014/main" id="{4F4C3250-3DDB-4957-80B5-866B234A0B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874" name="Picture@5C\QPendientes@" descr="@5C\QPendientes@">
          <a:extLst>
            <a:ext uri="{FF2B5EF4-FFF2-40B4-BE49-F238E27FC236}">
              <a16:creationId xmlns:a16="http://schemas.microsoft.com/office/drawing/2014/main" id="{9A95923B-E5F9-46A9-9DCA-206571627F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875" name="Picture@5C\QPendientes@" descr="@5C\QPendientes@">
          <a:extLst>
            <a:ext uri="{FF2B5EF4-FFF2-40B4-BE49-F238E27FC236}">
              <a16:creationId xmlns:a16="http://schemas.microsoft.com/office/drawing/2014/main" id="{AF6FF761-9E0E-4466-A841-2D0E04AA52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876" name="Picture@5C\QPendientes@" descr="@5C\QPendientes@">
          <a:extLst>
            <a:ext uri="{FF2B5EF4-FFF2-40B4-BE49-F238E27FC236}">
              <a16:creationId xmlns:a16="http://schemas.microsoft.com/office/drawing/2014/main" id="{DD35305A-8A40-4D91-A6F0-C6A011CD72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877" name="Picture@5C\QPendientes@" descr="@5C\QPendientes@">
          <a:extLst>
            <a:ext uri="{FF2B5EF4-FFF2-40B4-BE49-F238E27FC236}">
              <a16:creationId xmlns:a16="http://schemas.microsoft.com/office/drawing/2014/main" id="{FEDA1A53-B7D0-41CF-B749-15FAD24A2A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878" name="Picture@5C\QPendientes@" descr="@5C\QPendientes@">
          <a:extLst>
            <a:ext uri="{FF2B5EF4-FFF2-40B4-BE49-F238E27FC236}">
              <a16:creationId xmlns:a16="http://schemas.microsoft.com/office/drawing/2014/main" id="{578DDF8F-DE08-47BA-919D-0A8BBB0969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879" name="Picture@5C\QPendientes@" descr="@5C\QPendientes@">
          <a:extLst>
            <a:ext uri="{FF2B5EF4-FFF2-40B4-BE49-F238E27FC236}">
              <a16:creationId xmlns:a16="http://schemas.microsoft.com/office/drawing/2014/main" id="{FAEF2D78-FD32-4AAB-A7B5-0306810D7D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880" name="Picture@5C\QPendientes@" descr="@5C\QPendientes@">
          <a:extLst>
            <a:ext uri="{FF2B5EF4-FFF2-40B4-BE49-F238E27FC236}">
              <a16:creationId xmlns:a16="http://schemas.microsoft.com/office/drawing/2014/main" id="{FB6E89D7-6433-4163-970B-4D13AC78B6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881" name="Picture@5C\QPendientes@" descr="@5C\QPendientes@">
          <a:extLst>
            <a:ext uri="{FF2B5EF4-FFF2-40B4-BE49-F238E27FC236}">
              <a16:creationId xmlns:a16="http://schemas.microsoft.com/office/drawing/2014/main" id="{16965C37-1841-49A1-B86E-1A4742CF6D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882" name="Picture@5C\QPendientes@" descr="@5C\QPendientes@">
          <a:extLst>
            <a:ext uri="{FF2B5EF4-FFF2-40B4-BE49-F238E27FC236}">
              <a16:creationId xmlns:a16="http://schemas.microsoft.com/office/drawing/2014/main" id="{F7540845-010E-45E4-9660-B59841BB7D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883" name="Picture@5C\QPendientes@" descr="@5C\QPendientes@">
          <a:extLst>
            <a:ext uri="{FF2B5EF4-FFF2-40B4-BE49-F238E27FC236}">
              <a16:creationId xmlns:a16="http://schemas.microsoft.com/office/drawing/2014/main" id="{BEB0AF60-E739-451F-BD87-91651DA885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884" name="Picture@5C\QPendientes@" descr="@5C\QPendientes@">
          <a:extLst>
            <a:ext uri="{FF2B5EF4-FFF2-40B4-BE49-F238E27FC236}">
              <a16:creationId xmlns:a16="http://schemas.microsoft.com/office/drawing/2014/main" id="{692DA0A2-00F7-4AC9-9993-208DC2F48F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885" name="Picture@5C\QPendientes@" descr="@5C\QPendientes@">
          <a:extLst>
            <a:ext uri="{FF2B5EF4-FFF2-40B4-BE49-F238E27FC236}">
              <a16:creationId xmlns:a16="http://schemas.microsoft.com/office/drawing/2014/main" id="{8DE3E0AF-1748-4A55-B7DD-C095A29714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886" name="Picture@5C\QPendientes@" descr="@5C\QPendientes@">
          <a:extLst>
            <a:ext uri="{FF2B5EF4-FFF2-40B4-BE49-F238E27FC236}">
              <a16:creationId xmlns:a16="http://schemas.microsoft.com/office/drawing/2014/main" id="{E94A42DE-E004-48C1-B557-90B0A57ECF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887" name="Picture@5C\QPendientes@" descr="@5C\QPendientes@">
          <a:extLst>
            <a:ext uri="{FF2B5EF4-FFF2-40B4-BE49-F238E27FC236}">
              <a16:creationId xmlns:a16="http://schemas.microsoft.com/office/drawing/2014/main" id="{99C04453-76C0-4435-B793-2EC750F03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888" name="Picture@5C\QPendientes@" descr="@5C\QPendientes@">
          <a:extLst>
            <a:ext uri="{FF2B5EF4-FFF2-40B4-BE49-F238E27FC236}">
              <a16:creationId xmlns:a16="http://schemas.microsoft.com/office/drawing/2014/main" id="{05E3FCE6-B098-4771-B331-27B730033A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889" name="Picture@5C\QPendientes@" descr="@5C\QPendientes@">
          <a:extLst>
            <a:ext uri="{FF2B5EF4-FFF2-40B4-BE49-F238E27FC236}">
              <a16:creationId xmlns:a16="http://schemas.microsoft.com/office/drawing/2014/main" id="{FFE026B4-F4F5-4E53-9C96-50EEAC8301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890" name="Picture@5C\QPendientes@" descr="@5C\QPendientes@">
          <a:extLst>
            <a:ext uri="{FF2B5EF4-FFF2-40B4-BE49-F238E27FC236}">
              <a16:creationId xmlns:a16="http://schemas.microsoft.com/office/drawing/2014/main" id="{636C6F55-D33F-4641-9744-6461085384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891" name="Picture@5C\QPendientes@" descr="@5C\QPendientes@">
          <a:extLst>
            <a:ext uri="{FF2B5EF4-FFF2-40B4-BE49-F238E27FC236}">
              <a16:creationId xmlns:a16="http://schemas.microsoft.com/office/drawing/2014/main" id="{BF6A6BB1-529E-4151-9D45-51B6BD07D2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892" name="Picture@5C\QPendientes@" descr="@5C\QPendientes@">
          <a:extLst>
            <a:ext uri="{FF2B5EF4-FFF2-40B4-BE49-F238E27FC236}">
              <a16:creationId xmlns:a16="http://schemas.microsoft.com/office/drawing/2014/main" id="{630350F3-6880-457F-9030-94A642674D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893" name="Picture@5C\QPendientes@" descr="@5C\QPendientes@">
          <a:extLst>
            <a:ext uri="{FF2B5EF4-FFF2-40B4-BE49-F238E27FC236}">
              <a16:creationId xmlns:a16="http://schemas.microsoft.com/office/drawing/2014/main" id="{B6C28A88-6F43-4FB5-8F0C-E932C87C0B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894" name="Picture@5C\QPendientes@" descr="@5C\QPendientes@">
          <a:extLst>
            <a:ext uri="{FF2B5EF4-FFF2-40B4-BE49-F238E27FC236}">
              <a16:creationId xmlns:a16="http://schemas.microsoft.com/office/drawing/2014/main" id="{2AE30EBB-B07F-46E9-A51D-1829E4F1F8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895" name="Picture@5C\QPendientes@" descr="@5C\QPendientes@">
          <a:extLst>
            <a:ext uri="{FF2B5EF4-FFF2-40B4-BE49-F238E27FC236}">
              <a16:creationId xmlns:a16="http://schemas.microsoft.com/office/drawing/2014/main" id="{118AB4E1-3EF6-42AB-B9EF-18651845D5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896" name="Picture@5C\QPendientes@" descr="@5C\QPendientes@">
          <a:extLst>
            <a:ext uri="{FF2B5EF4-FFF2-40B4-BE49-F238E27FC236}">
              <a16:creationId xmlns:a16="http://schemas.microsoft.com/office/drawing/2014/main" id="{0CF5C116-41ED-44DE-A948-A6E770CB0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897" name="Picture@5C\QPendientes@" descr="@5C\QPendientes@">
          <a:extLst>
            <a:ext uri="{FF2B5EF4-FFF2-40B4-BE49-F238E27FC236}">
              <a16:creationId xmlns:a16="http://schemas.microsoft.com/office/drawing/2014/main" id="{86FFF7AA-F4EA-4BE0-9E21-5BE471E78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898" name="Picture@5C\QPendientes@" descr="@5C\QPendientes@">
          <a:extLst>
            <a:ext uri="{FF2B5EF4-FFF2-40B4-BE49-F238E27FC236}">
              <a16:creationId xmlns:a16="http://schemas.microsoft.com/office/drawing/2014/main" id="{50B7891A-120B-4495-87BB-53E5289345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899" name="Picture@5C\QPendientes@" descr="@5C\QPendientes@">
          <a:extLst>
            <a:ext uri="{FF2B5EF4-FFF2-40B4-BE49-F238E27FC236}">
              <a16:creationId xmlns:a16="http://schemas.microsoft.com/office/drawing/2014/main" id="{03EF3EED-B027-4ADC-AB63-51BC2F8F13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900" name="Picture@5C\QPendientes@" descr="@5C\QPendientes@">
          <a:extLst>
            <a:ext uri="{FF2B5EF4-FFF2-40B4-BE49-F238E27FC236}">
              <a16:creationId xmlns:a16="http://schemas.microsoft.com/office/drawing/2014/main" id="{EEB3C279-19C2-4D8A-A146-096F3FCD6A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901" name="Picture@5C\QPendientes@" descr="@5C\QPendientes@">
          <a:extLst>
            <a:ext uri="{FF2B5EF4-FFF2-40B4-BE49-F238E27FC236}">
              <a16:creationId xmlns:a16="http://schemas.microsoft.com/office/drawing/2014/main" id="{A8D7EE6A-656D-4CEC-A1B9-7CF2E4019B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902" name="Picture@5C\QPendientes@" descr="@5C\QPendientes@">
          <a:extLst>
            <a:ext uri="{FF2B5EF4-FFF2-40B4-BE49-F238E27FC236}">
              <a16:creationId xmlns:a16="http://schemas.microsoft.com/office/drawing/2014/main" id="{4FD8D8D0-1B6E-48A5-8B7D-F64206F826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903" name="Picture@5C\QPendientes@" descr="@5C\QPendientes@">
          <a:extLst>
            <a:ext uri="{FF2B5EF4-FFF2-40B4-BE49-F238E27FC236}">
              <a16:creationId xmlns:a16="http://schemas.microsoft.com/office/drawing/2014/main" id="{649997D3-4E4A-4C5A-A805-5BAA3E4A80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904" name="Picture@5C\QPendientes@" descr="@5C\QPendientes@">
          <a:extLst>
            <a:ext uri="{FF2B5EF4-FFF2-40B4-BE49-F238E27FC236}">
              <a16:creationId xmlns:a16="http://schemas.microsoft.com/office/drawing/2014/main" id="{8421B974-E720-4BA3-9B62-4E1765933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905" name="Picture@5C\QPendientes@" descr="@5C\QPendientes@">
          <a:extLst>
            <a:ext uri="{FF2B5EF4-FFF2-40B4-BE49-F238E27FC236}">
              <a16:creationId xmlns:a16="http://schemas.microsoft.com/office/drawing/2014/main" id="{1E329EAF-F14F-4F55-ACEF-6CFF780A0D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906" name="Picture@5C\QPendientes@" descr="@5C\QPendientes@">
          <a:extLst>
            <a:ext uri="{FF2B5EF4-FFF2-40B4-BE49-F238E27FC236}">
              <a16:creationId xmlns:a16="http://schemas.microsoft.com/office/drawing/2014/main" id="{BD322E14-732C-40D9-9F30-BADAB62CC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907" name="Picture@5C\QPendientes@" descr="@5C\QPendientes@">
          <a:extLst>
            <a:ext uri="{FF2B5EF4-FFF2-40B4-BE49-F238E27FC236}">
              <a16:creationId xmlns:a16="http://schemas.microsoft.com/office/drawing/2014/main" id="{1865DD53-2EFE-40F0-A765-72967AC08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908" name="Picture@5C\QPendientes@" descr="@5C\QPendientes@">
          <a:extLst>
            <a:ext uri="{FF2B5EF4-FFF2-40B4-BE49-F238E27FC236}">
              <a16:creationId xmlns:a16="http://schemas.microsoft.com/office/drawing/2014/main" id="{1BEBCC12-DD80-4A56-A33D-BEE94ED750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909" name="Picture@5C\QPendientes@" descr="@5C\QPendientes@">
          <a:extLst>
            <a:ext uri="{FF2B5EF4-FFF2-40B4-BE49-F238E27FC236}">
              <a16:creationId xmlns:a16="http://schemas.microsoft.com/office/drawing/2014/main" id="{5B3BF3CC-279F-44FA-99D7-4DEDD400BF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910" name="Picture@5C\QPendientes@" descr="@5C\QPendientes@">
          <a:extLst>
            <a:ext uri="{FF2B5EF4-FFF2-40B4-BE49-F238E27FC236}">
              <a16:creationId xmlns:a16="http://schemas.microsoft.com/office/drawing/2014/main" id="{FEF46EED-BD02-45B4-8EB3-7B855B3F8E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911" name="Picture@5C\QPendientes@" descr="@5C\QPendientes@">
          <a:extLst>
            <a:ext uri="{FF2B5EF4-FFF2-40B4-BE49-F238E27FC236}">
              <a16:creationId xmlns:a16="http://schemas.microsoft.com/office/drawing/2014/main" id="{1766990F-B54B-4BB3-859E-BAAFB03B37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912" name="Picture@5C\QPendientes@" descr="@5C\QPendientes@">
          <a:extLst>
            <a:ext uri="{FF2B5EF4-FFF2-40B4-BE49-F238E27FC236}">
              <a16:creationId xmlns:a16="http://schemas.microsoft.com/office/drawing/2014/main" id="{112CC19A-7CA2-4F22-A58D-6D42314B1A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913" name="Picture@5C\QPendientes@" descr="@5C\QPendientes@">
          <a:extLst>
            <a:ext uri="{FF2B5EF4-FFF2-40B4-BE49-F238E27FC236}">
              <a16:creationId xmlns:a16="http://schemas.microsoft.com/office/drawing/2014/main" id="{F493712D-347D-4DB8-927C-3CDE0E4166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914" name="Picture@5C\QPendientes@" descr="@5C\QPendientes@">
          <a:extLst>
            <a:ext uri="{FF2B5EF4-FFF2-40B4-BE49-F238E27FC236}">
              <a16:creationId xmlns:a16="http://schemas.microsoft.com/office/drawing/2014/main" id="{4260EFAC-5C94-40CD-822D-FC7E3B677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915" name="Picture@5C\QPendientes@" descr="@5C\QPendientes@">
          <a:extLst>
            <a:ext uri="{FF2B5EF4-FFF2-40B4-BE49-F238E27FC236}">
              <a16:creationId xmlns:a16="http://schemas.microsoft.com/office/drawing/2014/main" id="{45156F16-A941-4C4A-949F-EA50E26EB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916" name="Picture@5C\QPendientes@" descr="@5C\QPendientes@">
          <a:extLst>
            <a:ext uri="{FF2B5EF4-FFF2-40B4-BE49-F238E27FC236}">
              <a16:creationId xmlns:a16="http://schemas.microsoft.com/office/drawing/2014/main" id="{105D63A3-E852-4F38-964B-42CD3C0191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917" name="Picture@5C\QPendientes@" descr="@5C\QPendientes@">
          <a:extLst>
            <a:ext uri="{FF2B5EF4-FFF2-40B4-BE49-F238E27FC236}">
              <a16:creationId xmlns:a16="http://schemas.microsoft.com/office/drawing/2014/main" id="{A7AA4131-7A38-4C7A-99E2-0251C50367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918" name="Picture@5C\QPendientes@" descr="@5C\QPendientes@">
          <a:extLst>
            <a:ext uri="{FF2B5EF4-FFF2-40B4-BE49-F238E27FC236}">
              <a16:creationId xmlns:a16="http://schemas.microsoft.com/office/drawing/2014/main" id="{D0B52C2E-1D29-480F-BDC0-1E9273F0E7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919" name="Picture@5C\QPendientes@" descr="@5C\QPendientes@">
          <a:extLst>
            <a:ext uri="{FF2B5EF4-FFF2-40B4-BE49-F238E27FC236}">
              <a16:creationId xmlns:a16="http://schemas.microsoft.com/office/drawing/2014/main" id="{4B4882DF-85C3-404E-A39A-A41FAE9B66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920" name="Picture@5C\QPendientes@" descr="@5C\QPendientes@">
          <a:extLst>
            <a:ext uri="{FF2B5EF4-FFF2-40B4-BE49-F238E27FC236}">
              <a16:creationId xmlns:a16="http://schemas.microsoft.com/office/drawing/2014/main" id="{674D100D-BF95-497B-A2F0-241C2CB8A7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921" name="Picture@5C\QPendientes@" descr="@5C\QPendientes@">
          <a:extLst>
            <a:ext uri="{FF2B5EF4-FFF2-40B4-BE49-F238E27FC236}">
              <a16:creationId xmlns:a16="http://schemas.microsoft.com/office/drawing/2014/main" id="{17C58BF8-7102-4AF8-A33A-57208077D7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922" name="Picture@5C\QPendientes@" descr="@5C\QPendientes@">
          <a:extLst>
            <a:ext uri="{FF2B5EF4-FFF2-40B4-BE49-F238E27FC236}">
              <a16:creationId xmlns:a16="http://schemas.microsoft.com/office/drawing/2014/main" id="{176D961A-6A98-407D-800A-A17F9453B6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923" name="Picture@5C\QPendientes@" descr="@5C\QPendientes@">
          <a:extLst>
            <a:ext uri="{FF2B5EF4-FFF2-40B4-BE49-F238E27FC236}">
              <a16:creationId xmlns:a16="http://schemas.microsoft.com/office/drawing/2014/main" id="{72F2A9B0-558B-4317-8F10-028DCC8C4E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924" name="Picture@5C\QPendientes@" descr="@5C\QPendientes@">
          <a:extLst>
            <a:ext uri="{FF2B5EF4-FFF2-40B4-BE49-F238E27FC236}">
              <a16:creationId xmlns:a16="http://schemas.microsoft.com/office/drawing/2014/main" id="{AE5E19E0-34CD-4A00-AA22-F6516870F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925" name="Picture@5C\QPendientes@" descr="@5C\QPendientes@">
          <a:extLst>
            <a:ext uri="{FF2B5EF4-FFF2-40B4-BE49-F238E27FC236}">
              <a16:creationId xmlns:a16="http://schemas.microsoft.com/office/drawing/2014/main" id="{09B99E39-5AA4-4DFC-A077-A74526DB8D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926" name="Picture@5C\QPendientes@" descr="@5C\QPendientes@">
          <a:extLst>
            <a:ext uri="{FF2B5EF4-FFF2-40B4-BE49-F238E27FC236}">
              <a16:creationId xmlns:a16="http://schemas.microsoft.com/office/drawing/2014/main" id="{BBD161DC-FA9F-4A39-9A60-B67B79BB9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927" name="Picture@5C\QPendientes@" descr="@5C\QPendientes@">
          <a:extLst>
            <a:ext uri="{FF2B5EF4-FFF2-40B4-BE49-F238E27FC236}">
              <a16:creationId xmlns:a16="http://schemas.microsoft.com/office/drawing/2014/main" id="{932A9EEC-DF3C-4046-BD1D-4236C69D7B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928" name="Picture@5C\QPendientes@" descr="@5C\QPendientes@">
          <a:extLst>
            <a:ext uri="{FF2B5EF4-FFF2-40B4-BE49-F238E27FC236}">
              <a16:creationId xmlns:a16="http://schemas.microsoft.com/office/drawing/2014/main" id="{9B925C18-9FD9-403B-9492-86A4C55EBB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929" name="Picture@5C\QPendientes@" descr="@5C\QPendientes@">
          <a:extLst>
            <a:ext uri="{FF2B5EF4-FFF2-40B4-BE49-F238E27FC236}">
              <a16:creationId xmlns:a16="http://schemas.microsoft.com/office/drawing/2014/main" id="{C35E9289-222D-4AB0-BFD0-89662B2E6A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930" name="Picture@5C\QPendientes@" descr="@5C\QPendientes@">
          <a:extLst>
            <a:ext uri="{FF2B5EF4-FFF2-40B4-BE49-F238E27FC236}">
              <a16:creationId xmlns:a16="http://schemas.microsoft.com/office/drawing/2014/main" id="{69189902-96DA-4654-9480-584605656D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931" name="Picture@5C\QPendientes@" descr="@5C\QPendientes@">
          <a:extLst>
            <a:ext uri="{FF2B5EF4-FFF2-40B4-BE49-F238E27FC236}">
              <a16:creationId xmlns:a16="http://schemas.microsoft.com/office/drawing/2014/main" id="{0300A199-FFAC-436C-9102-035D176C5E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932" name="Picture@5C\QPendientes@" descr="@5C\QPendientes@">
          <a:extLst>
            <a:ext uri="{FF2B5EF4-FFF2-40B4-BE49-F238E27FC236}">
              <a16:creationId xmlns:a16="http://schemas.microsoft.com/office/drawing/2014/main" id="{89F672F3-24FD-4164-BB67-29807B1C54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933" name="Picture@5C\QPendientes@" descr="@5C\QPendientes@">
          <a:extLst>
            <a:ext uri="{FF2B5EF4-FFF2-40B4-BE49-F238E27FC236}">
              <a16:creationId xmlns:a16="http://schemas.microsoft.com/office/drawing/2014/main" id="{79895566-EC9E-489B-8F6C-0D3A77FFFC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934" name="Picture@5C\QPendientes@" descr="@5C\QPendientes@">
          <a:extLst>
            <a:ext uri="{FF2B5EF4-FFF2-40B4-BE49-F238E27FC236}">
              <a16:creationId xmlns:a16="http://schemas.microsoft.com/office/drawing/2014/main" id="{E69FAD68-88E3-4A60-BC5A-6B118BE65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935" name="Picture@5C\QPendientes@" descr="@5C\QPendientes@">
          <a:extLst>
            <a:ext uri="{FF2B5EF4-FFF2-40B4-BE49-F238E27FC236}">
              <a16:creationId xmlns:a16="http://schemas.microsoft.com/office/drawing/2014/main" id="{B98ADBD8-7531-42C3-9414-E3191D5570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936" name="Picture@5C\QPendientes@" descr="@5C\QPendientes@">
          <a:extLst>
            <a:ext uri="{FF2B5EF4-FFF2-40B4-BE49-F238E27FC236}">
              <a16:creationId xmlns:a16="http://schemas.microsoft.com/office/drawing/2014/main" id="{DE6CC2B3-8624-43F2-BF92-8DE65B6D3B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937" name="Picture@5C\QPendientes@" descr="@5C\QPendientes@">
          <a:extLst>
            <a:ext uri="{FF2B5EF4-FFF2-40B4-BE49-F238E27FC236}">
              <a16:creationId xmlns:a16="http://schemas.microsoft.com/office/drawing/2014/main" id="{195B425B-C5BC-4BAD-B49D-7748BF8238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938" name="Picture@5C\QPendientes@" descr="@5C\QPendientes@">
          <a:extLst>
            <a:ext uri="{FF2B5EF4-FFF2-40B4-BE49-F238E27FC236}">
              <a16:creationId xmlns:a16="http://schemas.microsoft.com/office/drawing/2014/main" id="{DCB44C04-9F2F-40A2-A0F1-B29495A24B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939" name="Picture@5C\QPendientes@" descr="@5C\QPendientes@">
          <a:extLst>
            <a:ext uri="{FF2B5EF4-FFF2-40B4-BE49-F238E27FC236}">
              <a16:creationId xmlns:a16="http://schemas.microsoft.com/office/drawing/2014/main" id="{AB679F4F-E963-455E-AF1E-55CF981639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940" name="Picture@5C\QPendientes@" descr="@5C\QPendientes@">
          <a:extLst>
            <a:ext uri="{FF2B5EF4-FFF2-40B4-BE49-F238E27FC236}">
              <a16:creationId xmlns:a16="http://schemas.microsoft.com/office/drawing/2014/main" id="{FE9D43A8-C956-47DC-B49E-DC4DC66199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941" name="Picture@5C\QPendientes@" descr="@5C\QPendientes@">
          <a:extLst>
            <a:ext uri="{FF2B5EF4-FFF2-40B4-BE49-F238E27FC236}">
              <a16:creationId xmlns:a16="http://schemas.microsoft.com/office/drawing/2014/main" id="{DE6F745F-82E6-4199-BE56-BA03414D65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942" name="Picture@5C\QPendientes@" descr="@5C\QPendientes@">
          <a:extLst>
            <a:ext uri="{FF2B5EF4-FFF2-40B4-BE49-F238E27FC236}">
              <a16:creationId xmlns:a16="http://schemas.microsoft.com/office/drawing/2014/main" id="{02B6B08B-1E73-4385-9A91-44B13C0964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943" name="Picture@5C\QPendientes@" descr="@5C\QPendientes@">
          <a:extLst>
            <a:ext uri="{FF2B5EF4-FFF2-40B4-BE49-F238E27FC236}">
              <a16:creationId xmlns:a16="http://schemas.microsoft.com/office/drawing/2014/main" id="{DC4A595A-AF13-48DA-8B2C-E4FB2E90D7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944" name="Picture@5C\QPendientes@" descr="@5C\QPendientes@">
          <a:extLst>
            <a:ext uri="{FF2B5EF4-FFF2-40B4-BE49-F238E27FC236}">
              <a16:creationId xmlns:a16="http://schemas.microsoft.com/office/drawing/2014/main" id="{357CE8A3-35B5-418B-8A9D-3358FC845D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945" name="Picture@5C\QPendientes@" descr="@5C\QPendientes@">
          <a:extLst>
            <a:ext uri="{FF2B5EF4-FFF2-40B4-BE49-F238E27FC236}">
              <a16:creationId xmlns:a16="http://schemas.microsoft.com/office/drawing/2014/main" id="{C5036602-724E-44B1-8984-7CF3999B4C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946" name="Picture@5C\QPendientes@" descr="@5C\QPendientes@">
          <a:extLst>
            <a:ext uri="{FF2B5EF4-FFF2-40B4-BE49-F238E27FC236}">
              <a16:creationId xmlns:a16="http://schemas.microsoft.com/office/drawing/2014/main" id="{6564A6BA-9DF4-4384-8188-EB2BD55478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947" name="Picture@5C\QPendientes@" descr="@5C\QPendientes@">
          <a:extLst>
            <a:ext uri="{FF2B5EF4-FFF2-40B4-BE49-F238E27FC236}">
              <a16:creationId xmlns:a16="http://schemas.microsoft.com/office/drawing/2014/main" id="{328000C2-09AF-4A06-8251-07DC3831E0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948" name="Picture@5C\QPendientes@" descr="@5C\QPendientes@">
          <a:extLst>
            <a:ext uri="{FF2B5EF4-FFF2-40B4-BE49-F238E27FC236}">
              <a16:creationId xmlns:a16="http://schemas.microsoft.com/office/drawing/2014/main" id="{5532A36F-4BD3-4BDA-AA7C-53FACE7694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949" name="Picture@5C\QPendientes@" descr="@5C\QPendientes@">
          <a:extLst>
            <a:ext uri="{FF2B5EF4-FFF2-40B4-BE49-F238E27FC236}">
              <a16:creationId xmlns:a16="http://schemas.microsoft.com/office/drawing/2014/main" id="{7770677C-28C0-46C5-AC84-ED7B8F81D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950" name="Picture@5C\QPendientes@" descr="@5C\QPendientes@">
          <a:extLst>
            <a:ext uri="{FF2B5EF4-FFF2-40B4-BE49-F238E27FC236}">
              <a16:creationId xmlns:a16="http://schemas.microsoft.com/office/drawing/2014/main" id="{9E5D0396-21F2-4385-8301-3EFF9F6CB1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951" name="Picture@5C\QPendientes@" descr="@5C\QPendientes@">
          <a:extLst>
            <a:ext uri="{FF2B5EF4-FFF2-40B4-BE49-F238E27FC236}">
              <a16:creationId xmlns:a16="http://schemas.microsoft.com/office/drawing/2014/main" id="{108F93CD-6447-4EA7-912E-DFE7BBC80C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952" name="Picture@5C\QPendientes@" descr="@5C\QPendientes@">
          <a:extLst>
            <a:ext uri="{FF2B5EF4-FFF2-40B4-BE49-F238E27FC236}">
              <a16:creationId xmlns:a16="http://schemas.microsoft.com/office/drawing/2014/main" id="{9D5EE05A-3390-40D7-AAF7-DF2FD6938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953" name="Picture@5C\QPendientes@" descr="@5C\QPendientes@">
          <a:extLst>
            <a:ext uri="{FF2B5EF4-FFF2-40B4-BE49-F238E27FC236}">
              <a16:creationId xmlns:a16="http://schemas.microsoft.com/office/drawing/2014/main" id="{88C4E65E-82AF-4BA7-A127-91219EF957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954" name="Picture@5C\QPendientes@" descr="@5C\QPendientes@">
          <a:extLst>
            <a:ext uri="{FF2B5EF4-FFF2-40B4-BE49-F238E27FC236}">
              <a16:creationId xmlns:a16="http://schemas.microsoft.com/office/drawing/2014/main" id="{31A07109-AE03-4D03-A11A-62890BEEC0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955" name="Picture@5C\QPendientes@" descr="@5C\QPendientes@">
          <a:extLst>
            <a:ext uri="{FF2B5EF4-FFF2-40B4-BE49-F238E27FC236}">
              <a16:creationId xmlns:a16="http://schemas.microsoft.com/office/drawing/2014/main" id="{968BEBFF-B87A-4C03-9302-17A93B29B0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956" name="Picture@5C\QPendientes@" descr="@5C\QPendientes@">
          <a:extLst>
            <a:ext uri="{FF2B5EF4-FFF2-40B4-BE49-F238E27FC236}">
              <a16:creationId xmlns:a16="http://schemas.microsoft.com/office/drawing/2014/main" id="{704B28E7-E448-40F0-9B95-8D52154C41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957" name="Picture@5C\QPendientes@" descr="@5C\QPendientes@">
          <a:extLst>
            <a:ext uri="{FF2B5EF4-FFF2-40B4-BE49-F238E27FC236}">
              <a16:creationId xmlns:a16="http://schemas.microsoft.com/office/drawing/2014/main" id="{B18550A4-E21F-4B6C-A1BB-E22704A425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958" name="Picture@5C\QPendientes@" descr="@5C\QPendientes@">
          <a:extLst>
            <a:ext uri="{FF2B5EF4-FFF2-40B4-BE49-F238E27FC236}">
              <a16:creationId xmlns:a16="http://schemas.microsoft.com/office/drawing/2014/main" id="{AD5C82D6-4A57-4B1F-9DA9-1D97F7A6B6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959" name="Picture@5C\QPendientes@" descr="@5C\QPendientes@">
          <a:extLst>
            <a:ext uri="{FF2B5EF4-FFF2-40B4-BE49-F238E27FC236}">
              <a16:creationId xmlns:a16="http://schemas.microsoft.com/office/drawing/2014/main" id="{C4ECF719-938F-4C04-89BF-E2147B860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960" name="Picture@5C\QPendientes@" descr="@5C\QPendientes@">
          <a:extLst>
            <a:ext uri="{FF2B5EF4-FFF2-40B4-BE49-F238E27FC236}">
              <a16:creationId xmlns:a16="http://schemas.microsoft.com/office/drawing/2014/main" id="{6E675F9E-7D46-4C8D-B285-B13B774E66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961" name="Picture@5C\QPendientes@" descr="@5C\QPendientes@">
          <a:extLst>
            <a:ext uri="{FF2B5EF4-FFF2-40B4-BE49-F238E27FC236}">
              <a16:creationId xmlns:a16="http://schemas.microsoft.com/office/drawing/2014/main" id="{35CE5096-2579-44CF-AD65-CEE9BBD909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962" name="Picture@5C\QPendientes@" descr="@5C\QPendientes@">
          <a:extLst>
            <a:ext uri="{FF2B5EF4-FFF2-40B4-BE49-F238E27FC236}">
              <a16:creationId xmlns:a16="http://schemas.microsoft.com/office/drawing/2014/main" id="{299CA3D4-3F7C-4CE2-90ED-CD9F7849EA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963" name="Picture@5C\QPendientes@" descr="@5C\QPendientes@">
          <a:extLst>
            <a:ext uri="{FF2B5EF4-FFF2-40B4-BE49-F238E27FC236}">
              <a16:creationId xmlns:a16="http://schemas.microsoft.com/office/drawing/2014/main" id="{AC888D1A-8B80-4785-A9C3-B741994657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964" name="Picture@5C\QPendientes@" descr="@5C\QPendientes@">
          <a:extLst>
            <a:ext uri="{FF2B5EF4-FFF2-40B4-BE49-F238E27FC236}">
              <a16:creationId xmlns:a16="http://schemas.microsoft.com/office/drawing/2014/main" id="{DEE53EA0-5668-4552-8960-2C0168B325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965" name="Picture@5C\QPendientes@" descr="@5C\QPendientes@">
          <a:extLst>
            <a:ext uri="{FF2B5EF4-FFF2-40B4-BE49-F238E27FC236}">
              <a16:creationId xmlns:a16="http://schemas.microsoft.com/office/drawing/2014/main" id="{8D37007A-2575-400E-BABE-D17FC534B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966" name="Picture@5C\QPendientes@" descr="@5C\QPendientes@">
          <a:extLst>
            <a:ext uri="{FF2B5EF4-FFF2-40B4-BE49-F238E27FC236}">
              <a16:creationId xmlns:a16="http://schemas.microsoft.com/office/drawing/2014/main" id="{370B8695-97BC-4A6F-9D45-0CB98A3E22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967" name="Picture@5C\QPendientes@" descr="@5C\QPendientes@">
          <a:extLst>
            <a:ext uri="{FF2B5EF4-FFF2-40B4-BE49-F238E27FC236}">
              <a16:creationId xmlns:a16="http://schemas.microsoft.com/office/drawing/2014/main" id="{4669B375-8792-404F-9E4B-F62581D37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968" name="Picture@5C\QPendientes@" descr="@5C\QPendientes@">
          <a:extLst>
            <a:ext uri="{FF2B5EF4-FFF2-40B4-BE49-F238E27FC236}">
              <a16:creationId xmlns:a16="http://schemas.microsoft.com/office/drawing/2014/main" id="{5092FC5B-A27A-471B-A435-7963F32D8D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969" name="Picture@5C\QPendientes@" descr="@5C\QPendientes@">
          <a:extLst>
            <a:ext uri="{FF2B5EF4-FFF2-40B4-BE49-F238E27FC236}">
              <a16:creationId xmlns:a16="http://schemas.microsoft.com/office/drawing/2014/main" id="{38AA05A8-734C-4E36-BAD2-4721BBFE59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970" name="Picture@5C\QPendientes@" descr="@5C\QPendientes@">
          <a:extLst>
            <a:ext uri="{FF2B5EF4-FFF2-40B4-BE49-F238E27FC236}">
              <a16:creationId xmlns:a16="http://schemas.microsoft.com/office/drawing/2014/main" id="{725341E6-5984-4438-BC9F-4214106B91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971" name="Picture@5C\QPendientes@" descr="@5C\QPendientes@">
          <a:extLst>
            <a:ext uri="{FF2B5EF4-FFF2-40B4-BE49-F238E27FC236}">
              <a16:creationId xmlns:a16="http://schemas.microsoft.com/office/drawing/2014/main" id="{339BC6F5-22D1-469D-B7F5-69B3C3A7BA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972" name="Picture@5C\QPendientes@" descr="@5C\QPendientes@">
          <a:extLst>
            <a:ext uri="{FF2B5EF4-FFF2-40B4-BE49-F238E27FC236}">
              <a16:creationId xmlns:a16="http://schemas.microsoft.com/office/drawing/2014/main" id="{CE481D08-B032-46C4-B6FE-CAB0E160D0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973" name="Picture@5C\QPendientes@" descr="@5C\QPendientes@">
          <a:extLst>
            <a:ext uri="{FF2B5EF4-FFF2-40B4-BE49-F238E27FC236}">
              <a16:creationId xmlns:a16="http://schemas.microsoft.com/office/drawing/2014/main" id="{0136C6E3-D0DE-418B-8EE2-C636637D32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974" name="Picture@5C\QPendientes@" descr="@5C\QPendientes@">
          <a:extLst>
            <a:ext uri="{FF2B5EF4-FFF2-40B4-BE49-F238E27FC236}">
              <a16:creationId xmlns:a16="http://schemas.microsoft.com/office/drawing/2014/main" id="{C614EEAA-5BC4-4F8E-9EC2-D0DBEA16AC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975" name="Picture@5C\QPendientes@" descr="@5C\QPendientes@">
          <a:extLst>
            <a:ext uri="{FF2B5EF4-FFF2-40B4-BE49-F238E27FC236}">
              <a16:creationId xmlns:a16="http://schemas.microsoft.com/office/drawing/2014/main" id="{F0266A14-CDF9-4278-8D53-FD45187EB4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976" name="Picture@5C\QPendientes@" descr="@5C\QPendientes@">
          <a:extLst>
            <a:ext uri="{FF2B5EF4-FFF2-40B4-BE49-F238E27FC236}">
              <a16:creationId xmlns:a16="http://schemas.microsoft.com/office/drawing/2014/main" id="{EF9B6651-8D88-4A13-A195-C7759F5CC2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977" name="Picture@5C\QPendientes@" descr="@5C\QPendientes@">
          <a:extLst>
            <a:ext uri="{FF2B5EF4-FFF2-40B4-BE49-F238E27FC236}">
              <a16:creationId xmlns:a16="http://schemas.microsoft.com/office/drawing/2014/main" id="{79E4E4D4-5208-49FD-870C-CEFB69E09F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978" name="Picture@5C\QPendientes@" descr="@5C\QPendientes@">
          <a:extLst>
            <a:ext uri="{FF2B5EF4-FFF2-40B4-BE49-F238E27FC236}">
              <a16:creationId xmlns:a16="http://schemas.microsoft.com/office/drawing/2014/main" id="{43E29E66-0241-4790-8193-3500093CC6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979" name="Picture@5C\QPendientes@" descr="@5C\QPendientes@">
          <a:extLst>
            <a:ext uri="{FF2B5EF4-FFF2-40B4-BE49-F238E27FC236}">
              <a16:creationId xmlns:a16="http://schemas.microsoft.com/office/drawing/2014/main" id="{16B37808-1E1D-44DF-A282-2FBB9E5B9B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980" name="Picture@5C\QPendientes@" descr="@5C\QPendientes@">
          <a:extLst>
            <a:ext uri="{FF2B5EF4-FFF2-40B4-BE49-F238E27FC236}">
              <a16:creationId xmlns:a16="http://schemas.microsoft.com/office/drawing/2014/main" id="{17F15BAC-59EE-43D6-876C-1F4164D89E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981" name="Picture@5C\QPendientes@" descr="@5C\QPendientes@">
          <a:extLst>
            <a:ext uri="{FF2B5EF4-FFF2-40B4-BE49-F238E27FC236}">
              <a16:creationId xmlns:a16="http://schemas.microsoft.com/office/drawing/2014/main" id="{BD04BDB1-FAED-4C9C-AEEE-17926EBA3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982" name="Picture@5C\QPendientes@" descr="@5C\QPendientes@">
          <a:extLst>
            <a:ext uri="{FF2B5EF4-FFF2-40B4-BE49-F238E27FC236}">
              <a16:creationId xmlns:a16="http://schemas.microsoft.com/office/drawing/2014/main" id="{06D8AF9A-A9BC-4475-949E-3261EC8B91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983" name="Picture@5C\QPendientes@" descr="@5C\QPendientes@">
          <a:extLst>
            <a:ext uri="{FF2B5EF4-FFF2-40B4-BE49-F238E27FC236}">
              <a16:creationId xmlns:a16="http://schemas.microsoft.com/office/drawing/2014/main" id="{3530386D-BF02-4BAD-ACEE-AC07B15191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984" name="Picture@5C\QPendientes@" descr="@5C\QPendientes@">
          <a:extLst>
            <a:ext uri="{FF2B5EF4-FFF2-40B4-BE49-F238E27FC236}">
              <a16:creationId xmlns:a16="http://schemas.microsoft.com/office/drawing/2014/main" id="{1B7E61AC-3697-4C43-9D03-03327EE3E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985" name="Picture@5C\QPendientes@" descr="@5C\QPendientes@">
          <a:extLst>
            <a:ext uri="{FF2B5EF4-FFF2-40B4-BE49-F238E27FC236}">
              <a16:creationId xmlns:a16="http://schemas.microsoft.com/office/drawing/2014/main" id="{341D012F-2C26-4670-B203-880123C39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986" name="Picture@5C\QPendientes@" descr="@5C\QPendientes@">
          <a:extLst>
            <a:ext uri="{FF2B5EF4-FFF2-40B4-BE49-F238E27FC236}">
              <a16:creationId xmlns:a16="http://schemas.microsoft.com/office/drawing/2014/main" id="{AA3E250D-0529-408C-BE94-F5AEE40BA1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987" name="Picture@5C\QPendientes@" descr="@5C\QPendientes@">
          <a:extLst>
            <a:ext uri="{FF2B5EF4-FFF2-40B4-BE49-F238E27FC236}">
              <a16:creationId xmlns:a16="http://schemas.microsoft.com/office/drawing/2014/main" id="{00817B65-00ED-4326-8E26-A80D7D67D5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988" name="Picture@5C\QPendientes@" descr="@5C\QPendientes@">
          <a:extLst>
            <a:ext uri="{FF2B5EF4-FFF2-40B4-BE49-F238E27FC236}">
              <a16:creationId xmlns:a16="http://schemas.microsoft.com/office/drawing/2014/main" id="{75505011-FC14-465B-A2BE-0B397E7BB1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989" name="Picture@5C\QPendientes@" descr="@5C\QPendientes@">
          <a:extLst>
            <a:ext uri="{FF2B5EF4-FFF2-40B4-BE49-F238E27FC236}">
              <a16:creationId xmlns:a16="http://schemas.microsoft.com/office/drawing/2014/main" id="{BBBECFEF-0B99-47A3-830C-2051961F14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990" name="Picture@5C\QPendientes@" descr="@5C\QPendientes@">
          <a:extLst>
            <a:ext uri="{FF2B5EF4-FFF2-40B4-BE49-F238E27FC236}">
              <a16:creationId xmlns:a16="http://schemas.microsoft.com/office/drawing/2014/main" id="{41B60A6A-D3CC-4291-9C5A-4A90AC3835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991" name="Picture@5C\QPendientes@" descr="@5C\QPendientes@">
          <a:extLst>
            <a:ext uri="{FF2B5EF4-FFF2-40B4-BE49-F238E27FC236}">
              <a16:creationId xmlns:a16="http://schemas.microsoft.com/office/drawing/2014/main" id="{530ACF63-8A4A-4086-96F7-8B90103EC4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992" name="Picture@5C\QPendientes@" descr="@5C\QPendientes@">
          <a:extLst>
            <a:ext uri="{FF2B5EF4-FFF2-40B4-BE49-F238E27FC236}">
              <a16:creationId xmlns:a16="http://schemas.microsoft.com/office/drawing/2014/main" id="{D2D60240-4941-4958-9481-5EE741FA7B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993" name="Picture@5C\QPendientes@" descr="@5C\QPendientes@">
          <a:extLst>
            <a:ext uri="{FF2B5EF4-FFF2-40B4-BE49-F238E27FC236}">
              <a16:creationId xmlns:a16="http://schemas.microsoft.com/office/drawing/2014/main" id="{8A58D4B3-083C-49A5-B379-66ECE51C7C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994" name="Picture@5C\QPendientes@" descr="@5C\QPendientes@">
          <a:extLst>
            <a:ext uri="{FF2B5EF4-FFF2-40B4-BE49-F238E27FC236}">
              <a16:creationId xmlns:a16="http://schemas.microsoft.com/office/drawing/2014/main" id="{C27954A3-DDBF-4F4D-85F0-D1AD5529BA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995" name="Picture@5C\QPendientes@" descr="@5C\QPendientes@">
          <a:extLst>
            <a:ext uri="{FF2B5EF4-FFF2-40B4-BE49-F238E27FC236}">
              <a16:creationId xmlns:a16="http://schemas.microsoft.com/office/drawing/2014/main" id="{9BEB1962-F179-4307-93F4-08FDA0755B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996" name="Picture@5C\QPendientes@" descr="@5C\QPendientes@">
          <a:extLst>
            <a:ext uri="{FF2B5EF4-FFF2-40B4-BE49-F238E27FC236}">
              <a16:creationId xmlns:a16="http://schemas.microsoft.com/office/drawing/2014/main" id="{03AA366F-6D21-4E98-9D13-E40E7D4D40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997" name="Picture@5C\QPendientes@" descr="@5C\QPendientes@">
          <a:extLst>
            <a:ext uri="{FF2B5EF4-FFF2-40B4-BE49-F238E27FC236}">
              <a16:creationId xmlns:a16="http://schemas.microsoft.com/office/drawing/2014/main" id="{E72BAB1A-F1FD-4919-BC20-68C8A2D21A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998" name="Picture@5C\QPendientes@" descr="@5C\QPendientes@">
          <a:extLst>
            <a:ext uri="{FF2B5EF4-FFF2-40B4-BE49-F238E27FC236}">
              <a16:creationId xmlns:a16="http://schemas.microsoft.com/office/drawing/2014/main" id="{CEE6E048-29A7-4005-BEFB-60AE036DDC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999" name="Picture@5C\QPendientes@" descr="@5C\QPendientes@">
          <a:extLst>
            <a:ext uri="{FF2B5EF4-FFF2-40B4-BE49-F238E27FC236}">
              <a16:creationId xmlns:a16="http://schemas.microsoft.com/office/drawing/2014/main" id="{DBCFCA8E-3529-481F-83FE-DB20AF7FA4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1000" name="Picture@5C\QPendientes@" descr="@5C\QPendientes@">
          <a:extLst>
            <a:ext uri="{FF2B5EF4-FFF2-40B4-BE49-F238E27FC236}">
              <a16:creationId xmlns:a16="http://schemas.microsoft.com/office/drawing/2014/main" id="{CC8ABC7C-2F1B-4474-9823-57F97357A2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1001" name="Picture@5C\QPendientes@" descr="@5C\QPendientes@">
          <a:extLst>
            <a:ext uri="{FF2B5EF4-FFF2-40B4-BE49-F238E27FC236}">
              <a16:creationId xmlns:a16="http://schemas.microsoft.com/office/drawing/2014/main" id="{481BD6C7-7B7D-4E64-B8B5-B67877CAB9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1002" name="Picture@5C\QPendientes@" descr="@5C\QPendientes@">
          <a:extLst>
            <a:ext uri="{FF2B5EF4-FFF2-40B4-BE49-F238E27FC236}">
              <a16:creationId xmlns:a16="http://schemas.microsoft.com/office/drawing/2014/main" id="{AA15C614-94E7-4C82-AB8F-CDF11328BD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1003" name="Picture@5C\QPendientes@" descr="@5C\QPendientes@">
          <a:extLst>
            <a:ext uri="{FF2B5EF4-FFF2-40B4-BE49-F238E27FC236}">
              <a16:creationId xmlns:a16="http://schemas.microsoft.com/office/drawing/2014/main" id="{8EB58C88-174E-4085-AB92-E4A0498A3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1004" name="Picture@5C\QPendientes@" descr="@5C\QPendientes@">
          <a:extLst>
            <a:ext uri="{FF2B5EF4-FFF2-40B4-BE49-F238E27FC236}">
              <a16:creationId xmlns:a16="http://schemas.microsoft.com/office/drawing/2014/main" id="{34621B99-80D4-4FC2-B217-49A401880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1005" name="Picture@5C\QPendientes@" descr="@5C\QPendientes@">
          <a:extLst>
            <a:ext uri="{FF2B5EF4-FFF2-40B4-BE49-F238E27FC236}">
              <a16:creationId xmlns:a16="http://schemas.microsoft.com/office/drawing/2014/main" id="{4BEB88B0-4F13-4D22-A726-5D3EDFADA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1006" name="Picture@5C\QPendientes@" descr="@5C\QPendientes@">
          <a:extLst>
            <a:ext uri="{FF2B5EF4-FFF2-40B4-BE49-F238E27FC236}">
              <a16:creationId xmlns:a16="http://schemas.microsoft.com/office/drawing/2014/main" id="{49C026B8-2A9F-4D82-9979-A8DDBCBD6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1007" name="Picture@5C\QPendientes@" descr="@5C\QPendientes@">
          <a:extLst>
            <a:ext uri="{FF2B5EF4-FFF2-40B4-BE49-F238E27FC236}">
              <a16:creationId xmlns:a16="http://schemas.microsoft.com/office/drawing/2014/main" id="{34410D97-2326-48C5-B9EF-2F591CB4A1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1008" name="Picture@5C\QPendientes@" descr="@5C\QPendientes@">
          <a:extLst>
            <a:ext uri="{FF2B5EF4-FFF2-40B4-BE49-F238E27FC236}">
              <a16:creationId xmlns:a16="http://schemas.microsoft.com/office/drawing/2014/main" id="{D76671EE-C062-431F-9EDB-7D50BC3E39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1009" name="Picture@5C\QPendientes@" descr="@5C\QPendientes@">
          <a:extLst>
            <a:ext uri="{FF2B5EF4-FFF2-40B4-BE49-F238E27FC236}">
              <a16:creationId xmlns:a16="http://schemas.microsoft.com/office/drawing/2014/main" id="{25EDD0C3-4514-4D3C-B383-49BFBB6562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1010" name="Picture@5C\QPendientes@" descr="@5C\QPendientes@">
          <a:extLst>
            <a:ext uri="{FF2B5EF4-FFF2-40B4-BE49-F238E27FC236}">
              <a16:creationId xmlns:a16="http://schemas.microsoft.com/office/drawing/2014/main" id="{6025F9EC-ADA6-4AE3-BCEB-0E06049CD2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1011" name="Picture@5C\QPendientes@" descr="@5C\QPendientes@">
          <a:extLst>
            <a:ext uri="{FF2B5EF4-FFF2-40B4-BE49-F238E27FC236}">
              <a16:creationId xmlns:a16="http://schemas.microsoft.com/office/drawing/2014/main" id="{57FFC65A-39C4-4B98-91DE-BF36B226B4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1012" name="Picture@5C\QPendientes@" descr="@5C\QPendientes@">
          <a:extLst>
            <a:ext uri="{FF2B5EF4-FFF2-40B4-BE49-F238E27FC236}">
              <a16:creationId xmlns:a16="http://schemas.microsoft.com/office/drawing/2014/main" id="{6905539D-C5C9-4F58-8009-CEB7D035B4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1013" name="Picture@5C\QPendientes@" descr="@5C\QPendientes@">
          <a:extLst>
            <a:ext uri="{FF2B5EF4-FFF2-40B4-BE49-F238E27FC236}">
              <a16:creationId xmlns:a16="http://schemas.microsoft.com/office/drawing/2014/main" id="{A3615A08-928B-42AC-A255-27442BFC64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1014" name="Picture@5C\QPendientes@" descr="@5C\QPendientes@">
          <a:extLst>
            <a:ext uri="{FF2B5EF4-FFF2-40B4-BE49-F238E27FC236}">
              <a16:creationId xmlns:a16="http://schemas.microsoft.com/office/drawing/2014/main" id="{32E9FC97-06EC-44D4-9D10-32C92C231A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1015" name="Picture@5C\QPendientes@" descr="@5C\QPendientes@">
          <a:extLst>
            <a:ext uri="{FF2B5EF4-FFF2-40B4-BE49-F238E27FC236}">
              <a16:creationId xmlns:a16="http://schemas.microsoft.com/office/drawing/2014/main" id="{82D079EF-495C-413F-A2DF-774530673F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1016" name="Picture@5C\QPendientes@" descr="@5C\QPendientes@">
          <a:extLst>
            <a:ext uri="{FF2B5EF4-FFF2-40B4-BE49-F238E27FC236}">
              <a16:creationId xmlns:a16="http://schemas.microsoft.com/office/drawing/2014/main" id="{26CA85A2-0114-4AB1-A073-E4079132EB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1017" name="Picture@5C\QPendientes@" descr="@5C\QPendientes@">
          <a:extLst>
            <a:ext uri="{FF2B5EF4-FFF2-40B4-BE49-F238E27FC236}">
              <a16:creationId xmlns:a16="http://schemas.microsoft.com/office/drawing/2014/main" id="{9970F54D-CDFA-4BE6-A329-4030F5DEEB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1018" name="Picture@5C\QPendientes@" descr="@5C\QPendientes@">
          <a:extLst>
            <a:ext uri="{FF2B5EF4-FFF2-40B4-BE49-F238E27FC236}">
              <a16:creationId xmlns:a16="http://schemas.microsoft.com/office/drawing/2014/main" id="{5F0BC64C-5200-4DDF-BA81-546FC5B2DC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1019" name="Picture@5C\QPendientes@" descr="@5C\QPendientes@">
          <a:extLst>
            <a:ext uri="{FF2B5EF4-FFF2-40B4-BE49-F238E27FC236}">
              <a16:creationId xmlns:a16="http://schemas.microsoft.com/office/drawing/2014/main" id="{A62D4C9E-8FC3-4C88-8544-13A5FEAE23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2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1020" name="Picture@5C\QPendientes@" descr="@5C\QPendientes@">
          <a:extLst>
            <a:ext uri="{FF2B5EF4-FFF2-40B4-BE49-F238E27FC236}">
              <a16:creationId xmlns:a16="http://schemas.microsoft.com/office/drawing/2014/main" id="{029610C8-26E0-4C38-BC35-7A3FDC88AC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4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1021" name="Picture@5C\QPendientes@" descr="@5C\QPendientes@">
          <a:extLst>
            <a:ext uri="{FF2B5EF4-FFF2-40B4-BE49-F238E27FC236}">
              <a16:creationId xmlns:a16="http://schemas.microsoft.com/office/drawing/2014/main" id="{71EEAB44-457B-40AD-A84C-AF8323BB23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1022" name="Picture@5C\QPendientes@" descr="@5C\QPendientes@">
          <a:extLst>
            <a:ext uri="{FF2B5EF4-FFF2-40B4-BE49-F238E27FC236}">
              <a16:creationId xmlns:a16="http://schemas.microsoft.com/office/drawing/2014/main" id="{DADB5094-75A6-4BA6-ACA2-5525BD9D2F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1023" name="Picture@5C\QPendientes@" descr="@5C\QPendientes@">
          <a:extLst>
            <a:ext uri="{FF2B5EF4-FFF2-40B4-BE49-F238E27FC236}">
              <a16:creationId xmlns:a16="http://schemas.microsoft.com/office/drawing/2014/main" id="{9A9E54AC-F8EC-429F-BBD5-186F14FC5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1024" name="Picture@5C\QPendientes@" descr="@5C\QPendientes@">
          <a:extLst>
            <a:ext uri="{FF2B5EF4-FFF2-40B4-BE49-F238E27FC236}">
              <a16:creationId xmlns:a16="http://schemas.microsoft.com/office/drawing/2014/main" id="{31E17D57-83A3-415A-BCD2-18FDF38EFA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1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1025" name="Picture@5C\QPendientes@" descr="@5C\QPendientes@">
          <a:extLst>
            <a:ext uri="{FF2B5EF4-FFF2-40B4-BE49-F238E27FC236}">
              <a16:creationId xmlns:a16="http://schemas.microsoft.com/office/drawing/2014/main" id="{8D24B488-D1AF-45EE-A470-E45C19093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3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1026" name="Picture@5C\QPendientes@" descr="@5C\QPendientes@">
          <a:extLst>
            <a:ext uri="{FF2B5EF4-FFF2-40B4-BE49-F238E27FC236}">
              <a16:creationId xmlns:a16="http://schemas.microsoft.com/office/drawing/2014/main" id="{923D57EE-E48B-4A4B-B677-6CC4F823F6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1027" name="Picture@5C\QPendientes@" descr="@5C\QPendientes@">
          <a:extLst>
            <a:ext uri="{FF2B5EF4-FFF2-40B4-BE49-F238E27FC236}">
              <a16:creationId xmlns:a16="http://schemas.microsoft.com/office/drawing/2014/main" id="{2CDDD52B-D69B-4029-9754-8F6A111A46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1028" name="Picture@5C\QPendientes@" descr="@5C\QPendientes@">
          <a:extLst>
            <a:ext uri="{FF2B5EF4-FFF2-40B4-BE49-F238E27FC236}">
              <a16:creationId xmlns:a16="http://schemas.microsoft.com/office/drawing/2014/main" id="{D84C73E2-A531-47C4-900C-8AFE0CC87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1029" name="Picture@5C\QPendientes@" descr="@5C\QPendientes@">
          <a:extLst>
            <a:ext uri="{FF2B5EF4-FFF2-40B4-BE49-F238E27FC236}">
              <a16:creationId xmlns:a16="http://schemas.microsoft.com/office/drawing/2014/main" id="{ED602896-1384-46C2-8734-8F96C46DDC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1030" name="Picture@5C\QPendientes@" descr="@5C\QPendientes@">
          <a:extLst>
            <a:ext uri="{FF2B5EF4-FFF2-40B4-BE49-F238E27FC236}">
              <a16:creationId xmlns:a16="http://schemas.microsoft.com/office/drawing/2014/main" id="{1D7632AB-8BE3-4987-8FC8-CC6154BEBE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1031" name="Picture@5C\QPendientes@" descr="@5C\QPendientes@">
          <a:extLst>
            <a:ext uri="{FF2B5EF4-FFF2-40B4-BE49-F238E27FC236}">
              <a16:creationId xmlns:a16="http://schemas.microsoft.com/office/drawing/2014/main" id="{65748935-4742-45C4-AB31-80BC2FB83A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1032" name="Picture@5C\QPendientes@" descr="@5C\QPendientes@">
          <a:extLst>
            <a:ext uri="{FF2B5EF4-FFF2-40B4-BE49-F238E27FC236}">
              <a16:creationId xmlns:a16="http://schemas.microsoft.com/office/drawing/2014/main" id="{A63231A6-5719-4ECD-9306-9499982823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1033" name="Picture@5C\QPendientes@" descr="@5C\QPendientes@">
          <a:extLst>
            <a:ext uri="{FF2B5EF4-FFF2-40B4-BE49-F238E27FC236}">
              <a16:creationId xmlns:a16="http://schemas.microsoft.com/office/drawing/2014/main" id="{C6145A24-4690-4AC6-8C44-8E6D81B717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1034" name="Picture@5C\QPendientes@" descr="@5C\QPendientes@">
          <a:extLst>
            <a:ext uri="{FF2B5EF4-FFF2-40B4-BE49-F238E27FC236}">
              <a16:creationId xmlns:a16="http://schemas.microsoft.com/office/drawing/2014/main" id="{E41E807C-9A7B-4F2A-B8CB-2441E4CA15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1035" name="Picture@5C\QPendientes@" descr="@5C\QPendientes@">
          <a:extLst>
            <a:ext uri="{FF2B5EF4-FFF2-40B4-BE49-F238E27FC236}">
              <a16:creationId xmlns:a16="http://schemas.microsoft.com/office/drawing/2014/main" id="{76D3F77A-02E1-4390-AB1E-982539E9BA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1036" name="Picture@5C\QPendientes@" descr="@5C\QPendientes@">
          <a:extLst>
            <a:ext uri="{FF2B5EF4-FFF2-40B4-BE49-F238E27FC236}">
              <a16:creationId xmlns:a16="http://schemas.microsoft.com/office/drawing/2014/main" id="{A7D289CB-C518-4930-8617-1FBCA68693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1037" name="Picture@5C\QPendientes@" descr="@5C\QPendientes@">
          <a:extLst>
            <a:ext uri="{FF2B5EF4-FFF2-40B4-BE49-F238E27FC236}">
              <a16:creationId xmlns:a16="http://schemas.microsoft.com/office/drawing/2014/main" id="{5FAAD889-B9FC-446B-BAAC-55211539B1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1038" name="Picture@5C\QPendientes@" descr="@5C\QPendientes@">
          <a:extLst>
            <a:ext uri="{FF2B5EF4-FFF2-40B4-BE49-F238E27FC236}">
              <a16:creationId xmlns:a16="http://schemas.microsoft.com/office/drawing/2014/main" id="{F293641F-3BB9-444D-BC0C-BDD2DC7F67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1039" name="Picture@5C\QPendientes@" descr="@5C\QPendientes@">
          <a:extLst>
            <a:ext uri="{FF2B5EF4-FFF2-40B4-BE49-F238E27FC236}">
              <a16:creationId xmlns:a16="http://schemas.microsoft.com/office/drawing/2014/main" id="{FEC1B702-EBBF-4B96-806A-1DBE53FA05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1040" name="Picture@5C\QPendientes@" descr="@5C\QPendientes@">
          <a:extLst>
            <a:ext uri="{FF2B5EF4-FFF2-40B4-BE49-F238E27FC236}">
              <a16:creationId xmlns:a16="http://schemas.microsoft.com/office/drawing/2014/main" id="{B2307C9E-3EBC-4664-9601-429C359233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1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1041" name="Picture@5C\QPendientes@" descr="@5C\QPendientes@">
          <a:extLst>
            <a:ext uri="{FF2B5EF4-FFF2-40B4-BE49-F238E27FC236}">
              <a16:creationId xmlns:a16="http://schemas.microsoft.com/office/drawing/2014/main" id="{53BB51D3-3738-477C-B1E5-8AFAFB8A7C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1042" name="Picture@5C\QPendientes@" descr="@5C\QPendientes@">
          <a:extLst>
            <a:ext uri="{FF2B5EF4-FFF2-40B4-BE49-F238E27FC236}">
              <a16:creationId xmlns:a16="http://schemas.microsoft.com/office/drawing/2014/main" id="{B9696682-5DBE-41AD-BDB3-66DD3AC0D0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1043" name="Picture@5C\QPendientes@" descr="@5C\QPendientes@">
          <a:extLst>
            <a:ext uri="{FF2B5EF4-FFF2-40B4-BE49-F238E27FC236}">
              <a16:creationId xmlns:a16="http://schemas.microsoft.com/office/drawing/2014/main" id="{51ED7DFF-0FD5-4A80-B909-4C1629218E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1044" name="Picture@5C\QPendientes@" descr="@5C\QPendientes@">
          <a:extLst>
            <a:ext uri="{FF2B5EF4-FFF2-40B4-BE49-F238E27FC236}">
              <a16:creationId xmlns:a16="http://schemas.microsoft.com/office/drawing/2014/main" id="{1A20F784-B22B-41E6-B3F4-1E2ABB61C3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1045" name="Picture@5C\QPendientes@" descr="@5C\QPendientes@">
          <a:extLst>
            <a:ext uri="{FF2B5EF4-FFF2-40B4-BE49-F238E27FC236}">
              <a16:creationId xmlns:a16="http://schemas.microsoft.com/office/drawing/2014/main" id="{C292EAD5-39C5-4C23-98C3-649C19CE44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1046" name="Picture@5C\QPendientes@" descr="@5C\QPendientes@">
          <a:extLst>
            <a:ext uri="{FF2B5EF4-FFF2-40B4-BE49-F238E27FC236}">
              <a16:creationId xmlns:a16="http://schemas.microsoft.com/office/drawing/2014/main" id="{74EDDEB5-69EC-4720-AC74-488747508B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1047" name="Picture@5C\QPendientes@" descr="@5C\QPendientes@">
          <a:extLst>
            <a:ext uri="{FF2B5EF4-FFF2-40B4-BE49-F238E27FC236}">
              <a16:creationId xmlns:a16="http://schemas.microsoft.com/office/drawing/2014/main" id="{9905F876-D22D-4B3B-BB78-CA6BB2618C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3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1048" name="Picture@5C\QPendientes@" descr="@5C\QPendientes@">
          <a:extLst>
            <a:ext uri="{FF2B5EF4-FFF2-40B4-BE49-F238E27FC236}">
              <a16:creationId xmlns:a16="http://schemas.microsoft.com/office/drawing/2014/main" id="{4E49772F-A3C6-4D00-A5FE-D62D377150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5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1049" name="Picture@5C\QPendientes@" descr="@5C\QPendientes@">
          <a:extLst>
            <a:ext uri="{FF2B5EF4-FFF2-40B4-BE49-F238E27FC236}">
              <a16:creationId xmlns:a16="http://schemas.microsoft.com/office/drawing/2014/main" id="{30FDEA38-5ECF-4C96-ACED-B84820004B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1050" name="Picture@5C\QPendientes@" descr="@5C\QPendientes@">
          <a:extLst>
            <a:ext uri="{FF2B5EF4-FFF2-40B4-BE49-F238E27FC236}">
              <a16:creationId xmlns:a16="http://schemas.microsoft.com/office/drawing/2014/main" id="{9AF2DF09-5A0E-4FA7-9F2B-315A2CDE3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1051" name="Picture@5C\QPendientes@" descr="@5C\QPendientes@">
          <a:extLst>
            <a:ext uri="{FF2B5EF4-FFF2-40B4-BE49-F238E27FC236}">
              <a16:creationId xmlns:a16="http://schemas.microsoft.com/office/drawing/2014/main" id="{DA45F3CE-6231-4090-B19F-7D34C9A476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1052" name="Picture@5C\QPendientes@" descr="@5C\QPendientes@">
          <a:extLst>
            <a:ext uri="{FF2B5EF4-FFF2-40B4-BE49-F238E27FC236}">
              <a16:creationId xmlns:a16="http://schemas.microsoft.com/office/drawing/2014/main" id="{16AFC2FA-588A-4070-A99B-232141CB75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1053" name="Picture@5C\QPendientes@" descr="@5C\QPendientes@">
          <a:extLst>
            <a:ext uri="{FF2B5EF4-FFF2-40B4-BE49-F238E27FC236}">
              <a16:creationId xmlns:a16="http://schemas.microsoft.com/office/drawing/2014/main" id="{A9F38FF4-C5EC-417B-8C0D-1B722E5600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1054" name="Picture@5C\QPendientes@" descr="@5C\QPendientes@">
          <a:extLst>
            <a:ext uri="{FF2B5EF4-FFF2-40B4-BE49-F238E27FC236}">
              <a16:creationId xmlns:a16="http://schemas.microsoft.com/office/drawing/2014/main" id="{4633A0D9-EB8B-49AB-A542-47955CA938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1055" name="Picture@5C\QPendientes@" descr="@5C\QPendientes@">
          <a:extLst>
            <a:ext uri="{FF2B5EF4-FFF2-40B4-BE49-F238E27FC236}">
              <a16:creationId xmlns:a16="http://schemas.microsoft.com/office/drawing/2014/main" id="{CBD025AD-4511-4A9D-9B5D-E375F22DA6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8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1056" name="Picture@5C\QPendientes@" descr="@5C\QPendientes@">
          <a:extLst>
            <a:ext uri="{FF2B5EF4-FFF2-40B4-BE49-F238E27FC236}">
              <a16:creationId xmlns:a16="http://schemas.microsoft.com/office/drawing/2014/main" id="{4C6744E9-DC12-45A5-A372-6D2FCAEAF3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1057" name="Picture@5C\QPendientes@" descr="@5C\QPendientes@">
          <a:extLst>
            <a:ext uri="{FF2B5EF4-FFF2-40B4-BE49-F238E27FC236}">
              <a16:creationId xmlns:a16="http://schemas.microsoft.com/office/drawing/2014/main" id="{BEF79C0B-D87E-4B8C-B8A8-226A0C444A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2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1058" name="Picture@5C\QPendientes@" descr="@5C\QPendientes@">
          <a:extLst>
            <a:ext uri="{FF2B5EF4-FFF2-40B4-BE49-F238E27FC236}">
              <a16:creationId xmlns:a16="http://schemas.microsoft.com/office/drawing/2014/main" id="{D7A94DEA-5BC7-49B9-91A6-93393240AF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1059" name="Picture@5C\QPendientes@" descr="@5C\QPendientes@">
          <a:extLst>
            <a:ext uri="{FF2B5EF4-FFF2-40B4-BE49-F238E27FC236}">
              <a16:creationId xmlns:a16="http://schemas.microsoft.com/office/drawing/2014/main" id="{9A1E0C17-D391-49F8-9F3E-E2969E296E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5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1060" name="Picture@5C\QPendientes@" descr="@5C\QPendientes@">
          <a:extLst>
            <a:ext uri="{FF2B5EF4-FFF2-40B4-BE49-F238E27FC236}">
              <a16:creationId xmlns:a16="http://schemas.microsoft.com/office/drawing/2014/main" id="{89EB3809-91AE-412B-8A04-9DF42B14BB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7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1061" name="Picture@5C\QPendientes@" descr="@5C\QPendientes@">
          <a:extLst>
            <a:ext uri="{FF2B5EF4-FFF2-40B4-BE49-F238E27FC236}">
              <a16:creationId xmlns:a16="http://schemas.microsoft.com/office/drawing/2014/main" id="{9191EA07-6DC1-469A-81E6-40782DC0CE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9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1062" name="Picture@5C\QPendientes@" descr="@5C\QPendientes@">
          <a:extLst>
            <a:ext uri="{FF2B5EF4-FFF2-40B4-BE49-F238E27FC236}">
              <a16:creationId xmlns:a16="http://schemas.microsoft.com/office/drawing/2014/main" id="{510AC77B-24E9-42CE-83FA-A64022F85D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1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1063" name="Picture@5C\QPendientes@" descr="@5C\QPendientes@">
          <a:extLst>
            <a:ext uri="{FF2B5EF4-FFF2-40B4-BE49-F238E27FC236}">
              <a16:creationId xmlns:a16="http://schemas.microsoft.com/office/drawing/2014/main" id="{8C91DF2F-1C8F-4F37-A118-E849C51AB2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3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1064" name="Picture@5C\QPendientes@" descr="@5C\QPendientes@">
          <a:extLst>
            <a:ext uri="{FF2B5EF4-FFF2-40B4-BE49-F238E27FC236}">
              <a16:creationId xmlns:a16="http://schemas.microsoft.com/office/drawing/2014/main" id="{75EFC81C-5B19-4F32-A5E0-C370C302D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1065" name="Picture@5C\QPendientes@" descr="@5C\QPendientes@">
          <a:extLst>
            <a:ext uri="{FF2B5EF4-FFF2-40B4-BE49-F238E27FC236}">
              <a16:creationId xmlns:a16="http://schemas.microsoft.com/office/drawing/2014/main" id="{45591491-1EC8-442B-A1BB-C6016EC3F2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1066" name="Picture@5C\QPendientes@" descr="@5C\QPendientes@">
          <a:extLst>
            <a:ext uri="{FF2B5EF4-FFF2-40B4-BE49-F238E27FC236}">
              <a16:creationId xmlns:a16="http://schemas.microsoft.com/office/drawing/2014/main" id="{B69EB8EA-EA52-496A-9881-C3A38F3780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1067" name="Picture@5C\QPendientes@" descr="@5C\QPendientes@">
          <a:extLst>
            <a:ext uri="{FF2B5EF4-FFF2-40B4-BE49-F238E27FC236}">
              <a16:creationId xmlns:a16="http://schemas.microsoft.com/office/drawing/2014/main" id="{AAB42C96-A2BB-4880-A44C-D1CE9D859D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0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1068" name="Picture@5C\QPendientes@" descr="@5C\QPendientes@">
          <a:extLst>
            <a:ext uri="{FF2B5EF4-FFF2-40B4-BE49-F238E27FC236}">
              <a16:creationId xmlns:a16="http://schemas.microsoft.com/office/drawing/2014/main" id="{7FA3013D-EB77-4415-9A2B-D9A442D932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2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1069" name="Picture@5C\QPendientes@" descr="@5C\QPendientes@">
          <a:extLst>
            <a:ext uri="{FF2B5EF4-FFF2-40B4-BE49-F238E27FC236}">
              <a16:creationId xmlns:a16="http://schemas.microsoft.com/office/drawing/2014/main" id="{D1C47213-9EFB-4819-A86B-73683A3557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4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1070" name="Picture@5C\QPendientes@" descr="@5C\QPendientes@">
          <a:extLst>
            <a:ext uri="{FF2B5EF4-FFF2-40B4-BE49-F238E27FC236}">
              <a16:creationId xmlns:a16="http://schemas.microsoft.com/office/drawing/2014/main" id="{49BA69BC-8E91-4B45-9334-80F14F0D84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1071" name="Picture@5C\QPendientes@" descr="@5C\QPendientes@">
          <a:extLst>
            <a:ext uri="{FF2B5EF4-FFF2-40B4-BE49-F238E27FC236}">
              <a16:creationId xmlns:a16="http://schemas.microsoft.com/office/drawing/2014/main" id="{949931B3-88D3-496D-B415-25769E73C6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7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1072" name="Picture@5C\QPendientes@" descr="@5C\QPendientes@">
          <a:extLst>
            <a:ext uri="{FF2B5EF4-FFF2-40B4-BE49-F238E27FC236}">
              <a16:creationId xmlns:a16="http://schemas.microsoft.com/office/drawing/2014/main" id="{C7878AB8-9F0A-4283-A2BD-DBF41499F1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9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1073" name="Picture@5C\QPendientes@" descr="@5C\QPendientes@">
          <a:extLst>
            <a:ext uri="{FF2B5EF4-FFF2-40B4-BE49-F238E27FC236}">
              <a16:creationId xmlns:a16="http://schemas.microsoft.com/office/drawing/2014/main" id="{3854F974-2390-4E2B-A4DD-DBA8C767A6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1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1074" name="Picture@5C\QPendientes@" descr="@5C\QPendientes@">
          <a:extLst>
            <a:ext uri="{FF2B5EF4-FFF2-40B4-BE49-F238E27FC236}">
              <a16:creationId xmlns:a16="http://schemas.microsoft.com/office/drawing/2014/main" id="{3C35AEEA-1CFB-4936-8AFC-84E425F134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3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1075" name="Picture@5C\QPendientes@" descr="@5C\QPendientes@">
          <a:extLst>
            <a:ext uri="{FF2B5EF4-FFF2-40B4-BE49-F238E27FC236}">
              <a16:creationId xmlns:a16="http://schemas.microsoft.com/office/drawing/2014/main" id="{8879EC9C-CFF6-4BA3-933B-104A4E5663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5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1076" name="Picture@5C\QPendientes@" descr="@5C\QPendientes@">
          <a:extLst>
            <a:ext uri="{FF2B5EF4-FFF2-40B4-BE49-F238E27FC236}">
              <a16:creationId xmlns:a16="http://schemas.microsoft.com/office/drawing/2014/main" id="{A211A52F-8822-41F2-8C52-BB5D25148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1077" name="Picture@5C\QPendientes@" descr="@5C\QPendientes@">
          <a:extLst>
            <a:ext uri="{FF2B5EF4-FFF2-40B4-BE49-F238E27FC236}">
              <a16:creationId xmlns:a16="http://schemas.microsoft.com/office/drawing/2014/main" id="{78DB2F8A-9649-4054-A160-E16F2F751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8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1078" name="Picture@5C\QPendientes@" descr="@5C\QPendientes@">
          <a:extLst>
            <a:ext uri="{FF2B5EF4-FFF2-40B4-BE49-F238E27FC236}">
              <a16:creationId xmlns:a16="http://schemas.microsoft.com/office/drawing/2014/main" id="{5C1745B8-3201-44D3-A166-C8BDDD0AA0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0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1079" name="Picture@5C\QPendientes@" descr="@5C\QPendientes@">
          <a:extLst>
            <a:ext uri="{FF2B5EF4-FFF2-40B4-BE49-F238E27FC236}">
              <a16:creationId xmlns:a16="http://schemas.microsoft.com/office/drawing/2014/main" id="{64B1F885-3B6F-4AF6-8288-8DE6A76684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2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1080" name="Picture@5C\QPendientes@" descr="@5C\QPendientes@">
          <a:extLst>
            <a:ext uri="{FF2B5EF4-FFF2-40B4-BE49-F238E27FC236}">
              <a16:creationId xmlns:a16="http://schemas.microsoft.com/office/drawing/2014/main" id="{7B8D8390-CFB1-4EBF-817E-223563F685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4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1081" name="Picture@5C\QPendientes@" descr="@5C\QPendientes@">
          <a:extLst>
            <a:ext uri="{FF2B5EF4-FFF2-40B4-BE49-F238E27FC236}">
              <a16:creationId xmlns:a16="http://schemas.microsoft.com/office/drawing/2014/main" id="{57A6A631-B744-48EE-ABA2-B15673B3B5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6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1082" name="Picture@5C\QPendientes@" descr="@5C\QPendientes@">
          <a:extLst>
            <a:ext uri="{FF2B5EF4-FFF2-40B4-BE49-F238E27FC236}">
              <a16:creationId xmlns:a16="http://schemas.microsoft.com/office/drawing/2014/main" id="{5F99BA2E-CD77-46DF-BFCB-8BBAAB83EC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7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1083" name="Picture@5C\QPendientes@" descr="@5C\QPendientes@">
          <a:extLst>
            <a:ext uri="{FF2B5EF4-FFF2-40B4-BE49-F238E27FC236}">
              <a16:creationId xmlns:a16="http://schemas.microsoft.com/office/drawing/2014/main" id="{4AA187D0-24D1-4738-87FA-E69148E9CC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9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1084" name="Picture@5C\QPendientes@" descr="@5C\QPendientes@">
          <a:extLst>
            <a:ext uri="{FF2B5EF4-FFF2-40B4-BE49-F238E27FC236}">
              <a16:creationId xmlns:a16="http://schemas.microsoft.com/office/drawing/2014/main" id="{36ABD2A4-63E1-465D-8C71-2EF81575F4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1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1085" name="Picture@5C\QPendientes@" descr="@5C\QPendientes@">
          <a:extLst>
            <a:ext uri="{FF2B5EF4-FFF2-40B4-BE49-F238E27FC236}">
              <a16:creationId xmlns:a16="http://schemas.microsoft.com/office/drawing/2014/main" id="{2385D15B-BAFD-4865-A38B-37298D84B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3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1086" name="Picture@5C\QPendientes@" descr="@5C\QPendientes@">
          <a:extLst>
            <a:ext uri="{FF2B5EF4-FFF2-40B4-BE49-F238E27FC236}">
              <a16:creationId xmlns:a16="http://schemas.microsoft.com/office/drawing/2014/main" id="{D6BB6C76-8F1B-470E-A6E2-00F0D314DB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1087" name="Picture@5C\QPendientes@" descr="@5C\QPendientes@">
          <a:extLst>
            <a:ext uri="{FF2B5EF4-FFF2-40B4-BE49-F238E27FC236}">
              <a16:creationId xmlns:a16="http://schemas.microsoft.com/office/drawing/2014/main" id="{53992382-A7E1-4DF0-9900-7FDC1EA1A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7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1088" name="Picture@5C\QPendientes@" descr="@5C\QPendientes@">
          <a:extLst>
            <a:ext uri="{FF2B5EF4-FFF2-40B4-BE49-F238E27FC236}">
              <a16:creationId xmlns:a16="http://schemas.microsoft.com/office/drawing/2014/main" id="{0897A808-E9B6-49E9-A6C0-12CAA80A45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8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1089" name="Picture@5C\QPendientes@" descr="@5C\QPendientes@">
          <a:extLst>
            <a:ext uri="{FF2B5EF4-FFF2-40B4-BE49-F238E27FC236}">
              <a16:creationId xmlns:a16="http://schemas.microsoft.com/office/drawing/2014/main" id="{FDCB1348-2DED-4631-845D-4E20D6B33C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0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1090" name="Picture@5C\QPendientes@" descr="@5C\QPendientes@">
          <a:extLst>
            <a:ext uri="{FF2B5EF4-FFF2-40B4-BE49-F238E27FC236}">
              <a16:creationId xmlns:a16="http://schemas.microsoft.com/office/drawing/2014/main" id="{A2596471-47D5-42A0-BCCC-74EC39104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2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1091" name="Picture@5C\QPendientes@" descr="@5C\QPendientes@">
          <a:extLst>
            <a:ext uri="{FF2B5EF4-FFF2-40B4-BE49-F238E27FC236}">
              <a16:creationId xmlns:a16="http://schemas.microsoft.com/office/drawing/2014/main" id="{71CB9C4B-01F2-469C-95E1-0CE11E13B5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4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1092" name="Picture@5C\QPendientes@" descr="@5C\QPendientes@">
          <a:extLst>
            <a:ext uri="{FF2B5EF4-FFF2-40B4-BE49-F238E27FC236}">
              <a16:creationId xmlns:a16="http://schemas.microsoft.com/office/drawing/2014/main" id="{C479A8AD-33C8-4867-B3C5-1929F3E972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6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1093" name="Picture@5C\QPendientes@" descr="@5C\QPendientes@">
          <a:extLst>
            <a:ext uri="{FF2B5EF4-FFF2-40B4-BE49-F238E27FC236}">
              <a16:creationId xmlns:a16="http://schemas.microsoft.com/office/drawing/2014/main" id="{D127EEE0-EFDF-4E7A-B66A-69CAD44896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8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1094" name="Picture@5C\QPendientes@" descr="@5C\QPendientes@">
          <a:extLst>
            <a:ext uri="{FF2B5EF4-FFF2-40B4-BE49-F238E27FC236}">
              <a16:creationId xmlns:a16="http://schemas.microsoft.com/office/drawing/2014/main" id="{023D6E36-A442-4446-AEDF-9ECD437960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9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1095" name="Picture@5C\QPendientes@" descr="@5C\QPendientes@">
          <a:extLst>
            <a:ext uri="{FF2B5EF4-FFF2-40B4-BE49-F238E27FC236}">
              <a16:creationId xmlns:a16="http://schemas.microsoft.com/office/drawing/2014/main" id="{0B8B2237-B182-4DF1-A56B-E4A28715BA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1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1096" name="Picture@5C\QPendientes@" descr="@5C\QPendientes@">
          <a:extLst>
            <a:ext uri="{FF2B5EF4-FFF2-40B4-BE49-F238E27FC236}">
              <a16:creationId xmlns:a16="http://schemas.microsoft.com/office/drawing/2014/main" id="{4D408831-D9D9-4EE9-AB2B-E224AB3A02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1097" name="Picture@5C\QPendientes@" descr="@5C\QPendientes@">
          <a:extLst>
            <a:ext uri="{FF2B5EF4-FFF2-40B4-BE49-F238E27FC236}">
              <a16:creationId xmlns:a16="http://schemas.microsoft.com/office/drawing/2014/main" id="{E5D0D81D-728E-4E42-BF58-A0BBC1B15B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5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1098" name="Picture@5C\QPendientes@" descr="@5C\QPendientes@">
          <a:extLst>
            <a:ext uri="{FF2B5EF4-FFF2-40B4-BE49-F238E27FC236}">
              <a16:creationId xmlns:a16="http://schemas.microsoft.com/office/drawing/2014/main" id="{0185EE0A-E44F-43EC-B067-3E7F1D54CD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7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1099" name="Picture@5C\QPendientes@" descr="@5C\QPendientes@">
          <a:extLst>
            <a:ext uri="{FF2B5EF4-FFF2-40B4-BE49-F238E27FC236}">
              <a16:creationId xmlns:a16="http://schemas.microsoft.com/office/drawing/2014/main" id="{A384807E-B798-43C1-96C9-C665FDDE7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8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1100" name="Picture@5C\QPendientes@" descr="@5C\QPendientes@">
          <a:extLst>
            <a:ext uri="{FF2B5EF4-FFF2-40B4-BE49-F238E27FC236}">
              <a16:creationId xmlns:a16="http://schemas.microsoft.com/office/drawing/2014/main" id="{08AD7D9B-562B-4F11-9500-1F7C7E0E0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0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1101" name="Picture@5C\QPendientes@" descr="@5C\QPendientes@">
          <a:extLst>
            <a:ext uri="{FF2B5EF4-FFF2-40B4-BE49-F238E27FC236}">
              <a16:creationId xmlns:a16="http://schemas.microsoft.com/office/drawing/2014/main" id="{837C2E5A-1D82-4C35-B1F9-8E123C4ADA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2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1102" name="Picture@5C\QPendientes@" descr="@5C\QPendientes@">
          <a:extLst>
            <a:ext uri="{FF2B5EF4-FFF2-40B4-BE49-F238E27FC236}">
              <a16:creationId xmlns:a16="http://schemas.microsoft.com/office/drawing/2014/main" id="{F24A400A-8AC3-4879-9107-C58DB6C26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4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1103" name="Picture@5C\QPendientes@" descr="@5C\QPendientes@">
          <a:extLst>
            <a:ext uri="{FF2B5EF4-FFF2-40B4-BE49-F238E27FC236}">
              <a16:creationId xmlns:a16="http://schemas.microsoft.com/office/drawing/2014/main" id="{6FB79D42-622E-42DC-8AF6-92CFD99307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6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1104" name="Picture@5C\QPendientes@" descr="@5C\QPendientes@">
          <a:extLst>
            <a:ext uri="{FF2B5EF4-FFF2-40B4-BE49-F238E27FC236}">
              <a16:creationId xmlns:a16="http://schemas.microsoft.com/office/drawing/2014/main" id="{7F861391-3072-46F4-976B-5C148B0D0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8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1105" name="Picture@5C\QPendientes@" descr="@5C\QPendientes@">
          <a:extLst>
            <a:ext uri="{FF2B5EF4-FFF2-40B4-BE49-F238E27FC236}">
              <a16:creationId xmlns:a16="http://schemas.microsoft.com/office/drawing/2014/main" id="{A448A0E1-E3DE-4AA5-8251-BB3476917C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9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1106" name="Picture@5C\QPendientes@" descr="@5C\QPendientes@">
          <a:extLst>
            <a:ext uri="{FF2B5EF4-FFF2-40B4-BE49-F238E27FC236}">
              <a16:creationId xmlns:a16="http://schemas.microsoft.com/office/drawing/2014/main" id="{45D80FD5-85D5-41EC-B4B3-BA7D2ACC50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1107" name="Picture@5C\QPendientes@" descr="@5C\QPendientes@">
          <a:extLst>
            <a:ext uri="{FF2B5EF4-FFF2-40B4-BE49-F238E27FC236}">
              <a16:creationId xmlns:a16="http://schemas.microsoft.com/office/drawing/2014/main" id="{C7C2C3F8-5C7F-4C87-A641-1436311BE4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3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1108" name="Picture@5C\QPendientes@" descr="@5C\QPendientes@">
          <a:extLst>
            <a:ext uri="{FF2B5EF4-FFF2-40B4-BE49-F238E27FC236}">
              <a16:creationId xmlns:a16="http://schemas.microsoft.com/office/drawing/2014/main" id="{4761E4B6-5C56-447D-9F13-53DFF82BA2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5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1109" name="Picture@5C\QPendientes@" descr="@5C\QPendientes@">
          <a:extLst>
            <a:ext uri="{FF2B5EF4-FFF2-40B4-BE49-F238E27FC236}">
              <a16:creationId xmlns:a16="http://schemas.microsoft.com/office/drawing/2014/main" id="{89AFA34B-2342-4D6B-83DD-331D8D159B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7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1110" name="Picture@5C\QPendientes@" descr="@5C\QPendientes@">
          <a:extLst>
            <a:ext uri="{FF2B5EF4-FFF2-40B4-BE49-F238E27FC236}">
              <a16:creationId xmlns:a16="http://schemas.microsoft.com/office/drawing/2014/main" id="{00C5F707-4D77-43DE-8ADF-8789ABF5C6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9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1111" name="Picture@5C\QPendientes@" descr="@5C\QPendientes@">
          <a:extLst>
            <a:ext uri="{FF2B5EF4-FFF2-40B4-BE49-F238E27FC236}">
              <a16:creationId xmlns:a16="http://schemas.microsoft.com/office/drawing/2014/main" id="{0C3B0B50-6343-4F96-9ED1-49044B6C62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0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1112" name="Picture@5C\QPendientes@" descr="@5C\QPendientes@">
          <a:extLst>
            <a:ext uri="{FF2B5EF4-FFF2-40B4-BE49-F238E27FC236}">
              <a16:creationId xmlns:a16="http://schemas.microsoft.com/office/drawing/2014/main" id="{E0B0EEAE-0519-4C54-B8B2-98B68EFA00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2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1113" name="Picture@5C\QPendientes@" descr="@5C\QPendientes@">
          <a:extLst>
            <a:ext uri="{FF2B5EF4-FFF2-40B4-BE49-F238E27FC236}">
              <a16:creationId xmlns:a16="http://schemas.microsoft.com/office/drawing/2014/main" id="{0F3AAC3F-4B97-41F9-9A59-03C7B4C7E5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4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1114" name="Picture@5C\QPendientes@" descr="@5C\QPendientes@">
          <a:extLst>
            <a:ext uri="{FF2B5EF4-FFF2-40B4-BE49-F238E27FC236}">
              <a16:creationId xmlns:a16="http://schemas.microsoft.com/office/drawing/2014/main" id="{2F12F387-8E48-4F69-B385-3B72B5812C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6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1115" name="Picture@5C\QPendientes@" descr="@5C\QPendientes@">
          <a:extLst>
            <a:ext uri="{FF2B5EF4-FFF2-40B4-BE49-F238E27FC236}">
              <a16:creationId xmlns:a16="http://schemas.microsoft.com/office/drawing/2014/main" id="{2BFAF555-2065-41C3-ACB6-19FE4EEC64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8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1116" name="Picture@5C\QPendientes@" descr="@5C\QPendientes@">
          <a:extLst>
            <a:ext uri="{FF2B5EF4-FFF2-40B4-BE49-F238E27FC236}">
              <a16:creationId xmlns:a16="http://schemas.microsoft.com/office/drawing/2014/main" id="{4A4283EA-DFA4-4DFA-A627-E5BE0BF130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1117" name="Picture@5C\QPendientes@" descr="@5C\QPendientes@">
          <a:extLst>
            <a:ext uri="{FF2B5EF4-FFF2-40B4-BE49-F238E27FC236}">
              <a16:creationId xmlns:a16="http://schemas.microsoft.com/office/drawing/2014/main" id="{B799020B-D45B-4313-8B4F-782D77FCF5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1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1118" name="Picture@5C\QPendientes@" descr="@5C\QPendientes@">
          <a:extLst>
            <a:ext uri="{FF2B5EF4-FFF2-40B4-BE49-F238E27FC236}">
              <a16:creationId xmlns:a16="http://schemas.microsoft.com/office/drawing/2014/main" id="{ACD24492-10DB-45BC-B0B2-7259B64FF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3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1119" name="Picture@5C\QPendientes@" descr="@5C\QPendientes@">
          <a:extLst>
            <a:ext uri="{FF2B5EF4-FFF2-40B4-BE49-F238E27FC236}">
              <a16:creationId xmlns:a16="http://schemas.microsoft.com/office/drawing/2014/main" id="{70791E89-13C5-46A3-AFB9-A3F39D3DB2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5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1120" name="Picture@5C\QPendientes@" descr="@5C\QPendientes@">
          <a:extLst>
            <a:ext uri="{FF2B5EF4-FFF2-40B4-BE49-F238E27FC236}">
              <a16:creationId xmlns:a16="http://schemas.microsoft.com/office/drawing/2014/main" id="{57E9D9A6-3BCD-44E2-989D-73789CEBD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7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1121" name="Picture@5C\QPendientes@" descr="@5C\QPendientes@">
          <a:extLst>
            <a:ext uri="{FF2B5EF4-FFF2-40B4-BE49-F238E27FC236}">
              <a16:creationId xmlns:a16="http://schemas.microsoft.com/office/drawing/2014/main" id="{4797D1D8-AB54-4182-AE52-54C27F2B29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9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1122" name="Picture@5C\QPendientes@" descr="@5C\QPendientes@">
          <a:extLst>
            <a:ext uri="{FF2B5EF4-FFF2-40B4-BE49-F238E27FC236}">
              <a16:creationId xmlns:a16="http://schemas.microsoft.com/office/drawing/2014/main" id="{05B9770F-C588-4E4F-A844-05BA280C4B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1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1123" name="Picture@5C\QPendientes@" descr="@5C\QPendientes@">
          <a:extLst>
            <a:ext uri="{FF2B5EF4-FFF2-40B4-BE49-F238E27FC236}">
              <a16:creationId xmlns:a16="http://schemas.microsoft.com/office/drawing/2014/main" id="{4F6FA6A2-EB32-4FDF-AFB0-090880B888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2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1124" name="Picture@5C\QPendientes@" descr="@5C\QPendientes@">
          <a:extLst>
            <a:ext uri="{FF2B5EF4-FFF2-40B4-BE49-F238E27FC236}">
              <a16:creationId xmlns:a16="http://schemas.microsoft.com/office/drawing/2014/main" id="{6A6BFC27-39A8-458A-A17C-C8B710CCCE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4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1125" name="Picture@5C\QPendientes@" descr="@5C\QPendientes@">
          <a:extLst>
            <a:ext uri="{FF2B5EF4-FFF2-40B4-BE49-F238E27FC236}">
              <a16:creationId xmlns:a16="http://schemas.microsoft.com/office/drawing/2014/main" id="{4A269444-969C-4DE9-8952-CA82DB155F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6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1126" name="Picture@5C\QPendientes@" descr="@5C\QPendientes@">
          <a:extLst>
            <a:ext uri="{FF2B5EF4-FFF2-40B4-BE49-F238E27FC236}">
              <a16:creationId xmlns:a16="http://schemas.microsoft.com/office/drawing/2014/main" id="{C2B4BAEE-183D-4E7A-98C2-F59A0E2D3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1127" name="Picture@5C\QPendientes@" descr="@5C\QPendientes@">
          <a:extLst>
            <a:ext uri="{FF2B5EF4-FFF2-40B4-BE49-F238E27FC236}">
              <a16:creationId xmlns:a16="http://schemas.microsoft.com/office/drawing/2014/main" id="{D5C55A55-082D-4660-9C67-4527369E82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0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1128" name="Picture@5C\QPendientes@" descr="@5C\QPendientes@">
          <a:extLst>
            <a:ext uri="{FF2B5EF4-FFF2-40B4-BE49-F238E27FC236}">
              <a16:creationId xmlns:a16="http://schemas.microsoft.com/office/drawing/2014/main" id="{DA18E971-DDEC-49AA-80E1-2C670221C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2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1129" name="Picture@5C\QPendientes@" descr="@5C\QPendientes@">
          <a:extLst>
            <a:ext uri="{FF2B5EF4-FFF2-40B4-BE49-F238E27FC236}">
              <a16:creationId xmlns:a16="http://schemas.microsoft.com/office/drawing/2014/main" id="{F68BB737-DD88-4A6D-AB89-DED222BA89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3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1130" name="Picture@5C\QPendientes@" descr="@5C\QPendientes@">
          <a:extLst>
            <a:ext uri="{FF2B5EF4-FFF2-40B4-BE49-F238E27FC236}">
              <a16:creationId xmlns:a16="http://schemas.microsoft.com/office/drawing/2014/main" id="{5AB71FAF-461A-40B5-A6AB-8E2C864CA2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5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1131" name="Picture@5C\QPendientes@" descr="@5C\QPendientes@">
          <a:extLst>
            <a:ext uri="{FF2B5EF4-FFF2-40B4-BE49-F238E27FC236}">
              <a16:creationId xmlns:a16="http://schemas.microsoft.com/office/drawing/2014/main" id="{D115CA5D-89D5-4BFC-92D5-CD2E78C4FD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7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1132" name="Picture@5C\QPendientes@" descr="@5C\QPendientes@">
          <a:extLst>
            <a:ext uri="{FF2B5EF4-FFF2-40B4-BE49-F238E27FC236}">
              <a16:creationId xmlns:a16="http://schemas.microsoft.com/office/drawing/2014/main" id="{A9000B69-0868-4278-9E31-32CFB9A965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9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1133" name="Picture@5C\QPendientes@" descr="@5C\QPendientes@">
          <a:extLst>
            <a:ext uri="{FF2B5EF4-FFF2-40B4-BE49-F238E27FC236}">
              <a16:creationId xmlns:a16="http://schemas.microsoft.com/office/drawing/2014/main" id="{3C497827-47FC-4B57-8CA0-2E33E17341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1134" name="Picture@5C\QPendientes@" descr="@5C\QPendientes@">
          <a:extLst>
            <a:ext uri="{FF2B5EF4-FFF2-40B4-BE49-F238E27FC236}">
              <a16:creationId xmlns:a16="http://schemas.microsoft.com/office/drawing/2014/main" id="{EB7B8D4E-7897-4DD9-81F1-C3F69BE6F9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2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1135" name="Picture@5C\QPendientes@" descr="@5C\QPendientes@">
          <a:extLst>
            <a:ext uri="{FF2B5EF4-FFF2-40B4-BE49-F238E27FC236}">
              <a16:creationId xmlns:a16="http://schemas.microsoft.com/office/drawing/2014/main" id="{63745E2D-B3B3-45D6-A2AC-EF3C219591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4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1136" name="Picture@5C\QPendientes@" descr="@5C\QPendientes@">
          <a:extLst>
            <a:ext uri="{FF2B5EF4-FFF2-40B4-BE49-F238E27FC236}">
              <a16:creationId xmlns:a16="http://schemas.microsoft.com/office/drawing/2014/main" id="{84B81AE7-4874-4050-8362-C320B67E05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1137" name="Picture@5C\QPendientes@" descr="@5C\QPendientes@">
          <a:extLst>
            <a:ext uri="{FF2B5EF4-FFF2-40B4-BE49-F238E27FC236}">
              <a16:creationId xmlns:a16="http://schemas.microsoft.com/office/drawing/2014/main" id="{281E1629-1655-4731-AF39-2854D6A2B7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8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1138" name="Picture@5C\QPendientes@" descr="@5C\QPendientes@">
          <a:extLst>
            <a:ext uri="{FF2B5EF4-FFF2-40B4-BE49-F238E27FC236}">
              <a16:creationId xmlns:a16="http://schemas.microsoft.com/office/drawing/2014/main" id="{1EEB8082-E4FD-4255-9C3C-899040A42E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0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1139" name="Picture@5C\QPendientes@" descr="@5C\QPendientes@">
          <a:extLst>
            <a:ext uri="{FF2B5EF4-FFF2-40B4-BE49-F238E27FC236}">
              <a16:creationId xmlns:a16="http://schemas.microsoft.com/office/drawing/2014/main" id="{54D2BE75-33E8-4FFF-A0E8-78AEBFBC50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2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1140" name="Picture@5C\QPendientes@" descr="@5C\QPendientes@">
          <a:extLst>
            <a:ext uri="{FF2B5EF4-FFF2-40B4-BE49-F238E27FC236}">
              <a16:creationId xmlns:a16="http://schemas.microsoft.com/office/drawing/2014/main" id="{A7C48337-7B08-404C-9F89-FBABA3C5F5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3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1141" name="Picture@5C\QPendientes@" descr="@5C\QPendientes@">
          <a:extLst>
            <a:ext uri="{FF2B5EF4-FFF2-40B4-BE49-F238E27FC236}">
              <a16:creationId xmlns:a16="http://schemas.microsoft.com/office/drawing/2014/main" id="{788023CF-AD8F-4A52-9E94-A5A37F56BD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5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1142" name="Picture@5C\QPendientes@" descr="@5C\QPendientes@">
          <a:extLst>
            <a:ext uri="{FF2B5EF4-FFF2-40B4-BE49-F238E27FC236}">
              <a16:creationId xmlns:a16="http://schemas.microsoft.com/office/drawing/2014/main" id="{DA0BFC61-549B-42A6-8B18-D8F7D6A6C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7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1143" name="Picture@5C\QPendientes@" descr="@5C\QPendientes@">
          <a:extLst>
            <a:ext uri="{FF2B5EF4-FFF2-40B4-BE49-F238E27FC236}">
              <a16:creationId xmlns:a16="http://schemas.microsoft.com/office/drawing/2014/main" id="{13603012-9CAA-4AFC-90FE-FDA6BEFE47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9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1144" name="Picture@5C\QPendientes@" descr="@5C\QPendientes@">
          <a:extLst>
            <a:ext uri="{FF2B5EF4-FFF2-40B4-BE49-F238E27FC236}">
              <a16:creationId xmlns:a16="http://schemas.microsoft.com/office/drawing/2014/main" id="{FBCC9F88-2DE4-417F-9850-B1C09A3C0E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1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1145" name="Picture@5C\QPendientes@" descr="@5C\QPendientes@">
          <a:extLst>
            <a:ext uri="{FF2B5EF4-FFF2-40B4-BE49-F238E27FC236}">
              <a16:creationId xmlns:a16="http://schemas.microsoft.com/office/drawing/2014/main" id="{B3354DAA-086D-4A27-A5F8-317CF08AD7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3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1146" name="Picture@5C\QPendientes@" descr="@5C\QPendientes@">
          <a:extLst>
            <a:ext uri="{FF2B5EF4-FFF2-40B4-BE49-F238E27FC236}">
              <a16:creationId xmlns:a16="http://schemas.microsoft.com/office/drawing/2014/main" id="{2D8C56C1-42D0-44CB-9A46-003D317C41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1147" name="Picture@5C\QPendientes@" descr="@5C\QPendientes@">
          <a:extLst>
            <a:ext uri="{FF2B5EF4-FFF2-40B4-BE49-F238E27FC236}">
              <a16:creationId xmlns:a16="http://schemas.microsoft.com/office/drawing/2014/main" id="{DCBB1D7D-A76A-478A-A169-302968403B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6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1148" name="Picture@5C\QPendientes@" descr="@5C\QPendientes@">
          <a:extLst>
            <a:ext uri="{FF2B5EF4-FFF2-40B4-BE49-F238E27FC236}">
              <a16:creationId xmlns:a16="http://schemas.microsoft.com/office/drawing/2014/main" id="{285C2D9A-B2F5-455D-A69B-A342F6A85B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8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1149" name="Picture@5C\QPendientes@" descr="@5C\QPendientes@">
          <a:extLst>
            <a:ext uri="{FF2B5EF4-FFF2-40B4-BE49-F238E27FC236}">
              <a16:creationId xmlns:a16="http://schemas.microsoft.com/office/drawing/2014/main" id="{80FC8975-892D-406D-9345-28C580D492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0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1150" name="Picture@5C\QPendientes@" descr="@5C\QPendientes@">
          <a:extLst>
            <a:ext uri="{FF2B5EF4-FFF2-40B4-BE49-F238E27FC236}">
              <a16:creationId xmlns:a16="http://schemas.microsoft.com/office/drawing/2014/main" id="{4123AC92-564A-490E-AC9D-A7D81F16C5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2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1151" name="Picture@5C\QPendientes@" descr="@5C\QPendientes@">
          <a:extLst>
            <a:ext uri="{FF2B5EF4-FFF2-40B4-BE49-F238E27FC236}">
              <a16:creationId xmlns:a16="http://schemas.microsoft.com/office/drawing/2014/main" id="{F5FDDEC4-D207-40D4-A654-4435C103B9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4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1152" name="Picture@5C\QPendientes@" descr="@5C\QPendientes@">
          <a:extLst>
            <a:ext uri="{FF2B5EF4-FFF2-40B4-BE49-F238E27FC236}">
              <a16:creationId xmlns:a16="http://schemas.microsoft.com/office/drawing/2014/main" id="{AF3A2102-75CB-4C25-8633-7965A817D8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5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1153" name="Picture@5C\QPendientes@" descr="@5C\QPendientes@">
          <a:extLst>
            <a:ext uri="{FF2B5EF4-FFF2-40B4-BE49-F238E27FC236}">
              <a16:creationId xmlns:a16="http://schemas.microsoft.com/office/drawing/2014/main" id="{C00E2185-5B3F-49AA-87F5-50695E5ED6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7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1154" name="Picture@5C\QPendientes@" descr="@5C\QPendientes@">
          <a:extLst>
            <a:ext uri="{FF2B5EF4-FFF2-40B4-BE49-F238E27FC236}">
              <a16:creationId xmlns:a16="http://schemas.microsoft.com/office/drawing/2014/main" id="{979D1C8F-946D-4949-BB69-3F0742FACA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9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1155" name="Picture@5C\QPendientes@" descr="@5C\QPendientes@">
          <a:extLst>
            <a:ext uri="{FF2B5EF4-FFF2-40B4-BE49-F238E27FC236}">
              <a16:creationId xmlns:a16="http://schemas.microsoft.com/office/drawing/2014/main" id="{461F0C31-405E-4F99-B05A-7B14E252AE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1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1156" name="Picture@5C\QPendientes@" descr="@5C\QPendientes@">
          <a:extLst>
            <a:ext uri="{FF2B5EF4-FFF2-40B4-BE49-F238E27FC236}">
              <a16:creationId xmlns:a16="http://schemas.microsoft.com/office/drawing/2014/main" id="{9F531B7A-CC85-4B9F-AD30-1B971EC20B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1157" name="Picture@5C\QPendientes@" descr="@5C\QPendientes@">
          <a:extLst>
            <a:ext uri="{FF2B5EF4-FFF2-40B4-BE49-F238E27FC236}">
              <a16:creationId xmlns:a16="http://schemas.microsoft.com/office/drawing/2014/main" id="{87FDF781-2432-4184-A131-15CA55D307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5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1158" name="Picture@5C\QPendientes@" descr="@5C\QPendientes@">
          <a:extLst>
            <a:ext uri="{FF2B5EF4-FFF2-40B4-BE49-F238E27FC236}">
              <a16:creationId xmlns:a16="http://schemas.microsoft.com/office/drawing/2014/main" id="{F58D4041-97C6-499A-9E2A-80EB70E272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6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1159" name="Picture@5C\QPendientes@" descr="@5C\QPendientes@">
          <a:extLst>
            <a:ext uri="{FF2B5EF4-FFF2-40B4-BE49-F238E27FC236}">
              <a16:creationId xmlns:a16="http://schemas.microsoft.com/office/drawing/2014/main" id="{B0230090-9908-48BD-9838-C7A579396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8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1160" name="Picture@5C\QPendientes@" descr="@5C\QPendientes@">
          <a:extLst>
            <a:ext uri="{FF2B5EF4-FFF2-40B4-BE49-F238E27FC236}">
              <a16:creationId xmlns:a16="http://schemas.microsoft.com/office/drawing/2014/main" id="{7D324873-A082-4942-B92F-EAAED8EA54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0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1161" name="Picture@5C\QPendientes@" descr="@5C\QPendientes@">
          <a:extLst>
            <a:ext uri="{FF2B5EF4-FFF2-40B4-BE49-F238E27FC236}">
              <a16:creationId xmlns:a16="http://schemas.microsoft.com/office/drawing/2014/main" id="{287E6D0D-7860-4737-B7BA-6665EBEFF1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2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1162" name="Picture@5C\QPendientes@" descr="@5C\QPendientes@">
          <a:extLst>
            <a:ext uri="{FF2B5EF4-FFF2-40B4-BE49-F238E27FC236}">
              <a16:creationId xmlns:a16="http://schemas.microsoft.com/office/drawing/2014/main" id="{2B08CB14-F241-425B-AA9F-64649C3B52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4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1163" name="Picture@5C\QPendientes@" descr="@5C\QPendientes@">
          <a:extLst>
            <a:ext uri="{FF2B5EF4-FFF2-40B4-BE49-F238E27FC236}">
              <a16:creationId xmlns:a16="http://schemas.microsoft.com/office/drawing/2014/main" id="{41927810-D881-4880-9D94-22A2F59B26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6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1164" name="Picture@5C\QPendientes@" descr="@5C\QPendientes@">
          <a:extLst>
            <a:ext uri="{FF2B5EF4-FFF2-40B4-BE49-F238E27FC236}">
              <a16:creationId xmlns:a16="http://schemas.microsoft.com/office/drawing/2014/main" id="{AEACD9D5-0720-4D9F-83C9-4E5B7017D7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7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1165" name="Picture@5C\QPendientes@" descr="@5C\QPendientes@">
          <a:extLst>
            <a:ext uri="{FF2B5EF4-FFF2-40B4-BE49-F238E27FC236}">
              <a16:creationId xmlns:a16="http://schemas.microsoft.com/office/drawing/2014/main" id="{D1CD3ECA-B02D-4B2E-A42A-F0DC3A05A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9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1166" name="Picture@5C\QPendientes@" descr="@5C\QPendientes@">
          <a:extLst>
            <a:ext uri="{FF2B5EF4-FFF2-40B4-BE49-F238E27FC236}">
              <a16:creationId xmlns:a16="http://schemas.microsoft.com/office/drawing/2014/main" id="{81F0C825-6078-4B0A-83A0-B0D34DF212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1167" name="Picture@5C\QPendientes@" descr="@5C\QPendientes@">
          <a:extLst>
            <a:ext uri="{FF2B5EF4-FFF2-40B4-BE49-F238E27FC236}">
              <a16:creationId xmlns:a16="http://schemas.microsoft.com/office/drawing/2014/main" id="{F47D6E3E-6279-4808-A2E0-63D17B1B6E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3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1168" name="Picture@5C\QPendientes@" descr="@5C\QPendientes@">
          <a:extLst>
            <a:ext uri="{FF2B5EF4-FFF2-40B4-BE49-F238E27FC236}">
              <a16:creationId xmlns:a16="http://schemas.microsoft.com/office/drawing/2014/main" id="{8ABFFB2B-2998-41B8-AD63-048DE3766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5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1169" name="Picture@5C\QPendientes@" descr="@5C\QPendientes@">
          <a:extLst>
            <a:ext uri="{FF2B5EF4-FFF2-40B4-BE49-F238E27FC236}">
              <a16:creationId xmlns:a16="http://schemas.microsoft.com/office/drawing/2014/main" id="{61ECDD66-1B28-4CD8-92C2-AD8BBE1C9B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7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1170" name="Picture@5C\QPendientes@" descr="@5C\QPendientes@">
          <a:extLst>
            <a:ext uri="{FF2B5EF4-FFF2-40B4-BE49-F238E27FC236}">
              <a16:creationId xmlns:a16="http://schemas.microsoft.com/office/drawing/2014/main" id="{AF90838D-368F-4759-BA63-6A4A35C975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8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1171" name="Picture@5C\QPendientes@" descr="@5C\QPendientes@">
          <a:extLst>
            <a:ext uri="{FF2B5EF4-FFF2-40B4-BE49-F238E27FC236}">
              <a16:creationId xmlns:a16="http://schemas.microsoft.com/office/drawing/2014/main" id="{461FED52-7CEC-48AA-92AB-6E3D36F0D6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0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1172" name="Picture@5C\QPendientes@" descr="@5C\QPendientes@">
          <a:extLst>
            <a:ext uri="{FF2B5EF4-FFF2-40B4-BE49-F238E27FC236}">
              <a16:creationId xmlns:a16="http://schemas.microsoft.com/office/drawing/2014/main" id="{FFAF78D2-169E-4752-875A-EEE2F111C2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2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1173" name="Picture@5C\QPendientes@" descr="@5C\QPendientes@">
          <a:extLst>
            <a:ext uri="{FF2B5EF4-FFF2-40B4-BE49-F238E27FC236}">
              <a16:creationId xmlns:a16="http://schemas.microsoft.com/office/drawing/2014/main" id="{CA9C1482-679A-4518-ACD9-9FCA65D826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4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1174" name="Picture@5C\QPendientes@" descr="@5C\QPendientes@">
          <a:extLst>
            <a:ext uri="{FF2B5EF4-FFF2-40B4-BE49-F238E27FC236}">
              <a16:creationId xmlns:a16="http://schemas.microsoft.com/office/drawing/2014/main" id="{25757994-70B4-4DFA-98AD-C96007F679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6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1175" name="Picture@5C\QPendientes@" descr="@5C\QPendientes@">
          <a:extLst>
            <a:ext uri="{FF2B5EF4-FFF2-40B4-BE49-F238E27FC236}">
              <a16:creationId xmlns:a16="http://schemas.microsoft.com/office/drawing/2014/main" id="{043676A1-3262-44E9-9E41-C67C20433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7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1176" name="Picture@5C\QPendientes@" descr="@5C\QPendientes@">
          <a:extLst>
            <a:ext uri="{FF2B5EF4-FFF2-40B4-BE49-F238E27FC236}">
              <a16:creationId xmlns:a16="http://schemas.microsoft.com/office/drawing/2014/main" id="{F2C00791-E074-452F-BC2B-BE770F22C8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1177" name="Picture@5C\QPendientes@" descr="@5C\QPendientes@">
          <a:extLst>
            <a:ext uri="{FF2B5EF4-FFF2-40B4-BE49-F238E27FC236}">
              <a16:creationId xmlns:a16="http://schemas.microsoft.com/office/drawing/2014/main" id="{DF444899-E40C-4C0D-9AF4-4CEFCC487F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1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1178" name="Picture@5C\QPendientes@" descr="@5C\QPendientes@">
          <a:extLst>
            <a:ext uri="{FF2B5EF4-FFF2-40B4-BE49-F238E27FC236}">
              <a16:creationId xmlns:a16="http://schemas.microsoft.com/office/drawing/2014/main" id="{361CB4B2-06A6-4D95-A765-E5338CCAB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3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1179" name="Picture@5C\QPendientes@" descr="@5C\QPendientes@">
          <a:extLst>
            <a:ext uri="{FF2B5EF4-FFF2-40B4-BE49-F238E27FC236}">
              <a16:creationId xmlns:a16="http://schemas.microsoft.com/office/drawing/2014/main" id="{AB91BB92-BB6B-41D9-90C8-9058F8E39E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5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1180" name="Picture@5C\QPendientes@" descr="@5C\QPendientes@">
          <a:extLst>
            <a:ext uri="{FF2B5EF4-FFF2-40B4-BE49-F238E27FC236}">
              <a16:creationId xmlns:a16="http://schemas.microsoft.com/office/drawing/2014/main" id="{6F45EF0F-0A62-4C92-87BA-8A2FA0C66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7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1181" name="Picture@5C\QPendientes@" descr="@5C\QPendientes@">
          <a:extLst>
            <a:ext uri="{FF2B5EF4-FFF2-40B4-BE49-F238E27FC236}">
              <a16:creationId xmlns:a16="http://schemas.microsoft.com/office/drawing/2014/main" id="{73822EC4-AA51-4CF9-A424-4DE76F3836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8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1182" name="Picture@5C\QPendientes@" descr="@5C\QPendientes@">
          <a:extLst>
            <a:ext uri="{FF2B5EF4-FFF2-40B4-BE49-F238E27FC236}">
              <a16:creationId xmlns:a16="http://schemas.microsoft.com/office/drawing/2014/main" id="{5DC18743-12AD-4A79-B17F-76625C9BF3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0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1183" name="Picture@5C\QPendientes@" descr="@5C\QPendientes@">
          <a:extLst>
            <a:ext uri="{FF2B5EF4-FFF2-40B4-BE49-F238E27FC236}">
              <a16:creationId xmlns:a16="http://schemas.microsoft.com/office/drawing/2014/main" id="{30A057B5-C7EE-4743-962C-F621454905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2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1184" name="Picture@5C\QPendientes@" descr="@5C\QPendientes@">
          <a:extLst>
            <a:ext uri="{FF2B5EF4-FFF2-40B4-BE49-F238E27FC236}">
              <a16:creationId xmlns:a16="http://schemas.microsoft.com/office/drawing/2014/main" id="{18122F2D-2FE7-4242-9935-E429643963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4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1185" name="Picture@5C\QPendientes@" descr="@5C\QPendientes@">
          <a:extLst>
            <a:ext uri="{FF2B5EF4-FFF2-40B4-BE49-F238E27FC236}">
              <a16:creationId xmlns:a16="http://schemas.microsoft.com/office/drawing/2014/main" id="{0191618D-8FBA-4EDB-9BA4-1BA487C6F8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6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1186" name="Picture@5C\QPendientes@" descr="@5C\QPendientes@">
          <a:extLst>
            <a:ext uri="{FF2B5EF4-FFF2-40B4-BE49-F238E27FC236}">
              <a16:creationId xmlns:a16="http://schemas.microsoft.com/office/drawing/2014/main" id="{E0A916F0-88D1-45BA-9194-38583B4CC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1187" name="Picture@5C\QPendientes@" descr="@5C\QPendientes@">
          <a:extLst>
            <a:ext uri="{FF2B5EF4-FFF2-40B4-BE49-F238E27FC236}">
              <a16:creationId xmlns:a16="http://schemas.microsoft.com/office/drawing/2014/main" id="{76BEE454-E8B3-43FB-B202-6C1AD95097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9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1188" name="Picture@5C\QPendientes@" descr="@5C\QPendientes@">
          <a:extLst>
            <a:ext uri="{FF2B5EF4-FFF2-40B4-BE49-F238E27FC236}">
              <a16:creationId xmlns:a16="http://schemas.microsoft.com/office/drawing/2014/main" id="{718D4017-CBA5-42DE-AFB6-BF1E9C333A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1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1189" name="Picture@5C\QPendientes@" descr="@5C\QPendientes@">
          <a:extLst>
            <a:ext uri="{FF2B5EF4-FFF2-40B4-BE49-F238E27FC236}">
              <a16:creationId xmlns:a16="http://schemas.microsoft.com/office/drawing/2014/main" id="{F637E34F-4AD7-4862-B903-9B3E611D62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3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1190" name="Picture@5C\QPendientes@" descr="@5C\QPendientes@">
          <a:extLst>
            <a:ext uri="{FF2B5EF4-FFF2-40B4-BE49-F238E27FC236}">
              <a16:creationId xmlns:a16="http://schemas.microsoft.com/office/drawing/2014/main" id="{5965F840-8FBC-4D5A-A24E-FC5809F4CE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5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1191" name="Picture@5C\QPendientes@" descr="@5C\QPendientes@">
          <a:extLst>
            <a:ext uri="{FF2B5EF4-FFF2-40B4-BE49-F238E27FC236}">
              <a16:creationId xmlns:a16="http://schemas.microsoft.com/office/drawing/2014/main" id="{C6C0ADB3-6DDD-4189-8755-A04E637663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7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1192" name="Picture@5C\QPendientes@" descr="@5C\QPendientes@">
          <a:extLst>
            <a:ext uri="{FF2B5EF4-FFF2-40B4-BE49-F238E27FC236}">
              <a16:creationId xmlns:a16="http://schemas.microsoft.com/office/drawing/2014/main" id="{AE31B4A9-8087-4800-8EC8-B8922954F7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9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1193" name="Picture@5C\QPendientes@" descr="@5C\QPendientes@">
          <a:extLst>
            <a:ext uri="{FF2B5EF4-FFF2-40B4-BE49-F238E27FC236}">
              <a16:creationId xmlns:a16="http://schemas.microsoft.com/office/drawing/2014/main" id="{41E4609E-A0B7-48C8-9737-7DE9CB69AE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0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1194" name="Picture@5C\QPendientes@" descr="@5C\QPendientes@">
          <a:extLst>
            <a:ext uri="{FF2B5EF4-FFF2-40B4-BE49-F238E27FC236}">
              <a16:creationId xmlns:a16="http://schemas.microsoft.com/office/drawing/2014/main" id="{58C3DE27-A531-480F-A78B-CD936642BB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2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1195" name="Picture@5C\QPendientes@" descr="@5C\QPendientes@">
          <a:extLst>
            <a:ext uri="{FF2B5EF4-FFF2-40B4-BE49-F238E27FC236}">
              <a16:creationId xmlns:a16="http://schemas.microsoft.com/office/drawing/2014/main" id="{1441CC6E-97C0-4D96-A9D7-3B58E9F9C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4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1196" name="Picture@5C\QPendientes@" descr="@5C\QPendientes@">
          <a:extLst>
            <a:ext uri="{FF2B5EF4-FFF2-40B4-BE49-F238E27FC236}">
              <a16:creationId xmlns:a16="http://schemas.microsoft.com/office/drawing/2014/main" id="{0EBA6BB4-5447-4C3E-AB19-7261C023C7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1197" name="Picture@5C\QPendientes@" descr="@5C\QPendientes@">
          <a:extLst>
            <a:ext uri="{FF2B5EF4-FFF2-40B4-BE49-F238E27FC236}">
              <a16:creationId xmlns:a16="http://schemas.microsoft.com/office/drawing/2014/main" id="{E87233E3-369C-4166-92D2-649709BD8A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8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1198" name="Picture@5C\QPendientes@" descr="@5C\QPendientes@">
          <a:extLst>
            <a:ext uri="{FF2B5EF4-FFF2-40B4-BE49-F238E27FC236}">
              <a16:creationId xmlns:a16="http://schemas.microsoft.com/office/drawing/2014/main" id="{7B0B1FDD-AC5F-4B71-926A-F2790DAD35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0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1199" name="Picture@5C\QPendientes@" descr="@5C\QPendientes@">
          <a:extLst>
            <a:ext uri="{FF2B5EF4-FFF2-40B4-BE49-F238E27FC236}">
              <a16:creationId xmlns:a16="http://schemas.microsoft.com/office/drawing/2014/main" id="{7FACD923-4916-40C9-8EB7-05512A98CD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1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1200" name="Picture@5C\QPendientes@" descr="@5C\QPendientes@">
          <a:extLst>
            <a:ext uri="{FF2B5EF4-FFF2-40B4-BE49-F238E27FC236}">
              <a16:creationId xmlns:a16="http://schemas.microsoft.com/office/drawing/2014/main" id="{5CDBA652-2A75-4EA3-A9A0-5DEB78F4FB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3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1201" name="Picture@5C\QPendientes@" descr="@5C\QPendientes@">
          <a:extLst>
            <a:ext uri="{FF2B5EF4-FFF2-40B4-BE49-F238E27FC236}">
              <a16:creationId xmlns:a16="http://schemas.microsoft.com/office/drawing/2014/main" id="{01F2C7B0-5653-4B9B-9AD2-F0BD5B1ED3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5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1202" name="Picture@5C\QPendientes@" descr="@5C\QPendientes@">
          <a:extLst>
            <a:ext uri="{FF2B5EF4-FFF2-40B4-BE49-F238E27FC236}">
              <a16:creationId xmlns:a16="http://schemas.microsoft.com/office/drawing/2014/main" id="{0FCD6D71-3DBA-433A-ADEB-65706CEDC8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7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1203" name="Picture@5C\QPendientes@" descr="@5C\QPendientes@">
          <a:extLst>
            <a:ext uri="{FF2B5EF4-FFF2-40B4-BE49-F238E27FC236}">
              <a16:creationId xmlns:a16="http://schemas.microsoft.com/office/drawing/2014/main" id="{BFF441AD-808B-4C0C-86AD-F36809AB05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9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1204" name="Picture@5C\QPendientes@" descr="@5C\QPendientes@">
          <a:extLst>
            <a:ext uri="{FF2B5EF4-FFF2-40B4-BE49-F238E27FC236}">
              <a16:creationId xmlns:a16="http://schemas.microsoft.com/office/drawing/2014/main" id="{9EC1DDBF-1A73-4A39-92AC-808B0E92DA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1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1205" name="Picture@5C\QPendientes@" descr="@5C\QPendientes@">
          <a:extLst>
            <a:ext uri="{FF2B5EF4-FFF2-40B4-BE49-F238E27FC236}">
              <a16:creationId xmlns:a16="http://schemas.microsoft.com/office/drawing/2014/main" id="{3F5EA2E4-73B5-403F-9972-F9CB7C7E65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2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1206" name="Picture@5C\QPendientes@" descr="@5C\QPendientes@">
          <a:extLst>
            <a:ext uri="{FF2B5EF4-FFF2-40B4-BE49-F238E27FC236}">
              <a16:creationId xmlns:a16="http://schemas.microsoft.com/office/drawing/2014/main" id="{9EF5B222-1820-411D-A172-44A6305AF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1207" name="Picture@5C\QPendientes@" descr="@5C\QPendientes@">
          <a:extLst>
            <a:ext uri="{FF2B5EF4-FFF2-40B4-BE49-F238E27FC236}">
              <a16:creationId xmlns:a16="http://schemas.microsoft.com/office/drawing/2014/main" id="{8014D6AF-0503-476A-A378-4F262E1A5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6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1208" name="Picture@5C\QPendientes@" descr="@5C\QPendientes@">
          <a:extLst>
            <a:ext uri="{FF2B5EF4-FFF2-40B4-BE49-F238E27FC236}">
              <a16:creationId xmlns:a16="http://schemas.microsoft.com/office/drawing/2014/main" id="{CA0AB47E-4108-46A2-A17D-2CC2507178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8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1209" name="Picture@5C\QPendientes@" descr="@5C\QPendientes@">
          <a:extLst>
            <a:ext uri="{FF2B5EF4-FFF2-40B4-BE49-F238E27FC236}">
              <a16:creationId xmlns:a16="http://schemas.microsoft.com/office/drawing/2014/main" id="{6243F63C-9734-4BD5-9FB6-EF5D5BEE25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0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1210" name="Picture@5C\QPendientes@" descr="@5C\QPendientes@">
          <a:extLst>
            <a:ext uri="{FF2B5EF4-FFF2-40B4-BE49-F238E27FC236}">
              <a16:creationId xmlns:a16="http://schemas.microsoft.com/office/drawing/2014/main" id="{75F4BE64-BCB7-4D8C-B511-9FCAE36277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1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1211" name="Picture@5C\QPendientes@" descr="@5C\QPendientes@">
          <a:extLst>
            <a:ext uri="{FF2B5EF4-FFF2-40B4-BE49-F238E27FC236}">
              <a16:creationId xmlns:a16="http://schemas.microsoft.com/office/drawing/2014/main" id="{DA35932E-DA91-4A7F-A65A-0665381ED6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3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1212" name="Picture@5C\QPendientes@" descr="@5C\QPendientes@">
          <a:extLst>
            <a:ext uri="{FF2B5EF4-FFF2-40B4-BE49-F238E27FC236}">
              <a16:creationId xmlns:a16="http://schemas.microsoft.com/office/drawing/2014/main" id="{86EB7D14-5AEB-4DEA-8951-9C8AC08DA5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5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1213" name="Picture@5C\QPendientes@" descr="@5C\QPendientes@">
          <a:extLst>
            <a:ext uri="{FF2B5EF4-FFF2-40B4-BE49-F238E27FC236}">
              <a16:creationId xmlns:a16="http://schemas.microsoft.com/office/drawing/2014/main" id="{B27F678E-A1E7-4084-8613-A5E4F47E2C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7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1214" name="Picture@5C\QPendientes@" descr="@5C\QPendientes@">
          <a:extLst>
            <a:ext uri="{FF2B5EF4-FFF2-40B4-BE49-F238E27FC236}">
              <a16:creationId xmlns:a16="http://schemas.microsoft.com/office/drawing/2014/main" id="{D9AE5F85-E8F9-4B0B-9BA2-A277ED4625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9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1215" name="Picture@5C\QPendientes@" descr="@5C\QPendientes@">
          <a:extLst>
            <a:ext uri="{FF2B5EF4-FFF2-40B4-BE49-F238E27FC236}">
              <a16:creationId xmlns:a16="http://schemas.microsoft.com/office/drawing/2014/main" id="{972F9CA8-518A-4C7C-9371-6E8A6B49F1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1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1216" name="Picture@5C\QPendientes@" descr="@5C\QPendientes@">
          <a:extLst>
            <a:ext uri="{FF2B5EF4-FFF2-40B4-BE49-F238E27FC236}">
              <a16:creationId xmlns:a16="http://schemas.microsoft.com/office/drawing/2014/main" id="{887E0C39-F257-4F27-9EB9-3C8347814F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1217" name="Picture@5C\QPendientes@" descr="@5C\QPendientes@">
          <a:extLst>
            <a:ext uri="{FF2B5EF4-FFF2-40B4-BE49-F238E27FC236}">
              <a16:creationId xmlns:a16="http://schemas.microsoft.com/office/drawing/2014/main" id="{213D5365-82C0-42A4-9F90-8A1DF9E8DC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4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1218" name="Picture@5C\QPendientes@" descr="@5C\QPendientes@">
          <a:extLst>
            <a:ext uri="{FF2B5EF4-FFF2-40B4-BE49-F238E27FC236}">
              <a16:creationId xmlns:a16="http://schemas.microsoft.com/office/drawing/2014/main" id="{6A6C8E46-60FC-4581-9C0B-3BAAF2FB9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6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1219" name="Picture@5C\QPendientes@" descr="@5C\QPendientes@">
          <a:extLst>
            <a:ext uri="{FF2B5EF4-FFF2-40B4-BE49-F238E27FC236}">
              <a16:creationId xmlns:a16="http://schemas.microsoft.com/office/drawing/2014/main" id="{3C00DE16-22FE-45CC-8440-DA2D552ADD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8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1220" name="Picture@5C\QPendientes@" descr="@5C\QPendientes@">
          <a:extLst>
            <a:ext uri="{FF2B5EF4-FFF2-40B4-BE49-F238E27FC236}">
              <a16:creationId xmlns:a16="http://schemas.microsoft.com/office/drawing/2014/main" id="{0F10196D-7D9A-4716-A218-EAA30CD2D7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0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1221" name="Picture@5C\QPendientes@" descr="@5C\QPendientes@">
          <a:extLst>
            <a:ext uri="{FF2B5EF4-FFF2-40B4-BE49-F238E27FC236}">
              <a16:creationId xmlns:a16="http://schemas.microsoft.com/office/drawing/2014/main" id="{61860B68-A121-4746-AD7C-7472B13831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2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1222" name="Picture@5C\QPendientes@" descr="@5C\QPendientes@">
          <a:extLst>
            <a:ext uri="{FF2B5EF4-FFF2-40B4-BE49-F238E27FC236}">
              <a16:creationId xmlns:a16="http://schemas.microsoft.com/office/drawing/2014/main" id="{9895FC95-504B-43E2-9DD7-264FA79ECF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3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1223" name="Picture@5C\QPendientes@" descr="@5C\QPendientes@">
          <a:extLst>
            <a:ext uri="{FF2B5EF4-FFF2-40B4-BE49-F238E27FC236}">
              <a16:creationId xmlns:a16="http://schemas.microsoft.com/office/drawing/2014/main" id="{9295F314-7521-4F1C-9D08-8CBEAB0E86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5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1224" name="Picture@5C\QPendientes@" descr="@5C\QPendientes@">
          <a:extLst>
            <a:ext uri="{FF2B5EF4-FFF2-40B4-BE49-F238E27FC236}">
              <a16:creationId xmlns:a16="http://schemas.microsoft.com/office/drawing/2014/main" id="{12B9B242-7DDC-4C78-9EAC-917B0658A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7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1225" name="Picture@5C\QPendientes@" descr="@5C\QPendientes@">
          <a:extLst>
            <a:ext uri="{FF2B5EF4-FFF2-40B4-BE49-F238E27FC236}">
              <a16:creationId xmlns:a16="http://schemas.microsoft.com/office/drawing/2014/main" id="{B26FF34B-136F-415A-A891-22E7881562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9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1226" name="Picture@5C\QPendientes@" descr="@5C\QPendientes@">
          <a:extLst>
            <a:ext uri="{FF2B5EF4-FFF2-40B4-BE49-F238E27FC236}">
              <a16:creationId xmlns:a16="http://schemas.microsoft.com/office/drawing/2014/main" id="{E91306CB-4D34-4AF3-AFDA-97380EC73F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1227" name="Picture@5C\QPendientes@" descr="@5C\QPendientes@">
          <a:extLst>
            <a:ext uri="{FF2B5EF4-FFF2-40B4-BE49-F238E27FC236}">
              <a16:creationId xmlns:a16="http://schemas.microsoft.com/office/drawing/2014/main" id="{83725821-DAE4-4A1D-989D-A2596EBF06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3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1228" name="Picture@5C\QPendientes@" descr="@5C\QPendientes@">
          <a:extLst>
            <a:ext uri="{FF2B5EF4-FFF2-40B4-BE49-F238E27FC236}">
              <a16:creationId xmlns:a16="http://schemas.microsoft.com/office/drawing/2014/main" id="{5A16DFDB-D8AF-44EB-B0CF-93D623F9B4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4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1229" name="Picture@5C\QPendientes@" descr="@5C\QPendientes@">
          <a:extLst>
            <a:ext uri="{FF2B5EF4-FFF2-40B4-BE49-F238E27FC236}">
              <a16:creationId xmlns:a16="http://schemas.microsoft.com/office/drawing/2014/main" id="{C28C50E5-C366-41D3-9F67-3CDC1FA753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6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1230" name="Picture@5C\QPendientes@" descr="@5C\QPendientes@">
          <a:extLst>
            <a:ext uri="{FF2B5EF4-FFF2-40B4-BE49-F238E27FC236}">
              <a16:creationId xmlns:a16="http://schemas.microsoft.com/office/drawing/2014/main" id="{2CBE1D66-B442-47C6-8A6F-CA8AC014E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8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1231" name="Picture@5C\QPendientes@" descr="@5C\QPendientes@">
          <a:extLst>
            <a:ext uri="{FF2B5EF4-FFF2-40B4-BE49-F238E27FC236}">
              <a16:creationId xmlns:a16="http://schemas.microsoft.com/office/drawing/2014/main" id="{0321298E-7DC2-4121-AB60-AC3EA0603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0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1232" name="Picture@5C\QPendientes@" descr="@5C\QPendientes@">
          <a:extLst>
            <a:ext uri="{FF2B5EF4-FFF2-40B4-BE49-F238E27FC236}">
              <a16:creationId xmlns:a16="http://schemas.microsoft.com/office/drawing/2014/main" id="{950C5893-21F7-4C61-A3B0-EB157F223B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2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1233" name="Picture@5C\QPendientes@" descr="@5C\QPendientes@">
          <a:extLst>
            <a:ext uri="{FF2B5EF4-FFF2-40B4-BE49-F238E27FC236}">
              <a16:creationId xmlns:a16="http://schemas.microsoft.com/office/drawing/2014/main" id="{6AEEAE8D-F54A-409B-BCE2-7676B96828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4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1234" name="Picture@5C\QPendientes@" descr="@5C\QPendientes@">
          <a:extLst>
            <a:ext uri="{FF2B5EF4-FFF2-40B4-BE49-F238E27FC236}">
              <a16:creationId xmlns:a16="http://schemas.microsoft.com/office/drawing/2014/main" id="{A32A60DF-1E40-4914-86C0-6F681B9A7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5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1235" name="Picture@5C\QPendientes@" descr="@5C\QPendientes@">
          <a:extLst>
            <a:ext uri="{FF2B5EF4-FFF2-40B4-BE49-F238E27FC236}">
              <a16:creationId xmlns:a16="http://schemas.microsoft.com/office/drawing/2014/main" id="{F80787C6-AFF8-4071-8CDB-FDB43B9966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7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1236" name="Picture@5C\QPendientes@" descr="@5C\QPendientes@">
          <a:extLst>
            <a:ext uri="{FF2B5EF4-FFF2-40B4-BE49-F238E27FC236}">
              <a16:creationId xmlns:a16="http://schemas.microsoft.com/office/drawing/2014/main" id="{C1AF15F8-B4EB-4AAF-88CF-117E15E70C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1237" name="Picture@5C\QPendientes@" descr="@5C\QPendientes@">
          <a:extLst>
            <a:ext uri="{FF2B5EF4-FFF2-40B4-BE49-F238E27FC236}">
              <a16:creationId xmlns:a16="http://schemas.microsoft.com/office/drawing/2014/main" id="{86BE1057-134C-4E33-B2D9-A6B6BC1FB1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1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1238" name="Picture@5C\QPendientes@" descr="@5C\QPendientes@">
          <a:extLst>
            <a:ext uri="{FF2B5EF4-FFF2-40B4-BE49-F238E27FC236}">
              <a16:creationId xmlns:a16="http://schemas.microsoft.com/office/drawing/2014/main" id="{649DA689-14A5-4B01-8976-56B0F52AD9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3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1239" name="Picture@5C\QPendientes@" descr="@5C\QPendientes@">
          <a:extLst>
            <a:ext uri="{FF2B5EF4-FFF2-40B4-BE49-F238E27FC236}">
              <a16:creationId xmlns:a16="http://schemas.microsoft.com/office/drawing/2014/main" id="{C9080588-260F-4B13-B302-BEF214D252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5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1240" name="Picture@5C\QPendientes@" descr="@5C\QPendientes@">
          <a:extLst>
            <a:ext uri="{FF2B5EF4-FFF2-40B4-BE49-F238E27FC236}">
              <a16:creationId xmlns:a16="http://schemas.microsoft.com/office/drawing/2014/main" id="{94DE3FE7-EFFE-4F1F-9A8F-38AC774B5B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6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1241" name="Picture@5C\QPendientes@" descr="@5C\QPendientes@">
          <a:extLst>
            <a:ext uri="{FF2B5EF4-FFF2-40B4-BE49-F238E27FC236}">
              <a16:creationId xmlns:a16="http://schemas.microsoft.com/office/drawing/2014/main" id="{567CEA2E-5EC9-46BE-9174-DDF25B47DA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8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1242" name="Picture@5C\QPendientes@" descr="@5C\QPendientes@">
          <a:extLst>
            <a:ext uri="{FF2B5EF4-FFF2-40B4-BE49-F238E27FC236}">
              <a16:creationId xmlns:a16="http://schemas.microsoft.com/office/drawing/2014/main" id="{E9055F0D-F807-473A-8404-1B898114B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0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1243" name="Picture@5C\QPendientes@" descr="@5C\QPendientes@">
          <a:extLst>
            <a:ext uri="{FF2B5EF4-FFF2-40B4-BE49-F238E27FC236}">
              <a16:creationId xmlns:a16="http://schemas.microsoft.com/office/drawing/2014/main" id="{316016AC-5491-4A2C-84DD-5C9713E6B5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2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1244" name="Picture@5C\QPendientes@" descr="@5C\QPendientes@">
          <a:extLst>
            <a:ext uri="{FF2B5EF4-FFF2-40B4-BE49-F238E27FC236}">
              <a16:creationId xmlns:a16="http://schemas.microsoft.com/office/drawing/2014/main" id="{E562DE09-3020-4441-9319-0D9C11B31E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4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1245" name="Picture@5C\QPendientes@" descr="@5C\QPendientes@">
          <a:extLst>
            <a:ext uri="{FF2B5EF4-FFF2-40B4-BE49-F238E27FC236}">
              <a16:creationId xmlns:a16="http://schemas.microsoft.com/office/drawing/2014/main" id="{76ED7263-47A7-4303-9A5D-002C125A44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5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1246" name="Picture@5C\QPendientes@" descr="@5C\QPendientes@">
          <a:extLst>
            <a:ext uri="{FF2B5EF4-FFF2-40B4-BE49-F238E27FC236}">
              <a16:creationId xmlns:a16="http://schemas.microsoft.com/office/drawing/2014/main" id="{A12C2823-3D17-4D6F-BC8C-BF62E79A4B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1247" name="Picture@5C\QPendientes@" descr="@5C\QPendientes@">
          <a:extLst>
            <a:ext uri="{FF2B5EF4-FFF2-40B4-BE49-F238E27FC236}">
              <a16:creationId xmlns:a16="http://schemas.microsoft.com/office/drawing/2014/main" id="{ECAE46C8-EDB2-487B-A945-72A92E12E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9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1248" name="Picture@5C\QPendientes@" descr="@5C\QPendientes@">
          <a:extLst>
            <a:ext uri="{FF2B5EF4-FFF2-40B4-BE49-F238E27FC236}">
              <a16:creationId xmlns:a16="http://schemas.microsoft.com/office/drawing/2014/main" id="{55B36FE0-B954-4E5B-994F-46CF65B6F1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1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1249" name="Picture@5C\QPendientes@" descr="@5C\QPendientes@">
          <a:extLst>
            <a:ext uri="{FF2B5EF4-FFF2-40B4-BE49-F238E27FC236}">
              <a16:creationId xmlns:a16="http://schemas.microsoft.com/office/drawing/2014/main" id="{4511C041-D675-427F-970E-87BB3A0A5F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3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1250" name="Picture@5C\QPendientes@" descr="@5C\QPendientes@">
          <a:extLst>
            <a:ext uri="{FF2B5EF4-FFF2-40B4-BE49-F238E27FC236}">
              <a16:creationId xmlns:a16="http://schemas.microsoft.com/office/drawing/2014/main" id="{E4561F73-87EB-4D87-827C-595F752262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5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1251" name="Picture@5C\QPendientes@" descr="@5C\QPendientes@">
          <a:extLst>
            <a:ext uri="{FF2B5EF4-FFF2-40B4-BE49-F238E27FC236}">
              <a16:creationId xmlns:a16="http://schemas.microsoft.com/office/drawing/2014/main" id="{070227C0-1F38-4C57-A48D-3319119476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6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1252" name="Picture@5C\QPendientes@" descr="@5C\QPendientes@">
          <a:extLst>
            <a:ext uri="{FF2B5EF4-FFF2-40B4-BE49-F238E27FC236}">
              <a16:creationId xmlns:a16="http://schemas.microsoft.com/office/drawing/2014/main" id="{81E5BCF4-023A-4F35-BA8F-6E80CBF774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8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1253" name="Picture@5C\QPendientes@" descr="@5C\QPendientes@">
          <a:extLst>
            <a:ext uri="{FF2B5EF4-FFF2-40B4-BE49-F238E27FC236}">
              <a16:creationId xmlns:a16="http://schemas.microsoft.com/office/drawing/2014/main" id="{73F022AC-C688-4FA9-A337-389719B39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0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1254" name="Picture@5C\QPendientes@" descr="@5C\QPendientes@">
          <a:extLst>
            <a:ext uri="{FF2B5EF4-FFF2-40B4-BE49-F238E27FC236}">
              <a16:creationId xmlns:a16="http://schemas.microsoft.com/office/drawing/2014/main" id="{0A331C28-FF5D-4EF8-B5C2-5547B2A27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2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1255" name="Picture@5C\QPendientes@" descr="@5C\QPendientes@">
          <a:extLst>
            <a:ext uri="{FF2B5EF4-FFF2-40B4-BE49-F238E27FC236}">
              <a16:creationId xmlns:a16="http://schemas.microsoft.com/office/drawing/2014/main" id="{8170076E-48F6-462B-95CA-DFB8CDBCCD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4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1256" name="Picture@5C\QPendientes@" descr="@5C\QPendientes@">
          <a:extLst>
            <a:ext uri="{FF2B5EF4-FFF2-40B4-BE49-F238E27FC236}">
              <a16:creationId xmlns:a16="http://schemas.microsoft.com/office/drawing/2014/main" id="{758D509E-6230-46AD-B4A4-6B935F82D4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1257" name="Picture@5C\QPendientes@" descr="@5C\QPendientes@">
          <a:extLst>
            <a:ext uri="{FF2B5EF4-FFF2-40B4-BE49-F238E27FC236}">
              <a16:creationId xmlns:a16="http://schemas.microsoft.com/office/drawing/2014/main" id="{E643D77A-23F8-4913-BD47-2970FBB8E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7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1258" name="Picture@5C\QPendientes@" descr="@5C\QPendientes@">
          <a:extLst>
            <a:ext uri="{FF2B5EF4-FFF2-40B4-BE49-F238E27FC236}">
              <a16:creationId xmlns:a16="http://schemas.microsoft.com/office/drawing/2014/main" id="{3DA979B0-8E14-435A-821A-D02114524E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9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1259" name="Picture@5C\QPendientes@" descr="@5C\QPendientes@">
          <a:extLst>
            <a:ext uri="{FF2B5EF4-FFF2-40B4-BE49-F238E27FC236}">
              <a16:creationId xmlns:a16="http://schemas.microsoft.com/office/drawing/2014/main" id="{6566373C-EC1C-48D3-AE42-9F5BA09F82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1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1260" name="Picture@5C\QPendientes@" descr="@5C\QPendientes@">
          <a:extLst>
            <a:ext uri="{FF2B5EF4-FFF2-40B4-BE49-F238E27FC236}">
              <a16:creationId xmlns:a16="http://schemas.microsoft.com/office/drawing/2014/main" id="{2CA7EA00-A752-4B63-885E-0E2CB740C7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3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1261" name="Picture@5C\QPendientes@" descr="@5C\QPendientes@">
          <a:extLst>
            <a:ext uri="{FF2B5EF4-FFF2-40B4-BE49-F238E27FC236}">
              <a16:creationId xmlns:a16="http://schemas.microsoft.com/office/drawing/2014/main" id="{98D20B1D-8555-43D2-A5C5-E429442F1E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5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1262" name="Picture@5C\QPendientes@" descr="@5C\QPendientes@">
          <a:extLst>
            <a:ext uri="{FF2B5EF4-FFF2-40B4-BE49-F238E27FC236}">
              <a16:creationId xmlns:a16="http://schemas.microsoft.com/office/drawing/2014/main" id="{7D237EE5-9703-4131-855A-8C801B02CC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7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1263" name="Picture@5C\QPendientes@" descr="@5C\QPendientes@">
          <a:extLst>
            <a:ext uri="{FF2B5EF4-FFF2-40B4-BE49-F238E27FC236}">
              <a16:creationId xmlns:a16="http://schemas.microsoft.com/office/drawing/2014/main" id="{D7699936-DA7A-48F1-8AA0-1ACCFA6EF4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8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1264" name="Picture@5C\QPendientes@" descr="@5C\QPendientes@">
          <a:extLst>
            <a:ext uri="{FF2B5EF4-FFF2-40B4-BE49-F238E27FC236}">
              <a16:creationId xmlns:a16="http://schemas.microsoft.com/office/drawing/2014/main" id="{9AA0617D-8CA4-43B6-AD95-76E836A87F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0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1265" name="Picture@5C\QPendientes@" descr="@5C\QPendientes@">
          <a:extLst>
            <a:ext uri="{FF2B5EF4-FFF2-40B4-BE49-F238E27FC236}">
              <a16:creationId xmlns:a16="http://schemas.microsoft.com/office/drawing/2014/main" id="{B4F28A0F-DC57-4836-9C72-EB498AC80E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2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1266" name="Picture@5C\QPendientes@" descr="@5C\QPendientes@">
          <a:extLst>
            <a:ext uri="{FF2B5EF4-FFF2-40B4-BE49-F238E27FC236}">
              <a16:creationId xmlns:a16="http://schemas.microsoft.com/office/drawing/2014/main" id="{C34F03BE-C288-4D04-8960-C384B46F4B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1267" name="Picture@5C\QPendientes@" descr="@5C\QPendientes@">
          <a:extLst>
            <a:ext uri="{FF2B5EF4-FFF2-40B4-BE49-F238E27FC236}">
              <a16:creationId xmlns:a16="http://schemas.microsoft.com/office/drawing/2014/main" id="{35C06C8B-AF18-4ED0-950E-E7760DCD3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6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1268" name="Picture@5C\QPendientes@" descr="@5C\QPendientes@">
          <a:extLst>
            <a:ext uri="{FF2B5EF4-FFF2-40B4-BE49-F238E27FC236}">
              <a16:creationId xmlns:a16="http://schemas.microsoft.com/office/drawing/2014/main" id="{A1CC6194-FC3A-452C-A38C-4215874504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8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1269" name="Picture@5C\QPendientes@" descr="@5C\QPendientes@">
          <a:extLst>
            <a:ext uri="{FF2B5EF4-FFF2-40B4-BE49-F238E27FC236}">
              <a16:creationId xmlns:a16="http://schemas.microsoft.com/office/drawing/2014/main" id="{DF6335E9-F9C1-44B9-AF26-B00C47421D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9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1270" name="Picture@5C\QPendientes@" descr="@5C\QPendientes@">
          <a:extLst>
            <a:ext uri="{FF2B5EF4-FFF2-40B4-BE49-F238E27FC236}">
              <a16:creationId xmlns:a16="http://schemas.microsoft.com/office/drawing/2014/main" id="{0C42F996-CCF8-4EE1-B6A7-7B2587EB7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1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1271" name="Picture@5C\QPendientes@" descr="@5C\QPendientes@">
          <a:extLst>
            <a:ext uri="{FF2B5EF4-FFF2-40B4-BE49-F238E27FC236}">
              <a16:creationId xmlns:a16="http://schemas.microsoft.com/office/drawing/2014/main" id="{76924A22-1B5E-42F0-B679-870AAEF885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3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1272" name="Picture@5C\QPendientes@" descr="@5C\QPendientes@">
          <a:extLst>
            <a:ext uri="{FF2B5EF4-FFF2-40B4-BE49-F238E27FC236}">
              <a16:creationId xmlns:a16="http://schemas.microsoft.com/office/drawing/2014/main" id="{F15169D1-03A3-4B85-B0A6-FDDEA52F2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5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1273" name="Picture@5C\QPendientes@" descr="@5C\QPendientes@">
          <a:extLst>
            <a:ext uri="{FF2B5EF4-FFF2-40B4-BE49-F238E27FC236}">
              <a16:creationId xmlns:a16="http://schemas.microsoft.com/office/drawing/2014/main" id="{53C2B3C2-CD36-4894-B68A-4B09713EE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7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1274" name="Picture@5C\QPendientes@" descr="@5C\QPendientes@">
          <a:extLst>
            <a:ext uri="{FF2B5EF4-FFF2-40B4-BE49-F238E27FC236}">
              <a16:creationId xmlns:a16="http://schemas.microsoft.com/office/drawing/2014/main" id="{6F0386FE-DA21-41F1-B2AC-E7836FD1DF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9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1275" name="Picture@5C\QPendientes@" descr="@5C\QPendientes@">
          <a:extLst>
            <a:ext uri="{FF2B5EF4-FFF2-40B4-BE49-F238E27FC236}">
              <a16:creationId xmlns:a16="http://schemas.microsoft.com/office/drawing/2014/main" id="{7A455BB9-693E-43FD-885F-A5E21976F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0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1276" name="Picture@5C\QPendientes@" descr="@5C\QPendientes@">
          <a:extLst>
            <a:ext uri="{FF2B5EF4-FFF2-40B4-BE49-F238E27FC236}">
              <a16:creationId xmlns:a16="http://schemas.microsoft.com/office/drawing/2014/main" id="{5DC5D40F-04D6-4A53-9BDC-B7FBB62BCB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1277" name="Picture@5C\QPendientes@" descr="@5C\QPendientes@">
          <a:extLst>
            <a:ext uri="{FF2B5EF4-FFF2-40B4-BE49-F238E27FC236}">
              <a16:creationId xmlns:a16="http://schemas.microsoft.com/office/drawing/2014/main" id="{E3CCD9F7-9092-42E8-9796-9E09DE8533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4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1278" name="Picture@5C\QPendientes@" descr="@5C\QPendientes@">
          <a:extLst>
            <a:ext uri="{FF2B5EF4-FFF2-40B4-BE49-F238E27FC236}">
              <a16:creationId xmlns:a16="http://schemas.microsoft.com/office/drawing/2014/main" id="{C60F1B42-44A6-4858-B843-1EBF2DE1B5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6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1279" name="Picture@5C\QPendientes@" descr="@5C\QPendientes@">
          <a:extLst>
            <a:ext uri="{FF2B5EF4-FFF2-40B4-BE49-F238E27FC236}">
              <a16:creationId xmlns:a16="http://schemas.microsoft.com/office/drawing/2014/main" id="{331F0A42-AA83-4DF2-83EF-7CB1589EA1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8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1280" name="Picture@5C\QPendientes@" descr="@5C\QPendientes@">
          <a:extLst>
            <a:ext uri="{FF2B5EF4-FFF2-40B4-BE49-F238E27FC236}">
              <a16:creationId xmlns:a16="http://schemas.microsoft.com/office/drawing/2014/main" id="{DCF4F0C3-853B-4FCF-B768-BE2F1907C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0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1281" name="Picture@5C\QPendientes@" descr="@5C\QPendientes@">
          <a:extLst>
            <a:ext uri="{FF2B5EF4-FFF2-40B4-BE49-F238E27FC236}">
              <a16:creationId xmlns:a16="http://schemas.microsoft.com/office/drawing/2014/main" id="{577B9892-E879-4FB0-82B3-7B99DB60D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1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1282" name="Picture@5C\QPendientes@" descr="@5C\QPendientes@">
          <a:extLst>
            <a:ext uri="{FF2B5EF4-FFF2-40B4-BE49-F238E27FC236}">
              <a16:creationId xmlns:a16="http://schemas.microsoft.com/office/drawing/2014/main" id="{E3E2B4CD-D19A-4A1F-889C-7CFE93E2E4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3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1283" name="Picture@5C\QPendientes@" descr="@5C\QPendientes@">
          <a:extLst>
            <a:ext uri="{FF2B5EF4-FFF2-40B4-BE49-F238E27FC236}">
              <a16:creationId xmlns:a16="http://schemas.microsoft.com/office/drawing/2014/main" id="{9B822190-453F-4A07-98D1-0598ED4AF4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5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1284" name="Picture@5C\QPendientes@" descr="@5C\QPendientes@">
          <a:extLst>
            <a:ext uri="{FF2B5EF4-FFF2-40B4-BE49-F238E27FC236}">
              <a16:creationId xmlns:a16="http://schemas.microsoft.com/office/drawing/2014/main" id="{7DDF8752-2B4C-4231-8B06-5871E41129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7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1285" name="Picture@5C\QPendientes@" descr="@5C\QPendientes@">
          <a:extLst>
            <a:ext uri="{FF2B5EF4-FFF2-40B4-BE49-F238E27FC236}">
              <a16:creationId xmlns:a16="http://schemas.microsoft.com/office/drawing/2014/main" id="{17D77F09-59F8-49E6-8C0F-F8C02D1A31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9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1286" name="Picture@5C\QPendientes@" descr="@5C\QPendientes@">
          <a:extLst>
            <a:ext uri="{FF2B5EF4-FFF2-40B4-BE49-F238E27FC236}">
              <a16:creationId xmlns:a16="http://schemas.microsoft.com/office/drawing/2014/main" id="{765174E1-5345-41C7-A569-363773D1CC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1287" name="Picture@5C\QPendientes@" descr="@5C\QPendientes@">
          <a:extLst>
            <a:ext uri="{FF2B5EF4-FFF2-40B4-BE49-F238E27FC236}">
              <a16:creationId xmlns:a16="http://schemas.microsoft.com/office/drawing/2014/main" id="{940EB9C4-C4E8-40E1-AC3A-1EBF00CA2C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2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1288" name="Picture@5C\QPendientes@" descr="@5C\QPendientes@">
          <a:extLst>
            <a:ext uri="{FF2B5EF4-FFF2-40B4-BE49-F238E27FC236}">
              <a16:creationId xmlns:a16="http://schemas.microsoft.com/office/drawing/2014/main" id="{3E65B330-7909-4FA1-BE0D-770D28A5A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4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1289" name="Picture@5C\QPendientes@" descr="@5C\QPendientes@">
          <a:extLst>
            <a:ext uri="{FF2B5EF4-FFF2-40B4-BE49-F238E27FC236}">
              <a16:creationId xmlns:a16="http://schemas.microsoft.com/office/drawing/2014/main" id="{2FFD5C7C-68AA-4188-B275-AFB797DE91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6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1290" name="Picture@5C\QPendientes@" descr="@5C\QPendientes@">
          <a:extLst>
            <a:ext uri="{FF2B5EF4-FFF2-40B4-BE49-F238E27FC236}">
              <a16:creationId xmlns:a16="http://schemas.microsoft.com/office/drawing/2014/main" id="{8511BB5B-289A-4333-A7F2-5E1927D063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8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1291" name="Picture@5C\QPendientes@" descr="@5C\QPendientes@">
          <a:extLst>
            <a:ext uri="{FF2B5EF4-FFF2-40B4-BE49-F238E27FC236}">
              <a16:creationId xmlns:a16="http://schemas.microsoft.com/office/drawing/2014/main" id="{A9A9FF08-7EDB-40A7-A55D-F3865C706E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0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1292" name="Picture@5C\QPendientes@" descr="@5C\QPendientes@">
          <a:extLst>
            <a:ext uri="{FF2B5EF4-FFF2-40B4-BE49-F238E27FC236}">
              <a16:creationId xmlns:a16="http://schemas.microsoft.com/office/drawing/2014/main" id="{22671505-89E4-4564-9C8E-CEE6FD9627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1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1293" name="Picture@5C\QPendientes@" descr="@5C\QPendientes@">
          <a:extLst>
            <a:ext uri="{FF2B5EF4-FFF2-40B4-BE49-F238E27FC236}">
              <a16:creationId xmlns:a16="http://schemas.microsoft.com/office/drawing/2014/main" id="{1437E5A9-5624-4D33-BED5-792292DBAC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3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1294" name="Picture@5C\QPendientes@" descr="@5C\QPendientes@">
          <a:extLst>
            <a:ext uri="{FF2B5EF4-FFF2-40B4-BE49-F238E27FC236}">
              <a16:creationId xmlns:a16="http://schemas.microsoft.com/office/drawing/2014/main" id="{D9425A7B-CD28-4B08-A6D7-04955DB793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5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1295" name="Picture@5C\QPendientes@" descr="@5C\QPendientes@">
          <a:extLst>
            <a:ext uri="{FF2B5EF4-FFF2-40B4-BE49-F238E27FC236}">
              <a16:creationId xmlns:a16="http://schemas.microsoft.com/office/drawing/2014/main" id="{927F4198-3E57-4F5E-AE15-33C8BB43C8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7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1296" name="Picture@5C\QPendientes@" descr="@5C\QPendientes@">
          <a:extLst>
            <a:ext uri="{FF2B5EF4-FFF2-40B4-BE49-F238E27FC236}">
              <a16:creationId xmlns:a16="http://schemas.microsoft.com/office/drawing/2014/main" id="{6FE4BA29-1D8C-4990-9AA6-3F669C861B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1297" name="Picture@5C\QPendientes@" descr="@5C\QPendientes@">
          <a:extLst>
            <a:ext uri="{FF2B5EF4-FFF2-40B4-BE49-F238E27FC236}">
              <a16:creationId xmlns:a16="http://schemas.microsoft.com/office/drawing/2014/main" id="{4A02697D-D666-426F-A368-0D5CEF6E6D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1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1298" name="Picture@5C\QPendientes@" descr="@5C\QPendientes@">
          <a:extLst>
            <a:ext uri="{FF2B5EF4-FFF2-40B4-BE49-F238E27FC236}">
              <a16:creationId xmlns:a16="http://schemas.microsoft.com/office/drawing/2014/main" id="{FE5FEE0F-6672-4A63-B230-09BE1C7417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2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1299" name="Picture@5C\QPendientes@" descr="@5C\QPendientes@">
          <a:extLst>
            <a:ext uri="{FF2B5EF4-FFF2-40B4-BE49-F238E27FC236}">
              <a16:creationId xmlns:a16="http://schemas.microsoft.com/office/drawing/2014/main" id="{1CA8F4BB-621D-477E-884F-15D1A94273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4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1300" name="Picture@5C\QPendientes@" descr="@5C\QPendientes@">
          <a:extLst>
            <a:ext uri="{FF2B5EF4-FFF2-40B4-BE49-F238E27FC236}">
              <a16:creationId xmlns:a16="http://schemas.microsoft.com/office/drawing/2014/main" id="{CACF6D3A-9D58-4948-8220-015857524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6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1301" name="Picture@5C\QPendientes@" descr="@5C\QPendientes@">
          <a:extLst>
            <a:ext uri="{FF2B5EF4-FFF2-40B4-BE49-F238E27FC236}">
              <a16:creationId xmlns:a16="http://schemas.microsoft.com/office/drawing/2014/main" id="{316525D5-A6B1-49F2-8050-EAAE48FA4B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8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1302" name="Picture@5C\QPendientes@" descr="@5C\QPendientes@">
          <a:extLst>
            <a:ext uri="{FF2B5EF4-FFF2-40B4-BE49-F238E27FC236}">
              <a16:creationId xmlns:a16="http://schemas.microsoft.com/office/drawing/2014/main" id="{5DF82574-FE76-4B2E-923F-632AFDB76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0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1303" name="Picture@5C\QPendientes@" descr="@5C\QPendientes@">
          <a:extLst>
            <a:ext uri="{FF2B5EF4-FFF2-40B4-BE49-F238E27FC236}">
              <a16:creationId xmlns:a16="http://schemas.microsoft.com/office/drawing/2014/main" id="{2C76960D-2A1D-48C4-AB60-F56E7A947E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2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1304" name="Picture@5C\QPendientes@" descr="@5C\QPendientes@">
          <a:extLst>
            <a:ext uri="{FF2B5EF4-FFF2-40B4-BE49-F238E27FC236}">
              <a16:creationId xmlns:a16="http://schemas.microsoft.com/office/drawing/2014/main" id="{CE465A05-3936-42D0-8E89-C90AF1045D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3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1305" name="Picture@5C\QPendientes@" descr="@5C\QPendientes@">
          <a:extLst>
            <a:ext uri="{FF2B5EF4-FFF2-40B4-BE49-F238E27FC236}">
              <a16:creationId xmlns:a16="http://schemas.microsoft.com/office/drawing/2014/main" id="{D3FDD07C-5523-43C8-A092-17DCC48C79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5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1306" name="Picture@5C\QPendientes@" descr="@5C\QPendientes@">
          <a:extLst>
            <a:ext uri="{FF2B5EF4-FFF2-40B4-BE49-F238E27FC236}">
              <a16:creationId xmlns:a16="http://schemas.microsoft.com/office/drawing/2014/main" id="{E0D11FED-7DCF-4491-A3E8-804BFD4D1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1307" name="Picture@5C\QPendientes@" descr="@5C\QPendientes@">
          <a:extLst>
            <a:ext uri="{FF2B5EF4-FFF2-40B4-BE49-F238E27FC236}">
              <a16:creationId xmlns:a16="http://schemas.microsoft.com/office/drawing/2014/main" id="{426ACD33-A58A-4EAD-884C-01B570FE91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9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1308" name="Picture@5C\QPendientes@" descr="@5C\QPendientes@">
          <a:extLst>
            <a:ext uri="{FF2B5EF4-FFF2-40B4-BE49-F238E27FC236}">
              <a16:creationId xmlns:a16="http://schemas.microsoft.com/office/drawing/2014/main" id="{9756F79F-7445-48FC-83FA-FFDBEB358B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1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1309" name="Picture@5C\QPendientes@" descr="@5C\QPendientes@">
          <a:extLst>
            <a:ext uri="{FF2B5EF4-FFF2-40B4-BE49-F238E27FC236}">
              <a16:creationId xmlns:a16="http://schemas.microsoft.com/office/drawing/2014/main" id="{3F323DB3-7134-47D0-8DC6-671B50FAF8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3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1310" name="Picture@5C\QPendientes@" descr="@5C\QPendientes@">
          <a:extLst>
            <a:ext uri="{FF2B5EF4-FFF2-40B4-BE49-F238E27FC236}">
              <a16:creationId xmlns:a16="http://schemas.microsoft.com/office/drawing/2014/main" id="{2AA3847A-6F47-40AB-845D-25B3B0C685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4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1311" name="Picture@5C\QPendientes@" descr="@5C\QPendientes@">
          <a:extLst>
            <a:ext uri="{FF2B5EF4-FFF2-40B4-BE49-F238E27FC236}">
              <a16:creationId xmlns:a16="http://schemas.microsoft.com/office/drawing/2014/main" id="{97CFE312-25DE-4288-9149-CF0A32A937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6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1312" name="Picture@5C\QPendientes@" descr="@5C\QPendientes@">
          <a:extLst>
            <a:ext uri="{FF2B5EF4-FFF2-40B4-BE49-F238E27FC236}">
              <a16:creationId xmlns:a16="http://schemas.microsoft.com/office/drawing/2014/main" id="{D085C4D0-E2A6-48BB-A725-1AA25E3080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8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1313" name="Picture@5C\QPendientes@" descr="@5C\QPendientes@">
          <a:extLst>
            <a:ext uri="{FF2B5EF4-FFF2-40B4-BE49-F238E27FC236}">
              <a16:creationId xmlns:a16="http://schemas.microsoft.com/office/drawing/2014/main" id="{EB620DE2-1A48-48AF-8301-83699C1515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0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1314" name="Picture@5C\QPendientes@" descr="@5C\QPendientes@">
          <a:extLst>
            <a:ext uri="{FF2B5EF4-FFF2-40B4-BE49-F238E27FC236}">
              <a16:creationId xmlns:a16="http://schemas.microsoft.com/office/drawing/2014/main" id="{EA54CB12-CF65-40F8-9582-AD5EA4C7DD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2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1315" name="Picture@5C\QPendientes@" descr="@5C\QPendientes@">
          <a:extLst>
            <a:ext uri="{FF2B5EF4-FFF2-40B4-BE49-F238E27FC236}">
              <a16:creationId xmlns:a16="http://schemas.microsoft.com/office/drawing/2014/main" id="{31D3AF12-6B0A-4A61-BB75-AB1E605197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4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1316" name="Picture@5C\QPendientes@" descr="@5C\QPendientes@">
          <a:extLst>
            <a:ext uri="{FF2B5EF4-FFF2-40B4-BE49-F238E27FC236}">
              <a16:creationId xmlns:a16="http://schemas.microsoft.com/office/drawing/2014/main" id="{06330890-2DBD-44DD-99DA-A5B72E0715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1317" name="Picture@5C\QPendientes@" descr="@5C\QPendientes@">
          <a:extLst>
            <a:ext uri="{FF2B5EF4-FFF2-40B4-BE49-F238E27FC236}">
              <a16:creationId xmlns:a16="http://schemas.microsoft.com/office/drawing/2014/main" id="{EA8DC4D9-A870-46BC-B3B4-4DA66E240C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7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1318" name="Picture@5C\QPendientes@" descr="@5C\QPendientes@">
          <a:extLst>
            <a:ext uri="{FF2B5EF4-FFF2-40B4-BE49-F238E27FC236}">
              <a16:creationId xmlns:a16="http://schemas.microsoft.com/office/drawing/2014/main" id="{507BF78F-B92E-466A-9D33-F225F8DA56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9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1319" name="Picture@5C\QPendientes@" descr="@5C\QPendientes@">
          <a:extLst>
            <a:ext uri="{FF2B5EF4-FFF2-40B4-BE49-F238E27FC236}">
              <a16:creationId xmlns:a16="http://schemas.microsoft.com/office/drawing/2014/main" id="{E3378283-46AF-4409-8819-8A8A884BC3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1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1320" name="Picture@5C\QPendientes@" descr="@5C\QPendientes@">
          <a:extLst>
            <a:ext uri="{FF2B5EF4-FFF2-40B4-BE49-F238E27FC236}">
              <a16:creationId xmlns:a16="http://schemas.microsoft.com/office/drawing/2014/main" id="{C13869A3-F354-4CD2-A9DD-702BA6928E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3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1321" name="Picture@5C\QPendientes@" descr="@5C\QPendientes@">
          <a:extLst>
            <a:ext uri="{FF2B5EF4-FFF2-40B4-BE49-F238E27FC236}">
              <a16:creationId xmlns:a16="http://schemas.microsoft.com/office/drawing/2014/main" id="{C382AAD3-3901-4B1C-ABE9-7C42F47956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4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1322" name="Picture@5C\QPendientes@" descr="@5C\QPendientes@">
          <a:extLst>
            <a:ext uri="{FF2B5EF4-FFF2-40B4-BE49-F238E27FC236}">
              <a16:creationId xmlns:a16="http://schemas.microsoft.com/office/drawing/2014/main" id="{630C03D5-D7A9-4580-914E-CC6A3F475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6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1323" name="Picture@5C\QPendientes@" descr="@5C\QPendientes@">
          <a:extLst>
            <a:ext uri="{FF2B5EF4-FFF2-40B4-BE49-F238E27FC236}">
              <a16:creationId xmlns:a16="http://schemas.microsoft.com/office/drawing/2014/main" id="{1B223DB8-F651-44C5-AF81-E662C6C49B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8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1324" name="Picture@5C\QPendientes@" descr="@5C\QPendientes@">
          <a:extLst>
            <a:ext uri="{FF2B5EF4-FFF2-40B4-BE49-F238E27FC236}">
              <a16:creationId xmlns:a16="http://schemas.microsoft.com/office/drawing/2014/main" id="{E2BE64BE-703E-40E4-9E44-C6452E3278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0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1325" name="Picture@5C\QPendientes@" descr="@5C\QPendientes@">
          <a:extLst>
            <a:ext uri="{FF2B5EF4-FFF2-40B4-BE49-F238E27FC236}">
              <a16:creationId xmlns:a16="http://schemas.microsoft.com/office/drawing/2014/main" id="{93AE0187-A95B-462F-A5FD-BA537D1C12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2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1326" name="Picture@5C\QPendientes@" descr="@5C\QPendientes@">
          <a:extLst>
            <a:ext uri="{FF2B5EF4-FFF2-40B4-BE49-F238E27FC236}">
              <a16:creationId xmlns:a16="http://schemas.microsoft.com/office/drawing/2014/main" id="{EAA6C3AA-9A2A-45DF-8BA4-85148E7ADC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1327" name="Picture@5C\QPendientes@" descr="@5C\QPendientes@">
          <a:extLst>
            <a:ext uri="{FF2B5EF4-FFF2-40B4-BE49-F238E27FC236}">
              <a16:creationId xmlns:a16="http://schemas.microsoft.com/office/drawing/2014/main" id="{A97CF1BF-46EF-4486-A0E9-11FC177122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5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1328" name="Picture@5C\QPendientes@" descr="@5C\QPendientes@">
          <a:extLst>
            <a:ext uri="{FF2B5EF4-FFF2-40B4-BE49-F238E27FC236}">
              <a16:creationId xmlns:a16="http://schemas.microsoft.com/office/drawing/2014/main" id="{CACC3ACD-BADA-434E-BFB9-279B1EBD02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77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1329" name="Picture@5C\QPendientes@" descr="@5C\QPendientes@">
          <a:extLst>
            <a:ext uri="{FF2B5EF4-FFF2-40B4-BE49-F238E27FC236}">
              <a16:creationId xmlns:a16="http://schemas.microsoft.com/office/drawing/2014/main" id="{117D8FE6-9DA9-47EA-BA3A-F50F217934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96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1330" name="Picture@5C\QPendientes@" descr="@5C\QPendientes@">
          <a:extLst>
            <a:ext uri="{FF2B5EF4-FFF2-40B4-BE49-F238E27FC236}">
              <a16:creationId xmlns:a16="http://schemas.microsoft.com/office/drawing/2014/main" id="{60B2A26F-3342-4E14-A76B-F7C528E48F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14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1331" name="Picture@5C\QPendientes@" descr="@5C\QPendientes@">
          <a:extLst>
            <a:ext uri="{FF2B5EF4-FFF2-40B4-BE49-F238E27FC236}">
              <a16:creationId xmlns:a16="http://schemas.microsoft.com/office/drawing/2014/main" id="{08C049A2-D8F8-4C85-8DEB-35DA5C42A2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32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1332" name="Picture@5C\QPendientes@" descr="@5C\QPendientes@">
          <a:extLst>
            <a:ext uri="{FF2B5EF4-FFF2-40B4-BE49-F238E27FC236}">
              <a16:creationId xmlns:a16="http://schemas.microsoft.com/office/drawing/2014/main" id="{15E23DAE-1D38-492D-A5EF-739990D215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51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1333" name="Picture@5C\QPendientes@" descr="@5C\QPendientes@">
          <a:extLst>
            <a:ext uri="{FF2B5EF4-FFF2-40B4-BE49-F238E27FC236}">
              <a16:creationId xmlns:a16="http://schemas.microsoft.com/office/drawing/2014/main" id="{7524DEF7-5A29-4EAF-AC48-223EB381CD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69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1334" name="Picture@5C\QPendientes@" descr="@5C\QPendientes@">
          <a:extLst>
            <a:ext uri="{FF2B5EF4-FFF2-40B4-BE49-F238E27FC236}">
              <a16:creationId xmlns:a16="http://schemas.microsoft.com/office/drawing/2014/main" id="{40A89EFD-0130-4D0B-9BEA-44723612A5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87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1335" name="Picture@5C\QPendientes@" descr="@5C\QPendientes@">
          <a:extLst>
            <a:ext uri="{FF2B5EF4-FFF2-40B4-BE49-F238E27FC236}">
              <a16:creationId xmlns:a16="http://schemas.microsoft.com/office/drawing/2014/main" id="{720CE391-1A68-47FD-B7C7-F9EFE06BA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05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1336" name="Picture@5C\QPendientes@" descr="@5C\QPendientes@">
          <a:extLst>
            <a:ext uri="{FF2B5EF4-FFF2-40B4-BE49-F238E27FC236}">
              <a16:creationId xmlns:a16="http://schemas.microsoft.com/office/drawing/2014/main" id="{50E1B78C-61EF-4021-85C9-843E47CD73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1337" name="Picture@5C\QPendientes@" descr="@5C\QPendientes@">
          <a:extLst>
            <a:ext uri="{FF2B5EF4-FFF2-40B4-BE49-F238E27FC236}">
              <a16:creationId xmlns:a16="http://schemas.microsoft.com/office/drawing/2014/main" id="{824274FC-D2FB-409C-9800-AF99DAEE79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42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1338" name="Picture@5C\QPendientes@" descr="@5C\QPendientes@">
          <a:extLst>
            <a:ext uri="{FF2B5EF4-FFF2-40B4-BE49-F238E27FC236}">
              <a16:creationId xmlns:a16="http://schemas.microsoft.com/office/drawing/2014/main" id="{7B63C0B8-B02B-462D-9D00-4EFDB8BB45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60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1339" name="Picture@5C\QPendientes@" descr="@5C\QPendientes@">
          <a:extLst>
            <a:ext uri="{FF2B5EF4-FFF2-40B4-BE49-F238E27FC236}">
              <a16:creationId xmlns:a16="http://schemas.microsoft.com/office/drawing/2014/main" id="{948163E8-1861-4F48-9E65-DCC7D088A7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79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1340" name="Picture@5C\QPendientes@" descr="@5C\QPendientes@">
          <a:extLst>
            <a:ext uri="{FF2B5EF4-FFF2-40B4-BE49-F238E27FC236}">
              <a16:creationId xmlns:a16="http://schemas.microsoft.com/office/drawing/2014/main" id="{AE227392-E2C8-408E-B466-635E93C131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97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1341" name="Picture@5C\QPendientes@" descr="@5C\QPendientes@">
          <a:extLst>
            <a:ext uri="{FF2B5EF4-FFF2-40B4-BE49-F238E27FC236}">
              <a16:creationId xmlns:a16="http://schemas.microsoft.com/office/drawing/2014/main" id="{53338526-4E1C-4DEE-A82B-75EBEAA6FC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1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1342" name="Picture@5C\QPendientes@" descr="@5C\QPendientes@">
          <a:extLst>
            <a:ext uri="{FF2B5EF4-FFF2-40B4-BE49-F238E27FC236}">
              <a16:creationId xmlns:a16="http://schemas.microsoft.com/office/drawing/2014/main" id="{8E0FB872-A031-4953-BBAD-92F97C1C92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33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1343" name="Picture@5C\QPendientes@" descr="@5C\QPendientes@">
          <a:extLst>
            <a:ext uri="{FF2B5EF4-FFF2-40B4-BE49-F238E27FC236}">
              <a16:creationId xmlns:a16="http://schemas.microsoft.com/office/drawing/2014/main" id="{344D7BCF-B2A3-4519-AD38-6A106B4EBB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52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1344" name="Picture@5C\QPendientes@" descr="@5C\QPendientes@">
          <a:extLst>
            <a:ext uri="{FF2B5EF4-FFF2-40B4-BE49-F238E27FC236}">
              <a16:creationId xmlns:a16="http://schemas.microsoft.com/office/drawing/2014/main" id="{DE6E9C54-4932-4120-93D9-52700E71FD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70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1345" name="Picture@5C\QPendientes@" descr="@5C\QPendientes@">
          <a:extLst>
            <a:ext uri="{FF2B5EF4-FFF2-40B4-BE49-F238E27FC236}">
              <a16:creationId xmlns:a16="http://schemas.microsoft.com/office/drawing/2014/main" id="{E3226DA4-0F5F-4D8F-9066-8FAADEFA98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88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1346" name="Picture@5C\QPendientes@" descr="@5C\QPendientes@">
          <a:extLst>
            <a:ext uri="{FF2B5EF4-FFF2-40B4-BE49-F238E27FC236}">
              <a16:creationId xmlns:a16="http://schemas.microsoft.com/office/drawing/2014/main" id="{116103D8-E6EE-45A2-A6D0-6F216ADBB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1347" name="Picture@5C\QPendientes@" descr="@5C\QPendientes@">
          <a:extLst>
            <a:ext uri="{FF2B5EF4-FFF2-40B4-BE49-F238E27FC236}">
              <a16:creationId xmlns:a16="http://schemas.microsoft.com/office/drawing/2014/main" id="{BA0E155D-7051-4739-BAF4-9FBE479115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25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1348" name="Picture@5C\QPendientes@" descr="@5C\QPendientes@">
          <a:extLst>
            <a:ext uri="{FF2B5EF4-FFF2-40B4-BE49-F238E27FC236}">
              <a16:creationId xmlns:a16="http://schemas.microsoft.com/office/drawing/2014/main" id="{5C425204-374B-4DD5-91F2-B27656ADA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43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1349" name="Picture@5C\QPendientes@" descr="@5C\QPendientes@">
          <a:extLst>
            <a:ext uri="{FF2B5EF4-FFF2-40B4-BE49-F238E27FC236}">
              <a16:creationId xmlns:a16="http://schemas.microsoft.com/office/drawing/2014/main" id="{146F6B9E-021F-4DB0-B55E-0AFDC71C25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61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1350" name="Picture@5C\QPendientes@" descr="@5C\QPendientes@">
          <a:extLst>
            <a:ext uri="{FF2B5EF4-FFF2-40B4-BE49-F238E27FC236}">
              <a16:creationId xmlns:a16="http://schemas.microsoft.com/office/drawing/2014/main" id="{89CF646A-F058-49FC-B38F-76E1697F2A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80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1351" name="Picture@5C\QPendientes@" descr="@5C\QPendientes@">
          <a:extLst>
            <a:ext uri="{FF2B5EF4-FFF2-40B4-BE49-F238E27FC236}">
              <a16:creationId xmlns:a16="http://schemas.microsoft.com/office/drawing/2014/main" id="{DA719B8E-9594-43D8-83AD-E1EB82D923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98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1352" name="Picture@5C\QPendientes@" descr="@5C\QPendientes@">
          <a:extLst>
            <a:ext uri="{FF2B5EF4-FFF2-40B4-BE49-F238E27FC236}">
              <a16:creationId xmlns:a16="http://schemas.microsoft.com/office/drawing/2014/main" id="{18D5216D-1D86-4E10-A1CD-F114E7767A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16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1353" name="Picture@5C\QPendientes@" descr="@5C\QPendientes@">
          <a:extLst>
            <a:ext uri="{FF2B5EF4-FFF2-40B4-BE49-F238E27FC236}">
              <a16:creationId xmlns:a16="http://schemas.microsoft.com/office/drawing/2014/main" id="{99DE96A7-E272-464A-ACBB-F0D88D1726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35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1354" name="Picture@5C\QPendientes@" descr="@5C\QPendientes@">
          <a:extLst>
            <a:ext uri="{FF2B5EF4-FFF2-40B4-BE49-F238E27FC236}">
              <a16:creationId xmlns:a16="http://schemas.microsoft.com/office/drawing/2014/main" id="{F795204E-E1C1-44A3-B60E-F0E1C09F76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53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1355" name="Picture@5C\QPendientes@" descr="@5C\QPendientes@">
          <a:extLst>
            <a:ext uri="{FF2B5EF4-FFF2-40B4-BE49-F238E27FC236}">
              <a16:creationId xmlns:a16="http://schemas.microsoft.com/office/drawing/2014/main" id="{2B85AFBC-67DF-464F-BCD5-4FDC211631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71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1356" name="Picture@5C\QPendientes@" descr="@5C\QPendientes@">
          <a:extLst>
            <a:ext uri="{FF2B5EF4-FFF2-40B4-BE49-F238E27FC236}">
              <a16:creationId xmlns:a16="http://schemas.microsoft.com/office/drawing/2014/main" id="{D699F88A-4C06-49D4-9A6D-21D3AFC84C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1357" name="Picture@5C\QPendientes@" descr="@5C\QPendientes@">
          <a:extLst>
            <a:ext uri="{FF2B5EF4-FFF2-40B4-BE49-F238E27FC236}">
              <a16:creationId xmlns:a16="http://schemas.microsoft.com/office/drawing/2014/main" id="{0822CE7E-3F34-4F60-B5E8-2909E27DE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08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1358" name="Picture@5C\QPendientes@" descr="@5C\QPendientes@">
          <a:extLst>
            <a:ext uri="{FF2B5EF4-FFF2-40B4-BE49-F238E27FC236}">
              <a16:creationId xmlns:a16="http://schemas.microsoft.com/office/drawing/2014/main" id="{7D14AFE4-E15C-404E-9B76-7631F722CC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26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1359" name="Picture@5C\QPendientes@" descr="@5C\QPendientes@">
          <a:extLst>
            <a:ext uri="{FF2B5EF4-FFF2-40B4-BE49-F238E27FC236}">
              <a16:creationId xmlns:a16="http://schemas.microsoft.com/office/drawing/2014/main" id="{3DA1A2B4-5E06-4929-94D4-02CFBF79E7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44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1360" name="Picture@5C\QPendientes@" descr="@5C\QPendientes@">
          <a:extLst>
            <a:ext uri="{FF2B5EF4-FFF2-40B4-BE49-F238E27FC236}">
              <a16:creationId xmlns:a16="http://schemas.microsoft.com/office/drawing/2014/main" id="{2D68BA7B-1D13-4300-ADFD-CBCCC990F3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63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1361" name="Picture@5C\QPendientes@" descr="@5C\QPendientes@">
          <a:extLst>
            <a:ext uri="{FF2B5EF4-FFF2-40B4-BE49-F238E27FC236}">
              <a16:creationId xmlns:a16="http://schemas.microsoft.com/office/drawing/2014/main" id="{0BB01D82-1400-4710-B32E-3C9EDC1113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81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1362" name="Picture@5C\QPendientes@" descr="@5C\QPendientes@">
          <a:extLst>
            <a:ext uri="{FF2B5EF4-FFF2-40B4-BE49-F238E27FC236}">
              <a16:creationId xmlns:a16="http://schemas.microsoft.com/office/drawing/2014/main" id="{62D22E85-86F9-401D-B6E3-2F0E664D5E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99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1363" name="Picture@5C\QPendientes@" descr="@5C\QPendientes@">
          <a:extLst>
            <a:ext uri="{FF2B5EF4-FFF2-40B4-BE49-F238E27FC236}">
              <a16:creationId xmlns:a16="http://schemas.microsoft.com/office/drawing/2014/main" id="{36E9AD55-E84B-4325-B5B8-D7697BDE1D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17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1364" name="Picture@5C\QPendientes@" descr="@5C\QPendientes@">
          <a:extLst>
            <a:ext uri="{FF2B5EF4-FFF2-40B4-BE49-F238E27FC236}">
              <a16:creationId xmlns:a16="http://schemas.microsoft.com/office/drawing/2014/main" id="{CD2754D0-86C0-4B92-A495-8957731FD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36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1365" name="Picture@5C\QPendientes@" descr="@5C\QPendientes@">
          <a:extLst>
            <a:ext uri="{FF2B5EF4-FFF2-40B4-BE49-F238E27FC236}">
              <a16:creationId xmlns:a16="http://schemas.microsoft.com/office/drawing/2014/main" id="{35CAECDC-DA93-49AD-8DCA-806723078F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54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1366" name="Picture@5C\QPendientes@" descr="@5C\QPendientes@">
          <a:extLst>
            <a:ext uri="{FF2B5EF4-FFF2-40B4-BE49-F238E27FC236}">
              <a16:creationId xmlns:a16="http://schemas.microsoft.com/office/drawing/2014/main" id="{893FE673-B835-4CC0-953D-912F7D16CF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1367" name="Picture@5C\QPendientes@" descr="@5C\QPendientes@">
          <a:extLst>
            <a:ext uri="{FF2B5EF4-FFF2-40B4-BE49-F238E27FC236}">
              <a16:creationId xmlns:a16="http://schemas.microsoft.com/office/drawing/2014/main" id="{B5B18FE2-0462-4027-A013-58B880AA4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91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1368" name="Picture@5C\QPendientes@" descr="@5C\QPendientes@">
          <a:extLst>
            <a:ext uri="{FF2B5EF4-FFF2-40B4-BE49-F238E27FC236}">
              <a16:creationId xmlns:a16="http://schemas.microsoft.com/office/drawing/2014/main" id="{CFFCD8F4-6290-4ECD-97F5-90345C68D3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09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1369" name="Picture@5C\QPendientes@" descr="@5C\QPendientes@">
          <a:extLst>
            <a:ext uri="{FF2B5EF4-FFF2-40B4-BE49-F238E27FC236}">
              <a16:creationId xmlns:a16="http://schemas.microsoft.com/office/drawing/2014/main" id="{68154904-D6D1-4C81-AB41-0BE7545AE0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27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1370" name="Picture@5C\QPendientes@" descr="@5C\QPendientes@">
          <a:extLst>
            <a:ext uri="{FF2B5EF4-FFF2-40B4-BE49-F238E27FC236}">
              <a16:creationId xmlns:a16="http://schemas.microsoft.com/office/drawing/2014/main" id="{A5CBB248-811F-46EC-B2EF-60DB957B27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45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1371" name="Picture@5C\QPendientes@" descr="@5C\QPendientes@">
          <a:extLst>
            <a:ext uri="{FF2B5EF4-FFF2-40B4-BE49-F238E27FC236}">
              <a16:creationId xmlns:a16="http://schemas.microsoft.com/office/drawing/2014/main" id="{2CB0A043-A4C4-4B6C-807F-83E932E8B6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64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1372" name="Picture@5C\QPendientes@" descr="@5C\QPendientes@">
          <a:extLst>
            <a:ext uri="{FF2B5EF4-FFF2-40B4-BE49-F238E27FC236}">
              <a16:creationId xmlns:a16="http://schemas.microsoft.com/office/drawing/2014/main" id="{13D47BFE-C9E9-47B8-8B8D-E205390D20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82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1373" name="Picture@5C\QPendientes@" descr="@5C\QPendientes@">
          <a:extLst>
            <a:ext uri="{FF2B5EF4-FFF2-40B4-BE49-F238E27FC236}">
              <a16:creationId xmlns:a16="http://schemas.microsoft.com/office/drawing/2014/main" id="{0718EB95-A24E-478A-8618-87923C52F9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00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1374" name="Picture@5C\QPendientes@" descr="@5C\QPendientes@">
          <a:extLst>
            <a:ext uri="{FF2B5EF4-FFF2-40B4-BE49-F238E27FC236}">
              <a16:creationId xmlns:a16="http://schemas.microsoft.com/office/drawing/2014/main" id="{63F7AAA0-FF88-4030-88B4-01A8D58D9C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19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1375" name="Picture@5C\QPendientes@" descr="@5C\QPendientes@">
          <a:extLst>
            <a:ext uri="{FF2B5EF4-FFF2-40B4-BE49-F238E27FC236}">
              <a16:creationId xmlns:a16="http://schemas.microsoft.com/office/drawing/2014/main" id="{D7AC043A-8128-4FEB-976D-684875DCC8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37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1376" name="Picture@5C\QPendientes@" descr="@5C\QPendientes@">
          <a:extLst>
            <a:ext uri="{FF2B5EF4-FFF2-40B4-BE49-F238E27FC236}">
              <a16:creationId xmlns:a16="http://schemas.microsoft.com/office/drawing/2014/main" id="{21302BA8-B9FA-42F9-A127-E4976DF5FB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1377" name="Picture@5C\QPendientes@" descr="@5C\QPendientes@">
          <a:extLst>
            <a:ext uri="{FF2B5EF4-FFF2-40B4-BE49-F238E27FC236}">
              <a16:creationId xmlns:a16="http://schemas.microsoft.com/office/drawing/2014/main" id="{3A0FE493-2D7F-4C7B-97E7-9509F55DD1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73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1378" name="Picture@5C\QPendientes@" descr="@5C\QPendientes@">
          <a:extLst>
            <a:ext uri="{FF2B5EF4-FFF2-40B4-BE49-F238E27FC236}">
              <a16:creationId xmlns:a16="http://schemas.microsoft.com/office/drawing/2014/main" id="{07879D7F-C756-4658-AADB-B7E35852EB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92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1379" name="Picture@5C\QPendientes@" descr="@5C\QPendientes@">
          <a:extLst>
            <a:ext uri="{FF2B5EF4-FFF2-40B4-BE49-F238E27FC236}">
              <a16:creationId xmlns:a16="http://schemas.microsoft.com/office/drawing/2014/main" id="{024DD374-00AC-420F-A32E-762A729A8F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10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1380" name="Picture@5C\QPendientes@" descr="@5C\QPendientes@">
          <a:extLst>
            <a:ext uri="{FF2B5EF4-FFF2-40B4-BE49-F238E27FC236}">
              <a16:creationId xmlns:a16="http://schemas.microsoft.com/office/drawing/2014/main" id="{A7130839-A441-4E22-BA92-72830E8FBE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28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1381" name="Picture@5C\QPendientes@" descr="@5C\QPendientes@">
          <a:extLst>
            <a:ext uri="{FF2B5EF4-FFF2-40B4-BE49-F238E27FC236}">
              <a16:creationId xmlns:a16="http://schemas.microsoft.com/office/drawing/2014/main" id="{422FD285-3753-4BF0-A1C8-1B63202447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47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1382" name="Picture@5C\QPendientes@" descr="@5C\QPendientes@">
          <a:extLst>
            <a:ext uri="{FF2B5EF4-FFF2-40B4-BE49-F238E27FC236}">
              <a16:creationId xmlns:a16="http://schemas.microsoft.com/office/drawing/2014/main" id="{42621BF5-677F-4DFD-A99A-78C2884494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65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1383" name="Picture@5C\QPendientes@" descr="@5C\QPendientes@">
          <a:extLst>
            <a:ext uri="{FF2B5EF4-FFF2-40B4-BE49-F238E27FC236}">
              <a16:creationId xmlns:a16="http://schemas.microsoft.com/office/drawing/2014/main" id="{E6856CEA-7294-4889-B706-D580CE1438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83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1384" name="Picture@5C\QPendientes@" descr="@5C\QPendientes@">
          <a:extLst>
            <a:ext uri="{FF2B5EF4-FFF2-40B4-BE49-F238E27FC236}">
              <a16:creationId xmlns:a16="http://schemas.microsoft.com/office/drawing/2014/main" id="{AA489D29-705E-4A7C-A482-B4EB9ADD9D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01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1385" name="Picture@5C\QPendientes@" descr="@5C\QPendientes@">
          <a:extLst>
            <a:ext uri="{FF2B5EF4-FFF2-40B4-BE49-F238E27FC236}">
              <a16:creationId xmlns:a16="http://schemas.microsoft.com/office/drawing/2014/main" id="{DA1C7ED5-5537-4C70-84F0-2606EFF172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20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1386" name="Picture@5C\QPendientes@" descr="@5C\QPendientes@">
          <a:extLst>
            <a:ext uri="{FF2B5EF4-FFF2-40B4-BE49-F238E27FC236}">
              <a16:creationId xmlns:a16="http://schemas.microsoft.com/office/drawing/2014/main" id="{A174C704-E050-4165-9F31-160A27260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1387" name="Picture@5C\QPendientes@" descr="@5C\QPendientes@">
          <a:extLst>
            <a:ext uri="{FF2B5EF4-FFF2-40B4-BE49-F238E27FC236}">
              <a16:creationId xmlns:a16="http://schemas.microsoft.com/office/drawing/2014/main" id="{53170869-3A66-406A-B3FC-9BBF47F645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56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1388" name="Picture@5C\QPendientes@" descr="@5C\QPendientes@">
          <a:extLst>
            <a:ext uri="{FF2B5EF4-FFF2-40B4-BE49-F238E27FC236}">
              <a16:creationId xmlns:a16="http://schemas.microsoft.com/office/drawing/2014/main" id="{274B0EC5-0DE3-4D34-9764-DE3A76ED6E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75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1389" name="Picture@5C\QPendientes@" descr="@5C\QPendientes@">
          <a:extLst>
            <a:ext uri="{FF2B5EF4-FFF2-40B4-BE49-F238E27FC236}">
              <a16:creationId xmlns:a16="http://schemas.microsoft.com/office/drawing/2014/main" id="{51DD4277-BC26-4113-935A-D2E9A28CC9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93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1390" name="Picture@5C\QPendientes@" descr="@5C\QPendientes@">
          <a:extLst>
            <a:ext uri="{FF2B5EF4-FFF2-40B4-BE49-F238E27FC236}">
              <a16:creationId xmlns:a16="http://schemas.microsoft.com/office/drawing/2014/main" id="{E2505B5C-EED7-4EF7-8357-6F20135305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11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1391" name="Picture@5C\QPendientes@" descr="@5C\QPendientes@">
          <a:extLst>
            <a:ext uri="{FF2B5EF4-FFF2-40B4-BE49-F238E27FC236}">
              <a16:creationId xmlns:a16="http://schemas.microsoft.com/office/drawing/2014/main" id="{AE188D59-7F6C-49E6-BF4E-468A659BDA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30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1392" name="Picture@5C\QPendientes@" descr="@5C\QPendientes@">
          <a:extLst>
            <a:ext uri="{FF2B5EF4-FFF2-40B4-BE49-F238E27FC236}">
              <a16:creationId xmlns:a16="http://schemas.microsoft.com/office/drawing/2014/main" id="{7805ACC7-8C0B-415D-9485-7D9AF0E94C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4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1393" name="Picture@5C\QPendientes@" descr="@5C\QPendientes@">
          <a:extLst>
            <a:ext uri="{FF2B5EF4-FFF2-40B4-BE49-F238E27FC236}">
              <a16:creationId xmlns:a16="http://schemas.microsoft.com/office/drawing/2014/main" id="{48362EC1-6391-4A52-B84C-9B61AEA2FE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6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1394" name="Picture@5C\QPendientes@" descr="@5C\QPendientes@">
          <a:extLst>
            <a:ext uri="{FF2B5EF4-FFF2-40B4-BE49-F238E27FC236}">
              <a16:creationId xmlns:a16="http://schemas.microsoft.com/office/drawing/2014/main" id="{4C7BF4D2-CD50-4435-A137-769552FA6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8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1395" name="Picture@5C\QPendientes@" descr="@5C\QPendientes@">
          <a:extLst>
            <a:ext uri="{FF2B5EF4-FFF2-40B4-BE49-F238E27FC236}">
              <a16:creationId xmlns:a16="http://schemas.microsoft.com/office/drawing/2014/main" id="{0AC55541-8DD4-4923-8830-A6D3568638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0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1396" name="Picture@5C\QPendientes@" descr="@5C\QPendientes@">
          <a:extLst>
            <a:ext uri="{FF2B5EF4-FFF2-40B4-BE49-F238E27FC236}">
              <a16:creationId xmlns:a16="http://schemas.microsoft.com/office/drawing/2014/main" id="{B5C27ABB-FA52-49DE-A457-04603A82AA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1397" name="Picture@5C\QPendientes@" descr="@5C\QPendientes@">
          <a:extLst>
            <a:ext uri="{FF2B5EF4-FFF2-40B4-BE49-F238E27FC236}">
              <a16:creationId xmlns:a16="http://schemas.microsoft.com/office/drawing/2014/main" id="{9B91178E-A021-4514-B2BE-F187AC7730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3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1398" name="Picture@5C\QPendientes@" descr="@5C\QPendientes@">
          <a:extLst>
            <a:ext uri="{FF2B5EF4-FFF2-40B4-BE49-F238E27FC236}">
              <a16:creationId xmlns:a16="http://schemas.microsoft.com/office/drawing/2014/main" id="{50D728FB-6891-4786-8376-95175B5A2A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5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1399" name="Picture@5C\QPendientes@" descr="@5C\QPendientes@">
          <a:extLst>
            <a:ext uri="{FF2B5EF4-FFF2-40B4-BE49-F238E27FC236}">
              <a16:creationId xmlns:a16="http://schemas.microsoft.com/office/drawing/2014/main" id="{8C36D2C0-EE73-4D5C-83C3-D280C04A27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7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1400" name="Picture@5C\QPendientes@" descr="@5C\QPendientes@">
          <a:extLst>
            <a:ext uri="{FF2B5EF4-FFF2-40B4-BE49-F238E27FC236}">
              <a16:creationId xmlns:a16="http://schemas.microsoft.com/office/drawing/2014/main" id="{1B6A6620-A100-47A6-9CB1-B2EA44E799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9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1401" name="Picture@5C\QPendientes@" descr="@5C\QPendientes@">
          <a:extLst>
            <a:ext uri="{FF2B5EF4-FFF2-40B4-BE49-F238E27FC236}">
              <a16:creationId xmlns:a16="http://schemas.microsoft.com/office/drawing/2014/main" id="{494E2BA6-0AC4-43A5-A424-FD5DF3FEA8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1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1402" name="Picture@5C\QPendientes@" descr="@5C\QPendientes@">
          <a:extLst>
            <a:ext uri="{FF2B5EF4-FFF2-40B4-BE49-F238E27FC236}">
              <a16:creationId xmlns:a16="http://schemas.microsoft.com/office/drawing/2014/main" id="{EDF5A575-55B1-42BF-ACC6-689F178916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3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1403" name="Picture@5C\QPendientes@" descr="@5C\QPendientes@">
          <a:extLst>
            <a:ext uri="{FF2B5EF4-FFF2-40B4-BE49-F238E27FC236}">
              <a16:creationId xmlns:a16="http://schemas.microsoft.com/office/drawing/2014/main" id="{23BFB273-48C3-41DE-8A97-2B7A2F22F4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4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1404" name="Picture@5C\QPendientes@" descr="@5C\QPendientes@">
          <a:extLst>
            <a:ext uri="{FF2B5EF4-FFF2-40B4-BE49-F238E27FC236}">
              <a16:creationId xmlns:a16="http://schemas.microsoft.com/office/drawing/2014/main" id="{8FC1D802-ECDF-4A0E-966D-316BC620C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6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1405" name="Picture@5C\QPendientes@" descr="@5C\QPendientes@">
          <a:extLst>
            <a:ext uri="{FF2B5EF4-FFF2-40B4-BE49-F238E27FC236}">
              <a16:creationId xmlns:a16="http://schemas.microsoft.com/office/drawing/2014/main" id="{F33FC7D5-761B-4CE9-929D-38DDFEA136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8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1406" name="Picture@5C\QPendientes@" descr="@5C\QPendientes@">
          <a:extLst>
            <a:ext uri="{FF2B5EF4-FFF2-40B4-BE49-F238E27FC236}">
              <a16:creationId xmlns:a16="http://schemas.microsoft.com/office/drawing/2014/main" id="{671B1469-A70F-4A20-9829-348C12F8A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1407" name="Picture@5C\QPendientes@" descr="@5C\QPendientes@">
          <a:extLst>
            <a:ext uri="{FF2B5EF4-FFF2-40B4-BE49-F238E27FC236}">
              <a16:creationId xmlns:a16="http://schemas.microsoft.com/office/drawing/2014/main" id="{83E8B1BE-A0EF-43F1-B93E-E94F32EB7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2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1408" name="Picture@5C\QPendientes@" descr="@5C\QPendientes@">
          <a:extLst>
            <a:ext uri="{FF2B5EF4-FFF2-40B4-BE49-F238E27FC236}">
              <a16:creationId xmlns:a16="http://schemas.microsoft.com/office/drawing/2014/main" id="{00B08972-5ACA-4CA1-A1FA-9BB937D547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4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1409" name="Picture@5C\QPendientes@" descr="@5C\QPendientes@">
          <a:extLst>
            <a:ext uri="{FF2B5EF4-FFF2-40B4-BE49-F238E27FC236}">
              <a16:creationId xmlns:a16="http://schemas.microsoft.com/office/drawing/2014/main" id="{FA997743-C87F-4CB0-90A5-E381042D9A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5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1410" name="Picture@5C\QPendientes@" descr="@5C\QPendientes@">
          <a:extLst>
            <a:ext uri="{FF2B5EF4-FFF2-40B4-BE49-F238E27FC236}">
              <a16:creationId xmlns:a16="http://schemas.microsoft.com/office/drawing/2014/main" id="{E21D4679-E255-49FA-BF63-EC28928BB8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7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1411" name="Picture@5C\QPendientes@" descr="@5C\QPendientes@">
          <a:extLst>
            <a:ext uri="{FF2B5EF4-FFF2-40B4-BE49-F238E27FC236}">
              <a16:creationId xmlns:a16="http://schemas.microsoft.com/office/drawing/2014/main" id="{67968CDA-26E5-4FE0-8D3F-59B52DB37F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9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1412" name="Picture@5C\QPendientes@" descr="@5C\QPendientes@">
          <a:extLst>
            <a:ext uri="{FF2B5EF4-FFF2-40B4-BE49-F238E27FC236}">
              <a16:creationId xmlns:a16="http://schemas.microsoft.com/office/drawing/2014/main" id="{97CE5759-A15C-4597-ADC2-5BF5EFFE3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1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1413" name="Picture@5C\QPendientes@" descr="@5C\QPendientes@">
          <a:extLst>
            <a:ext uri="{FF2B5EF4-FFF2-40B4-BE49-F238E27FC236}">
              <a16:creationId xmlns:a16="http://schemas.microsoft.com/office/drawing/2014/main" id="{694D0D06-FEDD-45FF-9034-7A9DA7CFCF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3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1414" name="Picture@5C\QPendientes@" descr="@5C\QPendientes@">
          <a:extLst>
            <a:ext uri="{FF2B5EF4-FFF2-40B4-BE49-F238E27FC236}">
              <a16:creationId xmlns:a16="http://schemas.microsoft.com/office/drawing/2014/main" id="{81B559FA-8CD9-415B-B2A3-C03370D91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5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1415" name="Picture@5C\QPendientes@" descr="@5C\QPendientes@">
          <a:extLst>
            <a:ext uri="{FF2B5EF4-FFF2-40B4-BE49-F238E27FC236}">
              <a16:creationId xmlns:a16="http://schemas.microsoft.com/office/drawing/2014/main" id="{CB592D8E-2810-44D1-AF25-63BCF10B15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6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1416" name="Picture@5C\QPendientes@" descr="@5C\QPendientes@">
          <a:extLst>
            <a:ext uri="{FF2B5EF4-FFF2-40B4-BE49-F238E27FC236}">
              <a16:creationId xmlns:a16="http://schemas.microsoft.com/office/drawing/2014/main" id="{5814ABBA-C86E-4DEA-ABB2-AF4E434301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1417" name="Picture@5C\QPendientes@" descr="@5C\QPendientes@">
          <a:extLst>
            <a:ext uri="{FF2B5EF4-FFF2-40B4-BE49-F238E27FC236}">
              <a16:creationId xmlns:a16="http://schemas.microsoft.com/office/drawing/2014/main" id="{A857DACD-50A4-4197-9300-694090E5C4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0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1418" name="Picture@5C\QPendientes@" descr="@5C\QPendientes@">
          <a:extLst>
            <a:ext uri="{FF2B5EF4-FFF2-40B4-BE49-F238E27FC236}">
              <a16:creationId xmlns:a16="http://schemas.microsoft.com/office/drawing/2014/main" id="{47C51D98-45E0-4ADD-8574-A19A70B8AB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2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1419" name="Picture@5C\QPendientes@" descr="@5C\QPendientes@">
          <a:extLst>
            <a:ext uri="{FF2B5EF4-FFF2-40B4-BE49-F238E27FC236}">
              <a16:creationId xmlns:a16="http://schemas.microsoft.com/office/drawing/2014/main" id="{2847B3FB-B963-498A-8C3C-A016C11812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4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1420" name="Picture@5C\QPendientes@" descr="@5C\QPendientes@">
          <a:extLst>
            <a:ext uri="{FF2B5EF4-FFF2-40B4-BE49-F238E27FC236}">
              <a16:creationId xmlns:a16="http://schemas.microsoft.com/office/drawing/2014/main" id="{09F3BC0C-8977-419A-B5F7-638D40B21B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6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1421" name="Picture@5C\QPendientes@" descr="@5C\QPendientes@">
          <a:extLst>
            <a:ext uri="{FF2B5EF4-FFF2-40B4-BE49-F238E27FC236}">
              <a16:creationId xmlns:a16="http://schemas.microsoft.com/office/drawing/2014/main" id="{61C77413-B919-4FDC-B1DB-E7ECDFA27B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7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1422" name="Picture@5C\QPendientes@" descr="@5C\QPendientes@">
          <a:extLst>
            <a:ext uri="{FF2B5EF4-FFF2-40B4-BE49-F238E27FC236}">
              <a16:creationId xmlns:a16="http://schemas.microsoft.com/office/drawing/2014/main" id="{C3DC42D3-D8B8-4E75-ADF6-6D5B9D0C1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9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1423" name="Picture@5C\QPendientes@" descr="@5C\QPendientes@">
          <a:extLst>
            <a:ext uri="{FF2B5EF4-FFF2-40B4-BE49-F238E27FC236}">
              <a16:creationId xmlns:a16="http://schemas.microsoft.com/office/drawing/2014/main" id="{2BEF6887-177E-4C2A-9D23-BF8516AAE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1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1424" name="Picture@5C\QPendientes@" descr="@5C\QPendientes@">
          <a:extLst>
            <a:ext uri="{FF2B5EF4-FFF2-40B4-BE49-F238E27FC236}">
              <a16:creationId xmlns:a16="http://schemas.microsoft.com/office/drawing/2014/main" id="{3DDF92DC-4035-4127-9ADB-EBD76B73CE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3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1425" name="Picture@5C\QPendientes@" descr="@5C\QPendientes@">
          <a:extLst>
            <a:ext uri="{FF2B5EF4-FFF2-40B4-BE49-F238E27FC236}">
              <a16:creationId xmlns:a16="http://schemas.microsoft.com/office/drawing/2014/main" id="{825AAE0E-2B19-4F19-B59E-B6BF0F0144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5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1426" name="Picture@5C\QPendientes@" descr="@5C\QPendientes@">
          <a:extLst>
            <a:ext uri="{FF2B5EF4-FFF2-40B4-BE49-F238E27FC236}">
              <a16:creationId xmlns:a16="http://schemas.microsoft.com/office/drawing/2014/main" id="{F223CE1A-82C6-49D3-BE5B-8622DFBC36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1427" name="Picture@5C\QPendientes@" descr="@5C\QPendientes@">
          <a:extLst>
            <a:ext uri="{FF2B5EF4-FFF2-40B4-BE49-F238E27FC236}">
              <a16:creationId xmlns:a16="http://schemas.microsoft.com/office/drawing/2014/main" id="{954DBC25-5DF8-4D46-92CD-554EFD9F76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8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1428" name="Picture@5C\QPendientes@" descr="@5C\QPendientes@">
          <a:extLst>
            <a:ext uri="{FF2B5EF4-FFF2-40B4-BE49-F238E27FC236}">
              <a16:creationId xmlns:a16="http://schemas.microsoft.com/office/drawing/2014/main" id="{09A3D5AE-326A-492D-800E-E502BD4DE7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0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1429" name="Picture@5C\QPendientes@" descr="@5C\QPendientes@">
          <a:extLst>
            <a:ext uri="{FF2B5EF4-FFF2-40B4-BE49-F238E27FC236}">
              <a16:creationId xmlns:a16="http://schemas.microsoft.com/office/drawing/2014/main" id="{5A746130-6B32-4A2F-89E9-4A16E98B01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2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1430" name="Picture@5C\QPendientes@" descr="@5C\QPendientes@">
          <a:extLst>
            <a:ext uri="{FF2B5EF4-FFF2-40B4-BE49-F238E27FC236}">
              <a16:creationId xmlns:a16="http://schemas.microsoft.com/office/drawing/2014/main" id="{37021905-60BA-478B-9110-45FC5C915B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4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1431" name="Picture@5C\QPendientes@" descr="@5C\QPendientes@">
          <a:extLst>
            <a:ext uri="{FF2B5EF4-FFF2-40B4-BE49-F238E27FC236}">
              <a16:creationId xmlns:a16="http://schemas.microsoft.com/office/drawing/2014/main" id="{AAC76C73-877D-4B39-AFEC-C7A8C7FA4D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6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1432" name="Picture@5C\QPendientes@" descr="@5C\QPendientes@">
          <a:extLst>
            <a:ext uri="{FF2B5EF4-FFF2-40B4-BE49-F238E27FC236}">
              <a16:creationId xmlns:a16="http://schemas.microsoft.com/office/drawing/2014/main" id="{58884D98-D35F-45D4-8AD0-6622EAC6AA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7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1433" name="Picture@5C\QPendientes@" descr="@5C\QPendientes@">
          <a:extLst>
            <a:ext uri="{FF2B5EF4-FFF2-40B4-BE49-F238E27FC236}">
              <a16:creationId xmlns:a16="http://schemas.microsoft.com/office/drawing/2014/main" id="{A79B42C5-A64C-4F84-8BE4-C969A81E0B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9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1434" name="Picture@5C\QPendientes@" descr="@5C\QPendientes@">
          <a:extLst>
            <a:ext uri="{FF2B5EF4-FFF2-40B4-BE49-F238E27FC236}">
              <a16:creationId xmlns:a16="http://schemas.microsoft.com/office/drawing/2014/main" id="{108F9B44-DE5C-497A-8B85-E1471F7075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1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1435" name="Picture@5C\QPendientes@" descr="@5C\QPendientes@">
          <a:extLst>
            <a:ext uri="{FF2B5EF4-FFF2-40B4-BE49-F238E27FC236}">
              <a16:creationId xmlns:a16="http://schemas.microsoft.com/office/drawing/2014/main" id="{E30C3DB3-87D6-4DAF-9DD8-E79C10F710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3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1436" name="Picture@5C\QPendientes@" descr="@5C\QPendientes@">
          <a:extLst>
            <a:ext uri="{FF2B5EF4-FFF2-40B4-BE49-F238E27FC236}">
              <a16:creationId xmlns:a16="http://schemas.microsoft.com/office/drawing/2014/main" id="{34E88D1C-00DA-47CD-893C-47210C08C4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1437" name="Picture@5C\QPendientes@" descr="@5C\QPendientes@">
          <a:extLst>
            <a:ext uri="{FF2B5EF4-FFF2-40B4-BE49-F238E27FC236}">
              <a16:creationId xmlns:a16="http://schemas.microsoft.com/office/drawing/2014/main" id="{C50F3E40-78EC-4BFA-AE0D-2C2D8D015A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7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1438" name="Picture@5C\QPendientes@" descr="@5C\QPendientes@">
          <a:extLst>
            <a:ext uri="{FF2B5EF4-FFF2-40B4-BE49-F238E27FC236}">
              <a16:creationId xmlns:a16="http://schemas.microsoft.com/office/drawing/2014/main" id="{C79E45F7-3D38-4FFE-A52A-483AB4CA2B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8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1439" name="Picture@5C\QPendientes@" descr="@5C\QPendientes@">
          <a:extLst>
            <a:ext uri="{FF2B5EF4-FFF2-40B4-BE49-F238E27FC236}">
              <a16:creationId xmlns:a16="http://schemas.microsoft.com/office/drawing/2014/main" id="{F0469F97-19F5-40DE-86D1-C3C100A949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0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1440" name="Picture@5C\QPendientes@" descr="@5C\QPendientes@">
          <a:extLst>
            <a:ext uri="{FF2B5EF4-FFF2-40B4-BE49-F238E27FC236}">
              <a16:creationId xmlns:a16="http://schemas.microsoft.com/office/drawing/2014/main" id="{CF51E5B9-FFF8-49F5-A918-BBC9CB8E3E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2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1441" name="Picture@5C\QPendientes@" descr="@5C\QPendientes@">
          <a:extLst>
            <a:ext uri="{FF2B5EF4-FFF2-40B4-BE49-F238E27FC236}">
              <a16:creationId xmlns:a16="http://schemas.microsoft.com/office/drawing/2014/main" id="{701E9074-DBB7-47FA-9B3A-01BD69929E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4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1442" name="Picture@5C\QPendientes@" descr="@5C\QPendientes@">
          <a:extLst>
            <a:ext uri="{FF2B5EF4-FFF2-40B4-BE49-F238E27FC236}">
              <a16:creationId xmlns:a16="http://schemas.microsoft.com/office/drawing/2014/main" id="{5EDFAA14-004E-4C69-9154-53DEAEF88E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6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1443" name="Picture@5C\QPendientes@" descr="@5C\QPendientes@">
          <a:extLst>
            <a:ext uri="{FF2B5EF4-FFF2-40B4-BE49-F238E27FC236}">
              <a16:creationId xmlns:a16="http://schemas.microsoft.com/office/drawing/2014/main" id="{6AA6F30A-9FAE-4734-AFDE-52432FBA8F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8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1444" name="Picture@5C\QPendientes@" descr="@5C\QPendientes@">
          <a:extLst>
            <a:ext uri="{FF2B5EF4-FFF2-40B4-BE49-F238E27FC236}">
              <a16:creationId xmlns:a16="http://schemas.microsoft.com/office/drawing/2014/main" id="{C94D2719-45DA-45C4-8B80-F8C1C8B7F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9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1445" name="Picture@5C\QPendientes@" descr="@5C\QPendientes@">
          <a:extLst>
            <a:ext uri="{FF2B5EF4-FFF2-40B4-BE49-F238E27FC236}">
              <a16:creationId xmlns:a16="http://schemas.microsoft.com/office/drawing/2014/main" id="{46D1CF52-1B76-4ADA-933F-6E56812170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1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1446" name="Picture@5C\QPendientes@" descr="@5C\QPendientes@">
          <a:extLst>
            <a:ext uri="{FF2B5EF4-FFF2-40B4-BE49-F238E27FC236}">
              <a16:creationId xmlns:a16="http://schemas.microsoft.com/office/drawing/2014/main" id="{508573AB-10BB-4CD5-BDD4-87456B116C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1447" name="Picture@5C\QPendientes@" descr="@5C\QPendientes@">
          <a:extLst>
            <a:ext uri="{FF2B5EF4-FFF2-40B4-BE49-F238E27FC236}">
              <a16:creationId xmlns:a16="http://schemas.microsoft.com/office/drawing/2014/main" id="{E32CDF1F-AD7D-4368-B54C-81C4F0175F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5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1448" name="Picture@5C\QPendientes@" descr="@5C\QPendientes@">
          <a:extLst>
            <a:ext uri="{FF2B5EF4-FFF2-40B4-BE49-F238E27FC236}">
              <a16:creationId xmlns:a16="http://schemas.microsoft.com/office/drawing/2014/main" id="{CAF9C2CB-955B-4691-BF8A-F0A16F449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7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1449" name="Picture@5C\QPendientes@" descr="@5C\QPendientes@">
          <a:extLst>
            <a:ext uri="{FF2B5EF4-FFF2-40B4-BE49-F238E27FC236}">
              <a16:creationId xmlns:a16="http://schemas.microsoft.com/office/drawing/2014/main" id="{DED55AF4-D70E-4FB7-9BE2-D12887A1DD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9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1450" name="Picture@5C\QPendientes@" descr="@5C\QPendientes@">
          <a:extLst>
            <a:ext uri="{FF2B5EF4-FFF2-40B4-BE49-F238E27FC236}">
              <a16:creationId xmlns:a16="http://schemas.microsoft.com/office/drawing/2014/main" id="{BDC97068-180F-4ECD-AD7C-2DA494A320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0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1451" name="Picture@5C\QPendientes@" descr="@5C\QPendientes@">
          <a:extLst>
            <a:ext uri="{FF2B5EF4-FFF2-40B4-BE49-F238E27FC236}">
              <a16:creationId xmlns:a16="http://schemas.microsoft.com/office/drawing/2014/main" id="{0F053C38-E59D-4C51-BAD5-D87FC839CB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2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1452" name="Picture@5C\QPendientes@" descr="@5C\QPendientes@">
          <a:extLst>
            <a:ext uri="{FF2B5EF4-FFF2-40B4-BE49-F238E27FC236}">
              <a16:creationId xmlns:a16="http://schemas.microsoft.com/office/drawing/2014/main" id="{CF23CEEC-C541-4333-9060-5D6B4CC642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4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1453" name="Picture@5C\QPendientes@" descr="@5C\QPendientes@">
          <a:extLst>
            <a:ext uri="{FF2B5EF4-FFF2-40B4-BE49-F238E27FC236}">
              <a16:creationId xmlns:a16="http://schemas.microsoft.com/office/drawing/2014/main" id="{9CB23ABB-47EF-4A05-BBD5-9338248A28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6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1454" name="Picture@5C\QPendientes@" descr="@5C\QPendientes@">
          <a:extLst>
            <a:ext uri="{FF2B5EF4-FFF2-40B4-BE49-F238E27FC236}">
              <a16:creationId xmlns:a16="http://schemas.microsoft.com/office/drawing/2014/main" id="{9AE8FCD1-2DA1-4673-AC4B-90A9710595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8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1455" name="Picture@5C\QPendientes@" descr="@5C\QPendientes@">
          <a:extLst>
            <a:ext uri="{FF2B5EF4-FFF2-40B4-BE49-F238E27FC236}">
              <a16:creationId xmlns:a16="http://schemas.microsoft.com/office/drawing/2014/main" id="{24F52AA3-5E0F-41F9-AD53-68689DEABD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0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1456" name="Picture@5C\QPendientes@" descr="@5C\QPendientes@">
          <a:extLst>
            <a:ext uri="{FF2B5EF4-FFF2-40B4-BE49-F238E27FC236}">
              <a16:creationId xmlns:a16="http://schemas.microsoft.com/office/drawing/2014/main" id="{45D2158B-D4BC-4895-B7B4-2590BFC221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1457" name="Picture@5C\QPendientes@" descr="@5C\QPendientes@">
          <a:extLst>
            <a:ext uri="{FF2B5EF4-FFF2-40B4-BE49-F238E27FC236}">
              <a16:creationId xmlns:a16="http://schemas.microsoft.com/office/drawing/2014/main" id="{3B1ADA9D-9169-495B-B042-FE30CDE457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3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1458" name="Picture@5C\QPendientes@" descr="@5C\QPendientes@">
          <a:extLst>
            <a:ext uri="{FF2B5EF4-FFF2-40B4-BE49-F238E27FC236}">
              <a16:creationId xmlns:a16="http://schemas.microsoft.com/office/drawing/2014/main" id="{8FA67778-7287-4D20-9D03-9BC4D9B338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5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2" name="Picture@5C\QPendientes@" descr="@5C\QPendientes@">
          <a:extLst>
            <a:ext uri="{FF2B5EF4-FFF2-40B4-BE49-F238E27FC236}">
              <a16:creationId xmlns:a16="http://schemas.microsoft.com/office/drawing/2014/main" id="{5137AF6D-52EF-411A-8F91-3C52AD0709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3" name="Picture@5C\QPendientes@" descr="@5C\QPendientes@">
          <a:extLst>
            <a:ext uri="{FF2B5EF4-FFF2-40B4-BE49-F238E27FC236}">
              <a16:creationId xmlns:a16="http://schemas.microsoft.com/office/drawing/2014/main" id="{51F38B09-A347-404D-B8D9-40915A2CB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4" name="Picture@5C\QPendientes@" descr="@5C\QPendientes@">
          <a:extLst>
            <a:ext uri="{FF2B5EF4-FFF2-40B4-BE49-F238E27FC236}">
              <a16:creationId xmlns:a16="http://schemas.microsoft.com/office/drawing/2014/main" id="{87D43F5F-A2F9-4849-B205-A3947007AD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5" name="Picture@5C\QPendientes@" descr="@5C\QPendientes@">
          <a:extLst>
            <a:ext uri="{FF2B5EF4-FFF2-40B4-BE49-F238E27FC236}">
              <a16:creationId xmlns:a16="http://schemas.microsoft.com/office/drawing/2014/main" id="{3872102D-352E-456B-ADCB-9A7D491DAC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6" name="Picture@5C\QPendientes@" descr="@5C\QPendientes@">
          <a:extLst>
            <a:ext uri="{FF2B5EF4-FFF2-40B4-BE49-F238E27FC236}">
              <a16:creationId xmlns:a16="http://schemas.microsoft.com/office/drawing/2014/main" id="{E660A71D-0907-45D6-878D-DD222DC496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7" name="Picture@5C\QPendientes@" descr="@5C\QPendientes@">
          <a:extLst>
            <a:ext uri="{FF2B5EF4-FFF2-40B4-BE49-F238E27FC236}">
              <a16:creationId xmlns:a16="http://schemas.microsoft.com/office/drawing/2014/main" id="{EA99C1E1-D3A8-451A-BA15-180B89C9D1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8" name="Picture@5C\QPendientes@" descr="@5C\QPendientes@">
          <a:extLst>
            <a:ext uri="{FF2B5EF4-FFF2-40B4-BE49-F238E27FC236}">
              <a16:creationId xmlns:a16="http://schemas.microsoft.com/office/drawing/2014/main" id="{017D1DAB-8BAC-47D9-91CF-B686D39A34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9" name="Picture@5C\QPendientes@" descr="@5C\QPendientes@">
          <a:extLst>
            <a:ext uri="{FF2B5EF4-FFF2-40B4-BE49-F238E27FC236}">
              <a16:creationId xmlns:a16="http://schemas.microsoft.com/office/drawing/2014/main" id="{F82771C1-F0D0-4A7D-8CF9-DE005D8FB5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10" name="Picture@5C\QPendientes@" descr="@5C\QPendientes@">
          <a:extLst>
            <a:ext uri="{FF2B5EF4-FFF2-40B4-BE49-F238E27FC236}">
              <a16:creationId xmlns:a16="http://schemas.microsoft.com/office/drawing/2014/main" id="{3A130E8D-E88E-4716-9A82-2F38794992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11" name="Picture@5C\QPendientes@" descr="@5C\QPendientes@">
          <a:extLst>
            <a:ext uri="{FF2B5EF4-FFF2-40B4-BE49-F238E27FC236}">
              <a16:creationId xmlns:a16="http://schemas.microsoft.com/office/drawing/2014/main" id="{F04CC84E-7A82-4C1E-A1B6-0CE947FB0D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12" name="Picture@5C\QPendientes@" descr="@5C\QPendientes@">
          <a:extLst>
            <a:ext uri="{FF2B5EF4-FFF2-40B4-BE49-F238E27FC236}">
              <a16:creationId xmlns:a16="http://schemas.microsoft.com/office/drawing/2014/main" id="{7F8DED09-25F3-4708-9CD4-D3BFB4FDE2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13" name="Picture@5C\QPendientes@" descr="@5C\QPendientes@">
          <a:extLst>
            <a:ext uri="{FF2B5EF4-FFF2-40B4-BE49-F238E27FC236}">
              <a16:creationId xmlns:a16="http://schemas.microsoft.com/office/drawing/2014/main" id="{5A362894-DAB3-4A60-B139-80234CD7C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14" name="Picture@5C\QPendientes@" descr="@5C\QPendientes@">
          <a:extLst>
            <a:ext uri="{FF2B5EF4-FFF2-40B4-BE49-F238E27FC236}">
              <a16:creationId xmlns:a16="http://schemas.microsoft.com/office/drawing/2014/main" id="{4C5261B8-C9A8-41F7-AF0A-918DEE00A6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15" name="Picture@5C\QPendientes@" descr="@5C\QPendientes@">
          <a:extLst>
            <a:ext uri="{FF2B5EF4-FFF2-40B4-BE49-F238E27FC236}">
              <a16:creationId xmlns:a16="http://schemas.microsoft.com/office/drawing/2014/main" id="{35901E7E-3B9A-43A6-81F8-C9E0F03BF6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16" name="Picture@5C\QPendientes@" descr="@5C\QPendientes@">
          <a:extLst>
            <a:ext uri="{FF2B5EF4-FFF2-40B4-BE49-F238E27FC236}">
              <a16:creationId xmlns:a16="http://schemas.microsoft.com/office/drawing/2014/main" id="{9B3F7044-EC93-4505-9564-6E2C54ECD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17" name="Picture@5C\QPendientes@" descr="@5C\QPendientes@">
          <a:extLst>
            <a:ext uri="{FF2B5EF4-FFF2-40B4-BE49-F238E27FC236}">
              <a16:creationId xmlns:a16="http://schemas.microsoft.com/office/drawing/2014/main" id="{E88C8461-5A26-4F88-825F-AAF04E1324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18" name="Picture@5C\QPendientes@" descr="@5C\QPendientes@">
          <a:extLst>
            <a:ext uri="{FF2B5EF4-FFF2-40B4-BE49-F238E27FC236}">
              <a16:creationId xmlns:a16="http://schemas.microsoft.com/office/drawing/2014/main" id="{7C4FEECA-BFEC-47B7-A52B-04C2E3F6B5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19" name="Picture@5C\QPendientes@" descr="@5C\QPendientes@">
          <a:extLst>
            <a:ext uri="{FF2B5EF4-FFF2-40B4-BE49-F238E27FC236}">
              <a16:creationId xmlns:a16="http://schemas.microsoft.com/office/drawing/2014/main" id="{A4390AD9-1FC6-4C4A-97BD-74D6C56175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20" name="Picture@5C\QPendientes@" descr="@5C\QPendientes@">
          <a:extLst>
            <a:ext uri="{FF2B5EF4-FFF2-40B4-BE49-F238E27FC236}">
              <a16:creationId xmlns:a16="http://schemas.microsoft.com/office/drawing/2014/main" id="{6B958CD1-D5FC-4337-9A56-11827FAEEF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21" name="Picture@5C\QPendientes@" descr="@5C\QPendientes@">
          <a:extLst>
            <a:ext uri="{FF2B5EF4-FFF2-40B4-BE49-F238E27FC236}">
              <a16:creationId xmlns:a16="http://schemas.microsoft.com/office/drawing/2014/main" id="{5BA9BCAD-04CC-4332-8C37-B9D16BAAE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22" name="Picture@5C\QPendientes@" descr="@5C\QPendientes@">
          <a:extLst>
            <a:ext uri="{FF2B5EF4-FFF2-40B4-BE49-F238E27FC236}">
              <a16:creationId xmlns:a16="http://schemas.microsoft.com/office/drawing/2014/main" id="{CDFA21E6-CB7B-4907-B44D-EAE995F5DC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23" name="Picture@5C\QPendientes@" descr="@5C\QPendientes@">
          <a:extLst>
            <a:ext uri="{FF2B5EF4-FFF2-40B4-BE49-F238E27FC236}">
              <a16:creationId xmlns:a16="http://schemas.microsoft.com/office/drawing/2014/main" id="{889A521A-0C5D-4285-A2FC-EE18A92A6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24" name="Picture@5C\QPendientes@" descr="@5C\QPendientes@">
          <a:extLst>
            <a:ext uri="{FF2B5EF4-FFF2-40B4-BE49-F238E27FC236}">
              <a16:creationId xmlns:a16="http://schemas.microsoft.com/office/drawing/2014/main" id="{9E1CDAA9-A9A5-4F2E-ABB1-C1793954D3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5" name="Picture@5C\QPendientes@" descr="@5C\QPendientes@">
          <a:extLst>
            <a:ext uri="{FF2B5EF4-FFF2-40B4-BE49-F238E27FC236}">
              <a16:creationId xmlns:a16="http://schemas.microsoft.com/office/drawing/2014/main" id="{A7357D04-1FF8-4973-B2F0-9BAB5804B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6" name="Picture@5C\QPendientes@" descr="@5C\QPendientes@">
          <a:extLst>
            <a:ext uri="{FF2B5EF4-FFF2-40B4-BE49-F238E27FC236}">
              <a16:creationId xmlns:a16="http://schemas.microsoft.com/office/drawing/2014/main" id="{1BB61EBE-B5BD-4D28-8B07-D8DE6B07A3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7" name="Picture@5C\QPendientes@" descr="@5C\QPendientes@">
          <a:extLst>
            <a:ext uri="{FF2B5EF4-FFF2-40B4-BE49-F238E27FC236}">
              <a16:creationId xmlns:a16="http://schemas.microsoft.com/office/drawing/2014/main" id="{54F91A8F-E88B-4462-ABE0-1AA184165C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8" name="Picture@5C\QPendientes@" descr="@5C\QPendientes@">
          <a:extLst>
            <a:ext uri="{FF2B5EF4-FFF2-40B4-BE49-F238E27FC236}">
              <a16:creationId xmlns:a16="http://schemas.microsoft.com/office/drawing/2014/main" id="{96BBAB74-1D8E-4822-8460-0645BD3AD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9" name="Picture@5C\QPendientes@" descr="@5C\QPendientes@">
          <a:extLst>
            <a:ext uri="{FF2B5EF4-FFF2-40B4-BE49-F238E27FC236}">
              <a16:creationId xmlns:a16="http://schemas.microsoft.com/office/drawing/2014/main" id="{134198E7-9D8D-4EC3-AB15-B1FC2D5BB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30" name="Picture@5C\QPendientes@" descr="@5C\QPendientes@">
          <a:extLst>
            <a:ext uri="{FF2B5EF4-FFF2-40B4-BE49-F238E27FC236}">
              <a16:creationId xmlns:a16="http://schemas.microsoft.com/office/drawing/2014/main" id="{04A28243-2884-4E8A-AF24-68E5D759F7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31" name="Picture@5C\QPendientes@" descr="@5C\QPendientes@">
          <a:extLst>
            <a:ext uri="{FF2B5EF4-FFF2-40B4-BE49-F238E27FC236}">
              <a16:creationId xmlns:a16="http://schemas.microsoft.com/office/drawing/2014/main" id="{D059CC9C-CC99-4110-AD52-53E12C74F2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32" name="Picture@5C\QPendientes@" descr="@5C\QPendientes@">
          <a:extLst>
            <a:ext uri="{FF2B5EF4-FFF2-40B4-BE49-F238E27FC236}">
              <a16:creationId xmlns:a16="http://schemas.microsoft.com/office/drawing/2014/main" id="{DF4C1442-F7F8-42C3-808D-1C6757E922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33" name="Picture@5C\QPendientes@" descr="@5C\QPendientes@">
          <a:extLst>
            <a:ext uri="{FF2B5EF4-FFF2-40B4-BE49-F238E27FC236}">
              <a16:creationId xmlns:a16="http://schemas.microsoft.com/office/drawing/2014/main" id="{8FB472B9-287B-47FD-AA14-09F7A37262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34" name="Picture@5C\QPendientes@" descr="@5C\QPendientes@">
          <a:extLst>
            <a:ext uri="{FF2B5EF4-FFF2-40B4-BE49-F238E27FC236}">
              <a16:creationId xmlns:a16="http://schemas.microsoft.com/office/drawing/2014/main" id="{416CD4A3-9854-47F0-8D9A-A849067B48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35" name="Picture@5C\QPendientes@" descr="@5C\QPendientes@">
          <a:extLst>
            <a:ext uri="{FF2B5EF4-FFF2-40B4-BE49-F238E27FC236}">
              <a16:creationId xmlns:a16="http://schemas.microsoft.com/office/drawing/2014/main" id="{B1EDB48C-A968-4995-BCD4-8A6687A0E9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6" name="Picture@5C\QPendientes@" descr="@5C\QPendientes@">
          <a:extLst>
            <a:ext uri="{FF2B5EF4-FFF2-40B4-BE49-F238E27FC236}">
              <a16:creationId xmlns:a16="http://schemas.microsoft.com/office/drawing/2014/main" id="{6E60F3B9-77F4-4A18-A02E-AD055D00EB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7" name="Picture@5C\QPendientes@" descr="@5C\QPendientes@">
          <a:extLst>
            <a:ext uri="{FF2B5EF4-FFF2-40B4-BE49-F238E27FC236}">
              <a16:creationId xmlns:a16="http://schemas.microsoft.com/office/drawing/2014/main" id="{FCCC7778-8C72-4BFE-8AAE-7CD2B2D0D5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8" name="Picture@5C\QPendientes@" descr="@5C\QPendientes@">
          <a:extLst>
            <a:ext uri="{FF2B5EF4-FFF2-40B4-BE49-F238E27FC236}">
              <a16:creationId xmlns:a16="http://schemas.microsoft.com/office/drawing/2014/main" id="{D342DEA9-8689-49C8-ACAE-6FBEE171FB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9" name="Picture@5C\QPendientes@" descr="@5C\QPendientes@">
          <a:extLst>
            <a:ext uri="{FF2B5EF4-FFF2-40B4-BE49-F238E27FC236}">
              <a16:creationId xmlns:a16="http://schemas.microsoft.com/office/drawing/2014/main" id="{945B31D9-7EBE-46F1-9146-7A0D5DD936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40" name="Picture@5C\QPendientes@" descr="@5C\QPendientes@">
          <a:extLst>
            <a:ext uri="{FF2B5EF4-FFF2-40B4-BE49-F238E27FC236}">
              <a16:creationId xmlns:a16="http://schemas.microsoft.com/office/drawing/2014/main" id="{AB4A2B7E-B093-4AE7-B9D8-14324F9978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41" name="Picture@5C\QPendientes@" descr="@5C\QPendientes@">
          <a:extLst>
            <a:ext uri="{FF2B5EF4-FFF2-40B4-BE49-F238E27FC236}">
              <a16:creationId xmlns:a16="http://schemas.microsoft.com/office/drawing/2014/main" id="{B4D39CB6-1562-476C-AA92-49269C811B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42" name="Picture@5C\QPendientes@" descr="@5C\QPendientes@">
          <a:extLst>
            <a:ext uri="{FF2B5EF4-FFF2-40B4-BE49-F238E27FC236}">
              <a16:creationId xmlns:a16="http://schemas.microsoft.com/office/drawing/2014/main" id="{D29B6C5C-8A4C-4EA5-A57A-FFEDF11A6F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43" name="Picture@5C\QPendientes@" descr="@5C\QPendientes@">
          <a:extLst>
            <a:ext uri="{FF2B5EF4-FFF2-40B4-BE49-F238E27FC236}">
              <a16:creationId xmlns:a16="http://schemas.microsoft.com/office/drawing/2014/main" id="{EC69A3AC-6EF3-4BC3-AE72-DA2A08956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44" name="Picture@5C\QPendientes@" descr="@5C\QPendientes@">
          <a:extLst>
            <a:ext uri="{FF2B5EF4-FFF2-40B4-BE49-F238E27FC236}">
              <a16:creationId xmlns:a16="http://schemas.microsoft.com/office/drawing/2014/main" id="{A3377943-D8B0-4D26-9504-812EFF5D1B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45" name="Picture@5C\QPendientes@" descr="@5C\QPendientes@">
          <a:extLst>
            <a:ext uri="{FF2B5EF4-FFF2-40B4-BE49-F238E27FC236}">
              <a16:creationId xmlns:a16="http://schemas.microsoft.com/office/drawing/2014/main" id="{89848CBD-A096-4B58-8CAE-72361BFC36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46" name="Picture@5C\QPendientes@" descr="@5C\QPendientes@">
          <a:extLst>
            <a:ext uri="{FF2B5EF4-FFF2-40B4-BE49-F238E27FC236}">
              <a16:creationId xmlns:a16="http://schemas.microsoft.com/office/drawing/2014/main" id="{D34B924F-3051-443A-9DC0-6CFD9565E1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47" name="Picture@5C\QPendientes@" descr="@5C\QPendientes@">
          <a:extLst>
            <a:ext uri="{FF2B5EF4-FFF2-40B4-BE49-F238E27FC236}">
              <a16:creationId xmlns:a16="http://schemas.microsoft.com/office/drawing/2014/main" id="{82648EBB-EECA-4FD0-9B30-8AF0030F3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48" name="Picture@5C\QPendientes@" descr="@5C\QPendientes@">
          <a:extLst>
            <a:ext uri="{FF2B5EF4-FFF2-40B4-BE49-F238E27FC236}">
              <a16:creationId xmlns:a16="http://schemas.microsoft.com/office/drawing/2014/main" id="{C29852D3-5FDD-4A45-A74D-1B7313097B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49" name="Picture@5C\QPendientes@" descr="@5C\QPendientes@">
          <a:extLst>
            <a:ext uri="{FF2B5EF4-FFF2-40B4-BE49-F238E27FC236}">
              <a16:creationId xmlns:a16="http://schemas.microsoft.com/office/drawing/2014/main" id="{683FDBD1-3B7D-4BE9-9612-8CD0B8F0D7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50" name="Picture@5C\QPendientes@" descr="@5C\QPendientes@">
          <a:extLst>
            <a:ext uri="{FF2B5EF4-FFF2-40B4-BE49-F238E27FC236}">
              <a16:creationId xmlns:a16="http://schemas.microsoft.com/office/drawing/2014/main" id="{3B2EB8EB-4917-40F9-8F38-49489A03FD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51" name="Picture@5C\QPendientes@" descr="@5C\QPendientes@">
          <a:extLst>
            <a:ext uri="{FF2B5EF4-FFF2-40B4-BE49-F238E27FC236}">
              <a16:creationId xmlns:a16="http://schemas.microsoft.com/office/drawing/2014/main" id="{EF0C6431-98E4-44E9-9A83-BD943F7075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52" name="Picture@5C\QPendientes@" descr="@5C\QPendientes@">
          <a:extLst>
            <a:ext uri="{FF2B5EF4-FFF2-40B4-BE49-F238E27FC236}">
              <a16:creationId xmlns:a16="http://schemas.microsoft.com/office/drawing/2014/main" id="{CBB2D861-E810-4585-83ED-D3A2DB5788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53" name="Picture@5C\QPendientes@" descr="@5C\QPendientes@">
          <a:extLst>
            <a:ext uri="{FF2B5EF4-FFF2-40B4-BE49-F238E27FC236}">
              <a16:creationId xmlns:a16="http://schemas.microsoft.com/office/drawing/2014/main" id="{2A17F6AB-D5B4-447D-8176-C9FE7B8DD1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54" name="Picture@5C\QPendientes@" descr="@5C\QPendientes@">
          <a:extLst>
            <a:ext uri="{FF2B5EF4-FFF2-40B4-BE49-F238E27FC236}">
              <a16:creationId xmlns:a16="http://schemas.microsoft.com/office/drawing/2014/main" id="{4E3220AF-7AB8-4120-8C13-A71E16DFE1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55" name="Picture@5C\QPendientes@" descr="@5C\QPendientes@">
          <a:extLst>
            <a:ext uri="{FF2B5EF4-FFF2-40B4-BE49-F238E27FC236}">
              <a16:creationId xmlns:a16="http://schemas.microsoft.com/office/drawing/2014/main" id="{BF65041D-1813-46B4-AB66-892BA775C5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56" name="Picture@5C\QPendientes@" descr="@5C\QPendientes@">
          <a:extLst>
            <a:ext uri="{FF2B5EF4-FFF2-40B4-BE49-F238E27FC236}">
              <a16:creationId xmlns:a16="http://schemas.microsoft.com/office/drawing/2014/main" id="{53D6C11C-E86B-4EA6-9464-13A29641A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57" name="Picture@5C\QPendientes@" descr="@5C\QPendientes@">
          <a:extLst>
            <a:ext uri="{FF2B5EF4-FFF2-40B4-BE49-F238E27FC236}">
              <a16:creationId xmlns:a16="http://schemas.microsoft.com/office/drawing/2014/main" id="{09A9A0B3-CA99-4FD6-80DD-A94255AB8C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58" name="Picture@5C\QPendientes@" descr="@5C\QPendientes@">
          <a:extLst>
            <a:ext uri="{FF2B5EF4-FFF2-40B4-BE49-F238E27FC236}">
              <a16:creationId xmlns:a16="http://schemas.microsoft.com/office/drawing/2014/main" id="{5B3EAC8B-287B-4E27-AB80-309391A6E2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59" name="Picture@5C\QPendientes@" descr="@5C\QPendientes@">
          <a:extLst>
            <a:ext uri="{FF2B5EF4-FFF2-40B4-BE49-F238E27FC236}">
              <a16:creationId xmlns:a16="http://schemas.microsoft.com/office/drawing/2014/main" id="{25A95EC5-1E01-4598-8DE8-F2E040522F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60" name="Picture@5C\QPendientes@" descr="@5C\QPendientes@">
          <a:extLst>
            <a:ext uri="{FF2B5EF4-FFF2-40B4-BE49-F238E27FC236}">
              <a16:creationId xmlns:a16="http://schemas.microsoft.com/office/drawing/2014/main" id="{04D380B9-4EC0-4449-9BAE-68C4EAF533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61" name="Picture@5C\QPendientes@" descr="@5C\QPendientes@">
          <a:extLst>
            <a:ext uri="{FF2B5EF4-FFF2-40B4-BE49-F238E27FC236}">
              <a16:creationId xmlns:a16="http://schemas.microsoft.com/office/drawing/2014/main" id="{C88D6055-4F24-4AB7-A2C6-0F18EC8174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62" name="Picture@5C\QPendientes@" descr="@5C\QPendientes@">
          <a:extLst>
            <a:ext uri="{FF2B5EF4-FFF2-40B4-BE49-F238E27FC236}">
              <a16:creationId xmlns:a16="http://schemas.microsoft.com/office/drawing/2014/main" id="{35C1919F-6456-4E35-968C-CD737DFF85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63" name="Picture@5C\QPendientes@" descr="@5C\QPendientes@">
          <a:extLst>
            <a:ext uri="{FF2B5EF4-FFF2-40B4-BE49-F238E27FC236}">
              <a16:creationId xmlns:a16="http://schemas.microsoft.com/office/drawing/2014/main" id="{4AB1B9CE-A373-4CFE-B448-DA22C4E331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704" name="Picture@5C\QPendientes@" descr="@5C\QPendientes@">
          <a:extLst>
            <a:ext uri="{FF2B5EF4-FFF2-40B4-BE49-F238E27FC236}">
              <a16:creationId xmlns:a16="http://schemas.microsoft.com/office/drawing/2014/main" id="{E8E34B70-1B4D-47FF-8226-DB88C7EE05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705" name="Picture@5C\QPendientes@" descr="@5C\QPendientes@">
          <a:extLst>
            <a:ext uri="{FF2B5EF4-FFF2-40B4-BE49-F238E27FC236}">
              <a16:creationId xmlns:a16="http://schemas.microsoft.com/office/drawing/2014/main" id="{F2841CD7-489F-42A9-92EB-6F7ED86F29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706" name="Picture@5C\QPendientes@" descr="@5C\QPendientes@">
          <a:extLst>
            <a:ext uri="{FF2B5EF4-FFF2-40B4-BE49-F238E27FC236}">
              <a16:creationId xmlns:a16="http://schemas.microsoft.com/office/drawing/2014/main" id="{D2B6910E-0E46-4039-9DE9-932CC83158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707" name="Picture@5C\QPendientes@" descr="@5C\QPendientes@">
          <a:extLst>
            <a:ext uri="{FF2B5EF4-FFF2-40B4-BE49-F238E27FC236}">
              <a16:creationId xmlns:a16="http://schemas.microsoft.com/office/drawing/2014/main" id="{3471987B-8395-4EE3-BF96-AB7F6B77FA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708" name="Picture@5C\QPendientes@" descr="@5C\QPendientes@">
          <a:extLst>
            <a:ext uri="{FF2B5EF4-FFF2-40B4-BE49-F238E27FC236}">
              <a16:creationId xmlns:a16="http://schemas.microsoft.com/office/drawing/2014/main" id="{86067B57-DAB9-4340-95AF-C6D6BC3C92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709" name="Picture@5C\QPendientes@" descr="@5C\QPendientes@">
          <a:extLst>
            <a:ext uri="{FF2B5EF4-FFF2-40B4-BE49-F238E27FC236}">
              <a16:creationId xmlns:a16="http://schemas.microsoft.com/office/drawing/2014/main" id="{4196FC21-B0A1-4161-9667-96BD9DC7A4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710" name="Picture@5C\QPendientes@" descr="@5C\QPendientes@">
          <a:extLst>
            <a:ext uri="{FF2B5EF4-FFF2-40B4-BE49-F238E27FC236}">
              <a16:creationId xmlns:a16="http://schemas.microsoft.com/office/drawing/2014/main" id="{1363CCE9-1A8A-44E1-A918-4A5D7A78B2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711" name="Picture@5C\QPendientes@" descr="@5C\QPendientes@">
          <a:extLst>
            <a:ext uri="{FF2B5EF4-FFF2-40B4-BE49-F238E27FC236}">
              <a16:creationId xmlns:a16="http://schemas.microsoft.com/office/drawing/2014/main" id="{78D83DE2-8C30-4565-9FAC-86683FC85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712" name="Picture@5C\QPendientes@" descr="@5C\QPendientes@">
          <a:extLst>
            <a:ext uri="{FF2B5EF4-FFF2-40B4-BE49-F238E27FC236}">
              <a16:creationId xmlns:a16="http://schemas.microsoft.com/office/drawing/2014/main" id="{FF507710-5D6B-41D2-B987-F173DA8161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713" name="Picture@5C\QPendientes@" descr="@5C\QPendientes@">
          <a:extLst>
            <a:ext uri="{FF2B5EF4-FFF2-40B4-BE49-F238E27FC236}">
              <a16:creationId xmlns:a16="http://schemas.microsoft.com/office/drawing/2014/main" id="{81F10415-8C01-4C7C-B786-D18157F5AA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714" name="Picture@5C\QPendientes@" descr="@5C\QPendientes@">
          <a:extLst>
            <a:ext uri="{FF2B5EF4-FFF2-40B4-BE49-F238E27FC236}">
              <a16:creationId xmlns:a16="http://schemas.microsoft.com/office/drawing/2014/main" id="{4F7D9F4B-C118-4560-9D15-C91582D41E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715" name="Picture@5C\QPendientes@" descr="@5C\QPendientes@">
          <a:extLst>
            <a:ext uri="{FF2B5EF4-FFF2-40B4-BE49-F238E27FC236}">
              <a16:creationId xmlns:a16="http://schemas.microsoft.com/office/drawing/2014/main" id="{FB481B00-5221-43D8-9FEC-BF82A82868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716" name="Picture@5C\QPendientes@" descr="@5C\QPendientes@">
          <a:extLst>
            <a:ext uri="{FF2B5EF4-FFF2-40B4-BE49-F238E27FC236}">
              <a16:creationId xmlns:a16="http://schemas.microsoft.com/office/drawing/2014/main" id="{B5EA69A6-4B77-4E77-B2FB-09D9304A88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717" name="Picture@5C\QPendientes@" descr="@5C\QPendientes@">
          <a:extLst>
            <a:ext uri="{FF2B5EF4-FFF2-40B4-BE49-F238E27FC236}">
              <a16:creationId xmlns:a16="http://schemas.microsoft.com/office/drawing/2014/main" id="{7DED2C18-4FA6-488E-8FEC-46C420AA40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718" name="Picture@5C\QPendientes@" descr="@5C\QPendientes@">
          <a:extLst>
            <a:ext uri="{FF2B5EF4-FFF2-40B4-BE49-F238E27FC236}">
              <a16:creationId xmlns:a16="http://schemas.microsoft.com/office/drawing/2014/main" id="{3E02B444-4189-431D-91CF-867E03B65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719" name="Picture@5C\QPendientes@" descr="@5C\QPendientes@">
          <a:extLst>
            <a:ext uri="{FF2B5EF4-FFF2-40B4-BE49-F238E27FC236}">
              <a16:creationId xmlns:a16="http://schemas.microsoft.com/office/drawing/2014/main" id="{D5FC43A1-E51D-482A-9C9F-B6A8AF1E3C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720" name="Picture@5C\QPendientes@" descr="@5C\QPendientes@">
          <a:extLst>
            <a:ext uri="{FF2B5EF4-FFF2-40B4-BE49-F238E27FC236}">
              <a16:creationId xmlns:a16="http://schemas.microsoft.com/office/drawing/2014/main" id="{7EDD58B6-9959-4138-B474-18B8485CBE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721" name="Picture@5C\QPendientes@" descr="@5C\QPendientes@">
          <a:extLst>
            <a:ext uri="{FF2B5EF4-FFF2-40B4-BE49-F238E27FC236}">
              <a16:creationId xmlns:a16="http://schemas.microsoft.com/office/drawing/2014/main" id="{9B1CD8F5-650A-4211-9600-96BF9AE9D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722" name="Picture@5C\QPendientes@" descr="@5C\QPendientes@">
          <a:extLst>
            <a:ext uri="{FF2B5EF4-FFF2-40B4-BE49-F238E27FC236}">
              <a16:creationId xmlns:a16="http://schemas.microsoft.com/office/drawing/2014/main" id="{575F9387-7F81-405C-82FF-9C098574D1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723" name="Picture@5C\QPendientes@" descr="@5C\QPendientes@">
          <a:extLst>
            <a:ext uri="{FF2B5EF4-FFF2-40B4-BE49-F238E27FC236}">
              <a16:creationId xmlns:a16="http://schemas.microsoft.com/office/drawing/2014/main" id="{EE03ECA4-7DE7-45BE-88CB-4EEDE0B199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724" name="Picture@5C\QPendientes@" descr="@5C\QPendientes@">
          <a:extLst>
            <a:ext uri="{FF2B5EF4-FFF2-40B4-BE49-F238E27FC236}">
              <a16:creationId xmlns:a16="http://schemas.microsoft.com/office/drawing/2014/main" id="{B5ED2204-0DEF-4A76-820F-E90FF5E97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725" name="Picture@5C\QPendientes@" descr="@5C\QPendientes@">
          <a:extLst>
            <a:ext uri="{FF2B5EF4-FFF2-40B4-BE49-F238E27FC236}">
              <a16:creationId xmlns:a16="http://schemas.microsoft.com/office/drawing/2014/main" id="{C811FFCF-F46D-4B5D-80BB-DE9B1F353D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726" name="Picture@5C\QPendientes@" descr="@5C\QPendientes@">
          <a:extLst>
            <a:ext uri="{FF2B5EF4-FFF2-40B4-BE49-F238E27FC236}">
              <a16:creationId xmlns:a16="http://schemas.microsoft.com/office/drawing/2014/main" id="{180EE58B-8339-4F2F-B271-25015D8813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727" name="Picture@5C\QPendientes@" descr="@5C\QPendientes@">
          <a:extLst>
            <a:ext uri="{FF2B5EF4-FFF2-40B4-BE49-F238E27FC236}">
              <a16:creationId xmlns:a16="http://schemas.microsoft.com/office/drawing/2014/main" id="{8FFF775A-9260-4519-B9FF-7B880903B9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728" name="Picture@5C\QPendientes@" descr="@5C\QPendientes@">
          <a:extLst>
            <a:ext uri="{FF2B5EF4-FFF2-40B4-BE49-F238E27FC236}">
              <a16:creationId xmlns:a16="http://schemas.microsoft.com/office/drawing/2014/main" id="{E09862EE-DA73-45B7-8A98-66071244EA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729" name="Picture@5C\QPendientes@" descr="@5C\QPendientes@">
          <a:extLst>
            <a:ext uri="{FF2B5EF4-FFF2-40B4-BE49-F238E27FC236}">
              <a16:creationId xmlns:a16="http://schemas.microsoft.com/office/drawing/2014/main" id="{5C61C560-23DC-4D65-83A0-0EC07243AC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730" name="Picture@5C\QPendientes@" descr="@5C\QPendientes@">
          <a:extLst>
            <a:ext uri="{FF2B5EF4-FFF2-40B4-BE49-F238E27FC236}">
              <a16:creationId xmlns:a16="http://schemas.microsoft.com/office/drawing/2014/main" id="{A7B9143D-7496-4C5B-96AF-7C63CFEAC6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731" name="Picture@5C\QPendientes@" descr="@5C\QPendientes@">
          <a:extLst>
            <a:ext uri="{FF2B5EF4-FFF2-40B4-BE49-F238E27FC236}">
              <a16:creationId xmlns:a16="http://schemas.microsoft.com/office/drawing/2014/main" id="{2149157B-CBF2-4E12-B4C8-CB4AA5D3DA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732" name="Picture@5C\QPendientes@" descr="@5C\QPendientes@">
          <a:extLst>
            <a:ext uri="{FF2B5EF4-FFF2-40B4-BE49-F238E27FC236}">
              <a16:creationId xmlns:a16="http://schemas.microsoft.com/office/drawing/2014/main" id="{5C9AE588-312E-4548-9F7A-8136FC004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733" name="Picture@5C\QPendientes@" descr="@5C\QPendientes@">
          <a:extLst>
            <a:ext uri="{FF2B5EF4-FFF2-40B4-BE49-F238E27FC236}">
              <a16:creationId xmlns:a16="http://schemas.microsoft.com/office/drawing/2014/main" id="{796D5254-FC6C-483A-A343-9C703B2C9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734" name="Picture@5C\QPendientes@" descr="@5C\QPendientes@">
          <a:extLst>
            <a:ext uri="{FF2B5EF4-FFF2-40B4-BE49-F238E27FC236}">
              <a16:creationId xmlns:a16="http://schemas.microsoft.com/office/drawing/2014/main" id="{D4529ECF-D6ED-45E3-B344-AC90F2A494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735" name="Picture@5C\QPendientes@" descr="@5C\QPendientes@">
          <a:extLst>
            <a:ext uri="{FF2B5EF4-FFF2-40B4-BE49-F238E27FC236}">
              <a16:creationId xmlns:a16="http://schemas.microsoft.com/office/drawing/2014/main" id="{BD420EA7-C026-451D-9BB5-9088BB5910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736" name="Picture@5C\QPendientes@" descr="@5C\QPendientes@">
          <a:extLst>
            <a:ext uri="{FF2B5EF4-FFF2-40B4-BE49-F238E27FC236}">
              <a16:creationId xmlns:a16="http://schemas.microsoft.com/office/drawing/2014/main" id="{15F26DFE-E16A-414D-9C27-5436DF3CD7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737" name="Picture@5C\QPendientes@" descr="@5C\QPendientes@">
          <a:extLst>
            <a:ext uri="{FF2B5EF4-FFF2-40B4-BE49-F238E27FC236}">
              <a16:creationId xmlns:a16="http://schemas.microsoft.com/office/drawing/2014/main" id="{194F7319-4BF4-4EAB-B3B0-21076B258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738" name="Picture@5C\QPendientes@" descr="@5C\QPendientes@">
          <a:extLst>
            <a:ext uri="{FF2B5EF4-FFF2-40B4-BE49-F238E27FC236}">
              <a16:creationId xmlns:a16="http://schemas.microsoft.com/office/drawing/2014/main" id="{7CA8FEA5-B32B-4BE5-A172-623F9E880E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739" name="Picture@5C\QPendientes@" descr="@5C\QPendientes@">
          <a:extLst>
            <a:ext uri="{FF2B5EF4-FFF2-40B4-BE49-F238E27FC236}">
              <a16:creationId xmlns:a16="http://schemas.microsoft.com/office/drawing/2014/main" id="{19684B17-27AF-4340-ACF8-BD7859FA15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740" name="Picture@5C\QPendientes@" descr="@5C\QPendientes@">
          <a:extLst>
            <a:ext uri="{FF2B5EF4-FFF2-40B4-BE49-F238E27FC236}">
              <a16:creationId xmlns:a16="http://schemas.microsoft.com/office/drawing/2014/main" id="{E4EEE519-4B68-4F96-A708-62DC416AE3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741" name="Picture@5C\QPendientes@" descr="@5C\QPendientes@">
          <a:extLst>
            <a:ext uri="{FF2B5EF4-FFF2-40B4-BE49-F238E27FC236}">
              <a16:creationId xmlns:a16="http://schemas.microsoft.com/office/drawing/2014/main" id="{94205FC9-55F8-4486-9CDD-3C3FA3FB85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742" name="Picture@5C\QPendientes@" descr="@5C\QPendientes@">
          <a:extLst>
            <a:ext uri="{FF2B5EF4-FFF2-40B4-BE49-F238E27FC236}">
              <a16:creationId xmlns:a16="http://schemas.microsoft.com/office/drawing/2014/main" id="{E482A0A0-26EB-4539-80F4-B2840158A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743" name="Picture@5C\QPendientes@" descr="@5C\QPendientes@">
          <a:extLst>
            <a:ext uri="{FF2B5EF4-FFF2-40B4-BE49-F238E27FC236}">
              <a16:creationId xmlns:a16="http://schemas.microsoft.com/office/drawing/2014/main" id="{5FD4540A-DCC3-45E2-8D5E-D5079FB57D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744" name="Picture@5C\QPendientes@" descr="@5C\QPendientes@">
          <a:extLst>
            <a:ext uri="{FF2B5EF4-FFF2-40B4-BE49-F238E27FC236}">
              <a16:creationId xmlns:a16="http://schemas.microsoft.com/office/drawing/2014/main" id="{3B66AD10-C20E-4FE3-BEFA-E38B012BB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745" name="Picture@5C\QPendientes@" descr="@5C\QPendientes@">
          <a:extLst>
            <a:ext uri="{FF2B5EF4-FFF2-40B4-BE49-F238E27FC236}">
              <a16:creationId xmlns:a16="http://schemas.microsoft.com/office/drawing/2014/main" id="{73971D26-56FC-4518-B728-3BD57469DD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746" name="Picture@5C\QPendientes@" descr="@5C\QPendientes@">
          <a:extLst>
            <a:ext uri="{FF2B5EF4-FFF2-40B4-BE49-F238E27FC236}">
              <a16:creationId xmlns:a16="http://schemas.microsoft.com/office/drawing/2014/main" id="{E4E8E3A9-239A-4481-9691-3A457CD1E4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747" name="Picture@5C\QPendientes@" descr="@5C\QPendientes@">
          <a:extLst>
            <a:ext uri="{FF2B5EF4-FFF2-40B4-BE49-F238E27FC236}">
              <a16:creationId xmlns:a16="http://schemas.microsoft.com/office/drawing/2014/main" id="{3ED937D5-89E5-40B9-9184-CA8E08821E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748" name="Picture@5C\QPendientes@" descr="@5C\QPendientes@">
          <a:extLst>
            <a:ext uri="{FF2B5EF4-FFF2-40B4-BE49-F238E27FC236}">
              <a16:creationId xmlns:a16="http://schemas.microsoft.com/office/drawing/2014/main" id="{3A363D03-2628-4559-B635-61634D7F1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749" name="Picture@5C\QPendientes@" descr="@5C\QPendientes@">
          <a:extLst>
            <a:ext uri="{FF2B5EF4-FFF2-40B4-BE49-F238E27FC236}">
              <a16:creationId xmlns:a16="http://schemas.microsoft.com/office/drawing/2014/main" id="{5475D125-F3FC-4DF0-B680-070ACBD75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750" name="Picture@5C\QPendientes@" descr="@5C\QPendientes@">
          <a:extLst>
            <a:ext uri="{FF2B5EF4-FFF2-40B4-BE49-F238E27FC236}">
              <a16:creationId xmlns:a16="http://schemas.microsoft.com/office/drawing/2014/main" id="{34814288-F3E7-4C2A-80DB-3679328CBF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751" name="Picture@5C\QPendientes@" descr="@5C\QPendientes@">
          <a:extLst>
            <a:ext uri="{FF2B5EF4-FFF2-40B4-BE49-F238E27FC236}">
              <a16:creationId xmlns:a16="http://schemas.microsoft.com/office/drawing/2014/main" id="{8BB3497E-0F30-43BF-AEED-F7D1B3CBCD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752" name="Picture@5C\QPendientes@" descr="@5C\QPendientes@">
          <a:extLst>
            <a:ext uri="{FF2B5EF4-FFF2-40B4-BE49-F238E27FC236}">
              <a16:creationId xmlns:a16="http://schemas.microsoft.com/office/drawing/2014/main" id="{5DE13F19-BFE7-48A3-8370-0396C4F280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753" name="Picture@5C\QPendientes@" descr="@5C\QPendientes@">
          <a:extLst>
            <a:ext uri="{FF2B5EF4-FFF2-40B4-BE49-F238E27FC236}">
              <a16:creationId xmlns:a16="http://schemas.microsoft.com/office/drawing/2014/main" id="{A68F65AD-0B52-465D-BF17-0D42465F49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754" name="Picture@5C\QPendientes@" descr="@5C\QPendientes@">
          <a:extLst>
            <a:ext uri="{FF2B5EF4-FFF2-40B4-BE49-F238E27FC236}">
              <a16:creationId xmlns:a16="http://schemas.microsoft.com/office/drawing/2014/main" id="{E261DBEE-1026-4521-AC8E-738646CF3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755" name="Picture@5C\QPendientes@" descr="@5C\QPendientes@">
          <a:extLst>
            <a:ext uri="{FF2B5EF4-FFF2-40B4-BE49-F238E27FC236}">
              <a16:creationId xmlns:a16="http://schemas.microsoft.com/office/drawing/2014/main" id="{876357CE-3B3A-43B4-93A0-55BFE9BEE9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756" name="Picture@5C\QPendientes@" descr="@5C\QPendientes@">
          <a:extLst>
            <a:ext uri="{FF2B5EF4-FFF2-40B4-BE49-F238E27FC236}">
              <a16:creationId xmlns:a16="http://schemas.microsoft.com/office/drawing/2014/main" id="{383B2C76-76B7-4A13-8DF6-2AF23D6EB9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757" name="Picture@5C\QPendientes@" descr="@5C\QPendientes@">
          <a:extLst>
            <a:ext uri="{FF2B5EF4-FFF2-40B4-BE49-F238E27FC236}">
              <a16:creationId xmlns:a16="http://schemas.microsoft.com/office/drawing/2014/main" id="{357FD3D2-289B-4B39-8AFF-5C1A3E1A7D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758" name="Picture@5C\QPendientes@" descr="@5C\QPendientes@">
          <a:extLst>
            <a:ext uri="{FF2B5EF4-FFF2-40B4-BE49-F238E27FC236}">
              <a16:creationId xmlns:a16="http://schemas.microsoft.com/office/drawing/2014/main" id="{62626A46-7AD9-45F1-949F-D3254B80AB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759" name="Picture@5C\QPendientes@" descr="@5C\QPendientes@">
          <a:extLst>
            <a:ext uri="{FF2B5EF4-FFF2-40B4-BE49-F238E27FC236}">
              <a16:creationId xmlns:a16="http://schemas.microsoft.com/office/drawing/2014/main" id="{8D68A254-C3A3-4A2D-900B-58F621F5AF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760" name="Picture@5C\QPendientes@" descr="@5C\QPendientes@">
          <a:extLst>
            <a:ext uri="{FF2B5EF4-FFF2-40B4-BE49-F238E27FC236}">
              <a16:creationId xmlns:a16="http://schemas.microsoft.com/office/drawing/2014/main" id="{E03B2147-16BC-4F80-B0D8-AADCC30E5A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761" name="Picture@5C\QPendientes@" descr="@5C\QPendientes@">
          <a:extLst>
            <a:ext uri="{FF2B5EF4-FFF2-40B4-BE49-F238E27FC236}">
              <a16:creationId xmlns:a16="http://schemas.microsoft.com/office/drawing/2014/main" id="{BB352167-245F-4818-9904-5ED3F6F8FF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762" name="Picture@5C\QPendientes@" descr="@5C\QPendientes@">
          <a:extLst>
            <a:ext uri="{FF2B5EF4-FFF2-40B4-BE49-F238E27FC236}">
              <a16:creationId xmlns:a16="http://schemas.microsoft.com/office/drawing/2014/main" id="{82AC7BC5-CA46-4C93-81C6-0F453C58EC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763" name="Picture@5C\QPendientes@" descr="@5C\QPendientes@">
          <a:extLst>
            <a:ext uri="{FF2B5EF4-FFF2-40B4-BE49-F238E27FC236}">
              <a16:creationId xmlns:a16="http://schemas.microsoft.com/office/drawing/2014/main" id="{B6A6484D-292E-4F74-A903-3280D981BB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764" name="Picture@5C\QPendientes@" descr="@5C\QPendientes@">
          <a:extLst>
            <a:ext uri="{FF2B5EF4-FFF2-40B4-BE49-F238E27FC236}">
              <a16:creationId xmlns:a16="http://schemas.microsoft.com/office/drawing/2014/main" id="{51C19862-228F-4493-A70C-BBB88829D5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765" name="Picture@5C\QPendientes@" descr="@5C\QPendientes@">
          <a:extLst>
            <a:ext uri="{FF2B5EF4-FFF2-40B4-BE49-F238E27FC236}">
              <a16:creationId xmlns:a16="http://schemas.microsoft.com/office/drawing/2014/main" id="{63C4CE68-D568-43F9-B8DE-C9983D7892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766" name="Picture@5C\QPendientes@" descr="@5C\QPendientes@">
          <a:extLst>
            <a:ext uri="{FF2B5EF4-FFF2-40B4-BE49-F238E27FC236}">
              <a16:creationId xmlns:a16="http://schemas.microsoft.com/office/drawing/2014/main" id="{D6C2F9AB-F060-427D-BA61-BA7F8E573E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517" name="Picture@5C\QPendientes@" descr="@5C\QPendientes@">
          <a:extLst>
            <a:ext uri="{FF2B5EF4-FFF2-40B4-BE49-F238E27FC236}">
              <a16:creationId xmlns:a16="http://schemas.microsoft.com/office/drawing/2014/main" id="{E6E15580-1E1A-40F3-B21B-0A0680ADF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518" name="Picture@5C\QPendientes@" descr="@5C\QPendientes@">
          <a:extLst>
            <a:ext uri="{FF2B5EF4-FFF2-40B4-BE49-F238E27FC236}">
              <a16:creationId xmlns:a16="http://schemas.microsoft.com/office/drawing/2014/main" id="{C293D0D5-6AA5-49B0-A082-549B6A3764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519" name="Picture@5C\QPendientes@" descr="@5C\QPendientes@">
          <a:extLst>
            <a:ext uri="{FF2B5EF4-FFF2-40B4-BE49-F238E27FC236}">
              <a16:creationId xmlns:a16="http://schemas.microsoft.com/office/drawing/2014/main" id="{3181E8E6-3492-4344-B42D-AC33689C69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520" name="Picture@5C\QPendientes@" descr="@5C\QPendientes@">
          <a:extLst>
            <a:ext uri="{FF2B5EF4-FFF2-40B4-BE49-F238E27FC236}">
              <a16:creationId xmlns:a16="http://schemas.microsoft.com/office/drawing/2014/main" id="{8EA750DD-3942-4E7B-A9AD-D25A935BFF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521" name="Picture@5C\QPendientes@" descr="@5C\QPendientes@">
          <a:extLst>
            <a:ext uri="{FF2B5EF4-FFF2-40B4-BE49-F238E27FC236}">
              <a16:creationId xmlns:a16="http://schemas.microsoft.com/office/drawing/2014/main" id="{0661CA11-0B96-44E1-8DCA-5A79C0F8EB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522" name="Picture@5C\QPendientes@" descr="@5C\QPendientes@">
          <a:extLst>
            <a:ext uri="{FF2B5EF4-FFF2-40B4-BE49-F238E27FC236}">
              <a16:creationId xmlns:a16="http://schemas.microsoft.com/office/drawing/2014/main" id="{04561201-D608-4E83-ADA6-691BDB8B10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523" name="Picture@5C\QPendientes@" descr="@5C\QPendientes@">
          <a:extLst>
            <a:ext uri="{FF2B5EF4-FFF2-40B4-BE49-F238E27FC236}">
              <a16:creationId xmlns:a16="http://schemas.microsoft.com/office/drawing/2014/main" id="{D5BBCFD3-B8AF-4185-BB2A-B6ED5BCFAE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524" name="Picture@5C\QPendientes@" descr="@5C\QPendientes@">
          <a:extLst>
            <a:ext uri="{FF2B5EF4-FFF2-40B4-BE49-F238E27FC236}">
              <a16:creationId xmlns:a16="http://schemas.microsoft.com/office/drawing/2014/main" id="{25D86549-2800-4888-A8C0-460FC39915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525" name="Picture@5C\QPendientes@" descr="@5C\QPendientes@">
          <a:extLst>
            <a:ext uri="{FF2B5EF4-FFF2-40B4-BE49-F238E27FC236}">
              <a16:creationId xmlns:a16="http://schemas.microsoft.com/office/drawing/2014/main" id="{FCBBA53C-F0B9-4664-9EE9-35C663ECDB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526" name="Picture@5C\QPendientes@" descr="@5C\QPendientes@">
          <a:extLst>
            <a:ext uri="{FF2B5EF4-FFF2-40B4-BE49-F238E27FC236}">
              <a16:creationId xmlns:a16="http://schemas.microsoft.com/office/drawing/2014/main" id="{27EEB37C-E767-4782-8B1B-57A4F7554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527" name="Picture@5C\QPendientes@" descr="@5C\QPendientes@">
          <a:extLst>
            <a:ext uri="{FF2B5EF4-FFF2-40B4-BE49-F238E27FC236}">
              <a16:creationId xmlns:a16="http://schemas.microsoft.com/office/drawing/2014/main" id="{A2BDBD2A-1EFE-45E9-B205-6BD53A9D91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528" name="Picture@5C\QPendientes@" descr="@5C\QPendientes@">
          <a:extLst>
            <a:ext uri="{FF2B5EF4-FFF2-40B4-BE49-F238E27FC236}">
              <a16:creationId xmlns:a16="http://schemas.microsoft.com/office/drawing/2014/main" id="{12501754-E047-4D46-9E16-4B8370033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529" name="Picture@5C\QPendientes@" descr="@5C\QPendientes@">
          <a:extLst>
            <a:ext uri="{FF2B5EF4-FFF2-40B4-BE49-F238E27FC236}">
              <a16:creationId xmlns:a16="http://schemas.microsoft.com/office/drawing/2014/main" id="{81EC2C4F-D533-42EF-8BF9-4DDAC9C6C2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530" name="Picture@5C\QPendientes@" descr="@5C\QPendientes@">
          <a:extLst>
            <a:ext uri="{FF2B5EF4-FFF2-40B4-BE49-F238E27FC236}">
              <a16:creationId xmlns:a16="http://schemas.microsoft.com/office/drawing/2014/main" id="{660288D6-3638-4FEB-AA8B-1C71BC15D5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531" name="Picture@5C\QPendientes@" descr="@5C\QPendientes@">
          <a:extLst>
            <a:ext uri="{FF2B5EF4-FFF2-40B4-BE49-F238E27FC236}">
              <a16:creationId xmlns:a16="http://schemas.microsoft.com/office/drawing/2014/main" id="{67996FAA-8A64-4852-A366-39AA55DB8A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532" name="Picture@5C\QPendientes@" descr="@5C\QPendientes@">
          <a:extLst>
            <a:ext uri="{FF2B5EF4-FFF2-40B4-BE49-F238E27FC236}">
              <a16:creationId xmlns:a16="http://schemas.microsoft.com/office/drawing/2014/main" id="{50D7138B-7978-4224-B557-66E829C6E1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533" name="Picture@5C\QPendientes@" descr="@5C\QPendientes@">
          <a:extLst>
            <a:ext uri="{FF2B5EF4-FFF2-40B4-BE49-F238E27FC236}">
              <a16:creationId xmlns:a16="http://schemas.microsoft.com/office/drawing/2014/main" id="{90F49B37-B057-4DA1-BB23-33AE502F06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534" name="Picture@5C\QPendientes@" descr="@5C\QPendientes@">
          <a:extLst>
            <a:ext uri="{FF2B5EF4-FFF2-40B4-BE49-F238E27FC236}">
              <a16:creationId xmlns:a16="http://schemas.microsoft.com/office/drawing/2014/main" id="{599BCAFA-7771-418B-985A-130A86364A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535" name="Picture@5C\QPendientes@" descr="@5C\QPendientes@">
          <a:extLst>
            <a:ext uri="{FF2B5EF4-FFF2-40B4-BE49-F238E27FC236}">
              <a16:creationId xmlns:a16="http://schemas.microsoft.com/office/drawing/2014/main" id="{4A6B6ED2-F725-4F93-B8F2-61F6872CC8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536" name="Picture@5C\QPendientes@" descr="@5C\QPendientes@">
          <a:extLst>
            <a:ext uri="{FF2B5EF4-FFF2-40B4-BE49-F238E27FC236}">
              <a16:creationId xmlns:a16="http://schemas.microsoft.com/office/drawing/2014/main" id="{F138992C-8CDE-4307-BBA2-756AE3EBA4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537" name="Picture@5C\QPendientes@" descr="@5C\QPendientes@">
          <a:extLst>
            <a:ext uri="{FF2B5EF4-FFF2-40B4-BE49-F238E27FC236}">
              <a16:creationId xmlns:a16="http://schemas.microsoft.com/office/drawing/2014/main" id="{FA472B44-A749-4CE9-BF8C-BFFD22DDF5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538" name="Picture@5C\QPendientes@" descr="@5C\QPendientes@">
          <a:extLst>
            <a:ext uri="{FF2B5EF4-FFF2-40B4-BE49-F238E27FC236}">
              <a16:creationId xmlns:a16="http://schemas.microsoft.com/office/drawing/2014/main" id="{8D7F3C5D-D182-4D18-A961-2676275B56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539" name="Picture@5C\QPendientes@" descr="@5C\QPendientes@">
          <a:extLst>
            <a:ext uri="{FF2B5EF4-FFF2-40B4-BE49-F238E27FC236}">
              <a16:creationId xmlns:a16="http://schemas.microsoft.com/office/drawing/2014/main" id="{B5D69539-92AD-4EDE-8E43-496302AC59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540" name="Picture@5C\QPendientes@" descr="@5C\QPendientes@">
          <a:extLst>
            <a:ext uri="{FF2B5EF4-FFF2-40B4-BE49-F238E27FC236}">
              <a16:creationId xmlns:a16="http://schemas.microsoft.com/office/drawing/2014/main" id="{CEC663E7-59BD-4834-9D0A-ED3E549471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541" name="Picture@5C\QPendientes@" descr="@5C\QPendientes@">
          <a:extLst>
            <a:ext uri="{FF2B5EF4-FFF2-40B4-BE49-F238E27FC236}">
              <a16:creationId xmlns:a16="http://schemas.microsoft.com/office/drawing/2014/main" id="{32EC4BFA-BA98-4B94-9762-6A245DF2D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542" name="Picture@5C\QPendientes@" descr="@5C\QPendientes@">
          <a:extLst>
            <a:ext uri="{FF2B5EF4-FFF2-40B4-BE49-F238E27FC236}">
              <a16:creationId xmlns:a16="http://schemas.microsoft.com/office/drawing/2014/main" id="{5BBF0192-FD08-43E6-BDD6-031078B7A4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543" name="Picture@5C\QPendientes@" descr="@5C\QPendientes@">
          <a:extLst>
            <a:ext uri="{FF2B5EF4-FFF2-40B4-BE49-F238E27FC236}">
              <a16:creationId xmlns:a16="http://schemas.microsoft.com/office/drawing/2014/main" id="{5954A234-F010-419C-BAC6-CC07A7AD5A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544" name="Picture@5C\QPendientes@" descr="@5C\QPendientes@">
          <a:extLst>
            <a:ext uri="{FF2B5EF4-FFF2-40B4-BE49-F238E27FC236}">
              <a16:creationId xmlns:a16="http://schemas.microsoft.com/office/drawing/2014/main" id="{026FD4BA-E18C-4E06-A516-E2E7B89C7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545" name="Picture@5C\QPendientes@" descr="@5C\QPendientes@">
          <a:extLst>
            <a:ext uri="{FF2B5EF4-FFF2-40B4-BE49-F238E27FC236}">
              <a16:creationId xmlns:a16="http://schemas.microsoft.com/office/drawing/2014/main" id="{BF2CACDC-0281-4D76-A09A-A5CA967A7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546" name="Picture@5C\QPendientes@" descr="@5C\QPendientes@">
          <a:extLst>
            <a:ext uri="{FF2B5EF4-FFF2-40B4-BE49-F238E27FC236}">
              <a16:creationId xmlns:a16="http://schemas.microsoft.com/office/drawing/2014/main" id="{B58A81AC-F393-4978-83EC-1989A7149D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547" name="Picture@5C\QPendientes@" descr="@5C\QPendientes@">
          <a:extLst>
            <a:ext uri="{FF2B5EF4-FFF2-40B4-BE49-F238E27FC236}">
              <a16:creationId xmlns:a16="http://schemas.microsoft.com/office/drawing/2014/main" id="{A4795802-4EB0-40EA-A868-EA8B913761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548" name="Picture@5C\QPendientes@" descr="@5C\QPendientes@">
          <a:extLst>
            <a:ext uri="{FF2B5EF4-FFF2-40B4-BE49-F238E27FC236}">
              <a16:creationId xmlns:a16="http://schemas.microsoft.com/office/drawing/2014/main" id="{E2378D0D-2099-4813-87A0-E512E309F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549" name="Picture@5C\QPendientes@" descr="@5C\QPendientes@">
          <a:extLst>
            <a:ext uri="{FF2B5EF4-FFF2-40B4-BE49-F238E27FC236}">
              <a16:creationId xmlns:a16="http://schemas.microsoft.com/office/drawing/2014/main" id="{DAA8DCED-EB2C-4BCB-80B5-5D99E2862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550" name="Picture@5C\QPendientes@" descr="@5C\QPendientes@">
          <a:extLst>
            <a:ext uri="{FF2B5EF4-FFF2-40B4-BE49-F238E27FC236}">
              <a16:creationId xmlns:a16="http://schemas.microsoft.com/office/drawing/2014/main" id="{9C25BEE8-1047-4A37-9FA3-DF9ED4E992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551" name="Picture@5C\QPendientes@" descr="@5C\QPendientes@">
          <a:extLst>
            <a:ext uri="{FF2B5EF4-FFF2-40B4-BE49-F238E27FC236}">
              <a16:creationId xmlns:a16="http://schemas.microsoft.com/office/drawing/2014/main" id="{0C626575-6FEB-4890-82B2-85CE47E2DA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552" name="Picture@5C\QPendientes@" descr="@5C\QPendientes@">
          <a:extLst>
            <a:ext uri="{FF2B5EF4-FFF2-40B4-BE49-F238E27FC236}">
              <a16:creationId xmlns:a16="http://schemas.microsoft.com/office/drawing/2014/main" id="{5F1B3B0E-F84E-41C2-8EB2-E11C38312B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553" name="Picture@5C\QPendientes@" descr="@5C\QPendientes@">
          <a:extLst>
            <a:ext uri="{FF2B5EF4-FFF2-40B4-BE49-F238E27FC236}">
              <a16:creationId xmlns:a16="http://schemas.microsoft.com/office/drawing/2014/main" id="{A41B5855-C4C9-413B-BE86-A63916AB8E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554" name="Picture@5C\QPendientes@" descr="@5C\QPendientes@">
          <a:extLst>
            <a:ext uri="{FF2B5EF4-FFF2-40B4-BE49-F238E27FC236}">
              <a16:creationId xmlns:a16="http://schemas.microsoft.com/office/drawing/2014/main" id="{E1771671-0A26-4A91-BCE2-16772964FC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555" name="Picture@5C\QPendientes@" descr="@5C\QPendientes@">
          <a:extLst>
            <a:ext uri="{FF2B5EF4-FFF2-40B4-BE49-F238E27FC236}">
              <a16:creationId xmlns:a16="http://schemas.microsoft.com/office/drawing/2014/main" id="{F1132CFE-FE3B-40CC-A44B-F7F2D7F66E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556" name="Picture@5C\QPendientes@" descr="@5C\QPendientes@">
          <a:extLst>
            <a:ext uri="{FF2B5EF4-FFF2-40B4-BE49-F238E27FC236}">
              <a16:creationId xmlns:a16="http://schemas.microsoft.com/office/drawing/2014/main" id="{B6D358D9-E08B-4550-8D44-89A37375C2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557" name="Picture@5C\QPendientes@" descr="@5C\QPendientes@">
          <a:extLst>
            <a:ext uri="{FF2B5EF4-FFF2-40B4-BE49-F238E27FC236}">
              <a16:creationId xmlns:a16="http://schemas.microsoft.com/office/drawing/2014/main" id="{C984EC2A-DEE7-4CFB-AA90-82E95D9B14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558" name="Picture@5C\QPendientes@" descr="@5C\QPendientes@">
          <a:extLst>
            <a:ext uri="{FF2B5EF4-FFF2-40B4-BE49-F238E27FC236}">
              <a16:creationId xmlns:a16="http://schemas.microsoft.com/office/drawing/2014/main" id="{70B9996A-0A07-44C5-B376-B1CA514378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559" name="Picture@5C\QPendientes@" descr="@5C\QPendientes@">
          <a:extLst>
            <a:ext uri="{FF2B5EF4-FFF2-40B4-BE49-F238E27FC236}">
              <a16:creationId xmlns:a16="http://schemas.microsoft.com/office/drawing/2014/main" id="{1DBAE4B4-2E41-4E6C-AD9E-E0983EECBF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560" name="Picture@5C\QPendientes@" descr="@5C\QPendientes@">
          <a:extLst>
            <a:ext uri="{FF2B5EF4-FFF2-40B4-BE49-F238E27FC236}">
              <a16:creationId xmlns:a16="http://schemas.microsoft.com/office/drawing/2014/main" id="{A4612928-A01D-4660-9E22-244FF79E8E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561" name="Picture@5C\QPendientes@" descr="@5C\QPendientes@">
          <a:extLst>
            <a:ext uri="{FF2B5EF4-FFF2-40B4-BE49-F238E27FC236}">
              <a16:creationId xmlns:a16="http://schemas.microsoft.com/office/drawing/2014/main" id="{95F2C2C3-B969-4F9A-AF0A-48A8D73C36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562" name="Picture@5C\QPendientes@" descr="@5C\QPendientes@">
          <a:extLst>
            <a:ext uri="{FF2B5EF4-FFF2-40B4-BE49-F238E27FC236}">
              <a16:creationId xmlns:a16="http://schemas.microsoft.com/office/drawing/2014/main" id="{7D0813BC-410C-4A9B-9A43-1C0DE03742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563" name="Picture@5C\QPendientes@" descr="@5C\QPendientes@">
          <a:extLst>
            <a:ext uri="{FF2B5EF4-FFF2-40B4-BE49-F238E27FC236}">
              <a16:creationId xmlns:a16="http://schemas.microsoft.com/office/drawing/2014/main" id="{47644F7D-8E63-4C5C-AE7A-BE94BA1B52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564" name="Picture@5C\QPendientes@" descr="@5C\QPendientes@">
          <a:extLst>
            <a:ext uri="{FF2B5EF4-FFF2-40B4-BE49-F238E27FC236}">
              <a16:creationId xmlns:a16="http://schemas.microsoft.com/office/drawing/2014/main" id="{5345E2A2-A473-4576-BAE5-534D65ADED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565" name="Picture@5C\QPendientes@" descr="@5C\QPendientes@">
          <a:extLst>
            <a:ext uri="{FF2B5EF4-FFF2-40B4-BE49-F238E27FC236}">
              <a16:creationId xmlns:a16="http://schemas.microsoft.com/office/drawing/2014/main" id="{D49C45CB-FAD4-4087-B185-DA8ECF24BF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566" name="Picture@5C\QPendientes@" descr="@5C\QPendientes@">
          <a:extLst>
            <a:ext uri="{FF2B5EF4-FFF2-40B4-BE49-F238E27FC236}">
              <a16:creationId xmlns:a16="http://schemas.microsoft.com/office/drawing/2014/main" id="{70732915-46D3-4977-8FC2-73B4215A84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567" name="Picture@5C\QPendientes@" descr="@5C\QPendientes@">
          <a:extLst>
            <a:ext uri="{FF2B5EF4-FFF2-40B4-BE49-F238E27FC236}">
              <a16:creationId xmlns:a16="http://schemas.microsoft.com/office/drawing/2014/main" id="{324EC4BA-9BD6-4996-A723-9F1E4BC5AF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1568" name="Picture@5C\QPendientes@" descr="@5C\QPendientes@">
          <a:extLst>
            <a:ext uri="{FF2B5EF4-FFF2-40B4-BE49-F238E27FC236}">
              <a16:creationId xmlns:a16="http://schemas.microsoft.com/office/drawing/2014/main" id="{5E859599-5AE2-47E2-81D1-9BC2F73E1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569" name="Picture@5C\QPendientes@" descr="@5C\QPendientes@">
          <a:extLst>
            <a:ext uri="{FF2B5EF4-FFF2-40B4-BE49-F238E27FC236}">
              <a16:creationId xmlns:a16="http://schemas.microsoft.com/office/drawing/2014/main" id="{B6A7FC4E-3B96-429A-9EC2-2114E744C4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570" name="Picture@5C\QPendientes@" descr="@5C\QPendientes@">
          <a:extLst>
            <a:ext uri="{FF2B5EF4-FFF2-40B4-BE49-F238E27FC236}">
              <a16:creationId xmlns:a16="http://schemas.microsoft.com/office/drawing/2014/main" id="{B13801A9-A42D-48E1-8EB7-44534A34E6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571" name="Picture@5C\QPendientes@" descr="@5C\QPendientes@">
          <a:extLst>
            <a:ext uri="{FF2B5EF4-FFF2-40B4-BE49-F238E27FC236}">
              <a16:creationId xmlns:a16="http://schemas.microsoft.com/office/drawing/2014/main" id="{F9388AB8-8447-45AD-A3DE-5D5F429F53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1572" name="Picture@5C\QPendientes@" descr="@5C\QPendientes@">
          <a:extLst>
            <a:ext uri="{FF2B5EF4-FFF2-40B4-BE49-F238E27FC236}">
              <a16:creationId xmlns:a16="http://schemas.microsoft.com/office/drawing/2014/main" id="{4F7033BA-0A1B-4B1A-B690-70BF71F13D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573" name="Picture@5C\QPendientes@" descr="@5C\QPendientes@">
          <a:extLst>
            <a:ext uri="{FF2B5EF4-FFF2-40B4-BE49-F238E27FC236}">
              <a16:creationId xmlns:a16="http://schemas.microsoft.com/office/drawing/2014/main" id="{4C564AEF-7D9A-44D6-8B82-E848CA9DBA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1574" name="Picture@5C\QPendientes@" descr="@5C\QPendientes@">
          <a:extLst>
            <a:ext uri="{FF2B5EF4-FFF2-40B4-BE49-F238E27FC236}">
              <a16:creationId xmlns:a16="http://schemas.microsoft.com/office/drawing/2014/main" id="{AAF026DC-BE93-446C-AD8A-32F52879AE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575" name="Picture@5C\QPendientes@" descr="@5C\QPendientes@">
          <a:extLst>
            <a:ext uri="{FF2B5EF4-FFF2-40B4-BE49-F238E27FC236}">
              <a16:creationId xmlns:a16="http://schemas.microsoft.com/office/drawing/2014/main" id="{E31B2F2B-DFF6-41FB-B81D-472D1131B3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1576" name="Picture@5C\QPendientes@" descr="@5C\QPendientes@">
          <a:extLst>
            <a:ext uri="{FF2B5EF4-FFF2-40B4-BE49-F238E27FC236}">
              <a16:creationId xmlns:a16="http://schemas.microsoft.com/office/drawing/2014/main" id="{F9C1E171-8B77-4FD1-BBEF-35125A690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1577" name="Picture@5C\QPendientes@" descr="@5C\QPendientes@">
          <a:extLst>
            <a:ext uri="{FF2B5EF4-FFF2-40B4-BE49-F238E27FC236}">
              <a16:creationId xmlns:a16="http://schemas.microsoft.com/office/drawing/2014/main" id="{09054FC0-85F4-4C2E-AE24-55F736C18E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578" name="Picture@5C\QPendientes@" descr="@5C\QPendientes@">
          <a:extLst>
            <a:ext uri="{FF2B5EF4-FFF2-40B4-BE49-F238E27FC236}">
              <a16:creationId xmlns:a16="http://schemas.microsoft.com/office/drawing/2014/main" id="{7D51B239-E3AC-4ECF-B4BB-8B8A2437A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579" name="Picture@5C\QPendientes@" descr="@5C\QPendientes@">
          <a:extLst>
            <a:ext uri="{FF2B5EF4-FFF2-40B4-BE49-F238E27FC236}">
              <a16:creationId xmlns:a16="http://schemas.microsoft.com/office/drawing/2014/main" id="{0DD8203D-754E-4CD9-B5FE-C39203843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1580" name="Picture@5C\QPendientes@" descr="@5C\QPendientes@">
          <a:extLst>
            <a:ext uri="{FF2B5EF4-FFF2-40B4-BE49-F238E27FC236}">
              <a16:creationId xmlns:a16="http://schemas.microsoft.com/office/drawing/2014/main" id="{D1FC1D25-1401-472C-A978-FE0E705FA2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581" name="Picture@5C\QPendientes@" descr="@5C\QPendientes@">
          <a:extLst>
            <a:ext uri="{FF2B5EF4-FFF2-40B4-BE49-F238E27FC236}">
              <a16:creationId xmlns:a16="http://schemas.microsoft.com/office/drawing/2014/main" id="{738B1A2C-7979-4C0E-A31D-7194AE6D2A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582" name="Picture@5C\QPendientes@" descr="@5C\QPendientes@">
          <a:extLst>
            <a:ext uri="{FF2B5EF4-FFF2-40B4-BE49-F238E27FC236}">
              <a16:creationId xmlns:a16="http://schemas.microsoft.com/office/drawing/2014/main" id="{393A7C89-79DE-4069-A3AC-1644617267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583" name="Picture@5C\QPendientes@" descr="@5C\QPendientes@">
          <a:extLst>
            <a:ext uri="{FF2B5EF4-FFF2-40B4-BE49-F238E27FC236}">
              <a16:creationId xmlns:a16="http://schemas.microsoft.com/office/drawing/2014/main" id="{09E75CB6-1A20-4136-8650-ECBA646388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584" name="Picture@5C\QPendientes@" descr="@5C\QPendientes@">
          <a:extLst>
            <a:ext uri="{FF2B5EF4-FFF2-40B4-BE49-F238E27FC236}">
              <a16:creationId xmlns:a16="http://schemas.microsoft.com/office/drawing/2014/main" id="{7C6E48C0-AA74-41DE-9804-B3DBC8963B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585" name="Picture@5C\QPendientes@" descr="@5C\QPendientes@">
          <a:extLst>
            <a:ext uri="{FF2B5EF4-FFF2-40B4-BE49-F238E27FC236}">
              <a16:creationId xmlns:a16="http://schemas.microsoft.com/office/drawing/2014/main" id="{55DBC14C-4CBF-48DA-B370-5370772FCD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586" name="Picture@5C\QPendientes@" descr="@5C\QPendientes@">
          <a:extLst>
            <a:ext uri="{FF2B5EF4-FFF2-40B4-BE49-F238E27FC236}">
              <a16:creationId xmlns:a16="http://schemas.microsoft.com/office/drawing/2014/main" id="{E17F4909-9DB1-480B-98E3-AB4348EAD8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587" name="Picture@5C\QPendientes@" descr="@5C\QPendientes@">
          <a:extLst>
            <a:ext uri="{FF2B5EF4-FFF2-40B4-BE49-F238E27FC236}">
              <a16:creationId xmlns:a16="http://schemas.microsoft.com/office/drawing/2014/main" id="{69B6C5EA-9B03-473F-A391-53D8BB2ADD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588" name="Picture@5C\QPendientes@" descr="@5C\QPendientes@">
          <a:extLst>
            <a:ext uri="{FF2B5EF4-FFF2-40B4-BE49-F238E27FC236}">
              <a16:creationId xmlns:a16="http://schemas.microsoft.com/office/drawing/2014/main" id="{ED2A9F29-E7D1-4E9E-8A86-E4E47EB72F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589" name="Picture@5C\QPendientes@" descr="@5C\QPendientes@">
          <a:extLst>
            <a:ext uri="{FF2B5EF4-FFF2-40B4-BE49-F238E27FC236}">
              <a16:creationId xmlns:a16="http://schemas.microsoft.com/office/drawing/2014/main" id="{0F6DA257-DE20-4381-AA3C-C20738D060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1590" name="Picture@5C\QPendientes@" descr="@5C\QPendientes@">
          <a:extLst>
            <a:ext uri="{FF2B5EF4-FFF2-40B4-BE49-F238E27FC236}">
              <a16:creationId xmlns:a16="http://schemas.microsoft.com/office/drawing/2014/main" id="{5E330513-4436-4B58-906E-FA303EB515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1591" name="Picture@5C\QPendientes@" descr="@5C\QPendientes@">
          <a:extLst>
            <a:ext uri="{FF2B5EF4-FFF2-40B4-BE49-F238E27FC236}">
              <a16:creationId xmlns:a16="http://schemas.microsoft.com/office/drawing/2014/main" id="{F379BCE9-DB0E-46AA-94D0-CB2771D2D4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1592" name="Picture@5C\QPendientes@" descr="@5C\QPendientes@">
          <a:extLst>
            <a:ext uri="{FF2B5EF4-FFF2-40B4-BE49-F238E27FC236}">
              <a16:creationId xmlns:a16="http://schemas.microsoft.com/office/drawing/2014/main" id="{021A2998-4C0C-4160-811C-24DEC23E95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1593" name="Picture@5C\QPendientes@" descr="@5C\QPendientes@">
          <a:extLst>
            <a:ext uri="{FF2B5EF4-FFF2-40B4-BE49-F238E27FC236}">
              <a16:creationId xmlns:a16="http://schemas.microsoft.com/office/drawing/2014/main" id="{AFB1EAE8-219B-413B-9E12-D457DBE503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1594" name="Picture@5C\QPendientes@" descr="@5C\QPendientes@">
          <a:extLst>
            <a:ext uri="{FF2B5EF4-FFF2-40B4-BE49-F238E27FC236}">
              <a16:creationId xmlns:a16="http://schemas.microsoft.com/office/drawing/2014/main" id="{1775E2B5-D06F-4034-B3A9-DFD826DE43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1595" name="Picture@5C\QPendientes@" descr="@5C\QPendientes@">
          <a:extLst>
            <a:ext uri="{FF2B5EF4-FFF2-40B4-BE49-F238E27FC236}">
              <a16:creationId xmlns:a16="http://schemas.microsoft.com/office/drawing/2014/main" id="{1F11ADD4-F7DF-4BFC-AE3B-34B9E11E56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1596" name="Picture@5C\QPendientes@" descr="@5C\QPendientes@">
          <a:extLst>
            <a:ext uri="{FF2B5EF4-FFF2-40B4-BE49-F238E27FC236}">
              <a16:creationId xmlns:a16="http://schemas.microsoft.com/office/drawing/2014/main" id="{1B83FBE0-BBEF-43A1-80B0-AD20E527F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1597" name="Picture@5C\QPendientes@" descr="@5C\QPendientes@">
          <a:extLst>
            <a:ext uri="{FF2B5EF4-FFF2-40B4-BE49-F238E27FC236}">
              <a16:creationId xmlns:a16="http://schemas.microsoft.com/office/drawing/2014/main" id="{9EFCB752-FA71-4E8E-93E4-5D4ADB57D6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1598" name="Picture@5C\QPendientes@" descr="@5C\QPendientes@">
          <a:extLst>
            <a:ext uri="{FF2B5EF4-FFF2-40B4-BE49-F238E27FC236}">
              <a16:creationId xmlns:a16="http://schemas.microsoft.com/office/drawing/2014/main" id="{97D90EA7-E9E2-4EA9-837E-4A167DFCA9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1599" name="Picture@5C\QPendientes@" descr="@5C\QPendientes@">
          <a:extLst>
            <a:ext uri="{FF2B5EF4-FFF2-40B4-BE49-F238E27FC236}">
              <a16:creationId xmlns:a16="http://schemas.microsoft.com/office/drawing/2014/main" id="{8376FCCE-E03E-4BCF-B767-BABD39B81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1600" name="Picture@5C\QPendientes@" descr="@5C\QPendientes@">
          <a:extLst>
            <a:ext uri="{FF2B5EF4-FFF2-40B4-BE49-F238E27FC236}">
              <a16:creationId xmlns:a16="http://schemas.microsoft.com/office/drawing/2014/main" id="{7D249AA6-EF01-4CEF-B9C5-54BF2A3FD5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1601" name="Picture@5C\QPendientes@" descr="@5C\QPendientes@">
          <a:extLst>
            <a:ext uri="{FF2B5EF4-FFF2-40B4-BE49-F238E27FC236}">
              <a16:creationId xmlns:a16="http://schemas.microsoft.com/office/drawing/2014/main" id="{2F221493-D726-4081-A1FA-FFB8A54B48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1602" name="Picture@5C\QPendientes@" descr="@5C\QPendientes@">
          <a:extLst>
            <a:ext uri="{FF2B5EF4-FFF2-40B4-BE49-F238E27FC236}">
              <a16:creationId xmlns:a16="http://schemas.microsoft.com/office/drawing/2014/main" id="{A2B627ED-C44C-4F50-A1E1-7042B5046A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1603" name="Picture@5C\QPendientes@" descr="@5C\QPendientes@">
          <a:extLst>
            <a:ext uri="{FF2B5EF4-FFF2-40B4-BE49-F238E27FC236}">
              <a16:creationId xmlns:a16="http://schemas.microsoft.com/office/drawing/2014/main" id="{E70F39A1-414B-4AD4-998B-D3D6DBE67B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1604" name="Picture@5C\QPendientes@" descr="@5C\QPendientes@">
          <a:extLst>
            <a:ext uri="{FF2B5EF4-FFF2-40B4-BE49-F238E27FC236}">
              <a16:creationId xmlns:a16="http://schemas.microsoft.com/office/drawing/2014/main" id="{8FA44897-C640-464B-84F7-046B6555FA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1605" name="Picture@5C\QPendientes@" descr="@5C\QPendientes@">
          <a:extLst>
            <a:ext uri="{FF2B5EF4-FFF2-40B4-BE49-F238E27FC236}">
              <a16:creationId xmlns:a16="http://schemas.microsoft.com/office/drawing/2014/main" id="{F9EB3479-4805-47BD-89AF-AEE9112EF4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1606" name="Picture@5C\QPendientes@" descr="@5C\QPendientes@">
          <a:extLst>
            <a:ext uri="{FF2B5EF4-FFF2-40B4-BE49-F238E27FC236}">
              <a16:creationId xmlns:a16="http://schemas.microsoft.com/office/drawing/2014/main" id="{2E41875E-3022-4C0F-92AD-66BF19E1B2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1607" name="Picture@5C\QPendientes@" descr="@5C\QPendientes@">
          <a:extLst>
            <a:ext uri="{FF2B5EF4-FFF2-40B4-BE49-F238E27FC236}">
              <a16:creationId xmlns:a16="http://schemas.microsoft.com/office/drawing/2014/main" id="{A666311D-4061-4CE9-861B-929074CD7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1608" name="Picture@5C\QPendientes@" descr="@5C\QPendientes@">
          <a:extLst>
            <a:ext uri="{FF2B5EF4-FFF2-40B4-BE49-F238E27FC236}">
              <a16:creationId xmlns:a16="http://schemas.microsoft.com/office/drawing/2014/main" id="{CEA4D3FE-E698-476F-8F66-C935263F7D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1609" name="Picture@5C\QPendientes@" descr="@5C\QPendientes@">
          <a:extLst>
            <a:ext uri="{FF2B5EF4-FFF2-40B4-BE49-F238E27FC236}">
              <a16:creationId xmlns:a16="http://schemas.microsoft.com/office/drawing/2014/main" id="{5B5AAAD2-D611-4CBD-B860-FC70A21CDA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1610" name="Picture@5C\QPendientes@" descr="@5C\QPendientes@">
          <a:extLst>
            <a:ext uri="{FF2B5EF4-FFF2-40B4-BE49-F238E27FC236}">
              <a16:creationId xmlns:a16="http://schemas.microsoft.com/office/drawing/2014/main" id="{D9F2C697-E555-4A10-B96B-76CAFF808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1611" name="Picture@5C\QPendientes@" descr="@5C\QPendientes@">
          <a:extLst>
            <a:ext uri="{FF2B5EF4-FFF2-40B4-BE49-F238E27FC236}">
              <a16:creationId xmlns:a16="http://schemas.microsoft.com/office/drawing/2014/main" id="{53C8BCFE-D3D5-4A08-A9BB-BD03E6822F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1612" name="Picture@5C\QPendientes@" descr="@5C\QPendientes@">
          <a:extLst>
            <a:ext uri="{FF2B5EF4-FFF2-40B4-BE49-F238E27FC236}">
              <a16:creationId xmlns:a16="http://schemas.microsoft.com/office/drawing/2014/main" id="{62B77519-F6E0-41CA-9788-A65525BB3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1613" name="Picture@5C\QPendientes@" descr="@5C\QPendientes@">
          <a:extLst>
            <a:ext uri="{FF2B5EF4-FFF2-40B4-BE49-F238E27FC236}">
              <a16:creationId xmlns:a16="http://schemas.microsoft.com/office/drawing/2014/main" id="{5A374B55-F18E-48EF-9AD3-AC24EC937C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1614" name="Picture@5C\QPendientes@" descr="@5C\QPendientes@">
          <a:extLst>
            <a:ext uri="{FF2B5EF4-FFF2-40B4-BE49-F238E27FC236}">
              <a16:creationId xmlns:a16="http://schemas.microsoft.com/office/drawing/2014/main" id="{18E248AA-6B6F-4BA1-A79A-739ADB6100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1615" name="Picture@5C\QPendientes@" descr="@5C\QPendientes@">
          <a:extLst>
            <a:ext uri="{FF2B5EF4-FFF2-40B4-BE49-F238E27FC236}">
              <a16:creationId xmlns:a16="http://schemas.microsoft.com/office/drawing/2014/main" id="{273F00A2-2224-48CF-A13B-3FE590084E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1616" name="Picture@5C\QPendientes@" descr="@5C\QPendientes@">
          <a:extLst>
            <a:ext uri="{FF2B5EF4-FFF2-40B4-BE49-F238E27FC236}">
              <a16:creationId xmlns:a16="http://schemas.microsoft.com/office/drawing/2014/main" id="{2325FA88-8F88-4DC4-903E-6C41640BFC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1617" name="Picture@5C\QPendientes@" descr="@5C\QPendientes@">
          <a:extLst>
            <a:ext uri="{FF2B5EF4-FFF2-40B4-BE49-F238E27FC236}">
              <a16:creationId xmlns:a16="http://schemas.microsoft.com/office/drawing/2014/main" id="{3EB0F18D-E050-47A0-8F6B-13DD16F8DB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1618" name="Picture@5C\QPendientes@" descr="@5C\QPendientes@">
          <a:extLst>
            <a:ext uri="{FF2B5EF4-FFF2-40B4-BE49-F238E27FC236}">
              <a16:creationId xmlns:a16="http://schemas.microsoft.com/office/drawing/2014/main" id="{5695D140-FC14-4398-A4D1-348F88ACE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1619" name="Picture@5C\QPendientes@" descr="@5C\QPendientes@">
          <a:extLst>
            <a:ext uri="{FF2B5EF4-FFF2-40B4-BE49-F238E27FC236}">
              <a16:creationId xmlns:a16="http://schemas.microsoft.com/office/drawing/2014/main" id="{3D17306A-72BE-4BFA-BB6F-7A4B33E0D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1620" name="Picture@5C\QPendientes@" descr="@5C\QPendientes@">
          <a:extLst>
            <a:ext uri="{FF2B5EF4-FFF2-40B4-BE49-F238E27FC236}">
              <a16:creationId xmlns:a16="http://schemas.microsoft.com/office/drawing/2014/main" id="{3E6BF21B-60B6-4B03-9533-0860E9D525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1621" name="Picture@5C\QPendientes@" descr="@5C\QPendientes@">
          <a:extLst>
            <a:ext uri="{FF2B5EF4-FFF2-40B4-BE49-F238E27FC236}">
              <a16:creationId xmlns:a16="http://schemas.microsoft.com/office/drawing/2014/main" id="{8578A784-3F83-4F23-AA74-6D2AF7C2F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1622" name="Picture@5C\QPendientes@" descr="@5C\QPendientes@">
          <a:extLst>
            <a:ext uri="{FF2B5EF4-FFF2-40B4-BE49-F238E27FC236}">
              <a16:creationId xmlns:a16="http://schemas.microsoft.com/office/drawing/2014/main" id="{0D1F9298-FF0B-4BC3-8F78-90C6BB718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1623" name="Picture@5C\QPendientes@" descr="@5C\QPendientes@">
          <a:extLst>
            <a:ext uri="{FF2B5EF4-FFF2-40B4-BE49-F238E27FC236}">
              <a16:creationId xmlns:a16="http://schemas.microsoft.com/office/drawing/2014/main" id="{4252A77E-3561-4F2E-83B7-B5EB07EBE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1624" name="Picture@5C\QPendientes@" descr="@5C\QPendientes@">
          <a:extLst>
            <a:ext uri="{FF2B5EF4-FFF2-40B4-BE49-F238E27FC236}">
              <a16:creationId xmlns:a16="http://schemas.microsoft.com/office/drawing/2014/main" id="{56765E61-5140-44CF-988A-326ADE573D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1625" name="Picture@5C\QPendientes@" descr="@5C\QPendientes@">
          <a:extLst>
            <a:ext uri="{FF2B5EF4-FFF2-40B4-BE49-F238E27FC236}">
              <a16:creationId xmlns:a16="http://schemas.microsoft.com/office/drawing/2014/main" id="{2CEB4A29-F5E7-4A94-B07E-E469147496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1626" name="Picture@5C\QPendientes@" descr="@5C\QPendientes@">
          <a:extLst>
            <a:ext uri="{FF2B5EF4-FFF2-40B4-BE49-F238E27FC236}">
              <a16:creationId xmlns:a16="http://schemas.microsoft.com/office/drawing/2014/main" id="{BB514DFC-5CD5-40D0-A61B-55B42E2A39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1627" name="Picture@5C\QPendientes@" descr="@5C\QPendientes@">
          <a:extLst>
            <a:ext uri="{FF2B5EF4-FFF2-40B4-BE49-F238E27FC236}">
              <a16:creationId xmlns:a16="http://schemas.microsoft.com/office/drawing/2014/main" id="{71BDCD95-3CF2-42F2-8DB0-C9B26EA315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1628" name="Picture@5C\QPendientes@" descr="@5C\QPendientes@">
          <a:extLst>
            <a:ext uri="{FF2B5EF4-FFF2-40B4-BE49-F238E27FC236}">
              <a16:creationId xmlns:a16="http://schemas.microsoft.com/office/drawing/2014/main" id="{8ACA366C-B5E7-437D-A7B6-E028449D2E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1629" name="Picture@5C\QPendientes@" descr="@5C\QPendientes@">
          <a:extLst>
            <a:ext uri="{FF2B5EF4-FFF2-40B4-BE49-F238E27FC236}">
              <a16:creationId xmlns:a16="http://schemas.microsoft.com/office/drawing/2014/main" id="{67F354AF-5974-4C8A-A0EE-278C5E1618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1630" name="Picture@5C\QPendientes@" descr="@5C\QPendientes@">
          <a:extLst>
            <a:ext uri="{FF2B5EF4-FFF2-40B4-BE49-F238E27FC236}">
              <a16:creationId xmlns:a16="http://schemas.microsoft.com/office/drawing/2014/main" id="{AF6D11D8-02A6-413D-9E3A-0B7D101A9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1631" name="Picture@5C\QPendientes@" descr="@5C\QPendientes@">
          <a:extLst>
            <a:ext uri="{FF2B5EF4-FFF2-40B4-BE49-F238E27FC236}">
              <a16:creationId xmlns:a16="http://schemas.microsoft.com/office/drawing/2014/main" id="{61FAF6EF-2DE9-46FA-AD8F-651D73EE67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1632" name="Picture@5C\QPendientes@" descr="@5C\QPendientes@">
          <a:extLst>
            <a:ext uri="{FF2B5EF4-FFF2-40B4-BE49-F238E27FC236}">
              <a16:creationId xmlns:a16="http://schemas.microsoft.com/office/drawing/2014/main" id="{72689A38-7862-4315-AF1D-701001A10C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1633" name="Picture@5C\QPendientes@" descr="@5C\QPendientes@">
          <a:extLst>
            <a:ext uri="{FF2B5EF4-FFF2-40B4-BE49-F238E27FC236}">
              <a16:creationId xmlns:a16="http://schemas.microsoft.com/office/drawing/2014/main" id="{CD53E5AC-7B32-4BFA-9FE2-133ED0D28D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1634" name="Picture@5C\QPendientes@" descr="@5C\QPendientes@">
          <a:extLst>
            <a:ext uri="{FF2B5EF4-FFF2-40B4-BE49-F238E27FC236}">
              <a16:creationId xmlns:a16="http://schemas.microsoft.com/office/drawing/2014/main" id="{1258E191-2FC0-4B72-B7F5-213171D267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1635" name="Picture@5C\QPendientes@" descr="@5C\QPendientes@">
          <a:extLst>
            <a:ext uri="{FF2B5EF4-FFF2-40B4-BE49-F238E27FC236}">
              <a16:creationId xmlns:a16="http://schemas.microsoft.com/office/drawing/2014/main" id="{0367243B-45E8-48DB-A772-69FD9D621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1636" name="Picture@5C\QPendientes@" descr="@5C\QPendientes@">
          <a:extLst>
            <a:ext uri="{FF2B5EF4-FFF2-40B4-BE49-F238E27FC236}">
              <a16:creationId xmlns:a16="http://schemas.microsoft.com/office/drawing/2014/main" id="{2145D5AA-BC45-4117-AECE-0B704BAF42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1637" name="Picture@5C\QPendientes@" descr="@5C\QPendientes@">
          <a:extLst>
            <a:ext uri="{FF2B5EF4-FFF2-40B4-BE49-F238E27FC236}">
              <a16:creationId xmlns:a16="http://schemas.microsoft.com/office/drawing/2014/main" id="{FC9EA71E-1EB0-436E-8824-17DFAB0E41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1638" name="Picture@5C\QPendientes@" descr="@5C\QPendientes@">
          <a:extLst>
            <a:ext uri="{FF2B5EF4-FFF2-40B4-BE49-F238E27FC236}">
              <a16:creationId xmlns:a16="http://schemas.microsoft.com/office/drawing/2014/main" id="{994F93EF-FC8D-4113-B869-6663B2A5D6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1639" name="Picture@5C\QPendientes@" descr="@5C\QPendientes@">
          <a:extLst>
            <a:ext uri="{FF2B5EF4-FFF2-40B4-BE49-F238E27FC236}">
              <a16:creationId xmlns:a16="http://schemas.microsoft.com/office/drawing/2014/main" id="{4B9ED71B-DD74-487D-823E-4C8FCC82A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1640" name="Picture@5C\QPendientes@" descr="@5C\QPendientes@">
          <a:extLst>
            <a:ext uri="{FF2B5EF4-FFF2-40B4-BE49-F238E27FC236}">
              <a16:creationId xmlns:a16="http://schemas.microsoft.com/office/drawing/2014/main" id="{D3209004-AE58-498C-8876-F85376CED9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1641" name="Picture@5C\QPendientes@" descr="@5C\QPendientes@">
          <a:extLst>
            <a:ext uri="{FF2B5EF4-FFF2-40B4-BE49-F238E27FC236}">
              <a16:creationId xmlns:a16="http://schemas.microsoft.com/office/drawing/2014/main" id="{A9506ED4-7C49-40C4-9014-F27FE438AB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1642" name="Picture@5C\QPendientes@" descr="@5C\QPendientes@">
          <a:extLst>
            <a:ext uri="{FF2B5EF4-FFF2-40B4-BE49-F238E27FC236}">
              <a16:creationId xmlns:a16="http://schemas.microsoft.com/office/drawing/2014/main" id="{5DDE258A-856E-47E3-9105-C7161A8D75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1643" name="Picture@5C\QPendientes@" descr="@5C\QPendientes@">
          <a:extLst>
            <a:ext uri="{FF2B5EF4-FFF2-40B4-BE49-F238E27FC236}">
              <a16:creationId xmlns:a16="http://schemas.microsoft.com/office/drawing/2014/main" id="{84AF28F6-C18C-4035-9B36-E5C05FB99E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1644" name="Picture@5C\QPendientes@" descr="@5C\QPendientes@">
          <a:extLst>
            <a:ext uri="{FF2B5EF4-FFF2-40B4-BE49-F238E27FC236}">
              <a16:creationId xmlns:a16="http://schemas.microsoft.com/office/drawing/2014/main" id="{D532B02A-4B3F-485B-AEF5-4660EDFD08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2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1645" name="Picture@5C\QPendientes@" descr="@5C\QPendientes@">
          <a:extLst>
            <a:ext uri="{FF2B5EF4-FFF2-40B4-BE49-F238E27FC236}">
              <a16:creationId xmlns:a16="http://schemas.microsoft.com/office/drawing/2014/main" id="{E78BAB3C-A104-42CD-A5E0-4A5C190B36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4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1646" name="Picture@5C\QPendientes@" descr="@5C\QPendientes@">
          <a:extLst>
            <a:ext uri="{FF2B5EF4-FFF2-40B4-BE49-F238E27FC236}">
              <a16:creationId xmlns:a16="http://schemas.microsoft.com/office/drawing/2014/main" id="{8432B703-473B-4B01-AE9F-D7B382E3A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1647" name="Picture@5C\QPendientes@" descr="@5C\QPendientes@">
          <a:extLst>
            <a:ext uri="{FF2B5EF4-FFF2-40B4-BE49-F238E27FC236}">
              <a16:creationId xmlns:a16="http://schemas.microsoft.com/office/drawing/2014/main" id="{A5747291-5357-4ED8-9984-68E3428CD0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1648" name="Picture@5C\QPendientes@" descr="@5C\QPendientes@">
          <a:extLst>
            <a:ext uri="{FF2B5EF4-FFF2-40B4-BE49-F238E27FC236}">
              <a16:creationId xmlns:a16="http://schemas.microsoft.com/office/drawing/2014/main" id="{61B7FD29-AE05-49E6-B2B8-C2EE31CB24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1649" name="Picture@5C\QPendientes@" descr="@5C\QPendientes@">
          <a:extLst>
            <a:ext uri="{FF2B5EF4-FFF2-40B4-BE49-F238E27FC236}">
              <a16:creationId xmlns:a16="http://schemas.microsoft.com/office/drawing/2014/main" id="{703C5B22-D36B-46D8-BBC3-627F68E91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1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1650" name="Picture@5C\QPendientes@" descr="@5C\QPendientes@">
          <a:extLst>
            <a:ext uri="{FF2B5EF4-FFF2-40B4-BE49-F238E27FC236}">
              <a16:creationId xmlns:a16="http://schemas.microsoft.com/office/drawing/2014/main" id="{F8EA6C95-6E82-46BC-AA74-4930DD280A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3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1651" name="Picture@5C\QPendientes@" descr="@5C\QPendientes@">
          <a:extLst>
            <a:ext uri="{FF2B5EF4-FFF2-40B4-BE49-F238E27FC236}">
              <a16:creationId xmlns:a16="http://schemas.microsoft.com/office/drawing/2014/main" id="{B2FCC899-9D05-4CDD-B6E5-F83A5C011B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1652" name="Picture@5C\QPendientes@" descr="@5C\QPendientes@">
          <a:extLst>
            <a:ext uri="{FF2B5EF4-FFF2-40B4-BE49-F238E27FC236}">
              <a16:creationId xmlns:a16="http://schemas.microsoft.com/office/drawing/2014/main" id="{4921224E-BB5F-429D-8B9F-F646592FE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1653" name="Picture@5C\QPendientes@" descr="@5C\QPendientes@">
          <a:extLst>
            <a:ext uri="{FF2B5EF4-FFF2-40B4-BE49-F238E27FC236}">
              <a16:creationId xmlns:a16="http://schemas.microsoft.com/office/drawing/2014/main" id="{80FE19F3-86DD-431C-B596-781D8E9088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1654" name="Picture@5C\QPendientes@" descr="@5C\QPendientes@">
          <a:extLst>
            <a:ext uri="{FF2B5EF4-FFF2-40B4-BE49-F238E27FC236}">
              <a16:creationId xmlns:a16="http://schemas.microsoft.com/office/drawing/2014/main" id="{7516A0F9-0AE7-434E-BF9F-F3D05D1E6E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1655" name="Picture@5C\QPendientes@" descr="@5C\QPendientes@">
          <a:extLst>
            <a:ext uri="{FF2B5EF4-FFF2-40B4-BE49-F238E27FC236}">
              <a16:creationId xmlns:a16="http://schemas.microsoft.com/office/drawing/2014/main" id="{8EE0030A-3E4E-415B-94AE-7C9BBA86B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1656" name="Picture@5C\QPendientes@" descr="@5C\QPendientes@">
          <a:extLst>
            <a:ext uri="{FF2B5EF4-FFF2-40B4-BE49-F238E27FC236}">
              <a16:creationId xmlns:a16="http://schemas.microsoft.com/office/drawing/2014/main" id="{7D708CB3-A4D5-419C-9271-1B02388163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1657" name="Picture@5C\QPendientes@" descr="@5C\QPendientes@">
          <a:extLst>
            <a:ext uri="{FF2B5EF4-FFF2-40B4-BE49-F238E27FC236}">
              <a16:creationId xmlns:a16="http://schemas.microsoft.com/office/drawing/2014/main" id="{E4E0E904-5248-4DDC-9591-A3908B5EAC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1658" name="Picture@5C\QPendientes@" descr="@5C\QPendientes@">
          <a:extLst>
            <a:ext uri="{FF2B5EF4-FFF2-40B4-BE49-F238E27FC236}">
              <a16:creationId xmlns:a16="http://schemas.microsoft.com/office/drawing/2014/main" id="{36F4D6F8-0985-4D6A-BE07-4AAD6E9975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1659" name="Picture@5C\QPendientes@" descr="@5C\QPendientes@">
          <a:extLst>
            <a:ext uri="{FF2B5EF4-FFF2-40B4-BE49-F238E27FC236}">
              <a16:creationId xmlns:a16="http://schemas.microsoft.com/office/drawing/2014/main" id="{0200C760-1A01-4B31-9E72-5932DC3B95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1660" name="Picture@5C\QPendientes@" descr="@5C\QPendientes@">
          <a:extLst>
            <a:ext uri="{FF2B5EF4-FFF2-40B4-BE49-F238E27FC236}">
              <a16:creationId xmlns:a16="http://schemas.microsoft.com/office/drawing/2014/main" id="{04F1E76F-FB83-4D91-972C-35B959F61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1661" name="Picture@5C\QPendientes@" descr="@5C\QPendientes@">
          <a:extLst>
            <a:ext uri="{FF2B5EF4-FFF2-40B4-BE49-F238E27FC236}">
              <a16:creationId xmlns:a16="http://schemas.microsoft.com/office/drawing/2014/main" id="{A8F7849E-7B42-4E93-8592-8BDACED341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1662" name="Picture@5C\QPendientes@" descr="@5C\QPendientes@">
          <a:extLst>
            <a:ext uri="{FF2B5EF4-FFF2-40B4-BE49-F238E27FC236}">
              <a16:creationId xmlns:a16="http://schemas.microsoft.com/office/drawing/2014/main" id="{D6035646-CCA0-4617-B6A3-B52E8C9B0B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1663" name="Picture@5C\QPendientes@" descr="@5C\QPendientes@">
          <a:extLst>
            <a:ext uri="{FF2B5EF4-FFF2-40B4-BE49-F238E27FC236}">
              <a16:creationId xmlns:a16="http://schemas.microsoft.com/office/drawing/2014/main" id="{57C30351-497E-4439-9DE1-8B88CEBDE5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1664" name="Picture@5C\QPendientes@" descr="@5C\QPendientes@">
          <a:extLst>
            <a:ext uri="{FF2B5EF4-FFF2-40B4-BE49-F238E27FC236}">
              <a16:creationId xmlns:a16="http://schemas.microsoft.com/office/drawing/2014/main" id="{8FD7BBE3-CB99-4EDF-8E19-94EE27C50B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1665" name="Picture@5C\QPendientes@" descr="@5C\QPendientes@">
          <a:extLst>
            <a:ext uri="{FF2B5EF4-FFF2-40B4-BE49-F238E27FC236}">
              <a16:creationId xmlns:a16="http://schemas.microsoft.com/office/drawing/2014/main" id="{141783C4-4291-4474-A9DA-E1C0217A1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1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1666" name="Picture@5C\QPendientes@" descr="@5C\QPendientes@">
          <a:extLst>
            <a:ext uri="{FF2B5EF4-FFF2-40B4-BE49-F238E27FC236}">
              <a16:creationId xmlns:a16="http://schemas.microsoft.com/office/drawing/2014/main" id="{88030D93-9A2D-4ED7-A3FB-F4EC4B5CA5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1667" name="Picture@5C\QPendientes@" descr="@5C\QPendientes@">
          <a:extLst>
            <a:ext uri="{FF2B5EF4-FFF2-40B4-BE49-F238E27FC236}">
              <a16:creationId xmlns:a16="http://schemas.microsoft.com/office/drawing/2014/main" id="{29DF29A5-52EB-409D-BA13-DB723B70A3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1668" name="Picture@5C\QPendientes@" descr="@5C\QPendientes@">
          <a:extLst>
            <a:ext uri="{FF2B5EF4-FFF2-40B4-BE49-F238E27FC236}">
              <a16:creationId xmlns:a16="http://schemas.microsoft.com/office/drawing/2014/main" id="{8428E98D-7E58-4A5D-ADA8-F215F2889C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1669" name="Picture@5C\QPendientes@" descr="@5C\QPendientes@">
          <a:extLst>
            <a:ext uri="{FF2B5EF4-FFF2-40B4-BE49-F238E27FC236}">
              <a16:creationId xmlns:a16="http://schemas.microsoft.com/office/drawing/2014/main" id="{E5BE9D76-9178-4E0B-A16C-8FE721CA4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1670" name="Picture@5C\QPendientes@" descr="@5C\QPendientes@">
          <a:extLst>
            <a:ext uri="{FF2B5EF4-FFF2-40B4-BE49-F238E27FC236}">
              <a16:creationId xmlns:a16="http://schemas.microsoft.com/office/drawing/2014/main" id="{EAB848B2-C03F-4D18-A311-FD2A9022D0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1671" name="Picture@5C\QPendientes@" descr="@5C\QPendientes@">
          <a:extLst>
            <a:ext uri="{FF2B5EF4-FFF2-40B4-BE49-F238E27FC236}">
              <a16:creationId xmlns:a16="http://schemas.microsoft.com/office/drawing/2014/main" id="{5F67C1FA-CAF5-43D3-B6B5-E1B2AF747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1672" name="Picture@5C\QPendientes@" descr="@5C\QPendientes@">
          <a:extLst>
            <a:ext uri="{FF2B5EF4-FFF2-40B4-BE49-F238E27FC236}">
              <a16:creationId xmlns:a16="http://schemas.microsoft.com/office/drawing/2014/main" id="{0C4E0C99-FCE2-4955-9287-AC2559483F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3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1673" name="Picture@5C\QPendientes@" descr="@5C\QPendientes@">
          <a:extLst>
            <a:ext uri="{FF2B5EF4-FFF2-40B4-BE49-F238E27FC236}">
              <a16:creationId xmlns:a16="http://schemas.microsoft.com/office/drawing/2014/main" id="{CDB0B3CE-2594-4D39-ADBF-4985C27730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5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1674" name="Picture@5C\QPendientes@" descr="@5C\QPendientes@">
          <a:extLst>
            <a:ext uri="{FF2B5EF4-FFF2-40B4-BE49-F238E27FC236}">
              <a16:creationId xmlns:a16="http://schemas.microsoft.com/office/drawing/2014/main" id="{C68CEC25-7E26-4DAC-9973-A0CE6A0C90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1675" name="Picture@5C\QPendientes@" descr="@5C\QPendientes@">
          <a:extLst>
            <a:ext uri="{FF2B5EF4-FFF2-40B4-BE49-F238E27FC236}">
              <a16:creationId xmlns:a16="http://schemas.microsoft.com/office/drawing/2014/main" id="{CF424E97-7F25-4647-B3B4-37D5F6421A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1676" name="Picture@5C\QPendientes@" descr="@5C\QPendientes@">
          <a:extLst>
            <a:ext uri="{FF2B5EF4-FFF2-40B4-BE49-F238E27FC236}">
              <a16:creationId xmlns:a16="http://schemas.microsoft.com/office/drawing/2014/main" id="{1DFA0120-169C-47C1-BD53-05C6528E7B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1677" name="Picture@5C\QPendientes@" descr="@5C\QPendientes@">
          <a:extLst>
            <a:ext uri="{FF2B5EF4-FFF2-40B4-BE49-F238E27FC236}">
              <a16:creationId xmlns:a16="http://schemas.microsoft.com/office/drawing/2014/main" id="{694BF872-50AD-42CA-9D5D-9EAE55FB88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1678" name="Picture@5C\QPendientes@" descr="@5C\QPendientes@">
          <a:extLst>
            <a:ext uri="{FF2B5EF4-FFF2-40B4-BE49-F238E27FC236}">
              <a16:creationId xmlns:a16="http://schemas.microsoft.com/office/drawing/2014/main" id="{1FC12AF7-FA3C-4CD8-BCB3-1CFB30FE88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1679" name="Picture@5C\QPendientes@" descr="@5C\QPendientes@">
          <a:extLst>
            <a:ext uri="{FF2B5EF4-FFF2-40B4-BE49-F238E27FC236}">
              <a16:creationId xmlns:a16="http://schemas.microsoft.com/office/drawing/2014/main" id="{CC50F408-A4F3-4201-BAED-4AEF76D3A2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1680" name="Picture@5C\QPendientes@" descr="@5C\QPendientes@">
          <a:extLst>
            <a:ext uri="{FF2B5EF4-FFF2-40B4-BE49-F238E27FC236}">
              <a16:creationId xmlns:a16="http://schemas.microsoft.com/office/drawing/2014/main" id="{8D6B9FCC-3C45-4D52-ADA3-E195AD9340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8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1681" name="Picture@5C\QPendientes@" descr="@5C\QPendientes@">
          <a:extLst>
            <a:ext uri="{FF2B5EF4-FFF2-40B4-BE49-F238E27FC236}">
              <a16:creationId xmlns:a16="http://schemas.microsoft.com/office/drawing/2014/main" id="{7D779D03-D418-4893-894E-EEDE396ABE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1682" name="Picture@5C\QPendientes@" descr="@5C\QPendientes@">
          <a:extLst>
            <a:ext uri="{FF2B5EF4-FFF2-40B4-BE49-F238E27FC236}">
              <a16:creationId xmlns:a16="http://schemas.microsoft.com/office/drawing/2014/main" id="{6ADADB8E-C69C-4ABD-928B-E4E5A7D75F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2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1683" name="Picture@5C\QPendientes@" descr="@5C\QPendientes@">
          <a:extLst>
            <a:ext uri="{FF2B5EF4-FFF2-40B4-BE49-F238E27FC236}">
              <a16:creationId xmlns:a16="http://schemas.microsoft.com/office/drawing/2014/main" id="{F752DA0A-2758-4BA3-A33C-E4C7812031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1684" name="Picture@5C\QPendientes@" descr="@5C\QPendientes@">
          <a:extLst>
            <a:ext uri="{FF2B5EF4-FFF2-40B4-BE49-F238E27FC236}">
              <a16:creationId xmlns:a16="http://schemas.microsoft.com/office/drawing/2014/main" id="{646B323A-FEC2-45BB-BE18-5E6D6BABC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5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1685" name="Picture@5C\QPendientes@" descr="@5C\QPendientes@">
          <a:extLst>
            <a:ext uri="{FF2B5EF4-FFF2-40B4-BE49-F238E27FC236}">
              <a16:creationId xmlns:a16="http://schemas.microsoft.com/office/drawing/2014/main" id="{F5B4D011-EE35-497D-BBA7-3B20AA843D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7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1686" name="Picture@5C\QPendientes@" descr="@5C\QPendientes@">
          <a:extLst>
            <a:ext uri="{FF2B5EF4-FFF2-40B4-BE49-F238E27FC236}">
              <a16:creationId xmlns:a16="http://schemas.microsoft.com/office/drawing/2014/main" id="{A5CD9A49-BDCF-4EC9-8954-71861F1D0C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9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1687" name="Picture@5C\QPendientes@" descr="@5C\QPendientes@">
          <a:extLst>
            <a:ext uri="{FF2B5EF4-FFF2-40B4-BE49-F238E27FC236}">
              <a16:creationId xmlns:a16="http://schemas.microsoft.com/office/drawing/2014/main" id="{D4970BD7-7CB6-4FEC-8C72-D13782A98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1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1688" name="Picture@5C\QPendientes@" descr="@5C\QPendientes@">
          <a:extLst>
            <a:ext uri="{FF2B5EF4-FFF2-40B4-BE49-F238E27FC236}">
              <a16:creationId xmlns:a16="http://schemas.microsoft.com/office/drawing/2014/main" id="{D1E21779-DED7-4AC7-92BE-6FF83E710E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3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1689" name="Picture@5C\QPendientes@" descr="@5C\QPendientes@">
          <a:extLst>
            <a:ext uri="{FF2B5EF4-FFF2-40B4-BE49-F238E27FC236}">
              <a16:creationId xmlns:a16="http://schemas.microsoft.com/office/drawing/2014/main" id="{71754F49-4099-4CA9-98A3-B1EF15919C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1690" name="Picture@5C\QPendientes@" descr="@5C\QPendientes@">
          <a:extLst>
            <a:ext uri="{FF2B5EF4-FFF2-40B4-BE49-F238E27FC236}">
              <a16:creationId xmlns:a16="http://schemas.microsoft.com/office/drawing/2014/main" id="{B8B34EBB-10E2-4CEC-9565-292E817ACC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1691" name="Picture@5C\QPendientes@" descr="@5C\QPendientes@">
          <a:extLst>
            <a:ext uri="{FF2B5EF4-FFF2-40B4-BE49-F238E27FC236}">
              <a16:creationId xmlns:a16="http://schemas.microsoft.com/office/drawing/2014/main" id="{688432E6-7F8B-498D-913C-41C44F2078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1692" name="Picture@5C\QPendientes@" descr="@5C\QPendientes@">
          <a:extLst>
            <a:ext uri="{FF2B5EF4-FFF2-40B4-BE49-F238E27FC236}">
              <a16:creationId xmlns:a16="http://schemas.microsoft.com/office/drawing/2014/main" id="{9169210B-F25F-475C-BB25-E8920F1F35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0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1693" name="Picture@5C\QPendientes@" descr="@5C\QPendientes@">
          <a:extLst>
            <a:ext uri="{FF2B5EF4-FFF2-40B4-BE49-F238E27FC236}">
              <a16:creationId xmlns:a16="http://schemas.microsoft.com/office/drawing/2014/main" id="{3FCF2D89-2683-4C91-8CA5-5891D9B9F1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2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1694" name="Picture@5C\QPendientes@" descr="@5C\QPendientes@">
          <a:extLst>
            <a:ext uri="{FF2B5EF4-FFF2-40B4-BE49-F238E27FC236}">
              <a16:creationId xmlns:a16="http://schemas.microsoft.com/office/drawing/2014/main" id="{B43F157A-DAF0-4395-86F1-ABBF2A1887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4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1695" name="Picture@5C\QPendientes@" descr="@5C\QPendientes@">
          <a:extLst>
            <a:ext uri="{FF2B5EF4-FFF2-40B4-BE49-F238E27FC236}">
              <a16:creationId xmlns:a16="http://schemas.microsoft.com/office/drawing/2014/main" id="{68645900-551C-4216-A8C3-9E657B9C23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1696" name="Picture@5C\QPendientes@" descr="@5C\QPendientes@">
          <a:extLst>
            <a:ext uri="{FF2B5EF4-FFF2-40B4-BE49-F238E27FC236}">
              <a16:creationId xmlns:a16="http://schemas.microsoft.com/office/drawing/2014/main" id="{AD81C309-135F-4487-B96A-46B85A8621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7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1697" name="Picture@5C\QPendientes@" descr="@5C\QPendientes@">
          <a:extLst>
            <a:ext uri="{FF2B5EF4-FFF2-40B4-BE49-F238E27FC236}">
              <a16:creationId xmlns:a16="http://schemas.microsoft.com/office/drawing/2014/main" id="{A5AD746C-8308-4D4E-8818-6DD81BDC83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9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1698" name="Picture@5C\QPendientes@" descr="@5C\QPendientes@">
          <a:extLst>
            <a:ext uri="{FF2B5EF4-FFF2-40B4-BE49-F238E27FC236}">
              <a16:creationId xmlns:a16="http://schemas.microsoft.com/office/drawing/2014/main" id="{639622C5-2791-480F-AB5D-AAA625A3A9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1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1699" name="Picture@5C\QPendientes@" descr="@5C\QPendientes@">
          <a:extLst>
            <a:ext uri="{FF2B5EF4-FFF2-40B4-BE49-F238E27FC236}">
              <a16:creationId xmlns:a16="http://schemas.microsoft.com/office/drawing/2014/main" id="{87A8466A-FA34-404A-A65B-BE59D83EFB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3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1700" name="Picture@5C\QPendientes@" descr="@5C\QPendientes@">
          <a:extLst>
            <a:ext uri="{FF2B5EF4-FFF2-40B4-BE49-F238E27FC236}">
              <a16:creationId xmlns:a16="http://schemas.microsoft.com/office/drawing/2014/main" id="{9A7A15A8-D7E8-45EA-B096-3AA7653D53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5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1701" name="Picture@5C\QPendientes@" descr="@5C\QPendientes@">
          <a:extLst>
            <a:ext uri="{FF2B5EF4-FFF2-40B4-BE49-F238E27FC236}">
              <a16:creationId xmlns:a16="http://schemas.microsoft.com/office/drawing/2014/main" id="{9867EB0E-1411-41C5-B065-7EC3BA67C4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1702" name="Picture@5C\QPendientes@" descr="@5C\QPendientes@">
          <a:extLst>
            <a:ext uri="{FF2B5EF4-FFF2-40B4-BE49-F238E27FC236}">
              <a16:creationId xmlns:a16="http://schemas.microsoft.com/office/drawing/2014/main" id="{397F9608-73E8-4959-A227-DC15A8F3C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8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1703" name="Picture@5C\QPendientes@" descr="@5C\QPendientes@">
          <a:extLst>
            <a:ext uri="{FF2B5EF4-FFF2-40B4-BE49-F238E27FC236}">
              <a16:creationId xmlns:a16="http://schemas.microsoft.com/office/drawing/2014/main" id="{67F5302D-B487-4E86-AB32-AFFB317D93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0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1704" name="Picture@5C\QPendientes@" descr="@5C\QPendientes@">
          <a:extLst>
            <a:ext uri="{FF2B5EF4-FFF2-40B4-BE49-F238E27FC236}">
              <a16:creationId xmlns:a16="http://schemas.microsoft.com/office/drawing/2014/main" id="{AC3AB368-0EF4-405A-8C1D-DB5CF7D3D0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2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1705" name="Picture@5C\QPendientes@" descr="@5C\QPendientes@">
          <a:extLst>
            <a:ext uri="{FF2B5EF4-FFF2-40B4-BE49-F238E27FC236}">
              <a16:creationId xmlns:a16="http://schemas.microsoft.com/office/drawing/2014/main" id="{D9A912AC-E227-4879-B7D9-1710505412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4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1706" name="Picture@5C\QPendientes@" descr="@5C\QPendientes@">
          <a:extLst>
            <a:ext uri="{FF2B5EF4-FFF2-40B4-BE49-F238E27FC236}">
              <a16:creationId xmlns:a16="http://schemas.microsoft.com/office/drawing/2014/main" id="{D01E64BF-22AE-4983-9775-6158074FEB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6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1707" name="Picture@5C\QPendientes@" descr="@5C\QPendientes@">
          <a:extLst>
            <a:ext uri="{FF2B5EF4-FFF2-40B4-BE49-F238E27FC236}">
              <a16:creationId xmlns:a16="http://schemas.microsoft.com/office/drawing/2014/main" id="{069711E0-B531-4294-947B-33DC93AB04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7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1708" name="Picture@5C\QPendientes@" descr="@5C\QPendientes@">
          <a:extLst>
            <a:ext uri="{FF2B5EF4-FFF2-40B4-BE49-F238E27FC236}">
              <a16:creationId xmlns:a16="http://schemas.microsoft.com/office/drawing/2014/main" id="{7E57E955-715A-4821-A486-397DCD8BBE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9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1709" name="Picture@5C\QPendientes@" descr="@5C\QPendientes@">
          <a:extLst>
            <a:ext uri="{FF2B5EF4-FFF2-40B4-BE49-F238E27FC236}">
              <a16:creationId xmlns:a16="http://schemas.microsoft.com/office/drawing/2014/main" id="{EE2B5000-0EF7-4ADB-A5A5-1B210BFCDF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1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1710" name="Picture@5C\QPendientes@" descr="@5C\QPendientes@">
          <a:extLst>
            <a:ext uri="{FF2B5EF4-FFF2-40B4-BE49-F238E27FC236}">
              <a16:creationId xmlns:a16="http://schemas.microsoft.com/office/drawing/2014/main" id="{A629BDBA-6924-4AFE-A468-A284E2169A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3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1711" name="Picture@5C\QPendientes@" descr="@5C\QPendientes@">
          <a:extLst>
            <a:ext uri="{FF2B5EF4-FFF2-40B4-BE49-F238E27FC236}">
              <a16:creationId xmlns:a16="http://schemas.microsoft.com/office/drawing/2014/main" id="{5175459D-5168-4870-B8EA-D965A81B7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1712" name="Picture@5C\QPendientes@" descr="@5C\QPendientes@">
          <a:extLst>
            <a:ext uri="{FF2B5EF4-FFF2-40B4-BE49-F238E27FC236}">
              <a16:creationId xmlns:a16="http://schemas.microsoft.com/office/drawing/2014/main" id="{8EC23CAB-CFFB-49E9-BEE2-76E5B59C4D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7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1713" name="Picture@5C\QPendientes@" descr="@5C\QPendientes@">
          <a:extLst>
            <a:ext uri="{FF2B5EF4-FFF2-40B4-BE49-F238E27FC236}">
              <a16:creationId xmlns:a16="http://schemas.microsoft.com/office/drawing/2014/main" id="{FD10AC20-C25A-4EB4-97D4-118C44F69F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8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1714" name="Picture@5C\QPendientes@" descr="@5C\QPendientes@">
          <a:extLst>
            <a:ext uri="{FF2B5EF4-FFF2-40B4-BE49-F238E27FC236}">
              <a16:creationId xmlns:a16="http://schemas.microsoft.com/office/drawing/2014/main" id="{7148CE4A-334A-441C-ABB6-33EF902A0A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0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1715" name="Picture@5C\QPendientes@" descr="@5C\QPendientes@">
          <a:extLst>
            <a:ext uri="{FF2B5EF4-FFF2-40B4-BE49-F238E27FC236}">
              <a16:creationId xmlns:a16="http://schemas.microsoft.com/office/drawing/2014/main" id="{DCE79D1B-6798-47FE-A5D0-F9927B122B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2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1716" name="Picture@5C\QPendientes@" descr="@5C\QPendientes@">
          <a:extLst>
            <a:ext uri="{FF2B5EF4-FFF2-40B4-BE49-F238E27FC236}">
              <a16:creationId xmlns:a16="http://schemas.microsoft.com/office/drawing/2014/main" id="{4351EBD9-E1A8-47F7-B751-29E84C3096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4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1717" name="Picture@5C\QPendientes@" descr="@5C\QPendientes@">
          <a:extLst>
            <a:ext uri="{FF2B5EF4-FFF2-40B4-BE49-F238E27FC236}">
              <a16:creationId xmlns:a16="http://schemas.microsoft.com/office/drawing/2014/main" id="{5AB44C75-ABF4-4110-A4A0-97F62B28C0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6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1718" name="Picture@5C\QPendientes@" descr="@5C\QPendientes@">
          <a:extLst>
            <a:ext uri="{FF2B5EF4-FFF2-40B4-BE49-F238E27FC236}">
              <a16:creationId xmlns:a16="http://schemas.microsoft.com/office/drawing/2014/main" id="{EEDBB1FD-2A64-4B9A-87D1-A1E72F8364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8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1719" name="Picture@5C\QPendientes@" descr="@5C\QPendientes@">
          <a:extLst>
            <a:ext uri="{FF2B5EF4-FFF2-40B4-BE49-F238E27FC236}">
              <a16:creationId xmlns:a16="http://schemas.microsoft.com/office/drawing/2014/main" id="{F2444FC6-E54C-4124-A0A6-930A5C9A33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9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1720" name="Picture@5C\QPendientes@" descr="@5C\QPendientes@">
          <a:extLst>
            <a:ext uri="{FF2B5EF4-FFF2-40B4-BE49-F238E27FC236}">
              <a16:creationId xmlns:a16="http://schemas.microsoft.com/office/drawing/2014/main" id="{8079398A-338F-4D75-ADA3-83B9B6D052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1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1721" name="Picture@5C\QPendientes@" descr="@5C\QPendientes@">
          <a:extLst>
            <a:ext uri="{FF2B5EF4-FFF2-40B4-BE49-F238E27FC236}">
              <a16:creationId xmlns:a16="http://schemas.microsoft.com/office/drawing/2014/main" id="{6ACD0EF0-CE1E-49B9-A4C2-66F0D5BFD8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1722" name="Picture@5C\QPendientes@" descr="@5C\QPendientes@">
          <a:extLst>
            <a:ext uri="{FF2B5EF4-FFF2-40B4-BE49-F238E27FC236}">
              <a16:creationId xmlns:a16="http://schemas.microsoft.com/office/drawing/2014/main" id="{F1A0EF7B-3137-4717-9351-83A63C2EF4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5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1723" name="Picture@5C\QPendientes@" descr="@5C\QPendientes@">
          <a:extLst>
            <a:ext uri="{FF2B5EF4-FFF2-40B4-BE49-F238E27FC236}">
              <a16:creationId xmlns:a16="http://schemas.microsoft.com/office/drawing/2014/main" id="{681EB809-8BC0-4ADA-A78D-0B98AFCF94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7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1724" name="Picture@5C\QPendientes@" descr="@5C\QPendientes@">
          <a:extLst>
            <a:ext uri="{FF2B5EF4-FFF2-40B4-BE49-F238E27FC236}">
              <a16:creationId xmlns:a16="http://schemas.microsoft.com/office/drawing/2014/main" id="{66801491-AA36-4181-866D-ED34FAB575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8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1725" name="Picture@5C\QPendientes@" descr="@5C\QPendientes@">
          <a:extLst>
            <a:ext uri="{FF2B5EF4-FFF2-40B4-BE49-F238E27FC236}">
              <a16:creationId xmlns:a16="http://schemas.microsoft.com/office/drawing/2014/main" id="{F8AA524F-B05B-4C2D-A0EE-74C41F69D2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0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1726" name="Picture@5C\QPendientes@" descr="@5C\QPendientes@">
          <a:extLst>
            <a:ext uri="{FF2B5EF4-FFF2-40B4-BE49-F238E27FC236}">
              <a16:creationId xmlns:a16="http://schemas.microsoft.com/office/drawing/2014/main" id="{AD7D43A5-9687-4AA6-9C8C-9B6ADDDF9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2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1727" name="Picture@5C\QPendientes@" descr="@5C\QPendientes@">
          <a:extLst>
            <a:ext uri="{FF2B5EF4-FFF2-40B4-BE49-F238E27FC236}">
              <a16:creationId xmlns:a16="http://schemas.microsoft.com/office/drawing/2014/main" id="{6E090AEE-62CD-486A-AA2B-39820149FA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4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1728" name="Picture@5C\QPendientes@" descr="@5C\QPendientes@">
          <a:extLst>
            <a:ext uri="{FF2B5EF4-FFF2-40B4-BE49-F238E27FC236}">
              <a16:creationId xmlns:a16="http://schemas.microsoft.com/office/drawing/2014/main" id="{A22D58AA-3B67-4BB3-BF23-D8A2FB22B7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6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1729" name="Picture@5C\QPendientes@" descr="@5C\QPendientes@">
          <a:extLst>
            <a:ext uri="{FF2B5EF4-FFF2-40B4-BE49-F238E27FC236}">
              <a16:creationId xmlns:a16="http://schemas.microsoft.com/office/drawing/2014/main" id="{AF59EE9D-CAEB-4203-B350-EED40DA7C2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8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1730" name="Picture@5C\QPendientes@" descr="@5C\QPendientes@">
          <a:extLst>
            <a:ext uri="{FF2B5EF4-FFF2-40B4-BE49-F238E27FC236}">
              <a16:creationId xmlns:a16="http://schemas.microsoft.com/office/drawing/2014/main" id="{484024C5-9D43-432B-B53C-CC3A455628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9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1731" name="Picture@5C\QPendientes@" descr="@5C\QPendientes@">
          <a:extLst>
            <a:ext uri="{FF2B5EF4-FFF2-40B4-BE49-F238E27FC236}">
              <a16:creationId xmlns:a16="http://schemas.microsoft.com/office/drawing/2014/main" id="{4485E440-C205-4B28-A70B-8DCDB135DA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1732" name="Picture@5C\QPendientes@" descr="@5C\QPendientes@">
          <a:extLst>
            <a:ext uri="{FF2B5EF4-FFF2-40B4-BE49-F238E27FC236}">
              <a16:creationId xmlns:a16="http://schemas.microsoft.com/office/drawing/2014/main" id="{852A99DE-6FE1-460D-B5BD-5BD208F6F4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3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1733" name="Picture@5C\QPendientes@" descr="@5C\QPendientes@">
          <a:extLst>
            <a:ext uri="{FF2B5EF4-FFF2-40B4-BE49-F238E27FC236}">
              <a16:creationId xmlns:a16="http://schemas.microsoft.com/office/drawing/2014/main" id="{CA8D8EEF-A947-4827-AE76-E719D1078B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5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1734" name="Picture@5C\QPendientes@" descr="@5C\QPendientes@">
          <a:extLst>
            <a:ext uri="{FF2B5EF4-FFF2-40B4-BE49-F238E27FC236}">
              <a16:creationId xmlns:a16="http://schemas.microsoft.com/office/drawing/2014/main" id="{A88D30FB-9EFC-4F42-A118-819350E64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7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1735" name="Picture@5C\QPendientes@" descr="@5C\QPendientes@">
          <a:extLst>
            <a:ext uri="{FF2B5EF4-FFF2-40B4-BE49-F238E27FC236}">
              <a16:creationId xmlns:a16="http://schemas.microsoft.com/office/drawing/2014/main" id="{3B7D0E28-9EF7-4ED4-BF7A-B469EBB93D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9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1736" name="Picture@5C\QPendientes@" descr="@5C\QPendientes@">
          <a:extLst>
            <a:ext uri="{FF2B5EF4-FFF2-40B4-BE49-F238E27FC236}">
              <a16:creationId xmlns:a16="http://schemas.microsoft.com/office/drawing/2014/main" id="{71307AB7-EF97-47FF-817C-782439DD8F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0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1737" name="Picture@5C\QPendientes@" descr="@5C\QPendientes@">
          <a:extLst>
            <a:ext uri="{FF2B5EF4-FFF2-40B4-BE49-F238E27FC236}">
              <a16:creationId xmlns:a16="http://schemas.microsoft.com/office/drawing/2014/main" id="{53B66ABC-2981-412F-ADFC-70E1522D14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2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1738" name="Picture@5C\QPendientes@" descr="@5C\QPendientes@">
          <a:extLst>
            <a:ext uri="{FF2B5EF4-FFF2-40B4-BE49-F238E27FC236}">
              <a16:creationId xmlns:a16="http://schemas.microsoft.com/office/drawing/2014/main" id="{8E5CD0D6-23FE-4260-B1A4-28AE17531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4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1739" name="Picture@5C\QPendientes@" descr="@5C\QPendientes@">
          <a:extLst>
            <a:ext uri="{FF2B5EF4-FFF2-40B4-BE49-F238E27FC236}">
              <a16:creationId xmlns:a16="http://schemas.microsoft.com/office/drawing/2014/main" id="{78F007B7-38E6-433A-B2E4-FB87DB3CB9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6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1740" name="Picture@5C\QPendientes@" descr="@5C\QPendientes@">
          <a:extLst>
            <a:ext uri="{FF2B5EF4-FFF2-40B4-BE49-F238E27FC236}">
              <a16:creationId xmlns:a16="http://schemas.microsoft.com/office/drawing/2014/main" id="{5C7315CE-A569-44ED-B5AC-F66532C092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8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1741" name="Picture@5C\QPendientes@" descr="@5C\QPendientes@">
          <a:extLst>
            <a:ext uri="{FF2B5EF4-FFF2-40B4-BE49-F238E27FC236}">
              <a16:creationId xmlns:a16="http://schemas.microsoft.com/office/drawing/2014/main" id="{0FEA00FE-4D33-41BD-A75A-F2BA94A412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1742" name="Picture@5C\QPendientes@" descr="@5C\QPendientes@">
          <a:extLst>
            <a:ext uri="{FF2B5EF4-FFF2-40B4-BE49-F238E27FC236}">
              <a16:creationId xmlns:a16="http://schemas.microsoft.com/office/drawing/2014/main" id="{607EFCF4-9033-4739-BB1D-2648C1BCA7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1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1743" name="Picture@5C\QPendientes@" descr="@5C\QPendientes@">
          <a:extLst>
            <a:ext uri="{FF2B5EF4-FFF2-40B4-BE49-F238E27FC236}">
              <a16:creationId xmlns:a16="http://schemas.microsoft.com/office/drawing/2014/main" id="{45AC07A8-2CB5-4903-B3D9-D046DF1773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3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1744" name="Picture@5C\QPendientes@" descr="@5C\QPendientes@">
          <a:extLst>
            <a:ext uri="{FF2B5EF4-FFF2-40B4-BE49-F238E27FC236}">
              <a16:creationId xmlns:a16="http://schemas.microsoft.com/office/drawing/2014/main" id="{465647EC-AA22-4BAB-BC37-FCA3EF4261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5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1745" name="Picture@5C\QPendientes@" descr="@5C\QPendientes@">
          <a:extLst>
            <a:ext uri="{FF2B5EF4-FFF2-40B4-BE49-F238E27FC236}">
              <a16:creationId xmlns:a16="http://schemas.microsoft.com/office/drawing/2014/main" id="{EA5D17EE-B19D-4BAB-92DF-09EDD2B7AA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7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1746" name="Picture@5C\QPendientes@" descr="@5C\QPendientes@">
          <a:extLst>
            <a:ext uri="{FF2B5EF4-FFF2-40B4-BE49-F238E27FC236}">
              <a16:creationId xmlns:a16="http://schemas.microsoft.com/office/drawing/2014/main" id="{5C1D82C7-8599-4B09-A92E-A6533414CC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9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1747" name="Picture@5C\QPendientes@" descr="@5C\QPendientes@">
          <a:extLst>
            <a:ext uri="{FF2B5EF4-FFF2-40B4-BE49-F238E27FC236}">
              <a16:creationId xmlns:a16="http://schemas.microsoft.com/office/drawing/2014/main" id="{8DE18CC3-332E-4CAE-A461-25E808AA13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1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1748" name="Picture@5C\QPendientes@" descr="@5C\QPendientes@">
          <a:extLst>
            <a:ext uri="{FF2B5EF4-FFF2-40B4-BE49-F238E27FC236}">
              <a16:creationId xmlns:a16="http://schemas.microsoft.com/office/drawing/2014/main" id="{FF774139-728B-4755-A566-299F4C424D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2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1749" name="Picture@5C\QPendientes@" descr="@5C\QPendientes@">
          <a:extLst>
            <a:ext uri="{FF2B5EF4-FFF2-40B4-BE49-F238E27FC236}">
              <a16:creationId xmlns:a16="http://schemas.microsoft.com/office/drawing/2014/main" id="{A97E380D-39C6-4897-808B-451DC0D7D3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4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1750" name="Picture@5C\QPendientes@" descr="@5C\QPendientes@">
          <a:extLst>
            <a:ext uri="{FF2B5EF4-FFF2-40B4-BE49-F238E27FC236}">
              <a16:creationId xmlns:a16="http://schemas.microsoft.com/office/drawing/2014/main" id="{6B03DFD5-1A56-43DF-9549-51B0606571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6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1751" name="Picture@5C\QPendientes@" descr="@5C\QPendientes@">
          <a:extLst>
            <a:ext uri="{FF2B5EF4-FFF2-40B4-BE49-F238E27FC236}">
              <a16:creationId xmlns:a16="http://schemas.microsoft.com/office/drawing/2014/main" id="{8B09D03C-AC3F-4DD0-8E87-14633E6E1E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1752" name="Picture@5C\QPendientes@" descr="@5C\QPendientes@">
          <a:extLst>
            <a:ext uri="{FF2B5EF4-FFF2-40B4-BE49-F238E27FC236}">
              <a16:creationId xmlns:a16="http://schemas.microsoft.com/office/drawing/2014/main" id="{7E9AF2D4-5D43-4678-82D3-F6E238BC12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0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1753" name="Picture@5C\QPendientes@" descr="@5C\QPendientes@">
          <a:extLst>
            <a:ext uri="{FF2B5EF4-FFF2-40B4-BE49-F238E27FC236}">
              <a16:creationId xmlns:a16="http://schemas.microsoft.com/office/drawing/2014/main" id="{8EEAA0F0-EBE7-4EC8-9CF6-03B9437752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2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1754" name="Picture@5C\QPendientes@" descr="@5C\QPendientes@">
          <a:extLst>
            <a:ext uri="{FF2B5EF4-FFF2-40B4-BE49-F238E27FC236}">
              <a16:creationId xmlns:a16="http://schemas.microsoft.com/office/drawing/2014/main" id="{514A9BC4-051E-445E-B419-9D023AF630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3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1755" name="Picture@5C\QPendientes@" descr="@5C\QPendientes@">
          <a:extLst>
            <a:ext uri="{FF2B5EF4-FFF2-40B4-BE49-F238E27FC236}">
              <a16:creationId xmlns:a16="http://schemas.microsoft.com/office/drawing/2014/main" id="{97447525-1BC7-4DBF-BD11-87DDB5415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5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1756" name="Picture@5C\QPendientes@" descr="@5C\QPendientes@">
          <a:extLst>
            <a:ext uri="{FF2B5EF4-FFF2-40B4-BE49-F238E27FC236}">
              <a16:creationId xmlns:a16="http://schemas.microsoft.com/office/drawing/2014/main" id="{03FFBDE7-0F7C-47B5-BF33-A49392113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7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1757" name="Picture@5C\QPendientes@" descr="@5C\QPendientes@">
          <a:extLst>
            <a:ext uri="{FF2B5EF4-FFF2-40B4-BE49-F238E27FC236}">
              <a16:creationId xmlns:a16="http://schemas.microsoft.com/office/drawing/2014/main" id="{C2FFAB47-63B8-4D2D-BC20-0B99E4C349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9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1758" name="Picture@5C\QPendientes@" descr="@5C\QPendientes@">
          <a:extLst>
            <a:ext uri="{FF2B5EF4-FFF2-40B4-BE49-F238E27FC236}">
              <a16:creationId xmlns:a16="http://schemas.microsoft.com/office/drawing/2014/main" id="{6BCE56D8-D2A6-4FB0-A2D0-637DB080AC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1759" name="Picture@5C\QPendientes@" descr="@5C\QPendientes@">
          <a:extLst>
            <a:ext uri="{FF2B5EF4-FFF2-40B4-BE49-F238E27FC236}">
              <a16:creationId xmlns:a16="http://schemas.microsoft.com/office/drawing/2014/main" id="{56A13BC4-11F3-45AE-B281-6D9A644F8E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2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1760" name="Picture@5C\QPendientes@" descr="@5C\QPendientes@">
          <a:extLst>
            <a:ext uri="{FF2B5EF4-FFF2-40B4-BE49-F238E27FC236}">
              <a16:creationId xmlns:a16="http://schemas.microsoft.com/office/drawing/2014/main" id="{A92135A9-6BEA-4555-B6C2-0D2BDCF110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4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1761" name="Picture@5C\QPendientes@" descr="@5C\QPendientes@">
          <a:extLst>
            <a:ext uri="{FF2B5EF4-FFF2-40B4-BE49-F238E27FC236}">
              <a16:creationId xmlns:a16="http://schemas.microsoft.com/office/drawing/2014/main" id="{C5158005-2439-4B66-8810-B95CEEA2D6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1762" name="Picture@5C\QPendientes@" descr="@5C\QPendientes@">
          <a:extLst>
            <a:ext uri="{FF2B5EF4-FFF2-40B4-BE49-F238E27FC236}">
              <a16:creationId xmlns:a16="http://schemas.microsoft.com/office/drawing/2014/main" id="{08395638-358A-4FE2-8109-8A745AD616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8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1763" name="Picture@5C\QPendientes@" descr="@5C\QPendientes@">
          <a:extLst>
            <a:ext uri="{FF2B5EF4-FFF2-40B4-BE49-F238E27FC236}">
              <a16:creationId xmlns:a16="http://schemas.microsoft.com/office/drawing/2014/main" id="{B6B627AB-E9ED-4130-948F-C4B208391B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0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1764" name="Picture@5C\QPendientes@" descr="@5C\QPendientes@">
          <a:extLst>
            <a:ext uri="{FF2B5EF4-FFF2-40B4-BE49-F238E27FC236}">
              <a16:creationId xmlns:a16="http://schemas.microsoft.com/office/drawing/2014/main" id="{6CA63139-0C11-446E-A952-A176AD55E6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2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1765" name="Picture@5C\QPendientes@" descr="@5C\QPendientes@">
          <a:extLst>
            <a:ext uri="{FF2B5EF4-FFF2-40B4-BE49-F238E27FC236}">
              <a16:creationId xmlns:a16="http://schemas.microsoft.com/office/drawing/2014/main" id="{973D1E42-0C40-4539-95BD-9E18FE5BDC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3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1766" name="Picture@5C\QPendientes@" descr="@5C\QPendientes@">
          <a:extLst>
            <a:ext uri="{FF2B5EF4-FFF2-40B4-BE49-F238E27FC236}">
              <a16:creationId xmlns:a16="http://schemas.microsoft.com/office/drawing/2014/main" id="{92416E0F-5A02-4C33-8372-F9082FE765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5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1767" name="Picture@5C\QPendientes@" descr="@5C\QPendientes@">
          <a:extLst>
            <a:ext uri="{FF2B5EF4-FFF2-40B4-BE49-F238E27FC236}">
              <a16:creationId xmlns:a16="http://schemas.microsoft.com/office/drawing/2014/main" id="{FDBAEF9C-C747-49DC-B63F-7299130EC4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7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1768" name="Picture@5C\QPendientes@" descr="@5C\QPendientes@">
          <a:extLst>
            <a:ext uri="{FF2B5EF4-FFF2-40B4-BE49-F238E27FC236}">
              <a16:creationId xmlns:a16="http://schemas.microsoft.com/office/drawing/2014/main" id="{86D6314E-F6B8-4D4F-BC45-59FC25028A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9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1769" name="Picture@5C\QPendientes@" descr="@5C\QPendientes@">
          <a:extLst>
            <a:ext uri="{FF2B5EF4-FFF2-40B4-BE49-F238E27FC236}">
              <a16:creationId xmlns:a16="http://schemas.microsoft.com/office/drawing/2014/main" id="{609AD2FC-F13E-4AC6-A012-B3D50E617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1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1770" name="Picture@5C\QPendientes@" descr="@5C\QPendientes@">
          <a:extLst>
            <a:ext uri="{FF2B5EF4-FFF2-40B4-BE49-F238E27FC236}">
              <a16:creationId xmlns:a16="http://schemas.microsoft.com/office/drawing/2014/main" id="{B8119396-E316-49F1-BF3A-9F443C0EA1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3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1771" name="Picture@5C\QPendientes@" descr="@5C\QPendientes@">
          <a:extLst>
            <a:ext uri="{FF2B5EF4-FFF2-40B4-BE49-F238E27FC236}">
              <a16:creationId xmlns:a16="http://schemas.microsoft.com/office/drawing/2014/main" id="{2CBFD9A4-7E87-46E1-B678-22D32E1655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1772" name="Picture@5C\QPendientes@" descr="@5C\QPendientes@">
          <a:extLst>
            <a:ext uri="{FF2B5EF4-FFF2-40B4-BE49-F238E27FC236}">
              <a16:creationId xmlns:a16="http://schemas.microsoft.com/office/drawing/2014/main" id="{01BBF747-0050-47B5-A379-3796A3DCFE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6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1773" name="Picture@5C\QPendientes@" descr="@5C\QPendientes@">
          <a:extLst>
            <a:ext uri="{FF2B5EF4-FFF2-40B4-BE49-F238E27FC236}">
              <a16:creationId xmlns:a16="http://schemas.microsoft.com/office/drawing/2014/main" id="{24ED90A9-1140-42F6-B486-73CFA8C910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8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1774" name="Picture@5C\QPendientes@" descr="@5C\QPendientes@">
          <a:extLst>
            <a:ext uri="{FF2B5EF4-FFF2-40B4-BE49-F238E27FC236}">
              <a16:creationId xmlns:a16="http://schemas.microsoft.com/office/drawing/2014/main" id="{9CE12D7D-BA70-49DD-B99B-9C59F3673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0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1775" name="Picture@5C\QPendientes@" descr="@5C\QPendientes@">
          <a:extLst>
            <a:ext uri="{FF2B5EF4-FFF2-40B4-BE49-F238E27FC236}">
              <a16:creationId xmlns:a16="http://schemas.microsoft.com/office/drawing/2014/main" id="{42D099FD-3AEC-48A7-8740-5CEFC35AD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2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1776" name="Picture@5C\QPendientes@" descr="@5C\QPendientes@">
          <a:extLst>
            <a:ext uri="{FF2B5EF4-FFF2-40B4-BE49-F238E27FC236}">
              <a16:creationId xmlns:a16="http://schemas.microsoft.com/office/drawing/2014/main" id="{7BFC5DC5-7FB2-4C2A-A4F2-98FE09542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4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1777" name="Picture@5C\QPendientes@" descr="@5C\QPendientes@">
          <a:extLst>
            <a:ext uri="{FF2B5EF4-FFF2-40B4-BE49-F238E27FC236}">
              <a16:creationId xmlns:a16="http://schemas.microsoft.com/office/drawing/2014/main" id="{48A0EEAF-65B8-4975-9C6C-57732BE943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5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1778" name="Picture@5C\QPendientes@" descr="@5C\QPendientes@">
          <a:extLst>
            <a:ext uri="{FF2B5EF4-FFF2-40B4-BE49-F238E27FC236}">
              <a16:creationId xmlns:a16="http://schemas.microsoft.com/office/drawing/2014/main" id="{E1EEDA6A-8368-4E89-8B85-4E10F54D8E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7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1779" name="Picture@5C\QPendientes@" descr="@5C\QPendientes@">
          <a:extLst>
            <a:ext uri="{FF2B5EF4-FFF2-40B4-BE49-F238E27FC236}">
              <a16:creationId xmlns:a16="http://schemas.microsoft.com/office/drawing/2014/main" id="{71F1514F-96C4-4769-A084-3A2A491BCC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9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1780" name="Picture@5C\QPendientes@" descr="@5C\QPendientes@">
          <a:extLst>
            <a:ext uri="{FF2B5EF4-FFF2-40B4-BE49-F238E27FC236}">
              <a16:creationId xmlns:a16="http://schemas.microsoft.com/office/drawing/2014/main" id="{F5408E82-E004-49CE-80C1-D1CB2048BA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1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1781" name="Picture@5C\QPendientes@" descr="@5C\QPendientes@">
          <a:extLst>
            <a:ext uri="{FF2B5EF4-FFF2-40B4-BE49-F238E27FC236}">
              <a16:creationId xmlns:a16="http://schemas.microsoft.com/office/drawing/2014/main" id="{094AC50B-7D16-445C-A379-515AEBE141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1782" name="Picture@5C\QPendientes@" descr="@5C\QPendientes@">
          <a:extLst>
            <a:ext uri="{FF2B5EF4-FFF2-40B4-BE49-F238E27FC236}">
              <a16:creationId xmlns:a16="http://schemas.microsoft.com/office/drawing/2014/main" id="{8D643DA5-B911-420F-A77C-98281EC3E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5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1783" name="Picture@5C\QPendientes@" descr="@5C\QPendientes@">
          <a:extLst>
            <a:ext uri="{FF2B5EF4-FFF2-40B4-BE49-F238E27FC236}">
              <a16:creationId xmlns:a16="http://schemas.microsoft.com/office/drawing/2014/main" id="{75A7D014-9C9F-41EC-934A-C216721E17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6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1784" name="Picture@5C\QPendientes@" descr="@5C\QPendientes@">
          <a:extLst>
            <a:ext uri="{FF2B5EF4-FFF2-40B4-BE49-F238E27FC236}">
              <a16:creationId xmlns:a16="http://schemas.microsoft.com/office/drawing/2014/main" id="{FA3A46C7-67D5-4D2A-A74C-7391E9A348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8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1785" name="Picture@5C\QPendientes@" descr="@5C\QPendientes@">
          <a:extLst>
            <a:ext uri="{FF2B5EF4-FFF2-40B4-BE49-F238E27FC236}">
              <a16:creationId xmlns:a16="http://schemas.microsoft.com/office/drawing/2014/main" id="{77FC7092-592C-4B8F-AB18-141627795F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0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1786" name="Picture@5C\QPendientes@" descr="@5C\QPendientes@">
          <a:extLst>
            <a:ext uri="{FF2B5EF4-FFF2-40B4-BE49-F238E27FC236}">
              <a16:creationId xmlns:a16="http://schemas.microsoft.com/office/drawing/2014/main" id="{CB985083-532E-464E-A40D-51A630768F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2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1787" name="Picture@5C\QPendientes@" descr="@5C\QPendientes@">
          <a:extLst>
            <a:ext uri="{FF2B5EF4-FFF2-40B4-BE49-F238E27FC236}">
              <a16:creationId xmlns:a16="http://schemas.microsoft.com/office/drawing/2014/main" id="{6997E5B6-FAB1-44BF-9C10-4D6EAD6BC5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4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1788" name="Picture@5C\QPendientes@" descr="@5C\QPendientes@">
          <a:extLst>
            <a:ext uri="{FF2B5EF4-FFF2-40B4-BE49-F238E27FC236}">
              <a16:creationId xmlns:a16="http://schemas.microsoft.com/office/drawing/2014/main" id="{212D4033-505E-4197-A589-60D28F6391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6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1789" name="Picture@5C\QPendientes@" descr="@5C\QPendientes@">
          <a:extLst>
            <a:ext uri="{FF2B5EF4-FFF2-40B4-BE49-F238E27FC236}">
              <a16:creationId xmlns:a16="http://schemas.microsoft.com/office/drawing/2014/main" id="{FF961762-4070-4D50-A363-3FB5EEAE7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7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1790" name="Picture@5C\QPendientes@" descr="@5C\QPendientes@">
          <a:extLst>
            <a:ext uri="{FF2B5EF4-FFF2-40B4-BE49-F238E27FC236}">
              <a16:creationId xmlns:a16="http://schemas.microsoft.com/office/drawing/2014/main" id="{750851EB-EBFE-4E60-9435-0BDF330A2F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9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1791" name="Picture@5C\QPendientes@" descr="@5C\QPendientes@">
          <a:extLst>
            <a:ext uri="{FF2B5EF4-FFF2-40B4-BE49-F238E27FC236}">
              <a16:creationId xmlns:a16="http://schemas.microsoft.com/office/drawing/2014/main" id="{4DCAEA2E-FE5C-4B8A-91AA-BD93A0DA28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1792" name="Picture@5C\QPendientes@" descr="@5C\QPendientes@">
          <a:extLst>
            <a:ext uri="{FF2B5EF4-FFF2-40B4-BE49-F238E27FC236}">
              <a16:creationId xmlns:a16="http://schemas.microsoft.com/office/drawing/2014/main" id="{563E06C5-0D8C-4E69-91B4-10A82193A4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3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1793" name="Picture@5C\QPendientes@" descr="@5C\QPendientes@">
          <a:extLst>
            <a:ext uri="{FF2B5EF4-FFF2-40B4-BE49-F238E27FC236}">
              <a16:creationId xmlns:a16="http://schemas.microsoft.com/office/drawing/2014/main" id="{83E5E786-752A-4B72-A7DB-DCB0DDD724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5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1794" name="Picture@5C\QPendientes@" descr="@5C\QPendientes@">
          <a:extLst>
            <a:ext uri="{FF2B5EF4-FFF2-40B4-BE49-F238E27FC236}">
              <a16:creationId xmlns:a16="http://schemas.microsoft.com/office/drawing/2014/main" id="{DF13DEA2-EDD9-4015-ABE5-5D2D160B74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7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1795" name="Picture@5C\QPendientes@" descr="@5C\QPendientes@">
          <a:extLst>
            <a:ext uri="{FF2B5EF4-FFF2-40B4-BE49-F238E27FC236}">
              <a16:creationId xmlns:a16="http://schemas.microsoft.com/office/drawing/2014/main" id="{56A5383E-0E2A-43BC-BEFA-3672116B1E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8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1796" name="Picture@5C\QPendientes@" descr="@5C\QPendientes@">
          <a:extLst>
            <a:ext uri="{FF2B5EF4-FFF2-40B4-BE49-F238E27FC236}">
              <a16:creationId xmlns:a16="http://schemas.microsoft.com/office/drawing/2014/main" id="{19253E11-53A2-4484-A25E-0D5F57CDB1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0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1797" name="Picture@5C\QPendientes@" descr="@5C\QPendientes@">
          <a:extLst>
            <a:ext uri="{FF2B5EF4-FFF2-40B4-BE49-F238E27FC236}">
              <a16:creationId xmlns:a16="http://schemas.microsoft.com/office/drawing/2014/main" id="{F7C7DEBC-27D4-4363-9A05-75B62F0739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2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1798" name="Picture@5C\QPendientes@" descr="@5C\QPendientes@">
          <a:extLst>
            <a:ext uri="{FF2B5EF4-FFF2-40B4-BE49-F238E27FC236}">
              <a16:creationId xmlns:a16="http://schemas.microsoft.com/office/drawing/2014/main" id="{630A8B9E-1E88-4BDA-83A4-738D9316DD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4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1799" name="Picture@5C\QPendientes@" descr="@5C\QPendientes@">
          <a:extLst>
            <a:ext uri="{FF2B5EF4-FFF2-40B4-BE49-F238E27FC236}">
              <a16:creationId xmlns:a16="http://schemas.microsoft.com/office/drawing/2014/main" id="{0D40C0AF-3821-450C-A7E3-3B5B96C027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6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1800" name="Picture@5C\QPendientes@" descr="@5C\QPendientes@">
          <a:extLst>
            <a:ext uri="{FF2B5EF4-FFF2-40B4-BE49-F238E27FC236}">
              <a16:creationId xmlns:a16="http://schemas.microsoft.com/office/drawing/2014/main" id="{5C508B6F-6467-4251-B6AD-6CF1108042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7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1801" name="Picture@5C\QPendientes@" descr="@5C\QPendientes@">
          <a:extLst>
            <a:ext uri="{FF2B5EF4-FFF2-40B4-BE49-F238E27FC236}">
              <a16:creationId xmlns:a16="http://schemas.microsoft.com/office/drawing/2014/main" id="{0F6BCA07-0F9A-4751-B9F3-7066A8DC86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1802" name="Picture@5C\QPendientes@" descr="@5C\QPendientes@">
          <a:extLst>
            <a:ext uri="{FF2B5EF4-FFF2-40B4-BE49-F238E27FC236}">
              <a16:creationId xmlns:a16="http://schemas.microsoft.com/office/drawing/2014/main" id="{1101C823-436E-41F1-AA10-4089BFD0BA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1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1803" name="Picture@5C\QPendientes@" descr="@5C\QPendientes@">
          <a:extLst>
            <a:ext uri="{FF2B5EF4-FFF2-40B4-BE49-F238E27FC236}">
              <a16:creationId xmlns:a16="http://schemas.microsoft.com/office/drawing/2014/main" id="{DBA993C5-BF65-4B9B-8A9F-985E379B7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3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1804" name="Picture@5C\QPendientes@" descr="@5C\QPendientes@">
          <a:extLst>
            <a:ext uri="{FF2B5EF4-FFF2-40B4-BE49-F238E27FC236}">
              <a16:creationId xmlns:a16="http://schemas.microsoft.com/office/drawing/2014/main" id="{CE7054D3-92E6-40C7-B603-61E020852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5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1805" name="Picture@5C\QPendientes@" descr="@5C\QPendientes@">
          <a:extLst>
            <a:ext uri="{FF2B5EF4-FFF2-40B4-BE49-F238E27FC236}">
              <a16:creationId xmlns:a16="http://schemas.microsoft.com/office/drawing/2014/main" id="{03B43673-404C-4187-BBCD-347EC5905C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7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1806" name="Picture@5C\QPendientes@" descr="@5C\QPendientes@">
          <a:extLst>
            <a:ext uri="{FF2B5EF4-FFF2-40B4-BE49-F238E27FC236}">
              <a16:creationId xmlns:a16="http://schemas.microsoft.com/office/drawing/2014/main" id="{540F7E18-F679-4B98-A337-AFDBBD8E9E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8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1807" name="Picture@5C\QPendientes@" descr="@5C\QPendientes@">
          <a:extLst>
            <a:ext uri="{FF2B5EF4-FFF2-40B4-BE49-F238E27FC236}">
              <a16:creationId xmlns:a16="http://schemas.microsoft.com/office/drawing/2014/main" id="{59FA65BC-0353-45D5-8140-FB68579AE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0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1808" name="Picture@5C\QPendientes@" descr="@5C\QPendientes@">
          <a:extLst>
            <a:ext uri="{FF2B5EF4-FFF2-40B4-BE49-F238E27FC236}">
              <a16:creationId xmlns:a16="http://schemas.microsoft.com/office/drawing/2014/main" id="{0C2A956A-FB19-4B93-893B-F122CCD025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2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1809" name="Picture@5C\QPendientes@" descr="@5C\QPendientes@">
          <a:extLst>
            <a:ext uri="{FF2B5EF4-FFF2-40B4-BE49-F238E27FC236}">
              <a16:creationId xmlns:a16="http://schemas.microsoft.com/office/drawing/2014/main" id="{FD24215E-2A23-4B5C-958D-D4E9F30DA6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4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1810" name="Picture@5C\QPendientes@" descr="@5C\QPendientes@">
          <a:extLst>
            <a:ext uri="{FF2B5EF4-FFF2-40B4-BE49-F238E27FC236}">
              <a16:creationId xmlns:a16="http://schemas.microsoft.com/office/drawing/2014/main" id="{3D915298-D80A-4D28-9829-EFF496B4EC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6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1811" name="Picture@5C\QPendientes@" descr="@5C\QPendientes@">
          <a:extLst>
            <a:ext uri="{FF2B5EF4-FFF2-40B4-BE49-F238E27FC236}">
              <a16:creationId xmlns:a16="http://schemas.microsoft.com/office/drawing/2014/main" id="{CB28781F-5769-42E4-8EDB-A04602FA45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1812" name="Picture@5C\QPendientes@" descr="@5C\QPendientes@">
          <a:extLst>
            <a:ext uri="{FF2B5EF4-FFF2-40B4-BE49-F238E27FC236}">
              <a16:creationId xmlns:a16="http://schemas.microsoft.com/office/drawing/2014/main" id="{7AC071E4-EDEC-403E-8F75-F0BFE10EF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9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1813" name="Picture@5C\QPendientes@" descr="@5C\QPendientes@">
          <a:extLst>
            <a:ext uri="{FF2B5EF4-FFF2-40B4-BE49-F238E27FC236}">
              <a16:creationId xmlns:a16="http://schemas.microsoft.com/office/drawing/2014/main" id="{5EDF748F-B0BD-4EA4-9CBD-5CA511AA76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1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1814" name="Picture@5C\QPendientes@" descr="@5C\QPendientes@">
          <a:extLst>
            <a:ext uri="{FF2B5EF4-FFF2-40B4-BE49-F238E27FC236}">
              <a16:creationId xmlns:a16="http://schemas.microsoft.com/office/drawing/2014/main" id="{B22C16CA-F84C-4356-B44F-DF0CA64D17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3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1815" name="Picture@5C\QPendientes@" descr="@5C\QPendientes@">
          <a:extLst>
            <a:ext uri="{FF2B5EF4-FFF2-40B4-BE49-F238E27FC236}">
              <a16:creationId xmlns:a16="http://schemas.microsoft.com/office/drawing/2014/main" id="{0C61D9FF-4356-482F-8909-3CB748716A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5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1816" name="Picture@5C\QPendientes@" descr="@5C\QPendientes@">
          <a:extLst>
            <a:ext uri="{FF2B5EF4-FFF2-40B4-BE49-F238E27FC236}">
              <a16:creationId xmlns:a16="http://schemas.microsoft.com/office/drawing/2014/main" id="{1137436C-C3FA-4333-AE52-D3CC53F8F9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7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1817" name="Picture@5C\QPendientes@" descr="@5C\QPendientes@">
          <a:extLst>
            <a:ext uri="{FF2B5EF4-FFF2-40B4-BE49-F238E27FC236}">
              <a16:creationId xmlns:a16="http://schemas.microsoft.com/office/drawing/2014/main" id="{B5FCBBB1-09B9-4DC9-BD66-0D0A28B4C2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9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1818" name="Picture@5C\QPendientes@" descr="@5C\QPendientes@">
          <a:extLst>
            <a:ext uri="{FF2B5EF4-FFF2-40B4-BE49-F238E27FC236}">
              <a16:creationId xmlns:a16="http://schemas.microsoft.com/office/drawing/2014/main" id="{C000F84F-E03C-47ED-B739-1079923DED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0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1819" name="Picture@5C\QPendientes@" descr="@5C\QPendientes@">
          <a:extLst>
            <a:ext uri="{FF2B5EF4-FFF2-40B4-BE49-F238E27FC236}">
              <a16:creationId xmlns:a16="http://schemas.microsoft.com/office/drawing/2014/main" id="{27A5B2C8-111F-4CB4-9FFC-A42E2F4371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2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1820" name="Picture@5C\QPendientes@" descr="@5C\QPendientes@">
          <a:extLst>
            <a:ext uri="{FF2B5EF4-FFF2-40B4-BE49-F238E27FC236}">
              <a16:creationId xmlns:a16="http://schemas.microsoft.com/office/drawing/2014/main" id="{5443BDD6-968F-4E3C-91EE-BC1149ABFD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4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1821" name="Picture@5C\QPendientes@" descr="@5C\QPendientes@">
          <a:extLst>
            <a:ext uri="{FF2B5EF4-FFF2-40B4-BE49-F238E27FC236}">
              <a16:creationId xmlns:a16="http://schemas.microsoft.com/office/drawing/2014/main" id="{87FD5A73-B4BB-4E84-B050-2992FFE4DD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1822" name="Picture@5C\QPendientes@" descr="@5C\QPendientes@">
          <a:extLst>
            <a:ext uri="{FF2B5EF4-FFF2-40B4-BE49-F238E27FC236}">
              <a16:creationId xmlns:a16="http://schemas.microsoft.com/office/drawing/2014/main" id="{8D086A80-1E68-4D40-AEFA-CF1359E0A3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8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1823" name="Picture@5C\QPendientes@" descr="@5C\QPendientes@">
          <a:extLst>
            <a:ext uri="{FF2B5EF4-FFF2-40B4-BE49-F238E27FC236}">
              <a16:creationId xmlns:a16="http://schemas.microsoft.com/office/drawing/2014/main" id="{C8CE0144-6799-4271-BD43-8415683402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0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1824" name="Picture@5C\QPendientes@" descr="@5C\QPendientes@">
          <a:extLst>
            <a:ext uri="{FF2B5EF4-FFF2-40B4-BE49-F238E27FC236}">
              <a16:creationId xmlns:a16="http://schemas.microsoft.com/office/drawing/2014/main" id="{042A0BBA-1B03-4ABE-B85F-438AE85CD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1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1825" name="Picture@5C\QPendientes@" descr="@5C\QPendientes@">
          <a:extLst>
            <a:ext uri="{FF2B5EF4-FFF2-40B4-BE49-F238E27FC236}">
              <a16:creationId xmlns:a16="http://schemas.microsoft.com/office/drawing/2014/main" id="{C9CBE81F-7091-42D9-92E6-2008FA452E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3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1826" name="Picture@5C\QPendientes@" descr="@5C\QPendientes@">
          <a:extLst>
            <a:ext uri="{FF2B5EF4-FFF2-40B4-BE49-F238E27FC236}">
              <a16:creationId xmlns:a16="http://schemas.microsoft.com/office/drawing/2014/main" id="{2713243C-FEC0-4188-90FB-66140C298D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5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1827" name="Picture@5C\QPendientes@" descr="@5C\QPendientes@">
          <a:extLst>
            <a:ext uri="{FF2B5EF4-FFF2-40B4-BE49-F238E27FC236}">
              <a16:creationId xmlns:a16="http://schemas.microsoft.com/office/drawing/2014/main" id="{82F3DA9E-BBB2-45F8-8915-7E21169AAE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7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1828" name="Picture@5C\QPendientes@" descr="@5C\QPendientes@">
          <a:extLst>
            <a:ext uri="{FF2B5EF4-FFF2-40B4-BE49-F238E27FC236}">
              <a16:creationId xmlns:a16="http://schemas.microsoft.com/office/drawing/2014/main" id="{A8CBD3D2-3288-45C0-9DA6-9EEAFF3EB9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9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1829" name="Picture@5C\QPendientes@" descr="@5C\QPendientes@">
          <a:extLst>
            <a:ext uri="{FF2B5EF4-FFF2-40B4-BE49-F238E27FC236}">
              <a16:creationId xmlns:a16="http://schemas.microsoft.com/office/drawing/2014/main" id="{C4CA9CC7-B1BF-47F3-B329-AC2D718795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1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1830" name="Picture@5C\QPendientes@" descr="@5C\QPendientes@">
          <a:extLst>
            <a:ext uri="{FF2B5EF4-FFF2-40B4-BE49-F238E27FC236}">
              <a16:creationId xmlns:a16="http://schemas.microsoft.com/office/drawing/2014/main" id="{C3F7E465-D0F9-4088-87AF-7FD0299190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2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1831" name="Picture@5C\QPendientes@" descr="@5C\QPendientes@">
          <a:extLst>
            <a:ext uri="{FF2B5EF4-FFF2-40B4-BE49-F238E27FC236}">
              <a16:creationId xmlns:a16="http://schemas.microsoft.com/office/drawing/2014/main" id="{C8A1893A-A15D-4CAB-ABF0-99208B0978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1832" name="Picture@5C\QPendientes@" descr="@5C\QPendientes@">
          <a:extLst>
            <a:ext uri="{FF2B5EF4-FFF2-40B4-BE49-F238E27FC236}">
              <a16:creationId xmlns:a16="http://schemas.microsoft.com/office/drawing/2014/main" id="{EDF671B9-F142-4294-9227-5A9BFEC34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6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1833" name="Picture@5C\QPendientes@" descr="@5C\QPendientes@">
          <a:extLst>
            <a:ext uri="{FF2B5EF4-FFF2-40B4-BE49-F238E27FC236}">
              <a16:creationId xmlns:a16="http://schemas.microsoft.com/office/drawing/2014/main" id="{B35578D8-7814-424C-B4EE-364D2E89E4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8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1834" name="Picture@5C\QPendientes@" descr="@5C\QPendientes@">
          <a:extLst>
            <a:ext uri="{FF2B5EF4-FFF2-40B4-BE49-F238E27FC236}">
              <a16:creationId xmlns:a16="http://schemas.microsoft.com/office/drawing/2014/main" id="{CBE29B5A-7D5A-4AA3-B690-5E8BD068F2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0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1835" name="Picture@5C\QPendientes@" descr="@5C\QPendientes@">
          <a:extLst>
            <a:ext uri="{FF2B5EF4-FFF2-40B4-BE49-F238E27FC236}">
              <a16:creationId xmlns:a16="http://schemas.microsoft.com/office/drawing/2014/main" id="{E06B8DF5-E402-4AA0-8FB6-C376BCB139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1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1836" name="Picture@5C\QPendientes@" descr="@5C\QPendientes@">
          <a:extLst>
            <a:ext uri="{FF2B5EF4-FFF2-40B4-BE49-F238E27FC236}">
              <a16:creationId xmlns:a16="http://schemas.microsoft.com/office/drawing/2014/main" id="{6DA17876-A0CB-4029-90D8-797BC7BD82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3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1837" name="Picture@5C\QPendientes@" descr="@5C\QPendientes@">
          <a:extLst>
            <a:ext uri="{FF2B5EF4-FFF2-40B4-BE49-F238E27FC236}">
              <a16:creationId xmlns:a16="http://schemas.microsoft.com/office/drawing/2014/main" id="{A6F01EAF-771A-4EA9-BEF5-BC220207EF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5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1838" name="Picture@5C\QPendientes@" descr="@5C\QPendientes@">
          <a:extLst>
            <a:ext uri="{FF2B5EF4-FFF2-40B4-BE49-F238E27FC236}">
              <a16:creationId xmlns:a16="http://schemas.microsoft.com/office/drawing/2014/main" id="{331D2392-A884-4EE2-8F3A-5DC039006C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7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1839" name="Picture@5C\QPendientes@" descr="@5C\QPendientes@">
          <a:extLst>
            <a:ext uri="{FF2B5EF4-FFF2-40B4-BE49-F238E27FC236}">
              <a16:creationId xmlns:a16="http://schemas.microsoft.com/office/drawing/2014/main" id="{776A5141-8946-4801-878E-05DF3D3F2A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9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1840" name="Picture@5C\QPendientes@" descr="@5C\QPendientes@">
          <a:extLst>
            <a:ext uri="{FF2B5EF4-FFF2-40B4-BE49-F238E27FC236}">
              <a16:creationId xmlns:a16="http://schemas.microsoft.com/office/drawing/2014/main" id="{65E34454-12E8-4AC1-8195-1DC5F5AB2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1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1841" name="Picture@5C\QPendientes@" descr="@5C\QPendientes@">
          <a:extLst>
            <a:ext uri="{FF2B5EF4-FFF2-40B4-BE49-F238E27FC236}">
              <a16:creationId xmlns:a16="http://schemas.microsoft.com/office/drawing/2014/main" id="{EC71E06E-FA1A-4A24-81BF-5B08F73A14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1842" name="Picture@5C\QPendientes@" descr="@5C\QPendientes@">
          <a:extLst>
            <a:ext uri="{FF2B5EF4-FFF2-40B4-BE49-F238E27FC236}">
              <a16:creationId xmlns:a16="http://schemas.microsoft.com/office/drawing/2014/main" id="{64E305FD-1075-4415-BD97-933B69AF70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4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1843" name="Picture@5C\QPendientes@" descr="@5C\QPendientes@">
          <a:extLst>
            <a:ext uri="{FF2B5EF4-FFF2-40B4-BE49-F238E27FC236}">
              <a16:creationId xmlns:a16="http://schemas.microsoft.com/office/drawing/2014/main" id="{C46666A1-182B-45F1-B719-82AAD2250E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6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1844" name="Picture@5C\QPendientes@" descr="@5C\QPendientes@">
          <a:extLst>
            <a:ext uri="{FF2B5EF4-FFF2-40B4-BE49-F238E27FC236}">
              <a16:creationId xmlns:a16="http://schemas.microsoft.com/office/drawing/2014/main" id="{53A33866-3CC4-4369-8138-998444912B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8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1845" name="Picture@5C\QPendientes@" descr="@5C\QPendientes@">
          <a:extLst>
            <a:ext uri="{FF2B5EF4-FFF2-40B4-BE49-F238E27FC236}">
              <a16:creationId xmlns:a16="http://schemas.microsoft.com/office/drawing/2014/main" id="{0F28EDD2-DA0D-4920-89D8-5D26253B43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0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1846" name="Picture@5C\QPendientes@" descr="@5C\QPendientes@">
          <a:extLst>
            <a:ext uri="{FF2B5EF4-FFF2-40B4-BE49-F238E27FC236}">
              <a16:creationId xmlns:a16="http://schemas.microsoft.com/office/drawing/2014/main" id="{BFD9DC1D-8913-46D1-97A8-0F5886B4C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2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1847" name="Picture@5C\QPendientes@" descr="@5C\QPendientes@">
          <a:extLst>
            <a:ext uri="{FF2B5EF4-FFF2-40B4-BE49-F238E27FC236}">
              <a16:creationId xmlns:a16="http://schemas.microsoft.com/office/drawing/2014/main" id="{A17B43EF-B1B0-4E04-AA83-E3101B0136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3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1848" name="Picture@5C\QPendientes@" descr="@5C\QPendientes@">
          <a:extLst>
            <a:ext uri="{FF2B5EF4-FFF2-40B4-BE49-F238E27FC236}">
              <a16:creationId xmlns:a16="http://schemas.microsoft.com/office/drawing/2014/main" id="{025B0B30-ADC9-4272-8A35-2613C21364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5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1849" name="Picture@5C\QPendientes@" descr="@5C\QPendientes@">
          <a:extLst>
            <a:ext uri="{FF2B5EF4-FFF2-40B4-BE49-F238E27FC236}">
              <a16:creationId xmlns:a16="http://schemas.microsoft.com/office/drawing/2014/main" id="{B145A45D-DBE8-43B0-9028-7B552673A7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7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1850" name="Picture@5C\QPendientes@" descr="@5C\QPendientes@">
          <a:extLst>
            <a:ext uri="{FF2B5EF4-FFF2-40B4-BE49-F238E27FC236}">
              <a16:creationId xmlns:a16="http://schemas.microsoft.com/office/drawing/2014/main" id="{D59356F1-8AA8-40AD-A9B1-7DF5D5A96A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9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1851" name="Picture@5C\QPendientes@" descr="@5C\QPendientes@">
          <a:extLst>
            <a:ext uri="{FF2B5EF4-FFF2-40B4-BE49-F238E27FC236}">
              <a16:creationId xmlns:a16="http://schemas.microsoft.com/office/drawing/2014/main" id="{D8EC9957-15F2-4246-9015-656AF1BA7E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1852" name="Picture@5C\QPendientes@" descr="@5C\QPendientes@">
          <a:extLst>
            <a:ext uri="{FF2B5EF4-FFF2-40B4-BE49-F238E27FC236}">
              <a16:creationId xmlns:a16="http://schemas.microsoft.com/office/drawing/2014/main" id="{AE0DE2C2-A052-4131-BD07-F9CEFF1817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3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1853" name="Picture@5C\QPendientes@" descr="@5C\QPendientes@">
          <a:extLst>
            <a:ext uri="{FF2B5EF4-FFF2-40B4-BE49-F238E27FC236}">
              <a16:creationId xmlns:a16="http://schemas.microsoft.com/office/drawing/2014/main" id="{E8287B27-A176-4F15-8D09-D39ED9CD3F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4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1854" name="Picture@5C\QPendientes@" descr="@5C\QPendientes@">
          <a:extLst>
            <a:ext uri="{FF2B5EF4-FFF2-40B4-BE49-F238E27FC236}">
              <a16:creationId xmlns:a16="http://schemas.microsoft.com/office/drawing/2014/main" id="{CA550023-85FD-4907-AAC0-AE2A4F5ACC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6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1855" name="Picture@5C\QPendientes@" descr="@5C\QPendientes@">
          <a:extLst>
            <a:ext uri="{FF2B5EF4-FFF2-40B4-BE49-F238E27FC236}">
              <a16:creationId xmlns:a16="http://schemas.microsoft.com/office/drawing/2014/main" id="{51D9A54B-36B0-4581-95C2-150E498DFB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8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1856" name="Picture@5C\QPendientes@" descr="@5C\QPendientes@">
          <a:extLst>
            <a:ext uri="{FF2B5EF4-FFF2-40B4-BE49-F238E27FC236}">
              <a16:creationId xmlns:a16="http://schemas.microsoft.com/office/drawing/2014/main" id="{A6489CA6-A097-4B59-8964-438416463F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0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1857" name="Picture@5C\QPendientes@" descr="@5C\QPendientes@">
          <a:extLst>
            <a:ext uri="{FF2B5EF4-FFF2-40B4-BE49-F238E27FC236}">
              <a16:creationId xmlns:a16="http://schemas.microsoft.com/office/drawing/2014/main" id="{75154FAE-1EEF-4AEE-BF51-F94B8B232B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2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1858" name="Picture@5C\QPendientes@" descr="@5C\QPendientes@">
          <a:extLst>
            <a:ext uri="{FF2B5EF4-FFF2-40B4-BE49-F238E27FC236}">
              <a16:creationId xmlns:a16="http://schemas.microsoft.com/office/drawing/2014/main" id="{13781E34-0CEF-4F00-B9D7-230A91FE7B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4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1859" name="Picture@5C\QPendientes@" descr="@5C\QPendientes@">
          <a:extLst>
            <a:ext uri="{FF2B5EF4-FFF2-40B4-BE49-F238E27FC236}">
              <a16:creationId xmlns:a16="http://schemas.microsoft.com/office/drawing/2014/main" id="{A8FA23E3-CADE-4748-8C7E-7B00285FEC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5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1860" name="Picture@5C\QPendientes@" descr="@5C\QPendientes@">
          <a:extLst>
            <a:ext uri="{FF2B5EF4-FFF2-40B4-BE49-F238E27FC236}">
              <a16:creationId xmlns:a16="http://schemas.microsoft.com/office/drawing/2014/main" id="{0121E41E-E796-470B-BB63-61118A58D7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7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1861" name="Picture@5C\QPendientes@" descr="@5C\QPendientes@">
          <a:extLst>
            <a:ext uri="{FF2B5EF4-FFF2-40B4-BE49-F238E27FC236}">
              <a16:creationId xmlns:a16="http://schemas.microsoft.com/office/drawing/2014/main" id="{F9EF2B12-7EFB-4939-A4FE-2027905604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1862" name="Picture@5C\QPendientes@" descr="@5C\QPendientes@">
          <a:extLst>
            <a:ext uri="{FF2B5EF4-FFF2-40B4-BE49-F238E27FC236}">
              <a16:creationId xmlns:a16="http://schemas.microsoft.com/office/drawing/2014/main" id="{113340EC-BEA5-4F5F-AFF8-D4EA9F617D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1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1863" name="Picture@5C\QPendientes@" descr="@5C\QPendientes@">
          <a:extLst>
            <a:ext uri="{FF2B5EF4-FFF2-40B4-BE49-F238E27FC236}">
              <a16:creationId xmlns:a16="http://schemas.microsoft.com/office/drawing/2014/main" id="{26AEB6F6-3070-46B1-A99E-32C0211087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3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1864" name="Picture@5C\QPendientes@" descr="@5C\QPendientes@">
          <a:extLst>
            <a:ext uri="{FF2B5EF4-FFF2-40B4-BE49-F238E27FC236}">
              <a16:creationId xmlns:a16="http://schemas.microsoft.com/office/drawing/2014/main" id="{020A3D4D-8EE2-410F-87DF-81365148F8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5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1865" name="Picture@5C\QPendientes@" descr="@5C\QPendientes@">
          <a:extLst>
            <a:ext uri="{FF2B5EF4-FFF2-40B4-BE49-F238E27FC236}">
              <a16:creationId xmlns:a16="http://schemas.microsoft.com/office/drawing/2014/main" id="{967307BC-F50F-4AFB-BAB3-A2978D1C18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6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1866" name="Picture@5C\QPendientes@" descr="@5C\QPendientes@">
          <a:extLst>
            <a:ext uri="{FF2B5EF4-FFF2-40B4-BE49-F238E27FC236}">
              <a16:creationId xmlns:a16="http://schemas.microsoft.com/office/drawing/2014/main" id="{9C1ECF6B-0F03-4B4B-B875-614940D262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8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1867" name="Picture@5C\QPendientes@" descr="@5C\QPendientes@">
          <a:extLst>
            <a:ext uri="{FF2B5EF4-FFF2-40B4-BE49-F238E27FC236}">
              <a16:creationId xmlns:a16="http://schemas.microsoft.com/office/drawing/2014/main" id="{0183C35A-3DF8-449E-A37A-44244F35E2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0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1868" name="Picture@5C\QPendientes@" descr="@5C\QPendientes@">
          <a:extLst>
            <a:ext uri="{FF2B5EF4-FFF2-40B4-BE49-F238E27FC236}">
              <a16:creationId xmlns:a16="http://schemas.microsoft.com/office/drawing/2014/main" id="{DBB3B4EA-9FAB-4E2F-B5B8-EEA5BAD014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2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1869" name="Picture@5C\QPendientes@" descr="@5C\QPendientes@">
          <a:extLst>
            <a:ext uri="{FF2B5EF4-FFF2-40B4-BE49-F238E27FC236}">
              <a16:creationId xmlns:a16="http://schemas.microsoft.com/office/drawing/2014/main" id="{E7E2494E-9C74-45A7-AC78-51ABC68D94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4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1870" name="Picture@5C\QPendientes@" descr="@5C\QPendientes@">
          <a:extLst>
            <a:ext uri="{FF2B5EF4-FFF2-40B4-BE49-F238E27FC236}">
              <a16:creationId xmlns:a16="http://schemas.microsoft.com/office/drawing/2014/main" id="{4BDC9B76-D733-4AD6-AC38-8EF229CA0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5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1871" name="Picture@5C\QPendientes@" descr="@5C\QPendientes@">
          <a:extLst>
            <a:ext uri="{FF2B5EF4-FFF2-40B4-BE49-F238E27FC236}">
              <a16:creationId xmlns:a16="http://schemas.microsoft.com/office/drawing/2014/main" id="{4CEDB77A-F5F5-4D69-9D1D-EA3747AAED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1872" name="Picture@5C\QPendientes@" descr="@5C\QPendientes@">
          <a:extLst>
            <a:ext uri="{FF2B5EF4-FFF2-40B4-BE49-F238E27FC236}">
              <a16:creationId xmlns:a16="http://schemas.microsoft.com/office/drawing/2014/main" id="{389E91E4-C2E8-471F-A157-0D9D2780D1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9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1873" name="Picture@5C\QPendientes@" descr="@5C\QPendientes@">
          <a:extLst>
            <a:ext uri="{FF2B5EF4-FFF2-40B4-BE49-F238E27FC236}">
              <a16:creationId xmlns:a16="http://schemas.microsoft.com/office/drawing/2014/main" id="{227D7C75-877D-416D-A5EC-15B941DD8F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1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1874" name="Picture@5C\QPendientes@" descr="@5C\QPendientes@">
          <a:extLst>
            <a:ext uri="{FF2B5EF4-FFF2-40B4-BE49-F238E27FC236}">
              <a16:creationId xmlns:a16="http://schemas.microsoft.com/office/drawing/2014/main" id="{C04ED509-BFA7-4309-9A5E-1455FF9D45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3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1875" name="Picture@5C\QPendientes@" descr="@5C\QPendientes@">
          <a:extLst>
            <a:ext uri="{FF2B5EF4-FFF2-40B4-BE49-F238E27FC236}">
              <a16:creationId xmlns:a16="http://schemas.microsoft.com/office/drawing/2014/main" id="{9C417892-789E-4022-B3F6-0770F70885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5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1876" name="Picture@5C\QPendientes@" descr="@5C\QPendientes@">
          <a:extLst>
            <a:ext uri="{FF2B5EF4-FFF2-40B4-BE49-F238E27FC236}">
              <a16:creationId xmlns:a16="http://schemas.microsoft.com/office/drawing/2014/main" id="{50FE6123-21FC-4009-B6AB-EB995888EA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6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1877" name="Picture@5C\QPendientes@" descr="@5C\QPendientes@">
          <a:extLst>
            <a:ext uri="{FF2B5EF4-FFF2-40B4-BE49-F238E27FC236}">
              <a16:creationId xmlns:a16="http://schemas.microsoft.com/office/drawing/2014/main" id="{FE032D99-56D6-4ADF-8F4A-6315443663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8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1878" name="Picture@5C\QPendientes@" descr="@5C\QPendientes@">
          <a:extLst>
            <a:ext uri="{FF2B5EF4-FFF2-40B4-BE49-F238E27FC236}">
              <a16:creationId xmlns:a16="http://schemas.microsoft.com/office/drawing/2014/main" id="{2F59CBF1-9398-43FA-8FFA-174E764B81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0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1879" name="Picture@5C\QPendientes@" descr="@5C\QPendientes@">
          <a:extLst>
            <a:ext uri="{FF2B5EF4-FFF2-40B4-BE49-F238E27FC236}">
              <a16:creationId xmlns:a16="http://schemas.microsoft.com/office/drawing/2014/main" id="{92BE961F-17E6-44C8-BA75-CCEC4FD1EC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2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1880" name="Picture@5C\QPendientes@" descr="@5C\QPendientes@">
          <a:extLst>
            <a:ext uri="{FF2B5EF4-FFF2-40B4-BE49-F238E27FC236}">
              <a16:creationId xmlns:a16="http://schemas.microsoft.com/office/drawing/2014/main" id="{EDF425A4-0091-4D85-812E-CC5FE78D97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4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1881" name="Picture@5C\QPendientes@" descr="@5C\QPendientes@">
          <a:extLst>
            <a:ext uri="{FF2B5EF4-FFF2-40B4-BE49-F238E27FC236}">
              <a16:creationId xmlns:a16="http://schemas.microsoft.com/office/drawing/2014/main" id="{C2475216-C314-44F8-85A7-9122075514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1882" name="Picture@5C\QPendientes@" descr="@5C\QPendientes@">
          <a:extLst>
            <a:ext uri="{FF2B5EF4-FFF2-40B4-BE49-F238E27FC236}">
              <a16:creationId xmlns:a16="http://schemas.microsoft.com/office/drawing/2014/main" id="{C13F2226-7AA6-45F1-909D-B841E2C418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7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1883" name="Picture@5C\QPendientes@" descr="@5C\QPendientes@">
          <a:extLst>
            <a:ext uri="{FF2B5EF4-FFF2-40B4-BE49-F238E27FC236}">
              <a16:creationId xmlns:a16="http://schemas.microsoft.com/office/drawing/2014/main" id="{6639422C-CDD0-4C9F-B4ED-7473B7F478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9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1884" name="Picture@5C\QPendientes@" descr="@5C\QPendientes@">
          <a:extLst>
            <a:ext uri="{FF2B5EF4-FFF2-40B4-BE49-F238E27FC236}">
              <a16:creationId xmlns:a16="http://schemas.microsoft.com/office/drawing/2014/main" id="{90AB55D0-BBB6-4FE5-8EE3-616F921160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1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1885" name="Picture@5C\QPendientes@" descr="@5C\QPendientes@">
          <a:extLst>
            <a:ext uri="{FF2B5EF4-FFF2-40B4-BE49-F238E27FC236}">
              <a16:creationId xmlns:a16="http://schemas.microsoft.com/office/drawing/2014/main" id="{7F7FC944-667A-4197-A94E-5DE52A8312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3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1886" name="Picture@5C\QPendientes@" descr="@5C\QPendientes@">
          <a:extLst>
            <a:ext uri="{FF2B5EF4-FFF2-40B4-BE49-F238E27FC236}">
              <a16:creationId xmlns:a16="http://schemas.microsoft.com/office/drawing/2014/main" id="{F1E4D8FF-DEC0-48EC-8F1C-B9147EFF5E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5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1887" name="Picture@5C\QPendientes@" descr="@5C\QPendientes@">
          <a:extLst>
            <a:ext uri="{FF2B5EF4-FFF2-40B4-BE49-F238E27FC236}">
              <a16:creationId xmlns:a16="http://schemas.microsoft.com/office/drawing/2014/main" id="{8C570A44-C35C-44E3-86CF-D4F8DE5E1D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7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1888" name="Picture@5C\QPendientes@" descr="@5C\QPendientes@">
          <a:extLst>
            <a:ext uri="{FF2B5EF4-FFF2-40B4-BE49-F238E27FC236}">
              <a16:creationId xmlns:a16="http://schemas.microsoft.com/office/drawing/2014/main" id="{3DD0E929-5BF1-43E3-83D3-0AC64D7248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8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1889" name="Picture@5C\QPendientes@" descr="@5C\QPendientes@">
          <a:extLst>
            <a:ext uri="{FF2B5EF4-FFF2-40B4-BE49-F238E27FC236}">
              <a16:creationId xmlns:a16="http://schemas.microsoft.com/office/drawing/2014/main" id="{8E90A550-0803-46E3-84CE-0FA340A086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0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1890" name="Picture@5C\QPendientes@" descr="@5C\QPendientes@">
          <a:extLst>
            <a:ext uri="{FF2B5EF4-FFF2-40B4-BE49-F238E27FC236}">
              <a16:creationId xmlns:a16="http://schemas.microsoft.com/office/drawing/2014/main" id="{3CAD9ACE-4906-47DD-BEBE-23F0449CE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2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1891" name="Picture@5C\QPendientes@" descr="@5C\QPendientes@">
          <a:extLst>
            <a:ext uri="{FF2B5EF4-FFF2-40B4-BE49-F238E27FC236}">
              <a16:creationId xmlns:a16="http://schemas.microsoft.com/office/drawing/2014/main" id="{77BAF66B-CDC1-4670-8B33-72ED25BA3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1892" name="Picture@5C\QPendientes@" descr="@5C\QPendientes@">
          <a:extLst>
            <a:ext uri="{FF2B5EF4-FFF2-40B4-BE49-F238E27FC236}">
              <a16:creationId xmlns:a16="http://schemas.microsoft.com/office/drawing/2014/main" id="{9A1600D8-1844-4456-A96E-A87590A13B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6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1893" name="Picture@5C\QPendientes@" descr="@5C\QPendientes@">
          <a:extLst>
            <a:ext uri="{FF2B5EF4-FFF2-40B4-BE49-F238E27FC236}">
              <a16:creationId xmlns:a16="http://schemas.microsoft.com/office/drawing/2014/main" id="{5570EC59-E15E-4CAC-8434-384B6050AB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8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1894" name="Picture@5C\QPendientes@" descr="@5C\QPendientes@">
          <a:extLst>
            <a:ext uri="{FF2B5EF4-FFF2-40B4-BE49-F238E27FC236}">
              <a16:creationId xmlns:a16="http://schemas.microsoft.com/office/drawing/2014/main" id="{475BB065-E90C-4FD7-8144-6E820F047D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9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1895" name="Picture@5C\QPendientes@" descr="@5C\QPendientes@">
          <a:extLst>
            <a:ext uri="{FF2B5EF4-FFF2-40B4-BE49-F238E27FC236}">
              <a16:creationId xmlns:a16="http://schemas.microsoft.com/office/drawing/2014/main" id="{29DA92FD-F26F-444B-BD34-952885F733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1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1896" name="Picture@5C\QPendientes@" descr="@5C\QPendientes@">
          <a:extLst>
            <a:ext uri="{FF2B5EF4-FFF2-40B4-BE49-F238E27FC236}">
              <a16:creationId xmlns:a16="http://schemas.microsoft.com/office/drawing/2014/main" id="{55215EE0-7028-4C37-B345-F7C767953D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3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1897" name="Picture@5C\QPendientes@" descr="@5C\QPendientes@">
          <a:extLst>
            <a:ext uri="{FF2B5EF4-FFF2-40B4-BE49-F238E27FC236}">
              <a16:creationId xmlns:a16="http://schemas.microsoft.com/office/drawing/2014/main" id="{83C67705-03B5-4F48-B88C-B4DE258C14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5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1898" name="Picture@5C\QPendientes@" descr="@5C\QPendientes@">
          <a:extLst>
            <a:ext uri="{FF2B5EF4-FFF2-40B4-BE49-F238E27FC236}">
              <a16:creationId xmlns:a16="http://schemas.microsoft.com/office/drawing/2014/main" id="{CA6B4128-67A4-45C8-A813-83A77F7A26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7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1899" name="Picture@5C\QPendientes@" descr="@5C\QPendientes@">
          <a:extLst>
            <a:ext uri="{FF2B5EF4-FFF2-40B4-BE49-F238E27FC236}">
              <a16:creationId xmlns:a16="http://schemas.microsoft.com/office/drawing/2014/main" id="{B24D2CE6-4266-4D19-A872-1332A95E49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9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1900" name="Picture@5C\QPendientes@" descr="@5C\QPendientes@">
          <a:extLst>
            <a:ext uri="{FF2B5EF4-FFF2-40B4-BE49-F238E27FC236}">
              <a16:creationId xmlns:a16="http://schemas.microsoft.com/office/drawing/2014/main" id="{87578EF8-CC01-4C8B-BC70-CF97341DC5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0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1901" name="Picture@5C\QPendientes@" descr="@5C\QPendientes@">
          <a:extLst>
            <a:ext uri="{FF2B5EF4-FFF2-40B4-BE49-F238E27FC236}">
              <a16:creationId xmlns:a16="http://schemas.microsoft.com/office/drawing/2014/main" id="{D6CD37DE-24B6-410C-807D-7F2C092F63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1902" name="Picture@5C\QPendientes@" descr="@5C\QPendientes@">
          <a:extLst>
            <a:ext uri="{FF2B5EF4-FFF2-40B4-BE49-F238E27FC236}">
              <a16:creationId xmlns:a16="http://schemas.microsoft.com/office/drawing/2014/main" id="{EC44C47C-F32B-4221-8E8D-03CF4A5D42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4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1903" name="Picture@5C\QPendientes@" descr="@5C\QPendientes@">
          <a:extLst>
            <a:ext uri="{FF2B5EF4-FFF2-40B4-BE49-F238E27FC236}">
              <a16:creationId xmlns:a16="http://schemas.microsoft.com/office/drawing/2014/main" id="{ACFA016B-A810-4B5A-A8BE-A6E7AEFA7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6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1904" name="Picture@5C\QPendientes@" descr="@5C\QPendientes@">
          <a:extLst>
            <a:ext uri="{FF2B5EF4-FFF2-40B4-BE49-F238E27FC236}">
              <a16:creationId xmlns:a16="http://schemas.microsoft.com/office/drawing/2014/main" id="{8F8C1F09-488A-429A-9633-06E03FA97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8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1905" name="Picture@5C\QPendientes@" descr="@5C\QPendientes@">
          <a:extLst>
            <a:ext uri="{FF2B5EF4-FFF2-40B4-BE49-F238E27FC236}">
              <a16:creationId xmlns:a16="http://schemas.microsoft.com/office/drawing/2014/main" id="{C561E31D-91C5-4187-90F6-D835F6C484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0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1906" name="Picture@5C\QPendientes@" descr="@5C\QPendientes@">
          <a:extLst>
            <a:ext uri="{FF2B5EF4-FFF2-40B4-BE49-F238E27FC236}">
              <a16:creationId xmlns:a16="http://schemas.microsoft.com/office/drawing/2014/main" id="{033C79F8-8FA2-43DC-B0B8-CE7948D00E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1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1907" name="Picture@5C\QPendientes@" descr="@5C\QPendientes@">
          <a:extLst>
            <a:ext uri="{FF2B5EF4-FFF2-40B4-BE49-F238E27FC236}">
              <a16:creationId xmlns:a16="http://schemas.microsoft.com/office/drawing/2014/main" id="{534B5534-F588-48B4-8502-3CC3E3A72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3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1908" name="Picture@5C\QPendientes@" descr="@5C\QPendientes@">
          <a:extLst>
            <a:ext uri="{FF2B5EF4-FFF2-40B4-BE49-F238E27FC236}">
              <a16:creationId xmlns:a16="http://schemas.microsoft.com/office/drawing/2014/main" id="{E10F8A62-BFE7-4587-8A04-C6BE916EA1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5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1909" name="Picture@5C\QPendientes@" descr="@5C\QPendientes@">
          <a:extLst>
            <a:ext uri="{FF2B5EF4-FFF2-40B4-BE49-F238E27FC236}">
              <a16:creationId xmlns:a16="http://schemas.microsoft.com/office/drawing/2014/main" id="{C0B1DBED-AEC4-4067-95BD-4B5B38BF26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7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1910" name="Picture@5C\QPendientes@" descr="@5C\QPendientes@">
          <a:extLst>
            <a:ext uri="{FF2B5EF4-FFF2-40B4-BE49-F238E27FC236}">
              <a16:creationId xmlns:a16="http://schemas.microsoft.com/office/drawing/2014/main" id="{27C49AE3-8BAA-466B-940F-35523C4685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9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1911" name="Picture@5C\QPendientes@" descr="@5C\QPendientes@">
          <a:extLst>
            <a:ext uri="{FF2B5EF4-FFF2-40B4-BE49-F238E27FC236}">
              <a16:creationId xmlns:a16="http://schemas.microsoft.com/office/drawing/2014/main" id="{E789797A-10DA-4EC9-BAD7-F01D69B16B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1912" name="Picture@5C\QPendientes@" descr="@5C\QPendientes@">
          <a:extLst>
            <a:ext uri="{FF2B5EF4-FFF2-40B4-BE49-F238E27FC236}">
              <a16:creationId xmlns:a16="http://schemas.microsoft.com/office/drawing/2014/main" id="{6ADD2A70-54F9-4EFD-99F3-BCDCA7C41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2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1913" name="Picture@5C\QPendientes@" descr="@5C\QPendientes@">
          <a:extLst>
            <a:ext uri="{FF2B5EF4-FFF2-40B4-BE49-F238E27FC236}">
              <a16:creationId xmlns:a16="http://schemas.microsoft.com/office/drawing/2014/main" id="{84C84DE7-A72C-4933-92DD-7610438782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4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1914" name="Picture@5C\QPendientes@" descr="@5C\QPendientes@">
          <a:extLst>
            <a:ext uri="{FF2B5EF4-FFF2-40B4-BE49-F238E27FC236}">
              <a16:creationId xmlns:a16="http://schemas.microsoft.com/office/drawing/2014/main" id="{C5C09937-9CA1-4E79-9FAC-2C0AB765B0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6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1915" name="Picture@5C\QPendientes@" descr="@5C\QPendientes@">
          <a:extLst>
            <a:ext uri="{FF2B5EF4-FFF2-40B4-BE49-F238E27FC236}">
              <a16:creationId xmlns:a16="http://schemas.microsoft.com/office/drawing/2014/main" id="{B4D879E0-4ED9-48FF-B975-573633D931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8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1916" name="Picture@5C\QPendientes@" descr="@5C\QPendientes@">
          <a:extLst>
            <a:ext uri="{FF2B5EF4-FFF2-40B4-BE49-F238E27FC236}">
              <a16:creationId xmlns:a16="http://schemas.microsoft.com/office/drawing/2014/main" id="{D956B79C-3559-4098-B55C-C3C9638EF8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0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1917" name="Picture@5C\QPendientes@" descr="@5C\QPendientes@">
          <a:extLst>
            <a:ext uri="{FF2B5EF4-FFF2-40B4-BE49-F238E27FC236}">
              <a16:creationId xmlns:a16="http://schemas.microsoft.com/office/drawing/2014/main" id="{6B79EBA1-164B-48DF-8B98-4BF182CD44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1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1918" name="Picture@5C\QPendientes@" descr="@5C\QPendientes@">
          <a:extLst>
            <a:ext uri="{FF2B5EF4-FFF2-40B4-BE49-F238E27FC236}">
              <a16:creationId xmlns:a16="http://schemas.microsoft.com/office/drawing/2014/main" id="{AC6E570A-9A39-4AA1-9C00-ED186366F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3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1919" name="Picture@5C\QPendientes@" descr="@5C\QPendientes@">
          <a:extLst>
            <a:ext uri="{FF2B5EF4-FFF2-40B4-BE49-F238E27FC236}">
              <a16:creationId xmlns:a16="http://schemas.microsoft.com/office/drawing/2014/main" id="{286A7E0C-101F-4E22-8DEF-3D97655263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5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1920" name="Picture@5C\QPendientes@" descr="@5C\QPendientes@">
          <a:extLst>
            <a:ext uri="{FF2B5EF4-FFF2-40B4-BE49-F238E27FC236}">
              <a16:creationId xmlns:a16="http://schemas.microsoft.com/office/drawing/2014/main" id="{AE9EBB1B-B2FA-4400-8788-30E5CBA50E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7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1921" name="Picture@5C\QPendientes@" descr="@5C\QPendientes@">
          <a:extLst>
            <a:ext uri="{FF2B5EF4-FFF2-40B4-BE49-F238E27FC236}">
              <a16:creationId xmlns:a16="http://schemas.microsoft.com/office/drawing/2014/main" id="{57524A1A-571A-44B2-AC25-9943DCBF7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1922" name="Picture@5C\QPendientes@" descr="@5C\QPendientes@">
          <a:extLst>
            <a:ext uri="{FF2B5EF4-FFF2-40B4-BE49-F238E27FC236}">
              <a16:creationId xmlns:a16="http://schemas.microsoft.com/office/drawing/2014/main" id="{F7A355AD-3876-4187-91BE-9A07D41CF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1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1923" name="Picture@5C\QPendientes@" descr="@5C\QPendientes@">
          <a:extLst>
            <a:ext uri="{FF2B5EF4-FFF2-40B4-BE49-F238E27FC236}">
              <a16:creationId xmlns:a16="http://schemas.microsoft.com/office/drawing/2014/main" id="{7FF31384-ABFF-4E62-8C2E-43BE9AB7C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2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1924" name="Picture@5C\QPendientes@" descr="@5C\QPendientes@">
          <a:extLst>
            <a:ext uri="{FF2B5EF4-FFF2-40B4-BE49-F238E27FC236}">
              <a16:creationId xmlns:a16="http://schemas.microsoft.com/office/drawing/2014/main" id="{CD7BE231-B2CD-4F46-B3DA-1C9F7B2B77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4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1925" name="Picture@5C\QPendientes@" descr="@5C\QPendientes@">
          <a:extLst>
            <a:ext uri="{FF2B5EF4-FFF2-40B4-BE49-F238E27FC236}">
              <a16:creationId xmlns:a16="http://schemas.microsoft.com/office/drawing/2014/main" id="{620BC578-455E-47BF-AAD7-96D00C712F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6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1926" name="Picture@5C\QPendientes@" descr="@5C\QPendientes@">
          <a:extLst>
            <a:ext uri="{FF2B5EF4-FFF2-40B4-BE49-F238E27FC236}">
              <a16:creationId xmlns:a16="http://schemas.microsoft.com/office/drawing/2014/main" id="{910E8668-9046-44B5-AF6D-10B6FF887C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8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1927" name="Picture@5C\QPendientes@" descr="@5C\QPendientes@">
          <a:extLst>
            <a:ext uri="{FF2B5EF4-FFF2-40B4-BE49-F238E27FC236}">
              <a16:creationId xmlns:a16="http://schemas.microsoft.com/office/drawing/2014/main" id="{4F1EE69A-C7FA-4449-9EA0-556497563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0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1928" name="Picture@5C\QPendientes@" descr="@5C\QPendientes@">
          <a:extLst>
            <a:ext uri="{FF2B5EF4-FFF2-40B4-BE49-F238E27FC236}">
              <a16:creationId xmlns:a16="http://schemas.microsoft.com/office/drawing/2014/main" id="{DF7F4D30-7E5A-40F5-A58F-65F1C2ACD2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2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1929" name="Picture@5C\QPendientes@" descr="@5C\QPendientes@">
          <a:extLst>
            <a:ext uri="{FF2B5EF4-FFF2-40B4-BE49-F238E27FC236}">
              <a16:creationId xmlns:a16="http://schemas.microsoft.com/office/drawing/2014/main" id="{9D53FFBD-51B5-4543-B780-B887455537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3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1930" name="Picture@5C\QPendientes@" descr="@5C\QPendientes@">
          <a:extLst>
            <a:ext uri="{FF2B5EF4-FFF2-40B4-BE49-F238E27FC236}">
              <a16:creationId xmlns:a16="http://schemas.microsoft.com/office/drawing/2014/main" id="{2CA49A04-ED15-41B7-B24B-453AED6B5C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5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1931" name="Picture@5C\QPendientes@" descr="@5C\QPendientes@">
          <a:extLst>
            <a:ext uri="{FF2B5EF4-FFF2-40B4-BE49-F238E27FC236}">
              <a16:creationId xmlns:a16="http://schemas.microsoft.com/office/drawing/2014/main" id="{18048BEA-C3DB-4FC9-8235-C23BBB86D0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1932" name="Picture@5C\QPendientes@" descr="@5C\QPendientes@">
          <a:extLst>
            <a:ext uri="{FF2B5EF4-FFF2-40B4-BE49-F238E27FC236}">
              <a16:creationId xmlns:a16="http://schemas.microsoft.com/office/drawing/2014/main" id="{6E1099C5-087F-47BC-8254-BE3AC8E05A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9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1933" name="Picture@5C\QPendientes@" descr="@5C\QPendientes@">
          <a:extLst>
            <a:ext uri="{FF2B5EF4-FFF2-40B4-BE49-F238E27FC236}">
              <a16:creationId xmlns:a16="http://schemas.microsoft.com/office/drawing/2014/main" id="{A9748DAF-F7B1-403A-AF53-119A919496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1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1934" name="Picture@5C\QPendientes@" descr="@5C\QPendientes@">
          <a:extLst>
            <a:ext uri="{FF2B5EF4-FFF2-40B4-BE49-F238E27FC236}">
              <a16:creationId xmlns:a16="http://schemas.microsoft.com/office/drawing/2014/main" id="{7D2CA541-E74F-4188-9F55-34B4564D41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3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1935" name="Picture@5C\QPendientes@" descr="@5C\QPendientes@">
          <a:extLst>
            <a:ext uri="{FF2B5EF4-FFF2-40B4-BE49-F238E27FC236}">
              <a16:creationId xmlns:a16="http://schemas.microsoft.com/office/drawing/2014/main" id="{55D5D2A3-039F-46FA-BD1F-C324119C8D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4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1936" name="Picture@5C\QPendientes@" descr="@5C\QPendientes@">
          <a:extLst>
            <a:ext uri="{FF2B5EF4-FFF2-40B4-BE49-F238E27FC236}">
              <a16:creationId xmlns:a16="http://schemas.microsoft.com/office/drawing/2014/main" id="{8138217E-0304-46BB-B90F-E46FAED65C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6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1937" name="Picture@5C\QPendientes@" descr="@5C\QPendientes@">
          <a:extLst>
            <a:ext uri="{FF2B5EF4-FFF2-40B4-BE49-F238E27FC236}">
              <a16:creationId xmlns:a16="http://schemas.microsoft.com/office/drawing/2014/main" id="{09F7D373-CC68-4848-BE0A-B1BF6F603B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8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1938" name="Picture@5C\QPendientes@" descr="@5C\QPendientes@">
          <a:extLst>
            <a:ext uri="{FF2B5EF4-FFF2-40B4-BE49-F238E27FC236}">
              <a16:creationId xmlns:a16="http://schemas.microsoft.com/office/drawing/2014/main" id="{4C4CE643-AA05-4592-ADA2-CB7EE9F67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0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1939" name="Picture@5C\QPendientes@" descr="@5C\QPendientes@">
          <a:extLst>
            <a:ext uri="{FF2B5EF4-FFF2-40B4-BE49-F238E27FC236}">
              <a16:creationId xmlns:a16="http://schemas.microsoft.com/office/drawing/2014/main" id="{45B11E94-5435-4DD0-972D-2FB55D7613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2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1940" name="Picture@5C\QPendientes@" descr="@5C\QPendientes@">
          <a:extLst>
            <a:ext uri="{FF2B5EF4-FFF2-40B4-BE49-F238E27FC236}">
              <a16:creationId xmlns:a16="http://schemas.microsoft.com/office/drawing/2014/main" id="{56863FCE-15CE-41C1-A52D-5EE18B64E6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4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1941" name="Picture@5C\QPendientes@" descr="@5C\QPendientes@">
          <a:extLst>
            <a:ext uri="{FF2B5EF4-FFF2-40B4-BE49-F238E27FC236}">
              <a16:creationId xmlns:a16="http://schemas.microsoft.com/office/drawing/2014/main" id="{F71DDF4D-24EB-45C2-845C-C9B732F73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1942" name="Picture@5C\QPendientes@" descr="@5C\QPendientes@">
          <a:extLst>
            <a:ext uri="{FF2B5EF4-FFF2-40B4-BE49-F238E27FC236}">
              <a16:creationId xmlns:a16="http://schemas.microsoft.com/office/drawing/2014/main" id="{32CA2B44-4ACA-4102-A186-D148E3EE58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7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1943" name="Picture@5C\QPendientes@" descr="@5C\QPendientes@">
          <a:extLst>
            <a:ext uri="{FF2B5EF4-FFF2-40B4-BE49-F238E27FC236}">
              <a16:creationId xmlns:a16="http://schemas.microsoft.com/office/drawing/2014/main" id="{0494332F-028D-4785-B74C-D956C4DAD4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9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1944" name="Picture@5C\QPendientes@" descr="@5C\QPendientes@">
          <a:extLst>
            <a:ext uri="{FF2B5EF4-FFF2-40B4-BE49-F238E27FC236}">
              <a16:creationId xmlns:a16="http://schemas.microsoft.com/office/drawing/2014/main" id="{B95DF1EF-5CC3-4BBB-ABAE-9DA5057B89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1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1945" name="Picture@5C\QPendientes@" descr="@5C\QPendientes@">
          <a:extLst>
            <a:ext uri="{FF2B5EF4-FFF2-40B4-BE49-F238E27FC236}">
              <a16:creationId xmlns:a16="http://schemas.microsoft.com/office/drawing/2014/main" id="{E2360AD2-52BD-4BBC-BBE4-44C215CC30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3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1946" name="Picture@5C\QPendientes@" descr="@5C\QPendientes@">
          <a:extLst>
            <a:ext uri="{FF2B5EF4-FFF2-40B4-BE49-F238E27FC236}">
              <a16:creationId xmlns:a16="http://schemas.microsoft.com/office/drawing/2014/main" id="{051E3955-E551-447C-B42B-3DC123D7A3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4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1947" name="Picture@5C\QPendientes@" descr="@5C\QPendientes@">
          <a:extLst>
            <a:ext uri="{FF2B5EF4-FFF2-40B4-BE49-F238E27FC236}">
              <a16:creationId xmlns:a16="http://schemas.microsoft.com/office/drawing/2014/main" id="{1503096A-43D6-4656-8CF0-DC865B848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6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1948" name="Picture@5C\QPendientes@" descr="@5C\QPendientes@">
          <a:extLst>
            <a:ext uri="{FF2B5EF4-FFF2-40B4-BE49-F238E27FC236}">
              <a16:creationId xmlns:a16="http://schemas.microsoft.com/office/drawing/2014/main" id="{96623B74-2B31-4E35-A8EA-FFEE123C36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8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1949" name="Picture@5C\QPendientes@" descr="@5C\QPendientes@">
          <a:extLst>
            <a:ext uri="{FF2B5EF4-FFF2-40B4-BE49-F238E27FC236}">
              <a16:creationId xmlns:a16="http://schemas.microsoft.com/office/drawing/2014/main" id="{44BDB996-9A40-4C6F-984F-6F15CAE38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0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1950" name="Picture@5C\QPendientes@" descr="@5C\QPendientes@">
          <a:extLst>
            <a:ext uri="{FF2B5EF4-FFF2-40B4-BE49-F238E27FC236}">
              <a16:creationId xmlns:a16="http://schemas.microsoft.com/office/drawing/2014/main" id="{E03523C8-6FB5-4622-BB2E-65932F010D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2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1951" name="Picture@5C\QPendientes@" descr="@5C\QPendientes@">
          <a:extLst>
            <a:ext uri="{FF2B5EF4-FFF2-40B4-BE49-F238E27FC236}">
              <a16:creationId xmlns:a16="http://schemas.microsoft.com/office/drawing/2014/main" id="{73295BA8-FA44-4C62-A153-E4D5ED4BE9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1952" name="Picture@5C\QPendientes@" descr="@5C\QPendientes@">
          <a:extLst>
            <a:ext uri="{FF2B5EF4-FFF2-40B4-BE49-F238E27FC236}">
              <a16:creationId xmlns:a16="http://schemas.microsoft.com/office/drawing/2014/main" id="{0C5C16CD-7509-4D82-BFBB-0AC8617A8E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5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1953" name="Picture@5C\QPendientes@" descr="@5C\QPendientes@">
          <a:extLst>
            <a:ext uri="{FF2B5EF4-FFF2-40B4-BE49-F238E27FC236}">
              <a16:creationId xmlns:a16="http://schemas.microsoft.com/office/drawing/2014/main" id="{76CD90DE-CC55-4923-9DA9-5024E23976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77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1954" name="Picture@5C\QPendientes@" descr="@5C\QPendientes@">
          <a:extLst>
            <a:ext uri="{FF2B5EF4-FFF2-40B4-BE49-F238E27FC236}">
              <a16:creationId xmlns:a16="http://schemas.microsoft.com/office/drawing/2014/main" id="{1D81F203-2C90-47A6-B879-46FDB0781D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96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1955" name="Picture@5C\QPendientes@" descr="@5C\QPendientes@">
          <a:extLst>
            <a:ext uri="{FF2B5EF4-FFF2-40B4-BE49-F238E27FC236}">
              <a16:creationId xmlns:a16="http://schemas.microsoft.com/office/drawing/2014/main" id="{47AA2221-BCD5-4897-AA90-C996E786C4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14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1956" name="Picture@5C\QPendientes@" descr="@5C\QPendientes@">
          <a:extLst>
            <a:ext uri="{FF2B5EF4-FFF2-40B4-BE49-F238E27FC236}">
              <a16:creationId xmlns:a16="http://schemas.microsoft.com/office/drawing/2014/main" id="{8EA27943-D96E-45BD-8A3E-D97B6CB522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32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1957" name="Picture@5C\QPendientes@" descr="@5C\QPendientes@">
          <a:extLst>
            <a:ext uri="{FF2B5EF4-FFF2-40B4-BE49-F238E27FC236}">
              <a16:creationId xmlns:a16="http://schemas.microsoft.com/office/drawing/2014/main" id="{428B9AD6-8C85-4A2E-A077-FC3311C2F6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51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1958" name="Picture@5C\QPendientes@" descr="@5C\QPendientes@">
          <a:extLst>
            <a:ext uri="{FF2B5EF4-FFF2-40B4-BE49-F238E27FC236}">
              <a16:creationId xmlns:a16="http://schemas.microsoft.com/office/drawing/2014/main" id="{189DF52B-B167-447D-82CF-45D29AC884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69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1959" name="Picture@5C\QPendientes@" descr="@5C\QPendientes@">
          <a:extLst>
            <a:ext uri="{FF2B5EF4-FFF2-40B4-BE49-F238E27FC236}">
              <a16:creationId xmlns:a16="http://schemas.microsoft.com/office/drawing/2014/main" id="{4713A40D-413C-4E3D-9DC0-A54BFE09C3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87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1960" name="Picture@5C\QPendientes@" descr="@5C\QPendientes@">
          <a:extLst>
            <a:ext uri="{FF2B5EF4-FFF2-40B4-BE49-F238E27FC236}">
              <a16:creationId xmlns:a16="http://schemas.microsoft.com/office/drawing/2014/main" id="{AF1C9C66-4D2F-4E7A-8FD4-216375C5C2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05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1961" name="Picture@5C\QPendientes@" descr="@5C\QPendientes@">
          <a:extLst>
            <a:ext uri="{FF2B5EF4-FFF2-40B4-BE49-F238E27FC236}">
              <a16:creationId xmlns:a16="http://schemas.microsoft.com/office/drawing/2014/main" id="{C04C615B-8307-4A1E-B0DF-1063A9312A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1962" name="Picture@5C\QPendientes@" descr="@5C\QPendientes@">
          <a:extLst>
            <a:ext uri="{FF2B5EF4-FFF2-40B4-BE49-F238E27FC236}">
              <a16:creationId xmlns:a16="http://schemas.microsoft.com/office/drawing/2014/main" id="{2B9EE014-2320-4D0F-8E77-62D5D5CA17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42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1963" name="Picture@5C\QPendientes@" descr="@5C\QPendientes@">
          <a:extLst>
            <a:ext uri="{FF2B5EF4-FFF2-40B4-BE49-F238E27FC236}">
              <a16:creationId xmlns:a16="http://schemas.microsoft.com/office/drawing/2014/main" id="{5599F02F-C592-48DE-8ED4-D5E3C65E2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60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1964" name="Picture@5C\QPendientes@" descr="@5C\QPendientes@">
          <a:extLst>
            <a:ext uri="{FF2B5EF4-FFF2-40B4-BE49-F238E27FC236}">
              <a16:creationId xmlns:a16="http://schemas.microsoft.com/office/drawing/2014/main" id="{DF55CB07-EB30-4920-9972-2BFF9ED63B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79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1965" name="Picture@5C\QPendientes@" descr="@5C\QPendientes@">
          <a:extLst>
            <a:ext uri="{FF2B5EF4-FFF2-40B4-BE49-F238E27FC236}">
              <a16:creationId xmlns:a16="http://schemas.microsoft.com/office/drawing/2014/main" id="{1956C2F9-543B-4C6E-A59E-F8DC47A354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97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1966" name="Picture@5C\QPendientes@" descr="@5C\QPendientes@">
          <a:extLst>
            <a:ext uri="{FF2B5EF4-FFF2-40B4-BE49-F238E27FC236}">
              <a16:creationId xmlns:a16="http://schemas.microsoft.com/office/drawing/2014/main" id="{776087DE-FD5E-4344-A0A7-517CF847E8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1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1967" name="Picture@5C\QPendientes@" descr="@5C\QPendientes@">
          <a:extLst>
            <a:ext uri="{FF2B5EF4-FFF2-40B4-BE49-F238E27FC236}">
              <a16:creationId xmlns:a16="http://schemas.microsoft.com/office/drawing/2014/main" id="{1C4FB64C-B908-4C8E-AF89-777FF2058E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33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1968" name="Picture@5C\QPendientes@" descr="@5C\QPendientes@">
          <a:extLst>
            <a:ext uri="{FF2B5EF4-FFF2-40B4-BE49-F238E27FC236}">
              <a16:creationId xmlns:a16="http://schemas.microsoft.com/office/drawing/2014/main" id="{DBE0F501-0857-4DAB-8440-850FEA5678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52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1969" name="Picture@5C\QPendientes@" descr="@5C\QPendientes@">
          <a:extLst>
            <a:ext uri="{FF2B5EF4-FFF2-40B4-BE49-F238E27FC236}">
              <a16:creationId xmlns:a16="http://schemas.microsoft.com/office/drawing/2014/main" id="{F7407FCA-2B43-473F-A76D-BFE41C7B34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70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1970" name="Picture@5C\QPendientes@" descr="@5C\QPendientes@">
          <a:extLst>
            <a:ext uri="{FF2B5EF4-FFF2-40B4-BE49-F238E27FC236}">
              <a16:creationId xmlns:a16="http://schemas.microsoft.com/office/drawing/2014/main" id="{58779436-6D8E-49B2-82EF-5CE1097B86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88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1971" name="Picture@5C\QPendientes@" descr="@5C\QPendientes@">
          <a:extLst>
            <a:ext uri="{FF2B5EF4-FFF2-40B4-BE49-F238E27FC236}">
              <a16:creationId xmlns:a16="http://schemas.microsoft.com/office/drawing/2014/main" id="{D02F5939-60CE-492B-A590-6074A4A2AA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1972" name="Picture@5C\QPendientes@" descr="@5C\QPendientes@">
          <a:extLst>
            <a:ext uri="{FF2B5EF4-FFF2-40B4-BE49-F238E27FC236}">
              <a16:creationId xmlns:a16="http://schemas.microsoft.com/office/drawing/2014/main" id="{C768C719-28C9-40E1-89BA-5ACCE32137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25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1973" name="Picture@5C\QPendientes@" descr="@5C\QPendientes@">
          <a:extLst>
            <a:ext uri="{FF2B5EF4-FFF2-40B4-BE49-F238E27FC236}">
              <a16:creationId xmlns:a16="http://schemas.microsoft.com/office/drawing/2014/main" id="{592A95D6-89D8-48F5-9B93-52D356AADB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43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1974" name="Picture@5C\QPendientes@" descr="@5C\QPendientes@">
          <a:extLst>
            <a:ext uri="{FF2B5EF4-FFF2-40B4-BE49-F238E27FC236}">
              <a16:creationId xmlns:a16="http://schemas.microsoft.com/office/drawing/2014/main" id="{FA98046B-6FD0-44EB-9FB6-BCCEBE2A5F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61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1975" name="Picture@5C\QPendientes@" descr="@5C\QPendientes@">
          <a:extLst>
            <a:ext uri="{FF2B5EF4-FFF2-40B4-BE49-F238E27FC236}">
              <a16:creationId xmlns:a16="http://schemas.microsoft.com/office/drawing/2014/main" id="{C80CBD2C-263A-4D55-9CA6-E6559339AB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80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1976" name="Picture@5C\QPendientes@" descr="@5C\QPendientes@">
          <a:extLst>
            <a:ext uri="{FF2B5EF4-FFF2-40B4-BE49-F238E27FC236}">
              <a16:creationId xmlns:a16="http://schemas.microsoft.com/office/drawing/2014/main" id="{909388C1-32FB-4284-AED7-7DCAC9AFB9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98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1977" name="Picture@5C\QPendientes@" descr="@5C\QPendientes@">
          <a:extLst>
            <a:ext uri="{FF2B5EF4-FFF2-40B4-BE49-F238E27FC236}">
              <a16:creationId xmlns:a16="http://schemas.microsoft.com/office/drawing/2014/main" id="{C11B3CDF-B383-4E94-B40C-8162DA0739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16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1978" name="Picture@5C\QPendientes@" descr="@5C\QPendientes@">
          <a:extLst>
            <a:ext uri="{FF2B5EF4-FFF2-40B4-BE49-F238E27FC236}">
              <a16:creationId xmlns:a16="http://schemas.microsoft.com/office/drawing/2014/main" id="{B8CE279F-005B-412E-A994-BC8A54401B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35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1979" name="Picture@5C\QPendientes@" descr="@5C\QPendientes@">
          <a:extLst>
            <a:ext uri="{FF2B5EF4-FFF2-40B4-BE49-F238E27FC236}">
              <a16:creationId xmlns:a16="http://schemas.microsoft.com/office/drawing/2014/main" id="{DAA27CF4-476E-4D0D-BA46-78607BAB55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53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1980" name="Picture@5C\QPendientes@" descr="@5C\QPendientes@">
          <a:extLst>
            <a:ext uri="{FF2B5EF4-FFF2-40B4-BE49-F238E27FC236}">
              <a16:creationId xmlns:a16="http://schemas.microsoft.com/office/drawing/2014/main" id="{62AD8D31-8F98-4526-BE8E-9F212D4484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71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1981" name="Picture@5C\QPendientes@" descr="@5C\QPendientes@">
          <a:extLst>
            <a:ext uri="{FF2B5EF4-FFF2-40B4-BE49-F238E27FC236}">
              <a16:creationId xmlns:a16="http://schemas.microsoft.com/office/drawing/2014/main" id="{0B90C77B-ECF4-4967-B6FF-40A06A5A7F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1982" name="Picture@5C\QPendientes@" descr="@5C\QPendientes@">
          <a:extLst>
            <a:ext uri="{FF2B5EF4-FFF2-40B4-BE49-F238E27FC236}">
              <a16:creationId xmlns:a16="http://schemas.microsoft.com/office/drawing/2014/main" id="{FCA3C5A4-35C5-4B2A-AC2B-4D4ECE9FCF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08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1983" name="Picture@5C\QPendientes@" descr="@5C\QPendientes@">
          <a:extLst>
            <a:ext uri="{FF2B5EF4-FFF2-40B4-BE49-F238E27FC236}">
              <a16:creationId xmlns:a16="http://schemas.microsoft.com/office/drawing/2014/main" id="{6D33A3BA-8BCA-41E7-83EC-C2DD9F1890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26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1984" name="Picture@5C\QPendientes@" descr="@5C\QPendientes@">
          <a:extLst>
            <a:ext uri="{FF2B5EF4-FFF2-40B4-BE49-F238E27FC236}">
              <a16:creationId xmlns:a16="http://schemas.microsoft.com/office/drawing/2014/main" id="{1280E409-3AD6-4711-B642-BE03CC8505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44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1985" name="Picture@5C\QPendientes@" descr="@5C\QPendientes@">
          <a:extLst>
            <a:ext uri="{FF2B5EF4-FFF2-40B4-BE49-F238E27FC236}">
              <a16:creationId xmlns:a16="http://schemas.microsoft.com/office/drawing/2014/main" id="{DC1A3EEC-5195-41B9-B7D7-ECF4A99A23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63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1986" name="Picture@5C\QPendientes@" descr="@5C\QPendientes@">
          <a:extLst>
            <a:ext uri="{FF2B5EF4-FFF2-40B4-BE49-F238E27FC236}">
              <a16:creationId xmlns:a16="http://schemas.microsoft.com/office/drawing/2014/main" id="{4F9EB293-7554-4F8E-A4A2-289CC6E31C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81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1987" name="Picture@5C\QPendientes@" descr="@5C\QPendientes@">
          <a:extLst>
            <a:ext uri="{FF2B5EF4-FFF2-40B4-BE49-F238E27FC236}">
              <a16:creationId xmlns:a16="http://schemas.microsoft.com/office/drawing/2014/main" id="{220E83D4-305D-490F-B47E-5147B4A7AF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99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1988" name="Picture@5C\QPendientes@" descr="@5C\QPendientes@">
          <a:extLst>
            <a:ext uri="{FF2B5EF4-FFF2-40B4-BE49-F238E27FC236}">
              <a16:creationId xmlns:a16="http://schemas.microsoft.com/office/drawing/2014/main" id="{D8F29E21-13FD-481A-A3B1-5343974E3D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17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1989" name="Picture@5C\QPendientes@" descr="@5C\QPendientes@">
          <a:extLst>
            <a:ext uri="{FF2B5EF4-FFF2-40B4-BE49-F238E27FC236}">
              <a16:creationId xmlns:a16="http://schemas.microsoft.com/office/drawing/2014/main" id="{F6492FDC-9575-45D8-B5B7-5975C222DC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36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1990" name="Picture@5C\QPendientes@" descr="@5C\QPendientes@">
          <a:extLst>
            <a:ext uri="{FF2B5EF4-FFF2-40B4-BE49-F238E27FC236}">
              <a16:creationId xmlns:a16="http://schemas.microsoft.com/office/drawing/2014/main" id="{733179DC-1215-4336-86B1-4C88D8B48B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54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1991" name="Picture@5C\QPendientes@" descr="@5C\QPendientes@">
          <a:extLst>
            <a:ext uri="{FF2B5EF4-FFF2-40B4-BE49-F238E27FC236}">
              <a16:creationId xmlns:a16="http://schemas.microsoft.com/office/drawing/2014/main" id="{E91709BD-A8F0-49EC-8CB1-CA2CEDA81A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1992" name="Picture@5C\QPendientes@" descr="@5C\QPendientes@">
          <a:extLst>
            <a:ext uri="{FF2B5EF4-FFF2-40B4-BE49-F238E27FC236}">
              <a16:creationId xmlns:a16="http://schemas.microsoft.com/office/drawing/2014/main" id="{2685F8ED-206F-42DC-B7FA-4B9F098224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91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1993" name="Picture@5C\QPendientes@" descr="@5C\QPendientes@">
          <a:extLst>
            <a:ext uri="{FF2B5EF4-FFF2-40B4-BE49-F238E27FC236}">
              <a16:creationId xmlns:a16="http://schemas.microsoft.com/office/drawing/2014/main" id="{0B3246A9-5327-41B3-9F46-2FB1BFBA2A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09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1994" name="Picture@5C\QPendientes@" descr="@5C\QPendientes@">
          <a:extLst>
            <a:ext uri="{FF2B5EF4-FFF2-40B4-BE49-F238E27FC236}">
              <a16:creationId xmlns:a16="http://schemas.microsoft.com/office/drawing/2014/main" id="{A32086C9-9DA5-4861-9191-3B2154C1D0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27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1995" name="Picture@5C\QPendientes@" descr="@5C\QPendientes@">
          <a:extLst>
            <a:ext uri="{FF2B5EF4-FFF2-40B4-BE49-F238E27FC236}">
              <a16:creationId xmlns:a16="http://schemas.microsoft.com/office/drawing/2014/main" id="{26D78E4D-530C-4C60-A24F-D5FB328B9A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45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1996" name="Picture@5C\QPendientes@" descr="@5C\QPendientes@">
          <a:extLst>
            <a:ext uri="{FF2B5EF4-FFF2-40B4-BE49-F238E27FC236}">
              <a16:creationId xmlns:a16="http://schemas.microsoft.com/office/drawing/2014/main" id="{CF597FB4-C04E-4782-A887-7B00C8B883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64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1997" name="Picture@5C\QPendientes@" descr="@5C\QPendientes@">
          <a:extLst>
            <a:ext uri="{FF2B5EF4-FFF2-40B4-BE49-F238E27FC236}">
              <a16:creationId xmlns:a16="http://schemas.microsoft.com/office/drawing/2014/main" id="{88BFC046-3A44-4C19-A268-DC86B2057D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82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1998" name="Picture@5C\QPendientes@" descr="@5C\QPendientes@">
          <a:extLst>
            <a:ext uri="{FF2B5EF4-FFF2-40B4-BE49-F238E27FC236}">
              <a16:creationId xmlns:a16="http://schemas.microsoft.com/office/drawing/2014/main" id="{084F045E-F7E8-4CD8-8061-A2530DED85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00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1999" name="Picture@5C\QPendientes@" descr="@5C\QPendientes@">
          <a:extLst>
            <a:ext uri="{FF2B5EF4-FFF2-40B4-BE49-F238E27FC236}">
              <a16:creationId xmlns:a16="http://schemas.microsoft.com/office/drawing/2014/main" id="{A30E0CEF-0FE4-4183-A0BB-E04806B3AA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19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2000" name="Picture@5C\QPendientes@" descr="@5C\QPendientes@">
          <a:extLst>
            <a:ext uri="{FF2B5EF4-FFF2-40B4-BE49-F238E27FC236}">
              <a16:creationId xmlns:a16="http://schemas.microsoft.com/office/drawing/2014/main" id="{D2D2CF7A-BCFA-4410-B63C-BB29669443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37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2001" name="Picture@5C\QPendientes@" descr="@5C\QPendientes@">
          <a:extLst>
            <a:ext uri="{FF2B5EF4-FFF2-40B4-BE49-F238E27FC236}">
              <a16:creationId xmlns:a16="http://schemas.microsoft.com/office/drawing/2014/main" id="{A0245A0A-6107-41F7-A06F-0F387A75D6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2002" name="Picture@5C\QPendientes@" descr="@5C\QPendientes@">
          <a:extLst>
            <a:ext uri="{FF2B5EF4-FFF2-40B4-BE49-F238E27FC236}">
              <a16:creationId xmlns:a16="http://schemas.microsoft.com/office/drawing/2014/main" id="{E3418B77-F585-48D8-BEF9-0A129AABF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73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2003" name="Picture@5C\QPendientes@" descr="@5C\QPendientes@">
          <a:extLst>
            <a:ext uri="{FF2B5EF4-FFF2-40B4-BE49-F238E27FC236}">
              <a16:creationId xmlns:a16="http://schemas.microsoft.com/office/drawing/2014/main" id="{04824E2E-F5CE-4E81-B9A0-FC802C07DE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92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2004" name="Picture@5C\QPendientes@" descr="@5C\QPendientes@">
          <a:extLst>
            <a:ext uri="{FF2B5EF4-FFF2-40B4-BE49-F238E27FC236}">
              <a16:creationId xmlns:a16="http://schemas.microsoft.com/office/drawing/2014/main" id="{06E3C1D3-035E-4CDD-80F2-B9C14B7B44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10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2005" name="Picture@5C\QPendientes@" descr="@5C\QPendientes@">
          <a:extLst>
            <a:ext uri="{FF2B5EF4-FFF2-40B4-BE49-F238E27FC236}">
              <a16:creationId xmlns:a16="http://schemas.microsoft.com/office/drawing/2014/main" id="{644D9443-03B4-4366-8808-3210C6BCA1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28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2006" name="Picture@5C\QPendientes@" descr="@5C\QPendientes@">
          <a:extLst>
            <a:ext uri="{FF2B5EF4-FFF2-40B4-BE49-F238E27FC236}">
              <a16:creationId xmlns:a16="http://schemas.microsoft.com/office/drawing/2014/main" id="{A17ED4B1-D51D-44B3-8D59-37BDA1E32F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47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2007" name="Picture@5C\QPendientes@" descr="@5C\QPendientes@">
          <a:extLst>
            <a:ext uri="{FF2B5EF4-FFF2-40B4-BE49-F238E27FC236}">
              <a16:creationId xmlns:a16="http://schemas.microsoft.com/office/drawing/2014/main" id="{31EC24E7-C809-4E3D-9645-1B177133B9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65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2008" name="Picture@5C\QPendientes@" descr="@5C\QPendientes@">
          <a:extLst>
            <a:ext uri="{FF2B5EF4-FFF2-40B4-BE49-F238E27FC236}">
              <a16:creationId xmlns:a16="http://schemas.microsoft.com/office/drawing/2014/main" id="{34549886-36F9-48ED-8ED6-71CFA46FB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83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2009" name="Picture@5C\QPendientes@" descr="@5C\QPendientes@">
          <a:extLst>
            <a:ext uri="{FF2B5EF4-FFF2-40B4-BE49-F238E27FC236}">
              <a16:creationId xmlns:a16="http://schemas.microsoft.com/office/drawing/2014/main" id="{FC1F44FB-C024-4AC0-BEC4-16D1F4D6B1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01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2010" name="Picture@5C\QPendientes@" descr="@5C\QPendientes@">
          <a:extLst>
            <a:ext uri="{FF2B5EF4-FFF2-40B4-BE49-F238E27FC236}">
              <a16:creationId xmlns:a16="http://schemas.microsoft.com/office/drawing/2014/main" id="{7C927260-B9B9-4707-9F6F-F5364F784A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20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2011" name="Picture@5C\QPendientes@" descr="@5C\QPendientes@">
          <a:extLst>
            <a:ext uri="{FF2B5EF4-FFF2-40B4-BE49-F238E27FC236}">
              <a16:creationId xmlns:a16="http://schemas.microsoft.com/office/drawing/2014/main" id="{147562C4-FD0F-423D-9710-BE98088D6A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2012" name="Picture@5C\QPendientes@" descr="@5C\QPendientes@">
          <a:extLst>
            <a:ext uri="{FF2B5EF4-FFF2-40B4-BE49-F238E27FC236}">
              <a16:creationId xmlns:a16="http://schemas.microsoft.com/office/drawing/2014/main" id="{6D2C74A8-B408-4FC1-B918-79577DD11C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56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2013" name="Picture@5C\QPendientes@" descr="@5C\QPendientes@">
          <a:extLst>
            <a:ext uri="{FF2B5EF4-FFF2-40B4-BE49-F238E27FC236}">
              <a16:creationId xmlns:a16="http://schemas.microsoft.com/office/drawing/2014/main" id="{0EF21904-1C04-4803-8E8F-418B00C980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75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2014" name="Picture@5C\QPendientes@" descr="@5C\QPendientes@">
          <a:extLst>
            <a:ext uri="{FF2B5EF4-FFF2-40B4-BE49-F238E27FC236}">
              <a16:creationId xmlns:a16="http://schemas.microsoft.com/office/drawing/2014/main" id="{E8A29AFB-A286-4ADF-8798-75B6EB8CF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93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2015" name="Picture@5C\QPendientes@" descr="@5C\QPendientes@">
          <a:extLst>
            <a:ext uri="{FF2B5EF4-FFF2-40B4-BE49-F238E27FC236}">
              <a16:creationId xmlns:a16="http://schemas.microsoft.com/office/drawing/2014/main" id="{32624223-89BE-4751-870A-48DEBBDFA8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11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2016" name="Picture@5C\QPendientes@" descr="@5C\QPendientes@">
          <a:extLst>
            <a:ext uri="{FF2B5EF4-FFF2-40B4-BE49-F238E27FC236}">
              <a16:creationId xmlns:a16="http://schemas.microsoft.com/office/drawing/2014/main" id="{38F0C06C-C474-4A82-9C64-CFA08E3856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30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2017" name="Picture@5C\QPendientes@" descr="@5C\QPendientes@">
          <a:extLst>
            <a:ext uri="{FF2B5EF4-FFF2-40B4-BE49-F238E27FC236}">
              <a16:creationId xmlns:a16="http://schemas.microsoft.com/office/drawing/2014/main" id="{077842E3-3C5B-42C9-827F-814705E0B0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4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2018" name="Picture@5C\QPendientes@" descr="@5C\QPendientes@">
          <a:extLst>
            <a:ext uri="{FF2B5EF4-FFF2-40B4-BE49-F238E27FC236}">
              <a16:creationId xmlns:a16="http://schemas.microsoft.com/office/drawing/2014/main" id="{8D1E649F-F1F3-43F3-A666-6C3D00842A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6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2019" name="Picture@5C\QPendientes@" descr="@5C\QPendientes@">
          <a:extLst>
            <a:ext uri="{FF2B5EF4-FFF2-40B4-BE49-F238E27FC236}">
              <a16:creationId xmlns:a16="http://schemas.microsoft.com/office/drawing/2014/main" id="{0250D143-4B79-47A7-8C99-22F2AA7145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8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2020" name="Picture@5C\QPendientes@" descr="@5C\QPendientes@">
          <a:extLst>
            <a:ext uri="{FF2B5EF4-FFF2-40B4-BE49-F238E27FC236}">
              <a16:creationId xmlns:a16="http://schemas.microsoft.com/office/drawing/2014/main" id="{22084917-008C-41B5-B177-B22F826B7B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0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2021" name="Picture@5C\QPendientes@" descr="@5C\QPendientes@">
          <a:extLst>
            <a:ext uri="{FF2B5EF4-FFF2-40B4-BE49-F238E27FC236}">
              <a16:creationId xmlns:a16="http://schemas.microsoft.com/office/drawing/2014/main" id="{D3EBA736-203F-46DC-AFFE-AE0E1C384D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2022" name="Picture@5C\QPendientes@" descr="@5C\QPendientes@">
          <a:extLst>
            <a:ext uri="{FF2B5EF4-FFF2-40B4-BE49-F238E27FC236}">
              <a16:creationId xmlns:a16="http://schemas.microsoft.com/office/drawing/2014/main" id="{02CA096F-E3D7-4A9B-AF72-454F79984B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3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2023" name="Picture@5C\QPendientes@" descr="@5C\QPendientes@">
          <a:extLst>
            <a:ext uri="{FF2B5EF4-FFF2-40B4-BE49-F238E27FC236}">
              <a16:creationId xmlns:a16="http://schemas.microsoft.com/office/drawing/2014/main" id="{C7F65697-6753-4B54-BADE-DCD7C70187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5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2024" name="Picture@5C\QPendientes@" descr="@5C\QPendientes@">
          <a:extLst>
            <a:ext uri="{FF2B5EF4-FFF2-40B4-BE49-F238E27FC236}">
              <a16:creationId xmlns:a16="http://schemas.microsoft.com/office/drawing/2014/main" id="{5945B2F5-2C65-447B-9281-DD401B3A7A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7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2025" name="Picture@5C\QPendientes@" descr="@5C\QPendientes@">
          <a:extLst>
            <a:ext uri="{FF2B5EF4-FFF2-40B4-BE49-F238E27FC236}">
              <a16:creationId xmlns:a16="http://schemas.microsoft.com/office/drawing/2014/main" id="{E569C8B7-91C8-4DDE-907E-480ACD812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9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2026" name="Picture@5C\QPendientes@" descr="@5C\QPendientes@">
          <a:extLst>
            <a:ext uri="{FF2B5EF4-FFF2-40B4-BE49-F238E27FC236}">
              <a16:creationId xmlns:a16="http://schemas.microsoft.com/office/drawing/2014/main" id="{0876BA1A-6880-4052-A479-BEC57F23BA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1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2027" name="Picture@5C\QPendientes@" descr="@5C\QPendientes@">
          <a:extLst>
            <a:ext uri="{FF2B5EF4-FFF2-40B4-BE49-F238E27FC236}">
              <a16:creationId xmlns:a16="http://schemas.microsoft.com/office/drawing/2014/main" id="{3C1D878E-84AC-4AFF-9E8D-5C21090B0E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3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2028" name="Picture@5C\QPendientes@" descr="@5C\QPendientes@">
          <a:extLst>
            <a:ext uri="{FF2B5EF4-FFF2-40B4-BE49-F238E27FC236}">
              <a16:creationId xmlns:a16="http://schemas.microsoft.com/office/drawing/2014/main" id="{B0EA4A99-6D42-4285-91F4-99919D4347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4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2029" name="Picture@5C\QPendientes@" descr="@5C\QPendientes@">
          <a:extLst>
            <a:ext uri="{FF2B5EF4-FFF2-40B4-BE49-F238E27FC236}">
              <a16:creationId xmlns:a16="http://schemas.microsoft.com/office/drawing/2014/main" id="{7FB87660-A67D-472A-B6A8-1940705F63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6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2030" name="Picture@5C\QPendientes@" descr="@5C\QPendientes@">
          <a:extLst>
            <a:ext uri="{FF2B5EF4-FFF2-40B4-BE49-F238E27FC236}">
              <a16:creationId xmlns:a16="http://schemas.microsoft.com/office/drawing/2014/main" id="{B92A783E-81C4-4A55-914A-8096C59CD4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8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2031" name="Picture@5C\QPendientes@" descr="@5C\QPendientes@">
          <a:extLst>
            <a:ext uri="{FF2B5EF4-FFF2-40B4-BE49-F238E27FC236}">
              <a16:creationId xmlns:a16="http://schemas.microsoft.com/office/drawing/2014/main" id="{F876FF71-7544-437A-A22C-EE76BCD8D0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2032" name="Picture@5C\QPendientes@" descr="@5C\QPendientes@">
          <a:extLst>
            <a:ext uri="{FF2B5EF4-FFF2-40B4-BE49-F238E27FC236}">
              <a16:creationId xmlns:a16="http://schemas.microsoft.com/office/drawing/2014/main" id="{A2196A1B-3CF5-4DBB-B85B-3314C28DB1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2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2033" name="Picture@5C\QPendientes@" descr="@5C\QPendientes@">
          <a:extLst>
            <a:ext uri="{FF2B5EF4-FFF2-40B4-BE49-F238E27FC236}">
              <a16:creationId xmlns:a16="http://schemas.microsoft.com/office/drawing/2014/main" id="{53022C10-AD60-4FEC-A082-20756E973C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4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2034" name="Picture@5C\QPendientes@" descr="@5C\QPendientes@">
          <a:extLst>
            <a:ext uri="{FF2B5EF4-FFF2-40B4-BE49-F238E27FC236}">
              <a16:creationId xmlns:a16="http://schemas.microsoft.com/office/drawing/2014/main" id="{A8AEA676-7F09-4BD8-8077-05596C9ED4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5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2035" name="Picture@5C\QPendientes@" descr="@5C\QPendientes@">
          <a:extLst>
            <a:ext uri="{FF2B5EF4-FFF2-40B4-BE49-F238E27FC236}">
              <a16:creationId xmlns:a16="http://schemas.microsoft.com/office/drawing/2014/main" id="{B845CDEE-7CEE-4EB8-AB14-82F57CF8BD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7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2036" name="Picture@5C\QPendientes@" descr="@5C\QPendientes@">
          <a:extLst>
            <a:ext uri="{FF2B5EF4-FFF2-40B4-BE49-F238E27FC236}">
              <a16:creationId xmlns:a16="http://schemas.microsoft.com/office/drawing/2014/main" id="{1CED96B3-AC4E-4AC9-A37B-3703F10FAF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9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2037" name="Picture@5C\QPendientes@" descr="@5C\QPendientes@">
          <a:extLst>
            <a:ext uri="{FF2B5EF4-FFF2-40B4-BE49-F238E27FC236}">
              <a16:creationId xmlns:a16="http://schemas.microsoft.com/office/drawing/2014/main" id="{CD6F7692-0E59-4D68-B48D-C1D1551552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1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2038" name="Picture@5C\QPendientes@" descr="@5C\QPendientes@">
          <a:extLst>
            <a:ext uri="{FF2B5EF4-FFF2-40B4-BE49-F238E27FC236}">
              <a16:creationId xmlns:a16="http://schemas.microsoft.com/office/drawing/2014/main" id="{E65E90A3-1CEA-4472-8078-4721405FFF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3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2039" name="Picture@5C\QPendientes@" descr="@5C\QPendientes@">
          <a:extLst>
            <a:ext uri="{FF2B5EF4-FFF2-40B4-BE49-F238E27FC236}">
              <a16:creationId xmlns:a16="http://schemas.microsoft.com/office/drawing/2014/main" id="{21CAAB00-ED08-4432-8F53-30778EC21A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5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2040" name="Picture@5C\QPendientes@" descr="@5C\QPendientes@">
          <a:extLst>
            <a:ext uri="{FF2B5EF4-FFF2-40B4-BE49-F238E27FC236}">
              <a16:creationId xmlns:a16="http://schemas.microsoft.com/office/drawing/2014/main" id="{F9041B37-C01D-4256-B1D3-0FF846322F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6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2041" name="Picture@5C\QPendientes@" descr="@5C\QPendientes@">
          <a:extLst>
            <a:ext uri="{FF2B5EF4-FFF2-40B4-BE49-F238E27FC236}">
              <a16:creationId xmlns:a16="http://schemas.microsoft.com/office/drawing/2014/main" id="{5E8A3C74-CBAC-4747-AC4E-55C4C6CB20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2042" name="Picture@5C\QPendientes@" descr="@5C\QPendientes@">
          <a:extLst>
            <a:ext uri="{FF2B5EF4-FFF2-40B4-BE49-F238E27FC236}">
              <a16:creationId xmlns:a16="http://schemas.microsoft.com/office/drawing/2014/main" id="{AE1D3C98-D302-4FE2-A1FE-DC88C69D56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0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2043" name="Picture@5C\QPendientes@" descr="@5C\QPendientes@">
          <a:extLst>
            <a:ext uri="{FF2B5EF4-FFF2-40B4-BE49-F238E27FC236}">
              <a16:creationId xmlns:a16="http://schemas.microsoft.com/office/drawing/2014/main" id="{C9338A1C-366C-49CD-8A51-F76D2B3CD6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2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2044" name="Picture@5C\QPendientes@" descr="@5C\QPendientes@">
          <a:extLst>
            <a:ext uri="{FF2B5EF4-FFF2-40B4-BE49-F238E27FC236}">
              <a16:creationId xmlns:a16="http://schemas.microsoft.com/office/drawing/2014/main" id="{3F32D80C-570A-4B03-B646-4DBE0FC839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4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2045" name="Picture@5C\QPendientes@" descr="@5C\QPendientes@">
          <a:extLst>
            <a:ext uri="{FF2B5EF4-FFF2-40B4-BE49-F238E27FC236}">
              <a16:creationId xmlns:a16="http://schemas.microsoft.com/office/drawing/2014/main" id="{0BB622DB-D190-4541-9BAE-48A1F257BB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6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2046" name="Picture@5C\QPendientes@" descr="@5C\QPendientes@">
          <a:extLst>
            <a:ext uri="{FF2B5EF4-FFF2-40B4-BE49-F238E27FC236}">
              <a16:creationId xmlns:a16="http://schemas.microsoft.com/office/drawing/2014/main" id="{F8706C60-6C9D-4CC4-BD12-8CE290C30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7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2047" name="Picture@5C\QPendientes@" descr="@5C\QPendientes@">
          <a:extLst>
            <a:ext uri="{FF2B5EF4-FFF2-40B4-BE49-F238E27FC236}">
              <a16:creationId xmlns:a16="http://schemas.microsoft.com/office/drawing/2014/main" id="{2B0923E0-45E0-454E-ABA5-5E427E9DA0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9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2048" name="Picture@5C\QPendientes@" descr="@5C\QPendientes@">
          <a:extLst>
            <a:ext uri="{FF2B5EF4-FFF2-40B4-BE49-F238E27FC236}">
              <a16:creationId xmlns:a16="http://schemas.microsoft.com/office/drawing/2014/main" id="{BCB96EFA-6AA6-4415-B17B-8C3329DE14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1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2049" name="Picture@5C\QPendientes@" descr="@5C\QPendientes@">
          <a:extLst>
            <a:ext uri="{FF2B5EF4-FFF2-40B4-BE49-F238E27FC236}">
              <a16:creationId xmlns:a16="http://schemas.microsoft.com/office/drawing/2014/main" id="{BB1EB00F-1C30-40CD-9615-2155129C7A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3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2050" name="Picture@5C\QPendientes@" descr="@5C\QPendientes@">
          <a:extLst>
            <a:ext uri="{FF2B5EF4-FFF2-40B4-BE49-F238E27FC236}">
              <a16:creationId xmlns:a16="http://schemas.microsoft.com/office/drawing/2014/main" id="{3E399328-A1E2-436E-848A-E993620A9E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5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2051" name="Picture@5C\QPendientes@" descr="@5C\QPendientes@">
          <a:extLst>
            <a:ext uri="{FF2B5EF4-FFF2-40B4-BE49-F238E27FC236}">
              <a16:creationId xmlns:a16="http://schemas.microsoft.com/office/drawing/2014/main" id="{B989E837-AD97-4C09-B476-B41647E8F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2052" name="Picture@5C\QPendientes@" descr="@5C\QPendientes@">
          <a:extLst>
            <a:ext uri="{FF2B5EF4-FFF2-40B4-BE49-F238E27FC236}">
              <a16:creationId xmlns:a16="http://schemas.microsoft.com/office/drawing/2014/main" id="{B91F9C99-1C84-484C-850C-066A2D939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8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2053" name="Picture@5C\QPendientes@" descr="@5C\QPendientes@">
          <a:extLst>
            <a:ext uri="{FF2B5EF4-FFF2-40B4-BE49-F238E27FC236}">
              <a16:creationId xmlns:a16="http://schemas.microsoft.com/office/drawing/2014/main" id="{82732DEE-35F8-4CFB-8EDA-B7979CC088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0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2054" name="Picture@5C\QPendientes@" descr="@5C\QPendientes@">
          <a:extLst>
            <a:ext uri="{FF2B5EF4-FFF2-40B4-BE49-F238E27FC236}">
              <a16:creationId xmlns:a16="http://schemas.microsoft.com/office/drawing/2014/main" id="{C2D36EA3-B3DB-464B-943E-AF151E3005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2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2055" name="Picture@5C\QPendientes@" descr="@5C\QPendientes@">
          <a:extLst>
            <a:ext uri="{FF2B5EF4-FFF2-40B4-BE49-F238E27FC236}">
              <a16:creationId xmlns:a16="http://schemas.microsoft.com/office/drawing/2014/main" id="{2EBD0CED-308A-43FE-967B-3D14F2EAE2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4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2056" name="Picture@5C\QPendientes@" descr="@5C\QPendientes@">
          <a:extLst>
            <a:ext uri="{FF2B5EF4-FFF2-40B4-BE49-F238E27FC236}">
              <a16:creationId xmlns:a16="http://schemas.microsoft.com/office/drawing/2014/main" id="{9440310D-DA60-4A4C-A1C7-2F1162A53F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6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2057" name="Picture@5C\QPendientes@" descr="@5C\QPendientes@">
          <a:extLst>
            <a:ext uri="{FF2B5EF4-FFF2-40B4-BE49-F238E27FC236}">
              <a16:creationId xmlns:a16="http://schemas.microsoft.com/office/drawing/2014/main" id="{14C7D312-8812-45DF-AE75-6EEC7BA880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7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2058" name="Picture@5C\QPendientes@" descr="@5C\QPendientes@">
          <a:extLst>
            <a:ext uri="{FF2B5EF4-FFF2-40B4-BE49-F238E27FC236}">
              <a16:creationId xmlns:a16="http://schemas.microsoft.com/office/drawing/2014/main" id="{69712842-D6B3-49E4-BB22-8E4A574C80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9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2059" name="Picture@5C\QPendientes@" descr="@5C\QPendientes@">
          <a:extLst>
            <a:ext uri="{FF2B5EF4-FFF2-40B4-BE49-F238E27FC236}">
              <a16:creationId xmlns:a16="http://schemas.microsoft.com/office/drawing/2014/main" id="{6B5EC0CB-3B38-40F7-8887-121DE002E9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1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2060" name="Picture@5C\QPendientes@" descr="@5C\QPendientes@">
          <a:extLst>
            <a:ext uri="{FF2B5EF4-FFF2-40B4-BE49-F238E27FC236}">
              <a16:creationId xmlns:a16="http://schemas.microsoft.com/office/drawing/2014/main" id="{C27C9FCF-2327-4572-A824-F2CEF09B8E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3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2061" name="Picture@5C\QPendientes@" descr="@5C\QPendientes@">
          <a:extLst>
            <a:ext uri="{FF2B5EF4-FFF2-40B4-BE49-F238E27FC236}">
              <a16:creationId xmlns:a16="http://schemas.microsoft.com/office/drawing/2014/main" id="{4F3C1659-2FF0-407C-ABFF-253A050433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2062" name="Picture@5C\QPendientes@" descr="@5C\QPendientes@">
          <a:extLst>
            <a:ext uri="{FF2B5EF4-FFF2-40B4-BE49-F238E27FC236}">
              <a16:creationId xmlns:a16="http://schemas.microsoft.com/office/drawing/2014/main" id="{7AD77D10-2101-4C92-A2AD-F913EBEBC6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7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2063" name="Picture@5C\QPendientes@" descr="@5C\QPendientes@">
          <a:extLst>
            <a:ext uri="{FF2B5EF4-FFF2-40B4-BE49-F238E27FC236}">
              <a16:creationId xmlns:a16="http://schemas.microsoft.com/office/drawing/2014/main" id="{6DC64F6B-063C-49FA-BBAF-C86F8C8179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8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2064" name="Picture@5C\QPendientes@" descr="@5C\QPendientes@">
          <a:extLst>
            <a:ext uri="{FF2B5EF4-FFF2-40B4-BE49-F238E27FC236}">
              <a16:creationId xmlns:a16="http://schemas.microsoft.com/office/drawing/2014/main" id="{4402B1E8-595A-4E24-B3B8-FC99B8EB98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0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2065" name="Picture@5C\QPendientes@" descr="@5C\QPendientes@">
          <a:extLst>
            <a:ext uri="{FF2B5EF4-FFF2-40B4-BE49-F238E27FC236}">
              <a16:creationId xmlns:a16="http://schemas.microsoft.com/office/drawing/2014/main" id="{7D3D0642-9B85-443C-B0ED-DA5154363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2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2066" name="Picture@5C\QPendientes@" descr="@5C\QPendientes@">
          <a:extLst>
            <a:ext uri="{FF2B5EF4-FFF2-40B4-BE49-F238E27FC236}">
              <a16:creationId xmlns:a16="http://schemas.microsoft.com/office/drawing/2014/main" id="{44FCA016-39A4-4451-9D5E-6897058023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4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2067" name="Picture@5C\QPendientes@" descr="@5C\QPendientes@">
          <a:extLst>
            <a:ext uri="{FF2B5EF4-FFF2-40B4-BE49-F238E27FC236}">
              <a16:creationId xmlns:a16="http://schemas.microsoft.com/office/drawing/2014/main" id="{0764DCE4-D4B0-4D6D-9713-F04C1B98D3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6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2068" name="Picture@5C\QPendientes@" descr="@5C\QPendientes@">
          <a:extLst>
            <a:ext uri="{FF2B5EF4-FFF2-40B4-BE49-F238E27FC236}">
              <a16:creationId xmlns:a16="http://schemas.microsoft.com/office/drawing/2014/main" id="{14A5ECDD-DBA6-4F20-838E-9D965C7F2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8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2069" name="Picture@5C\QPendientes@" descr="@5C\QPendientes@">
          <a:extLst>
            <a:ext uri="{FF2B5EF4-FFF2-40B4-BE49-F238E27FC236}">
              <a16:creationId xmlns:a16="http://schemas.microsoft.com/office/drawing/2014/main" id="{EA2E21BF-5263-42A2-85CE-E2116105E3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9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2070" name="Picture@5C\QPendientes@" descr="@5C\QPendientes@">
          <a:extLst>
            <a:ext uri="{FF2B5EF4-FFF2-40B4-BE49-F238E27FC236}">
              <a16:creationId xmlns:a16="http://schemas.microsoft.com/office/drawing/2014/main" id="{FDCD6CD1-BA24-45DE-9123-0E6C15CD73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1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2071" name="Picture@5C\QPendientes@" descr="@5C\QPendientes@">
          <a:extLst>
            <a:ext uri="{FF2B5EF4-FFF2-40B4-BE49-F238E27FC236}">
              <a16:creationId xmlns:a16="http://schemas.microsoft.com/office/drawing/2014/main" id="{75C4385B-4FE8-43C4-A94E-FE8E536480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2072" name="Picture@5C\QPendientes@" descr="@5C\QPendientes@">
          <a:extLst>
            <a:ext uri="{FF2B5EF4-FFF2-40B4-BE49-F238E27FC236}">
              <a16:creationId xmlns:a16="http://schemas.microsoft.com/office/drawing/2014/main" id="{69AAF197-98DC-4E1E-BB01-76D4399CC7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5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2073" name="Picture@5C\QPendientes@" descr="@5C\QPendientes@">
          <a:extLst>
            <a:ext uri="{FF2B5EF4-FFF2-40B4-BE49-F238E27FC236}">
              <a16:creationId xmlns:a16="http://schemas.microsoft.com/office/drawing/2014/main" id="{33ADD156-9F9C-4BCF-B4C6-C801AEDD28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7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2074" name="Picture@5C\QPendientes@" descr="@5C\QPendientes@">
          <a:extLst>
            <a:ext uri="{FF2B5EF4-FFF2-40B4-BE49-F238E27FC236}">
              <a16:creationId xmlns:a16="http://schemas.microsoft.com/office/drawing/2014/main" id="{12C0726C-B1F3-4003-AF51-19DD0C1CB6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9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2075" name="Picture@5C\QPendientes@" descr="@5C\QPendientes@">
          <a:extLst>
            <a:ext uri="{FF2B5EF4-FFF2-40B4-BE49-F238E27FC236}">
              <a16:creationId xmlns:a16="http://schemas.microsoft.com/office/drawing/2014/main" id="{9D9E0416-3597-4A05-B8A5-78E2DBAD28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0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2076" name="Picture@5C\QPendientes@" descr="@5C\QPendientes@">
          <a:extLst>
            <a:ext uri="{FF2B5EF4-FFF2-40B4-BE49-F238E27FC236}">
              <a16:creationId xmlns:a16="http://schemas.microsoft.com/office/drawing/2014/main" id="{B34658A0-128A-481E-A3FA-5E516932A2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2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2077" name="Picture@5C\QPendientes@" descr="@5C\QPendientes@">
          <a:extLst>
            <a:ext uri="{FF2B5EF4-FFF2-40B4-BE49-F238E27FC236}">
              <a16:creationId xmlns:a16="http://schemas.microsoft.com/office/drawing/2014/main" id="{C264AC56-7A35-4805-BF45-F533DBCEC6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4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2078" name="Picture@5C\QPendientes@" descr="@5C\QPendientes@">
          <a:extLst>
            <a:ext uri="{FF2B5EF4-FFF2-40B4-BE49-F238E27FC236}">
              <a16:creationId xmlns:a16="http://schemas.microsoft.com/office/drawing/2014/main" id="{91B93D88-F6B6-483C-9265-F49F00F38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6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2079" name="Picture@5C\QPendientes@" descr="@5C\QPendientes@">
          <a:extLst>
            <a:ext uri="{FF2B5EF4-FFF2-40B4-BE49-F238E27FC236}">
              <a16:creationId xmlns:a16="http://schemas.microsoft.com/office/drawing/2014/main" id="{96BC42AC-951E-4730-B590-BC340C0DBE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8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2080" name="Picture@5C\QPendientes@" descr="@5C\QPendientes@">
          <a:extLst>
            <a:ext uri="{FF2B5EF4-FFF2-40B4-BE49-F238E27FC236}">
              <a16:creationId xmlns:a16="http://schemas.microsoft.com/office/drawing/2014/main" id="{966932CB-1F8D-4220-8975-B082554E59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0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2081" name="Picture@5C\QPendientes@" descr="@5C\QPendientes@">
          <a:extLst>
            <a:ext uri="{FF2B5EF4-FFF2-40B4-BE49-F238E27FC236}">
              <a16:creationId xmlns:a16="http://schemas.microsoft.com/office/drawing/2014/main" id="{B3FE93F5-5ABD-4D77-BE49-7C7D20C761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2082" name="Picture@5C\QPendientes@" descr="@5C\QPendientes@">
          <a:extLst>
            <a:ext uri="{FF2B5EF4-FFF2-40B4-BE49-F238E27FC236}">
              <a16:creationId xmlns:a16="http://schemas.microsoft.com/office/drawing/2014/main" id="{CA8379C3-AE75-4DE3-B24D-4281C578FA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3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2083" name="Picture@5C\QPendientes@" descr="@5C\QPendientes@">
          <a:extLst>
            <a:ext uri="{FF2B5EF4-FFF2-40B4-BE49-F238E27FC236}">
              <a16:creationId xmlns:a16="http://schemas.microsoft.com/office/drawing/2014/main" id="{D201133C-CAD2-427B-AB90-A8A42AAB67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5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2292" name="Picture@5C\QPendientes@" descr="@5C\QPendientes@">
          <a:extLst>
            <a:ext uri="{FF2B5EF4-FFF2-40B4-BE49-F238E27FC236}">
              <a16:creationId xmlns:a16="http://schemas.microsoft.com/office/drawing/2014/main" id="{7CD6C5FA-1F86-44FE-90BC-669277BB88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2293" name="Picture@5C\QPendientes@" descr="@5C\QPendientes@">
          <a:extLst>
            <a:ext uri="{FF2B5EF4-FFF2-40B4-BE49-F238E27FC236}">
              <a16:creationId xmlns:a16="http://schemas.microsoft.com/office/drawing/2014/main" id="{14C0F8EF-11FA-4884-B2F1-1F98EB3883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2294" name="Picture@5C\QPendientes@" descr="@5C\QPendientes@">
          <a:extLst>
            <a:ext uri="{FF2B5EF4-FFF2-40B4-BE49-F238E27FC236}">
              <a16:creationId xmlns:a16="http://schemas.microsoft.com/office/drawing/2014/main" id="{58E8558F-CD01-4AEC-9D23-A4C5669CFA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2295" name="Picture@5C\QPendientes@" descr="@5C\QPendientes@">
          <a:extLst>
            <a:ext uri="{FF2B5EF4-FFF2-40B4-BE49-F238E27FC236}">
              <a16:creationId xmlns:a16="http://schemas.microsoft.com/office/drawing/2014/main" id="{09C7D9BF-4951-442E-AC53-73595805CA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2296" name="Picture@5C\QPendientes@" descr="@5C\QPendientes@">
          <a:extLst>
            <a:ext uri="{FF2B5EF4-FFF2-40B4-BE49-F238E27FC236}">
              <a16:creationId xmlns:a16="http://schemas.microsoft.com/office/drawing/2014/main" id="{084ADAEE-3160-49BD-9E38-6B858C5588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2297" name="Picture@5C\QPendientes@" descr="@5C\QPendientes@">
          <a:extLst>
            <a:ext uri="{FF2B5EF4-FFF2-40B4-BE49-F238E27FC236}">
              <a16:creationId xmlns:a16="http://schemas.microsoft.com/office/drawing/2014/main" id="{E6938652-2A07-4073-A8CD-F209A30F08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2298" name="Picture@5C\QPendientes@" descr="@5C\QPendientes@">
          <a:extLst>
            <a:ext uri="{FF2B5EF4-FFF2-40B4-BE49-F238E27FC236}">
              <a16:creationId xmlns:a16="http://schemas.microsoft.com/office/drawing/2014/main" id="{E1CC4A5C-F70C-4AEA-9FC1-55D57187FD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2299" name="Picture@5C\QPendientes@" descr="@5C\QPendientes@">
          <a:extLst>
            <a:ext uri="{FF2B5EF4-FFF2-40B4-BE49-F238E27FC236}">
              <a16:creationId xmlns:a16="http://schemas.microsoft.com/office/drawing/2014/main" id="{15C69986-D062-406A-8DA0-6556405299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2300" name="Picture@5C\QPendientes@" descr="@5C\QPendientes@">
          <a:extLst>
            <a:ext uri="{FF2B5EF4-FFF2-40B4-BE49-F238E27FC236}">
              <a16:creationId xmlns:a16="http://schemas.microsoft.com/office/drawing/2014/main" id="{40B81D40-C02B-430D-8A79-1E0EEC443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2301" name="Picture@5C\QPendientes@" descr="@5C\QPendientes@">
          <a:extLst>
            <a:ext uri="{FF2B5EF4-FFF2-40B4-BE49-F238E27FC236}">
              <a16:creationId xmlns:a16="http://schemas.microsoft.com/office/drawing/2014/main" id="{0815DDF0-1FB2-4AF4-9CDE-C1BE72CE4E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2302" name="Picture@5C\QPendientes@" descr="@5C\QPendientes@">
          <a:extLst>
            <a:ext uri="{FF2B5EF4-FFF2-40B4-BE49-F238E27FC236}">
              <a16:creationId xmlns:a16="http://schemas.microsoft.com/office/drawing/2014/main" id="{AC41D445-E7C3-47C1-9F4E-0525734809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2303" name="Picture@5C\QPendientes@" descr="@5C\QPendientes@">
          <a:extLst>
            <a:ext uri="{FF2B5EF4-FFF2-40B4-BE49-F238E27FC236}">
              <a16:creationId xmlns:a16="http://schemas.microsoft.com/office/drawing/2014/main" id="{2309A5F2-B542-4765-A443-03D09D9606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2304" name="Picture@5C\QPendientes@" descr="@5C\QPendientes@">
          <a:extLst>
            <a:ext uri="{FF2B5EF4-FFF2-40B4-BE49-F238E27FC236}">
              <a16:creationId xmlns:a16="http://schemas.microsoft.com/office/drawing/2014/main" id="{EB760693-FDA2-4CB6-BF57-41B6B67A8C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2305" name="Picture@5C\QPendientes@" descr="@5C\QPendientes@">
          <a:extLst>
            <a:ext uri="{FF2B5EF4-FFF2-40B4-BE49-F238E27FC236}">
              <a16:creationId xmlns:a16="http://schemas.microsoft.com/office/drawing/2014/main" id="{52E39F58-93D6-482E-8063-504C650FC7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2306" name="Picture@5C\QPendientes@" descr="@5C\QPendientes@">
          <a:extLst>
            <a:ext uri="{FF2B5EF4-FFF2-40B4-BE49-F238E27FC236}">
              <a16:creationId xmlns:a16="http://schemas.microsoft.com/office/drawing/2014/main" id="{378E7CD5-CF7D-4B0A-AF8B-FD78331C69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2307" name="Picture@5C\QPendientes@" descr="@5C\QPendientes@">
          <a:extLst>
            <a:ext uri="{FF2B5EF4-FFF2-40B4-BE49-F238E27FC236}">
              <a16:creationId xmlns:a16="http://schemas.microsoft.com/office/drawing/2014/main" id="{F870A978-0BDD-4015-9D22-AE16D68782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2308" name="Picture@5C\QPendientes@" descr="@5C\QPendientes@">
          <a:extLst>
            <a:ext uri="{FF2B5EF4-FFF2-40B4-BE49-F238E27FC236}">
              <a16:creationId xmlns:a16="http://schemas.microsoft.com/office/drawing/2014/main" id="{DBD81528-5F28-429A-975D-738AA9692B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2309" name="Picture@5C\QPendientes@" descr="@5C\QPendientes@">
          <a:extLst>
            <a:ext uri="{FF2B5EF4-FFF2-40B4-BE49-F238E27FC236}">
              <a16:creationId xmlns:a16="http://schemas.microsoft.com/office/drawing/2014/main" id="{3C7F3B45-4D33-4F46-A47D-8A768FA90C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2310" name="Picture@5C\QPendientes@" descr="@5C\QPendientes@">
          <a:extLst>
            <a:ext uri="{FF2B5EF4-FFF2-40B4-BE49-F238E27FC236}">
              <a16:creationId xmlns:a16="http://schemas.microsoft.com/office/drawing/2014/main" id="{DD8A5293-FE45-4D99-9619-6B597B4B89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2311" name="Picture@5C\QPendientes@" descr="@5C\QPendientes@">
          <a:extLst>
            <a:ext uri="{FF2B5EF4-FFF2-40B4-BE49-F238E27FC236}">
              <a16:creationId xmlns:a16="http://schemas.microsoft.com/office/drawing/2014/main" id="{D4070544-03DD-4B89-A7B0-B679BBF6A0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2312" name="Picture@5C\QPendientes@" descr="@5C\QPendientes@">
          <a:extLst>
            <a:ext uri="{FF2B5EF4-FFF2-40B4-BE49-F238E27FC236}">
              <a16:creationId xmlns:a16="http://schemas.microsoft.com/office/drawing/2014/main" id="{D254E55F-9E54-4978-9DC9-59A2401EA4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2313" name="Picture@5C\QPendientes@" descr="@5C\QPendientes@">
          <a:extLst>
            <a:ext uri="{FF2B5EF4-FFF2-40B4-BE49-F238E27FC236}">
              <a16:creationId xmlns:a16="http://schemas.microsoft.com/office/drawing/2014/main" id="{DC44BBE4-1226-4B4F-A59C-B938D8CE6D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2314" name="Picture@5C\QPendientes@" descr="@5C\QPendientes@">
          <a:extLst>
            <a:ext uri="{FF2B5EF4-FFF2-40B4-BE49-F238E27FC236}">
              <a16:creationId xmlns:a16="http://schemas.microsoft.com/office/drawing/2014/main" id="{EB1CFD9A-B3BB-4150-A278-7C65463216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315" name="Picture@5C\QPendientes@" descr="@5C\QPendientes@">
          <a:extLst>
            <a:ext uri="{FF2B5EF4-FFF2-40B4-BE49-F238E27FC236}">
              <a16:creationId xmlns:a16="http://schemas.microsoft.com/office/drawing/2014/main" id="{46500DCF-A4A4-4EF3-8D1C-931657E51F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316" name="Picture@5C\QPendientes@" descr="@5C\QPendientes@">
          <a:extLst>
            <a:ext uri="{FF2B5EF4-FFF2-40B4-BE49-F238E27FC236}">
              <a16:creationId xmlns:a16="http://schemas.microsoft.com/office/drawing/2014/main" id="{0ADCD247-4728-4C56-A67D-8B0E58BADE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317" name="Picture@5C\QPendientes@" descr="@5C\QPendientes@">
          <a:extLst>
            <a:ext uri="{FF2B5EF4-FFF2-40B4-BE49-F238E27FC236}">
              <a16:creationId xmlns:a16="http://schemas.microsoft.com/office/drawing/2014/main" id="{4C01256F-4829-4226-AD41-900B97B3EE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318" name="Picture@5C\QPendientes@" descr="@5C\QPendientes@">
          <a:extLst>
            <a:ext uri="{FF2B5EF4-FFF2-40B4-BE49-F238E27FC236}">
              <a16:creationId xmlns:a16="http://schemas.microsoft.com/office/drawing/2014/main" id="{31847D59-D76C-40B2-A10F-39C061868E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319" name="Picture@5C\QPendientes@" descr="@5C\QPendientes@">
          <a:extLst>
            <a:ext uri="{FF2B5EF4-FFF2-40B4-BE49-F238E27FC236}">
              <a16:creationId xmlns:a16="http://schemas.microsoft.com/office/drawing/2014/main" id="{426C53FC-8493-47BC-89A5-C0DE63EEA8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2320" name="Picture@5C\QPendientes@" descr="@5C\QPendientes@">
          <a:extLst>
            <a:ext uri="{FF2B5EF4-FFF2-40B4-BE49-F238E27FC236}">
              <a16:creationId xmlns:a16="http://schemas.microsoft.com/office/drawing/2014/main" id="{C9A1E438-9321-4B12-94E4-82608737FD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2321" name="Picture@5C\QPendientes@" descr="@5C\QPendientes@">
          <a:extLst>
            <a:ext uri="{FF2B5EF4-FFF2-40B4-BE49-F238E27FC236}">
              <a16:creationId xmlns:a16="http://schemas.microsoft.com/office/drawing/2014/main" id="{B9302982-99DE-4804-B2FC-430919A644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2322" name="Picture@5C\QPendientes@" descr="@5C\QPendientes@">
          <a:extLst>
            <a:ext uri="{FF2B5EF4-FFF2-40B4-BE49-F238E27FC236}">
              <a16:creationId xmlns:a16="http://schemas.microsoft.com/office/drawing/2014/main" id="{A18AFC37-6F48-4CB2-9222-AEDC169F46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2323" name="Picture@5C\QPendientes@" descr="@5C\QPendientes@">
          <a:extLst>
            <a:ext uri="{FF2B5EF4-FFF2-40B4-BE49-F238E27FC236}">
              <a16:creationId xmlns:a16="http://schemas.microsoft.com/office/drawing/2014/main" id="{44646521-5DEC-4C05-A498-1D830CCCD2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2324" name="Picture@5C\QPendientes@" descr="@5C\QPendientes@">
          <a:extLst>
            <a:ext uri="{FF2B5EF4-FFF2-40B4-BE49-F238E27FC236}">
              <a16:creationId xmlns:a16="http://schemas.microsoft.com/office/drawing/2014/main" id="{31DF8ACB-1277-4002-A803-9914497906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2325" name="Picture@5C\QPendientes@" descr="@5C\QPendientes@">
          <a:extLst>
            <a:ext uri="{FF2B5EF4-FFF2-40B4-BE49-F238E27FC236}">
              <a16:creationId xmlns:a16="http://schemas.microsoft.com/office/drawing/2014/main" id="{DFED02DA-4617-43F5-B681-26D3A2D44E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2326" name="Picture@5C\QPendientes@" descr="@5C\QPendientes@">
          <a:extLst>
            <a:ext uri="{FF2B5EF4-FFF2-40B4-BE49-F238E27FC236}">
              <a16:creationId xmlns:a16="http://schemas.microsoft.com/office/drawing/2014/main" id="{972E2D4D-A482-4E78-8482-55FA00096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2327" name="Picture@5C\QPendientes@" descr="@5C\QPendientes@">
          <a:extLst>
            <a:ext uri="{FF2B5EF4-FFF2-40B4-BE49-F238E27FC236}">
              <a16:creationId xmlns:a16="http://schemas.microsoft.com/office/drawing/2014/main" id="{5487F213-B7D9-42F9-98CB-6707DA733E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2328" name="Picture@5C\QPendientes@" descr="@5C\QPendientes@">
          <a:extLst>
            <a:ext uri="{FF2B5EF4-FFF2-40B4-BE49-F238E27FC236}">
              <a16:creationId xmlns:a16="http://schemas.microsoft.com/office/drawing/2014/main" id="{DB25F7F1-D350-4822-84A3-D1E32B9F2F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2329" name="Picture@5C\QPendientes@" descr="@5C\QPendientes@">
          <a:extLst>
            <a:ext uri="{FF2B5EF4-FFF2-40B4-BE49-F238E27FC236}">
              <a16:creationId xmlns:a16="http://schemas.microsoft.com/office/drawing/2014/main" id="{DD8758CB-E5C7-47FB-AB68-08119C7009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2330" name="Picture@5C\QPendientes@" descr="@5C\QPendientes@">
          <a:extLst>
            <a:ext uri="{FF2B5EF4-FFF2-40B4-BE49-F238E27FC236}">
              <a16:creationId xmlns:a16="http://schemas.microsoft.com/office/drawing/2014/main" id="{382EEF71-D157-4E64-A34B-9B9B940489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2331" name="Picture@5C\QPendientes@" descr="@5C\QPendientes@">
          <a:extLst>
            <a:ext uri="{FF2B5EF4-FFF2-40B4-BE49-F238E27FC236}">
              <a16:creationId xmlns:a16="http://schemas.microsoft.com/office/drawing/2014/main" id="{BD802028-7249-4115-90EA-44D32A7092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2332" name="Picture@5C\QPendientes@" descr="@5C\QPendientes@">
          <a:extLst>
            <a:ext uri="{FF2B5EF4-FFF2-40B4-BE49-F238E27FC236}">
              <a16:creationId xmlns:a16="http://schemas.microsoft.com/office/drawing/2014/main" id="{B4249A71-2EFE-48C2-A123-5F7B6143D7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2333" name="Picture@5C\QPendientes@" descr="@5C\QPendientes@">
          <a:extLst>
            <a:ext uri="{FF2B5EF4-FFF2-40B4-BE49-F238E27FC236}">
              <a16:creationId xmlns:a16="http://schemas.microsoft.com/office/drawing/2014/main" id="{0D784BF0-AB3C-4C92-9546-921B5B39C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2334" name="Picture@5C\QPendientes@" descr="@5C\QPendientes@">
          <a:extLst>
            <a:ext uri="{FF2B5EF4-FFF2-40B4-BE49-F238E27FC236}">
              <a16:creationId xmlns:a16="http://schemas.microsoft.com/office/drawing/2014/main" id="{7A5927F6-F3F7-427A-8059-954E167430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2335" name="Picture@5C\QPendientes@" descr="@5C\QPendientes@">
          <a:extLst>
            <a:ext uri="{FF2B5EF4-FFF2-40B4-BE49-F238E27FC236}">
              <a16:creationId xmlns:a16="http://schemas.microsoft.com/office/drawing/2014/main" id="{F58F06B9-CD1B-491A-A9BB-C5F6DCAF6A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2336" name="Picture@5C\QPendientes@" descr="@5C\QPendientes@">
          <a:extLst>
            <a:ext uri="{FF2B5EF4-FFF2-40B4-BE49-F238E27FC236}">
              <a16:creationId xmlns:a16="http://schemas.microsoft.com/office/drawing/2014/main" id="{0D13FCC5-A291-4E78-9617-B1F27F2D1A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2337" name="Picture@5C\QPendientes@" descr="@5C\QPendientes@">
          <a:extLst>
            <a:ext uri="{FF2B5EF4-FFF2-40B4-BE49-F238E27FC236}">
              <a16:creationId xmlns:a16="http://schemas.microsoft.com/office/drawing/2014/main" id="{3B9C3976-1D9A-4EBF-8EA5-CE48EA609F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2338" name="Picture@5C\QPendientes@" descr="@5C\QPendientes@">
          <a:extLst>
            <a:ext uri="{FF2B5EF4-FFF2-40B4-BE49-F238E27FC236}">
              <a16:creationId xmlns:a16="http://schemas.microsoft.com/office/drawing/2014/main" id="{DE613D1B-2E17-4681-8001-0F32A04C1C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2339" name="Picture@5C\QPendientes@" descr="@5C\QPendientes@">
          <a:extLst>
            <a:ext uri="{FF2B5EF4-FFF2-40B4-BE49-F238E27FC236}">
              <a16:creationId xmlns:a16="http://schemas.microsoft.com/office/drawing/2014/main" id="{DA371F8A-DD5D-4C44-802C-89A3DF64A7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2340" name="Picture@5C\QPendientes@" descr="@5C\QPendientes@">
          <a:extLst>
            <a:ext uri="{FF2B5EF4-FFF2-40B4-BE49-F238E27FC236}">
              <a16:creationId xmlns:a16="http://schemas.microsoft.com/office/drawing/2014/main" id="{93E78DC2-C1F4-4BB8-BC4B-F83BF2B774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2341" name="Picture@5C\QPendientes@" descr="@5C\QPendientes@">
          <a:extLst>
            <a:ext uri="{FF2B5EF4-FFF2-40B4-BE49-F238E27FC236}">
              <a16:creationId xmlns:a16="http://schemas.microsoft.com/office/drawing/2014/main" id="{0ED602F4-7C52-4ABF-A9CC-BAC1C799C7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2342" name="Picture@5C\QPendientes@" descr="@5C\QPendientes@">
          <a:extLst>
            <a:ext uri="{FF2B5EF4-FFF2-40B4-BE49-F238E27FC236}">
              <a16:creationId xmlns:a16="http://schemas.microsoft.com/office/drawing/2014/main" id="{348035C3-FBA4-44D3-BF60-3580660A2E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2343" name="Picture@5C\QPendientes@" descr="@5C\QPendientes@">
          <a:extLst>
            <a:ext uri="{FF2B5EF4-FFF2-40B4-BE49-F238E27FC236}">
              <a16:creationId xmlns:a16="http://schemas.microsoft.com/office/drawing/2014/main" id="{77BE5861-D7EB-462F-A312-41CFF032E7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2344" name="Picture@5C\QPendientes@" descr="@5C\QPendientes@">
          <a:extLst>
            <a:ext uri="{FF2B5EF4-FFF2-40B4-BE49-F238E27FC236}">
              <a16:creationId xmlns:a16="http://schemas.microsoft.com/office/drawing/2014/main" id="{A73E1CE5-130A-4202-B4FD-562D0E107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2345" name="Picture@5C\QPendientes@" descr="@5C\QPendientes@">
          <a:extLst>
            <a:ext uri="{FF2B5EF4-FFF2-40B4-BE49-F238E27FC236}">
              <a16:creationId xmlns:a16="http://schemas.microsoft.com/office/drawing/2014/main" id="{FDCDB75E-1499-4338-BA35-EE85F60227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2346" name="Picture@5C\QPendientes@" descr="@5C\QPendientes@">
          <a:extLst>
            <a:ext uri="{FF2B5EF4-FFF2-40B4-BE49-F238E27FC236}">
              <a16:creationId xmlns:a16="http://schemas.microsoft.com/office/drawing/2014/main" id="{731B6417-EC13-4A13-87E7-FE6FA5B675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2347" name="Picture@5C\QPendientes@" descr="@5C\QPendientes@">
          <a:extLst>
            <a:ext uri="{FF2B5EF4-FFF2-40B4-BE49-F238E27FC236}">
              <a16:creationId xmlns:a16="http://schemas.microsoft.com/office/drawing/2014/main" id="{54FAAA15-D39C-44F4-BAC9-3CFDA6CDA5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2348" name="Picture@5C\QPendientes@" descr="@5C\QPendientes@">
          <a:extLst>
            <a:ext uri="{FF2B5EF4-FFF2-40B4-BE49-F238E27FC236}">
              <a16:creationId xmlns:a16="http://schemas.microsoft.com/office/drawing/2014/main" id="{D70C0D41-489C-4902-A474-24C3810A92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2349" name="Picture@5C\QPendientes@" descr="@5C\QPendientes@">
          <a:extLst>
            <a:ext uri="{FF2B5EF4-FFF2-40B4-BE49-F238E27FC236}">
              <a16:creationId xmlns:a16="http://schemas.microsoft.com/office/drawing/2014/main" id="{6167BBD6-3FD8-4D86-B6D3-FD00B48E49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2350" name="Picture@5C\QPendientes@" descr="@5C\QPendientes@">
          <a:extLst>
            <a:ext uri="{FF2B5EF4-FFF2-40B4-BE49-F238E27FC236}">
              <a16:creationId xmlns:a16="http://schemas.microsoft.com/office/drawing/2014/main" id="{F089D9C9-C8B5-480C-BD15-4068E5B249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2351" name="Picture@5C\QPendientes@" descr="@5C\QPendientes@">
          <a:extLst>
            <a:ext uri="{FF2B5EF4-FFF2-40B4-BE49-F238E27FC236}">
              <a16:creationId xmlns:a16="http://schemas.microsoft.com/office/drawing/2014/main" id="{A4D0A700-7062-4C58-A162-2BB18154ED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2352" name="Picture@5C\QPendientes@" descr="@5C\QPendientes@">
          <a:extLst>
            <a:ext uri="{FF2B5EF4-FFF2-40B4-BE49-F238E27FC236}">
              <a16:creationId xmlns:a16="http://schemas.microsoft.com/office/drawing/2014/main" id="{C8A4F33A-5CCC-4A13-8F3A-C572753877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2353" name="Picture@5C\QPendientes@" descr="@5C\QPendientes@">
          <a:extLst>
            <a:ext uri="{FF2B5EF4-FFF2-40B4-BE49-F238E27FC236}">
              <a16:creationId xmlns:a16="http://schemas.microsoft.com/office/drawing/2014/main" id="{6791C2B0-E643-46D1-BB91-097003947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2354" name="Picture@5C\QPendientes@" descr="@5C\QPendientes@">
          <a:extLst>
            <a:ext uri="{FF2B5EF4-FFF2-40B4-BE49-F238E27FC236}">
              <a16:creationId xmlns:a16="http://schemas.microsoft.com/office/drawing/2014/main" id="{50DE70AC-DAF6-4A39-8CF0-C59C553A58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2355" name="Picture@5C\QPendientes@" descr="@5C\QPendientes@">
          <a:extLst>
            <a:ext uri="{FF2B5EF4-FFF2-40B4-BE49-F238E27FC236}">
              <a16:creationId xmlns:a16="http://schemas.microsoft.com/office/drawing/2014/main" id="{5C326612-C3A3-4D04-889F-39EE747DAF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2356" name="Picture@5C\QPendientes@" descr="@5C\QPendientes@">
          <a:extLst>
            <a:ext uri="{FF2B5EF4-FFF2-40B4-BE49-F238E27FC236}">
              <a16:creationId xmlns:a16="http://schemas.microsoft.com/office/drawing/2014/main" id="{404C90F4-F648-4C12-A4A5-32538DF1A3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2357" name="Picture@5C\QPendientes@" descr="@5C\QPendientes@">
          <a:extLst>
            <a:ext uri="{FF2B5EF4-FFF2-40B4-BE49-F238E27FC236}">
              <a16:creationId xmlns:a16="http://schemas.microsoft.com/office/drawing/2014/main" id="{43F3C3CF-36F2-45E8-B020-11CCD3FE0F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2358" name="Picture@5C\QPendientes@" descr="@5C\QPendientes@">
          <a:extLst>
            <a:ext uri="{FF2B5EF4-FFF2-40B4-BE49-F238E27FC236}">
              <a16:creationId xmlns:a16="http://schemas.microsoft.com/office/drawing/2014/main" id="{320824E4-6DE6-42B6-8599-702E24EA97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2359" name="Picture@5C\QPendientes@" descr="@5C\QPendientes@">
          <a:extLst>
            <a:ext uri="{FF2B5EF4-FFF2-40B4-BE49-F238E27FC236}">
              <a16:creationId xmlns:a16="http://schemas.microsoft.com/office/drawing/2014/main" id="{35383FB8-2564-4053-971A-0AEA6DE4CF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2360" name="Picture@5C\QPendientes@" descr="@5C\QPendientes@">
          <a:extLst>
            <a:ext uri="{FF2B5EF4-FFF2-40B4-BE49-F238E27FC236}">
              <a16:creationId xmlns:a16="http://schemas.microsoft.com/office/drawing/2014/main" id="{759ACEB1-7E4A-4210-9E4F-DD0E92EB0A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2361" name="Picture@5C\QPendientes@" descr="@5C\QPendientes@">
          <a:extLst>
            <a:ext uri="{FF2B5EF4-FFF2-40B4-BE49-F238E27FC236}">
              <a16:creationId xmlns:a16="http://schemas.microsoft.com/office/drawing/2014/main" id="{8F53920A-D5F8-4156-93F8-09CD52FF9A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2362" name="Picture@5C\QPendientes@" descr="@5C\QPendientes@">
          <a:extLst>
            <a:ext uri="{FF2B5EF4-FFF2-40B4-BE49-F238E27FC236}">
              <a16:creationId xmlns:a16="http://schemas.microsoft.com/office/drawing/2014/main" id="{077EB0A6-55E0-4A3F-B060-691C12DD11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2363" name="Picture@5C\QPendientes@" descr="@5C\QPendientes@">
          <a:extLst>
            <a:ext uri="{FF2B5EF4-FFF2-40B4-BE49-F238E27FC236}">
              <a16:creationId xmlns:a16="http://schemas.microsoft.com/office/drawing/2014/main" id="{24957E82-FB3A-45F4-BD13-0DDE5EB426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2364" name="Picture@5C\QPendientes@" descr="@5C\QPendientes@">
          <a:extLst>
            <a:ext uri="{FF2B5EF4-FFF2-40B4-BE49-F238E27FC236}">
              <a16:creationId xmlns:a16="http://schemas.microsoft.com/office/drawing/2014/main" id="{AF02A2F6-6C92-472B-9BD3-5C0DE1C345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2365" name="Picture@5C\QPendientes@" descr="@5C\QPendientes@">
          <a:extLst>
            <a:ext uri="{FF2B5EF4-FFF2-40B4-BE49-F238E27FC236}">
              <a16:creationId xmlns:a16="http://schemas.microsoft.com/office/drawing/2014/main" id="{34218CEC-CD81-4DA3-8E03-9692DFE678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2366" name="Picture@5C\QPendientes@" descr="@5C\QPendientes@">
          <a:extLst>
            <a:ext uri="{FF2B5EF4-FFF2-40B4-BE49-F238E27FC236}">
              <a16:creationId xmlns:a16="http://schemas.microsoft.com/office/drawing/2014/main" id="{F9D5DE35-C0C3-425E-854C-18BF5D2625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2367" name="Picture@5C\QPendientes@" descr="@5C\QPendientes@">
          <a:extLst>
            <a:ext uri="{FF2B5EF4-FFF2-40B4-BE49-F238E27FC236}">
              <a16:creationId xmlns:a16="http://schemas.microsoft.com/office/drawing/2014/main" id="{036B8707-D017-45BE-8584-988D383090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2368" name="Picture@5C\QPendientes@" descr="@5C\QPendientes@">
          <a:extLst>
            <a:ext uri="{FF2B5EF4-FFF2-40B4-BE49-F238E27FC236}">
              <a16:creationId xmlns:a16="http://schemas.microsoft.com/office/drawing/2014/main" id="{3D996354-8789-407B-A960-F830F16B7B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2369" name="Picture@5C\QPendientes@" descr="@5C\QPendientes@">
          <a:extLst>
            <a:ext uri="{FF2B5EF4-FFF2-40B4-BE49-F238E27FC236}">
              <a16:creationId xmlns:a16="http://schemas.microsoft.com/office/drawing/2014/main" id="{7936FF9D-B8EC-4DCB-AE81-71B15D872A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2370" name="Picture@5C\QPendientes@" descr="@5C\QPendientes@">
          <a:extLst>
            <a:ext uri="{FF2B5EF4-FFF2-40B4-BE49-F238E27FC236}">
              <a16:creationId xmlns:a16="http://schemas.microsoft.com/office/drawing/2014/main" id="{A6B081F6-172F-4C2A-9BF2-E0458BB065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2371" name="Picture@5C\QPendientes@" descr="@5C\QPendientes@">
          <a:extLst>
            <a:ext uri="{FF2B5EF4-FFF2-40B4-BE49-F238E27FC236}">
              <a16:creationId xmlns:a16="http://schemas.microsoft.com/office/drawing/2014/main" id="{704FBDD5-90F6-456B-8F28-DA05C28B80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2372" name="Picture@5C\QPendientes@" descr="@5C\QPendientes@">
          <a:extLst>
            <a:ext uri="{FF2B5EF4-FFF2-40B4-BE49-F238E27FC236}">
              <a16:creationId xmlns:a16="http://schemas.microsoft.com/office/drawing/2014/main" id="{9E5D8392-D76B-4ACC-96AF-0AE7D1698D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2373" name="Picture@5C\QPendientes@" descr="@5C\QPendientes@">
          <a:extLst>
            <a:ext uri="{FF2B5EF4-FFF2-40B4-BE49-F238E27FC236}">
              <a16:creationId xmlns:a16="http://schemas.microsoft.com/office/drawing/2014/main" id="{D13673D6-7006-441A-B85C-DC0135D69E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2374" name="Picture@5C\QPendientes@" descr="@5C\QPendientes@">
          <a:extLst>
            <a:ext uri="{FF2B5EF4-FFF2-40B4-BE49-F238E27FC236}">
              <a16:creationId xmlns:a16="http://schemas.microsoft.com/office/drawing/2014/main" id="{C70F2256-FCC8-4212-BE9C-B8789D64E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2375" name="Picture@5C\QPendientes@" descr="@5C\QPendientes@">
          <a:extLst>
            <a:ext uri="{FF2B5EF4-FFF2-40B4-BE49-F238E27FC236}">
              <a16:creationId xmlns:a16="http://schemas.microsoft.com/office/drawing/2014/main" id="{996CCC06-B472-4263-9390-D476B341E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2376" name="Picture@5C\QPendientes@" descr="@5C\QPendientes@">
          <a:extLst>
            <a:ext uri="{FF2B5EF4-FFF2-40B4-BE49-F238E27FC236}">
              <a16:creationId xmlns:a16="http://schemas.microsoft.com/office/drawing/2014/main" id="{D2FE6C54-09F3-4F81-8CE7-73AFF01056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2377" name="Picture@5C\QPendientes@" descr="@5C\QPendientes@">
          <a:extLst>
            <a:ext uri="{FF2B5EF4-FFF2-40B4-BE49-F238E27FC236}">
              <a16:creationId xmlns:a16="http://schemas.microsoft.com/office/drawing/2014/main" id="{B0AFF1A9-E57C-48F0-95C4-2FA2D5434A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2378" name="Picture@5C\QPendientes@" descr="@5C\QPendientes@">
          <a:extLst>
            <a:ext uri="{FF2B5EF4-FFF2-40B4-BE49-F238E27FC236}">
              <a16:creationId xmlns:a16="http://schemas.microsoft.com/office/drawing/2014/main" id="{0F074D00-508F-4DC7-8F6D-D29671983F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2379" name="Picture@5C\QPendientes@" descr="@5C\QPendientes@">
          <a:extLst>
            <a:ext uri="{FF2B5EF4-FFF2-40B4-BE49-F238E27FC236}">
              <a16:creationId xmlns:a16="http://schemas.microsoft.com/office/drawing/2014/main" id="{0F14B86B-BA11-41C1-8A21-175CD764AE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2380" name="Picture@5C\QPendientes@" descr="@5C\QPendientes@">
          <a:extLst>
            <a:ext uri="{FF2B5EF4-FFF2-40B4-BE49-F238E27FC236}">
              <a16:creationId xmlns:a16="http://schemas.microsoft.com/office/drawing/2014/main" id="{BBD83A15-F2D9-47C5-89E9-88CBC8F07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2381" name="Picture@5C\QPendientes@" descr="@5C\QPendientes@">
          <a:extLst>
            <a:ext uri="{FF2B5EF4-FFF2-40B4-BE49-F238E27FC236}">
              <a16:creationId xmlns:a16="http://schemas.microsoft.com/office/drawing/2014/main" id="{A9C98DE9-81D9-4149-90BD-EA4CC3BBD4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2382" name="Picture@5C\QPendientes@" descr="@5C\QPendientes@">
          <a:extLst>
            <a:ext uri="{FF2B5EF4-FFF2-40B4-BE49-F238E27FC236}">
              <a16:creationId xmlns:a16="http://schemas.microsoft.com/office/drawing/2014/main" id="{A853DFBE-67C2-4428-B7E2-95BF02C3FE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2383" name="Picture@5C\QPendientes@" descr="@5C\QPendientes@">
          <a:extLst>
            <a:ext uri="{FF2B5EF4-FFF2-40B4-BE49-F238E27FC236}">
              <a16:creationId xmlns:a16="http://schemas.microsoft.com/office/drawing/2014/main" id="{EB8B8428-7283-4648-86AF-084DF3E473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2384" name="Picture@5C\QPendientes@" descr="@5C\QPendientes@">
          <a:extLst>
            <a:ext uri="{FF2B5EF4-FFF2-40B4-BE49-F238E27FC236}">
              <a16:creationId xmlns:a16="http://schemas.microsoft.com/office/drawing/2014/main" id="{22E5915D-046A-4E92-B022-62CA7C2923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2385" name="Picture@5C\QPendientes@" descr="@5C\QPendientes@">
          <a:extLst>
            <a:ext uri="{FF2B5EF4-FFF2-40B4-BE49-F238E27FC236}">
              <a16:creationId xmlns:a16="http://schemas.microsoft.com/office/drawing/2014/main" id="{F43175C6-07F5-4C79-A723-9B14418332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2386" name="Picture@5C\QPendientes@" descr="@5C\QPendientes@">
          <a:extLst>
            <a:ext uri="{FF2B5EF4-FFF2-40B4-BE49-F238E27FC236}">
              <a16:creationId xmlns:a16="http://schemas.microsoft.com/office/drawing/2014/main" id="{10AE660F-0C4D-4CBD-8ACA-6FF797EB4A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2387" name="Picture@5C\QPendientes@" descr="@5C\QPendientes@">
          <a:extLst>
            <a:ext uri="{FF2B5EF4-FFF2-40B4-BE49-F238E27FC236}">
              <a16:creationId xmlns:a16="http://schemas.microsoft.com/office/drawing/2014/main" id="{43FF7731-02E4-49BB-8F09-8C2E8CB2B3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2388" name="Picture@5C\QPendientes@" descr="@5C\QPendientes@">
          <a:extLst>
            <a:ext uri="{FF2B5EF4-FFF2-40B4-BE49-F238E27FC236}">
              <a16:creationId xmlns:a16="http://schemas.microsoft.com/office/drawing/2014/main" id="{CE117E7C-5687-4D52-B423-4B03ECDC4C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2389" name="Picture@5C\QPendientes@" descr="@5C\QPendientes@">
          <a:extLst>
            <a:ext uri="{FF2B5EF4-FFF2-40B4-BE49-F238E27FC236}">
              <a16:creationId xmlns:a16="http://schemas.microsoft.com/office/drawing/2014/main" id="{AB97D399-C9B7-4E18-843B-D7905C8437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2390" name="Picture@5C\QPendientes@" descr="@5C\QPendientes@">
          <a:extLst>
            <a:ext uri="{FF2B5EF4-FFF2-40B4-BE49-F238E27FC236}">
              <a16:creationId xmlns:a16="http://schemas.microsoft.com/office/drawing/2014/main" id="{145DE1B7-ACDE-4148-BA90-167FC1D4AB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2391" name="Picture@5C\QPendientes@" descr="@5C\QPendientes@">
          <a:extLst>
            <a:ext uri="{FF2B5EF4-FFF2-40B4-BE49-F238E27FC236}">
              <a16:creationId xmlns:a16="http://schemas.microsoft.com/office/drawing/2014/main" id="{069DF091-2BDB-4DBA-A478-FBFA6B8749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2392" name="Picture@5C\QPendientes@" descr="@5C\QPendientes@">
          <a:extLst>
            <a:ext uri="{FF2B5EF4-FFF2-40B4-BE49-F238E27FC236}">
              <a16:creationId xmlns:a16="http://schemas.microsoft.com/office/drawing/2014/main" id="{B5680733-91FF-404B-B685-DEEA68D7F4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2393" name="Picture@5C\QPendientes@" descr="@5C\QPendientes@">
          <a:extLst>
            <a:ext uri="{FF2B5EF4-FFF2-40B4-BE49-F238E27FC236}">
              <a16:creationId xmlns:a16="http://schemas.microsoft.com/office/drawing/2014/main" id="{49347366-D356-4C52-8F00-A9EFE931E7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2394" name="Picture@5C\QPendientes@" descr="@5C\QPendientes@">
          <a:extLst>
            <a:ext uri="{FF2B5EF4-FFF2-40B4-BE49-F238E27FC236}">
              <a16:creationId xmlns:a16="http://schemas.microsoft.com/office/drawing/2014/main" id="{DCC41F2F-6094-43B3-A4A5-4AED18C9D3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2395" name="Picture@5C\QPendientes@" descr="@5C\QPendientes@">
          <a:extLst>
            <a:ext uri="{FF2B5EF4-FFF2-40B4-BE49-F238E27FC236}">
              <a16:creationId xmlns:a16="http://schemas.microsoft.com/office/drawing/2014/main" id="{02828D85-70EB-40B3-94DB-61480E87F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2396" name="Picture@5C\QPendientes@" descr="@5C\QPendientes@">
          <a:extLst>
            <a:ext uri="{FF2B5EF4-FFF2-40B4-BE49-F238E27FC236}">
              <a16:creationId xmlns:a16="http://schemas.microsoft.com/office/drawing/2014/main" id="{1CBF9F56-E0E4-4ED8-B9FF-46D0B44E5A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2397" name="Picture@5C\QPendientes@" descr="@5C\QPendientes@">
          <a:extLst>
            <a:ext uri="{FF2B5EF4-FFF2-40B4-BE49-F238E27FC236}">
              <a16:creationId xmlns:a16="http://schemas.microsoft.com/office/drawing/2014/main" id="{236846DF-9064-4C35-B798-075C6F7BA0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2398" name="Picture@5C\QPendientes@" descr="@5C\QPendientes@">
          <a:extLst>
            <a:ext uri="{FF2B5EF4-FFF2-40B4-BE49-F238E27FC236}">
              <a16:creationId xmlns:a16="http://schemas.microsoft.com/office/drawing/2014/main" id="{364A5BB7-53CE-4CA1-ABDE-F5E2297DBC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2399" name="Picture@5C\QPendientes@" descr="@5C\QPendientes@">
          <a:extLst>
            <a:ext uri="{FF2B5EF4-FFF2-40B4-BE49-F238E27FC236}">
              <a16:creationId xmlns:a16="http://schemas.microsoft.com/office/drawing/2014/main" id="{5B7C7687-5ACB-44A2-9586-2E025D6F8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2400" name="Picture@5C\QPendientes@" descr="@5C\QPendientes@">
          <a:extLst>
            <a:ext uri="{FF2B5EF4-FFF2-40B4-BE49-F238E27FC236}">
              <a16:creationId xmlns:a16="http://schemas.microsoft.com/office/drawing/2014/main" id="{A5CE1157-B582-49E8-A4DC-65FBC9E663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2401" name="Picture@5C\QPendientes@" descr="@5C\QPendientes@">
          <a:extLst>
            <a:ext uri="{FF2B5EF4-FFF2-40B4-BE49-F238E27FC236}">
              <a16:creationId xmlns:a16="http://schemas.microsoft.com/office/drawing/2014/main" id="{AB91DDC4-3173-4020-B7A9-C71B747B36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2402" name="Picture@5C\QPendientes@" descr="@5C\QPendientes@">
          <a:extLst>
            <a:ext uri="{FF2B5EF4-FFF2-40B4-BE49-F238E27FC236}">
              <a16:creationId xmlns:a16="http://schemas.microsoft.com/office/drawing/2014/main" id="{C32D67E7-E48C-40BF-931D-0BF4EC0775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2403" name="Picture@5C\QPendientes@" descr="@5C\QPendientes@">
          <a:extLst>
            <a:ext uri="{FF2B5EF4-FFF2-40B4-BE49-F238E27FC236}">
              <a16:creationId xmlns:a16="http://schemas.microsoft.com/office/drawing/2014/main" id="{7DA194FF-CFF9-4DB3-A87E-938AEBEE1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2404" name="Picture@5C\QPendientes@" descr="@5C\QPendientes@">
          <a:extLst>
            <a:ext uri="{FF2B5EF4-FFF2-40B4-BE49-F238E27FC236}">
              <a16:creationId xmlns:a16="http://schemas.microsoft.com/office/drawing/2014/main" id="{70586935-4C5B-4FDA-B33B-4A1C42DB5E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2405" name="Picture@5C\QPendientes@" descr="@5C\QPendientes@">
          <a:extLst>
            <a:ext uri="{FF2B5EF4-FFF2-40B4-BE49-F238E27FC236}">
              <a16:creationId xmlns:a16="http://schemas.microsoft.com/office/drawing/2014/main" id="{352CF61F-A541-47ED-BC0B-26CA960668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2406" name="Picture@5C\QPendientes@" descr="@5C\QPendientes@">
          <a:extLst>
            <a:ext uri="{FF2B5EF4-FFF2-40B4-BE49-F238E27FC236}">
              <a16:creationId xmlns:a16="http://schemas.microsoft.com/office/drawing/2014/main" id="{9D5CE416-8443-4ACB-B0EE-CCBF336E81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2407" name="Picture@5C\QPendientes@" descr="@5C\QPendientes@">
          <a:extLst>
            <a:ext uri="{FF2B5EF4-FFF2-40B4-BE49-F238E27FC236}">
              <a16:creationId xmlns:a16="http://schemas.microsoft.com/office/drawing/2014/main" id="{E0501A12-5C60-4082-9D2B-C54C6F68A0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2408" name="Picture@5C\QPendientes@" descr="@5C\QPendientes@">
          <a:extLst>
            <a:ext uri="{FF2B5EF4-FFF2-40B4-BE49-F238E27FC236}">
              <a16:creationId xmlns:a16="http://schemas.microsoft.com/office/drawing/2014/main" id="{6B18EC9B-DBA6-45F2-9579-A10CD99361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2409" name="Picture@5C\QPendientes@" descr="@5C\QPendientes@">
          <a:extLst>
            <a:ext uri="{FF2B5EF4-FFF2-40B4-BE49-F238E27FC236}">
              <a16:creationId xmlns:a16="http://schemas.microsoft.com/office/drawing/2014/main" id="{4539C1E2-FB15-4826-B0AE-DFE0B6E4A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2410" name="Picture@5C\QPendientes@" descr="@5C\QPendientes@">
          <a:extLst>
            <a:ext uri="{FF2B5EF4-FFF2-40B4-BE49-F238E27FC236}">
              <a16:creationId xmlns:a16="http://schemas.microsoft.com/office/drawing/2014/main" id="{25130C15-872A-4C67-89F7-F70FD89B03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2411" name="Picture@5C\QPendientes@" descr="@5C\QPendientes@">
          <a:extLst>
            <a:ext uri="{FF2B5EF4-FFF2-40B4-BE49-F238E27FC236}">
              <a16:creationId xmlns:a16="http://schemas.microsoft.com/office/drawing/2014/main" id="{E597602E-22BC-4497-AB68-C9E5F59B94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2412" name="Picture@5C\QPendientes@" descr="@5C\QPendientes@">
          <a:extLst>
            <a:ext uri="{FF2B5EF4-FFF2-40B4-BE49-F238E27FC236}">
              <a16:creationId xmlns:a16="http://schemas.microsoft.com/office/drawing/2014/main" id="{926D4D8F-9511-4973-BC89-82149E8CC2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2413" name="Picture@5C\QPendientes@" descr="@5C\QPendientes@">
          <a:extLst>
            <a:ext uri="{FF2B5EF4-FFF2-40B4-BE49-F238E27FC236}">
              <a16:creationId xmlns:a16="http://schemas.microsoft.com/office/drawing/2014/main" id="{A48F8E4B-BFD1-4138-A279-E7DF20DB59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2414" name="Picture@5C\QPendientes@" descr="@5C\QPendientes@">
          <a:extLst>
            <a:ext uri="{FF2B5EF4-FFF2-40B4-BE49-F238E27FC236}">
              <a16:creationId xmlns:a16="http://schemas.microsoft.com/office/drawing/2014/main" id="{A25533F5-AA5D-41BE-AEF0-AF42098426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2415" name="Picture@5C\QPendientes@" descr="@5C\QPendientes@">
          <a:extLst>
            <a:ext uri="{FF2B5EF4-FFF2-40B4-BE49-F238E27FC236}">
              <a16:creationId xmlns:a16="http://schemas.microsoft.com/office/drawing/2014/main" id="{AC6F82F9-A551-4824-8138-3A24427100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2416" name="Picture@5C\QPendientes@" descr="@5C\QPendientes@">
          <a:extLst>
            <a:ext uri="{FF2B5EF4-FFF2-40B4-BE49-F238E27FC236}">
              <a16:creationId xmlns:a16="http://schemas.microsoft.com/office/drawing/2014/main" id="{72092EFD-B252-460A-A056-595EF6AA50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2417" name="Picture@5C\QPendientes@" descr="@5C\QPendientes@">
          <a:extLst>
            <a:ext uri="{FF2B5EF4-FFF2-40B4-BE49-F238E27FC236}">
              <a16:creationId xmlns:a16="http://schemas.microsoft.com/office/drawing/2014/main" id="{A168BD15-6D19-407F-9D7F-31A11F204A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2418" name="Picture@5C\QPendientes@" descr="@5C\QPendientes@">
          <a:extLst>
            <a:ext uri="{FF2B5EF4-FFF2-40B4-BE49-F238E27FC236}">
              <a16:creationId xmlns:a16="http://schemas.microsoft.com/office/drawing/2014/main" id="{B739B6A9-47DA-4BCD-9282-CFF3EA7121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2419" name="Picture@5C\QPendientes@" descr="@5C\QPendientes@">
          <a:extLst>
            <a:ext uri="{FF2B5EF4-FFF2-40B4-BE49-F238E27FC236}">
              <a16:creationId xmlns:a16="http://schemas.microsoft.com/office/drawing/2014/main" id="{734CED14-D9EB-4EBC-AADE-907703B77E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2420" name="Picture@5C\QPendientes@" descr="@5C\QPendientes@">
          <a:extLst>
            <a:ext uri="{FF2B5EF4-FFF2-40B4-BE49-F238E27FC236}">
              <a16:creationId xmlns:a16="http://schemas.microsoft.com/office/drawing/2014/main" id="{77E24B2B-7D24-4492-A15F-FBD4837600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2421" name="Picture@5C\QPendientes@" descr="@5C\QPendientes@">
          <a:extLst>
            <a:ext uri="{FF2B5EF4-FFF2-40B4-BE49-F238E27FC236}">
              <a16:creationId xmlns:a16="http://schemas.microsoft.com/office/drawing/2014/main" id="{8EE952B8-BCCD-4E8F-9832-7099A65419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2422" name="Picture@5C\QPendientes@" descr="@5C\QPendientes@">
          <a:extLst>
            <a:ext uri="{FF2B5EF4-FFF2-40B4-BE49-F238E27FC236}">
              <a16:creationId xmlns:a16="http://schemas.microsoft.com/office/drawing/2014/main" id="{E6E5DD8C-139D-4521-8404-F897ED7F3E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2423" name="Picture@5C\QPendientes@" descr="@5C\QPendientes@">
          <a:extLst>
            <a:ext uri="{FF2B5EF4-FFF2-40B4-BE49-F238E27FC236}">
              <a16:creationId xmlns:a16="http://schemas.microsoft.com/office/drawing/2014/main" id="{D21CA552-9EB0-48D1-8EE5-FB83E2DF4E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2424" name="Picture@5C\QPendientes@" descr="@5C\QPendientes@">
          <a:extLst>
            <a:ext uri="{FF2B5EF4-FFF2-40B4-BE49-F238E27FC236}">
              <a16:creationId xmlns:a16="http://schemas.microsoft.com/office/drawing/2014/main" id="{3E8BDAB4-8FA3-40D4-B755-853B834EAC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2425" name="Picture@5C\QPendientes@" descr="@5C\QPendientes@">
          <a:extLst>
            <a:ext uri="{FF2B5EF4-FFF2-40B4-BE49-F238E27FC236}">
              <a16:creationId xmlns:a16="http://schemas.microsoft.com/office/drawing/2014/main" id="{6340369D-6936-44A9-AE28-FC0098BF18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2426" name="Picture@5C\QPendientes@" descr="@5C\QPendientes@">
          <a:extLst>
            <a:ext uri="{FF2B5EF4-FFF2-40B4-BE49-F238E27FC236}">
              <a16:creationId xmlns:a16="http://schemas.microsoft.com/office/drawing/2014/main" id="{383D0F2E-1D73-4717-B709-7A5BBA512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2427" name="Picture@5C\QPendientes@" descr="@5C\QPendientes@">
          <a:extLst>
            <a:ext uri="{FF2B5EF4-FFF2-40B4-BE49-F238E27FC236}">
              <a16:creationId xmlns:a16="http://schemas.microsoft.com/office/drawing/2014/main" id="{49585799-17DE-4D56-87F3-C003C7F89C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2428" name="Picture@5C\QPendientes@" descr="@5C\QPendientes@">
          <a:extLst>
            <a:ext uri="{FF2B5EF4-FFF2-40B4-BE49-F238E27FC236}">
              <a16:creationId xmlns:a16="http://schemas.microsoft.com/office/drawing/2014/main" id="{AA7C9B7F-5C68-4122-A55B-A062931A80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2429" name="Picture@5C\QPendientes@" descr="@5C\QPendientes@">
          <a:extLst>
            <a:ext uri="{FF2B5EF4-FFF2-40B4-BE49-F238E27FC236}">
              <a16:creationId xmlns:a16="http://schemas.microsoft.com/office/drawing/2014/main" id="{DAB1BCB6-3B77-43C6-AC2E-E33D85E070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2430" name="Picture@5C\QPendientes@" descr="@5C\QPendientes@">
          <a:extLst>
            <a:ext uri="{FF2B5EF4-FFF2-40B4-BE49-F238E27FC236}">
              <a16:creationId xmlns:a16="http://schemas.microsoft.com/office/drawing/2014/main" id="{D06C20FE-4910-4AF3-A922-95C1EE7289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2431" name="Picture@5C\QPendientes@" descr="@5C\QPendientes@">
          <a:extLst>
            <a:ext uri="{FF2B5EF4-FFF2-40B4-BE49-F238E27FC236}">
              <a16:creationId xmlns:a16="http://schemas.microsoft.com/office/drawing/2014/main" id="{F31D862F-2C79-4688-B559-AA9901DEDB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2432" name="Picture@5C\QPendientes@" descr="@5C\QPendientes@">
          <a:extLst>
            <a:ext uri="{FF2B5EF4-FFF2-40B4-BE49-F238E27FC236}">
              <a16:creationId xmlns:a16="http://schemas.microsoft.com/office/drawing/2014/main" id="{DA0433B9-7EFA-44D7-898D-B355AAC383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2433" name="Picture@5C\QPendientes@" descr="@5C\QPendientes@">
          <a:extLst>
            <a:ext uri="{FF2B5EF4-FFF2-40B4-BE49-F238E27FC236}">
              <a16:creationId xmlns:a16="http://schemas.microsoft.com/office/drawing/2014/main" id="{91CE29C0-A255-4CC1-88FA-A339CFE0ED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2434" name="Picture@5C\QPendientes@" descr="@5C\QPendientes@">
          <a:extLst>
            <a:ext uri="{FF2B5EF4-FFF2-40B4-BE49-F238E27FC236}">
              <a16:creationId xmlns:a16="http://schemas.microsoft.com/office/drawing/2014/main" id="{AAA0C722-41AE-411B-8347-15D2B83A08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2435" name="Picture@5C\QPendientes@" descr="@5C\QPendientes@">
          <a:extLst>
            <a:ext uri="{FF2B5EF4-FFF2-40B4-BE49-F238E27FC236}">
              <a16:creationId xmlns:a16="http://schemas.microsoft.com/office/drawing/2014/main" id="{D494265A-083B-4449-B39A-9E0C8DDBD6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2436" name="Picture@5C\QPendientes@" descr="@5C\QPendientes@">
          <a:extLst>
            <a:ext uri="{FF2B5EF4-FFF2-40B4-BE49-F238E27FC236}">
              <a16:creationId xmlns:a16="http://schemas.microsoft.com/office/drawing/2014/main" id="{0C911989-C715-44C7-A013-AD7D3E6CA3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2437" name="Picture@5C\QPendientes@" descr="@5C\QPendientes@">
          <a:extLst>
            <a:ext uri="{FF2B5EF4-FFF2-40B4-BE49-F238E27FC236}">
              <a16:creationId xmlns:a16="http://schemas.microsoft.com/office/drawing/2014/main" id="{1C140734-1078-4513-A2C7-88A5E0B130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2438" name="Picture@5C\QPendientes@" descr="@5C\QPendientes@">
          <a:extLst>
            <a:ext uri="{FF2B5EF4-FFF2-40B4-BE49-F238E27FC236}">
              <a16:creationId xmlns:a16="http://schemas.microsoft.com/office/drawing/2014/main" id="{08A0A5D6-693B-48ED-9231-89BA58B719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2439" name="Picture@5C\QPendientes@" descr="@5C\QPendientes@">
          <a:extLst>
            <a:ext uri="{FF2B5EF4-FFF2-40B4-BE49-F238E27FC236}">
              <a16:creationId xmlns:a16="http://schemas.microsoft.com/office/drawing/2014/main" id="{84B0BE1B-9BC0-4497-AD7C-2ECC00446F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2440" name="Picture@5C\QPendientes@" descr="@5C\QPendientes@">
          <a:extLst>
            <a:ext uri="{FF2B5EF4-FFF2-40B4-BE49-F238E27FC236}">
              <a16:creationId xmlns:a16="http://schemas.microsoft.com/office/drawing/2014/main" id="{F4BF76B6-9B55-41D8-B81A-E6DB7480F1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2441" name="Picture@5C\QPendientes@" descr="@5C\QPendientes@">
          <a:extLst>
            <a:ext uri="{FF2B5EF4-FFF2-40B4-BE49-F238E27FC236}">
              <a16:creationId xmlns:a16="http://schemas.microsoft.com/office/drawing/2014/main" id="{11D3B4D5-96F5-433A-9A4D-6CE95A874B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2442" name="Picture@5C\QPendientes@" descr="@5C\QPendientes@">
          <a:extLst>
            <a:ext uri="{FF2B5EF4-FFF2-40B4-BE49-F238E27FC236}">
              <a16:creationId xmlns:a16="http://schemas.microsoft.com/office/drawing/2014/main" id="{B74C3583-5BD8-4F49-AEB1-EEA9371A93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2443" name="Picture@5C\QPendientes@" descr="@5C\QPendientes@">
          <a:extLst>
            <a:ext uri="{FF2B5EF4-FFF2-40B4-BE49-F238E27FC236}">
              <a16:creationId xmlns:a16="http://schemas.microsoft.com/office/drawing/2014/main" id="{14774C3A-B2B9-448F-8B5D-176F236E0F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2444" name="Picture@5C\QPendientes@" descr="@5C\QPendientes@">
          <a:extLst>
            <a:ext uri="{FF2B5EF4-FFF2-40B4-BE49-F238E27FC236}">
              <a16:creationId xmlns:a16="http://schemas.microsoft.com/office/drawing/2014/main" id="{658D55FA-2750-4773-92E8-FA960B7159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2445" name="Picture@5C\QPendientes@" descr="@5C\QPendientes@">
          <a:extLst>
            <a:ext uri="{FF2B5EF4-FFF2-40B4-BE49-F238E27FC236}">
              <a16:creationId xmlns:a16="http://schemas.microsoft.com/office/drawing/2014/main" id="{B3B81794-1509-4B83-8694-6ACC4AA6C1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2446" name="Picture@5C\QPendientes@" descr="@5C\QPendientes@">
          <a:extLst>
            <a:ext uri="{FF2B5EF4-FFF2-40B4-BE49-F238E27FC236}">
              <a16:creationId xmlns:a16="http://schemas.microsoft.com/office/drawing/2014/main" id="{C22C4101-C937-49B7-8F91-AAB5AA46A4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2447" name="Picture@5C\QPendientes@" descr="@5C\QPendientes@">
          <a:extLst>
            <a:ext uri="{FF2B5EF4-FFF2-40B4-BE49-F238E27FC236}">
              <a16:creationId xmlns:a16="http://schemas.microsoft.com/office/drawing/2014/main" id="{FBA42991-3B31-4C15-A864-B1DD5E29D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2448" name="Picture@5C\QPendientes@" descr="@5C\QPendientes@">
          <a:extLst>
            <a:ext uri="{FF2B5EF4-FFF2-40B4-BE49-F238E27FC236}">
              <a16:creationId xmlns:a16="http://schemas.microsoft.com/office/drawing/2014/main" id="{E17BC6D4-1482-489F-8898-2868CC770B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2449" name="Picture@5C\QPendientes@" descr="@5C\QPendientes@">
          <a:extLst>
            <a:ext uri="{FF2B5EF4-FFF2-40B4-BE49-F238E27FC236}">
              <a16:creationId xmlns:a16="http://schemas.microsoft.com/office/drawing/2014/main" id="{DC9526A3-E01E-4595-9947-1EB2F01DDC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2450" name="Picture@5C\QPendientes@" descr="@5C\QPendientes@">
          <a:extLst>
            <a:ext uri="{FF2B5EF4-FFF2-40B4-BE49-F238E27FC236}">
              <a16:creationId xmlns:a16="http://schemas.microsoft.com/office/drawing/2014/main" id="{047BD1ED-4153-4999-BCD4-A47336804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2451" name="Picture@5C\QPendientes@" descr="@5C\QPendientes@">
          <a:extLst>
            <a:ext uri="{FF2B5EF4-FFF2-40B4-BE49-F238E27FC236}">
              <a16:creationId xmlns:a16="http://schemas.microsoft.com/office/drawing/2014/main" id="{6E8D522D-A227-4694-B907-CDBD1A524D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2452" name="Picture@5C\QPendientes@" descr="@5C\QPendientes@">
          <a:extLst>
            <a:ext uri="{FF2B5EF4-FFF2-40B4-BE49-F238E27FC236}">
              <a16:creationId xmlns:a16="http://schemas.microsoft.com/office/drawing/2014/main" id="{CF84C453-691E-43CF-A082-ADB0496D3A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2453" name="Picture@5C\QPendientes@" descr="@5C\QPendientes@">
          <a:extLst>
            <a:ext uri="{FF2B5EF4-FFF2-40B4-BE49-F238E27FC236}">
              <a16:creationId xmlns:a16="http://schemas.microsoft.com/office/drawing/2014/main" id="{7BD04725-3253-493E-B1B0-D17C8C5730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2454" name="Picture@5C\QPendientes@" descr="@5C\QPendientes@">
          <a:extLst>
            <a:ext uri="{FF2B5EF4-FFF2-40B4-BE49-F238E27FC236}">
              <a16:creationId xmlns:a16="http://schemas.microsoft.com/office/drawing/2014/main" id="{3880A096-595D-4E65-891C-64F7B65FF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2455" name="Picture@5C\QPendientes@" descr="@5C\QPendientes@">
          <a:extLst>
            <a:ext uri="{FF2B5EF4-FFF2-40B4-BE49-F238E27FC236}">
              <a16:creationId xmlns:a16="http://schemas.microsoft.com/office/drawing/2014/main" id="{470F1860-C53A-4083-B32A-A4C3E1A4FA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2456" name="Picture@5C\QPendientes@" descr="@5C\QPendientes@">
          <a:extLst>
            <a:ext uri="{FF2B5EF4-FFF2-40B4-BE49-F238E27FC236}">
              <a16:creationId xmlns:a16="http://schemas.microsoft.com/office/drawing/2014/main" id="{B49350D6-CEA2-47C6-AD5C-484CC4A8D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2457" name="Picture@5C\QPendientes@" descr="@5C\QPendientes@">
          <a:extLst>
            <a:ext uri="{FF2B5EF4-FFF2-40B4-BE49-F238E27FC236}">
              <a16:creationId xmlns:a16="http://schemas.microsoft.com/office/drawing/2014/main" id="{D754A251-E23D-4067-A20E-73777F7DE2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2458" name="Picture@5C\QPendientes@" descr="@5C\QPendientes@">
          <a:extLst>
            <a:ext uri="{FF2B5EF4-FFF2-40B4-BE49-F238E27FC236}">
              <a16:creationId xmlns:a16="http://schemas.microsoft.com/office/drawing/2014/main" id="{20C9E848-2F63-49BF-8545-2EF76BF519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2459" name="Picture@5C\QPendientes@" descr="@5C\QPendientes@">
          <a:extLst>
            <a:ext uri="{FF2B5EF4-FFF2-40B4-BE49-F238E27FC236}">
              <a16:creationId xmlns:a16="http://schemas.microsoft.com/office/drawing/2014/main" id="{40DA47FF-F101-4F56-9482-C54B65803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2460" name="Picture@5C\QPendientes@" descr="@5C\QPendientes@">
          <a:extLst>
            <a:ext uri="{FF2B5EF4-FFF2-40B4-BE49-F238E27FC236}">
              <a16:creationId xmlns:a16="http://schemas.microsoft.com/office/drawing/2014/main" id="{3A204C97-F8A8-40B3-A533-E5E14FDD78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2461" name="Picture@5C\QPendientes@" descr="@5C\QPendientes@">
          <a:extLst>
            <a:ext uri="{FF2B5EF4-FFF2-40B4-BE49-F238E27FC236}">
              <a16:creationId xmlns:a16="http://schemas.microsoft.com/office/drawing/2014/main" id="{F8703A17-1B61-43F5-8276-E977CFD458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2462" name="Picture@5C\QPendientes@" descr="@5C\QPendientes@">
          <a:extLst>
            <a:ext uri="{FF2B5EF4-FFF2-40B4-BE49-F238E27FC236}">
              <a16:creationId xmlns:a16="http://schemas.microsoft.com/office/drawing/2014/main" id="{3244A705-35A8-4D8D-9551-7EB62ADDB0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2463" name="Picture@5C\QPendientes@" descr="@5C\QPendientes@">
          <a:extLst>
            <a:ext uri="{FF2B5EF4-FFF2-40B4-BE49-F238E27FC236}">
              <a16:creationId xmlns:a16="http://schemas.microsoft.com/office/drawing/2014/main" id="{59B85EAB-B78C-4F1A-BDAD-47FDBA8364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2464" name="Picture@5C\QPendientes@" descr="@5C\QPendientes@">
          <a:extLst>
            <a:ext uri="{FF2B5EF4-FFF2-40B4-BE49-F238E27FC236}">
              <a16:creationId xmlns:a16="http://schemas.microsoft.com/office/drawing/2014/main" id="{B578F7A3-D07D-43B3-8778-2F593B8211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2465" name="Picture@5C\QPendientes@" descr="@5C\QPendientes@">
          <a:extLst>
            <a:ext uri="{FF2B5EF4-FFF2-40B4-BE49-F238E27FC236}">
              <a16:creationId xmlns:a16="http://schemas.microsoft.com/office/drawing/2014/main" id="{6281AC27-4083-4ACA-BBFB-259B6A6748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2466" name="Picture@5C\QPendientes@" descr="@5C\QPendientes@">
          <a:extLst>
            <a:ext uri="{FF2B5EF4-FFF2-40B4-BE49-F238E27FC236}">
              <a16:creationId xmlns:a16="http://schemas.microsoft.com/office/drawing/2014/main" id="{3EBA5C8F-E822-4639-9676-83C447EDA7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2467" name="Picture@5C\QPendientes@" descr="@5C\QPendientes@">
          <a:extLst>
            <a:ext uri="{FF2B5EF4-FFF2-40B4-BE49-F238E27FC236}">
              <a16:creationId xmlns:a16="http://schemas.microsoft.com/office/drawing/2014/main" id="{88FF09DD-140B-4093-B478-EEB2846223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2468" name="Picture@5C\QPendientes@" descr="@5C\QPendientes@">
          <a:extLst>
            <a:ext uri="{FF2B5EF4-FFF2-40B4-BE49-F238E27FC236}">
              <a16:creationId xmlns:a16="http://schemas.microsoft.com/office/drawing/2014/main" id="{E1605C8C-B070-4FAF-907F-4D067ED121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2469" name="Picture@5C\QPendientes@" descr="@5C\QPendientes@">
          <a:extLst>
            <a:ext uri="{FF2B5EF4-FFF2-40B4-BE49-F238E27FC236}">
              <a16:creationId xmlns:a16="http://schemas.microsoft.com/office/drawing/2014/main" id="{85DE10B6-6C1F-4FA3-822B-10B36BEDA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2470" name="Picture@5C\QPendientes@" descr="@5C\QPendientes@">
          <a:extLst>
            <a:ext uri="{FF2B5EF4-FFF2-40B4-BE49-F238E27FC236}">
              <a16:creationId xmlns:a16="http://schemas.microsoft.com/office/drawing/2014/main" id="{F0B30C2D-783C-4B00-8CC1-0A2EE2E328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2471" name="Picture@5C\QPendientes@" descr="@5C\QPendientes@">
          <a:extLst>
            <a:ext uri="{FF2B5EF4-FFF2-40B4-BE49-F238E27FC236}">
              <a16:creationId xmlns:a16="http://schemas.microsoft.com/office/drawing/2014/main" id="{933FBDBC-A5DB-4200-AED8-C220C2BF21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2472" name="Picture@5C\QPendientes@" descr="@5C\QPendientes@">
          <a:extLst>
            <a:ext uri="{FF2B5EF4-FFF2-40B4-BE49-F238E27FC236}">
              <a16:creationId xmlns:a16="http://schemas.microsoft.com/office/drawing/2014/main" id="{FAA13B16-5A85-434F-91DE-6784FF5047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2473" name="Picture@5C\QPendientes@" descr="@5C\QPendientes@">
          <a:extLst>
            <a:ext uri="{FF2B5EF4-FFF2-40B4-BE49-F238E27FC236}">
              <a16:creationId xmlns:a16="http://schemas.microsoft.com/office/drawing/2014/main" id="{28932BDE-2E58-4C76-9E82-A394566E1B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2474" name="Picture@5C\QPendientes@" descr="@5C\QPendientes@">
          <a:extLst>
            <a:ext uri="{FF2B5EF4-FFF2-40B4-BE49-F238E27FC236}">
              <a16:creationId xmlns:a16="http://schemas.microsoft.com/office/drawing/2014/main" id="{29DB0B1E-BC24-4579-8E37-9004AAA575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2475" name="Picture@5C\QPendientes@" descr="@5C\QPendientes@">
          <a:extLst>
            <a:ext uri="{FF2B5EF4-FFF2-40B4-BE49-F238E27FC236}">
              <a16:creationId xmlns:a16="http://schemas.microsoft.com/office/drawing/2014/main" id="{76830DE6-63CC-4931-8E2A-B578737DAF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2476" name="Picture@5C\QPendientes@" descr="@5C\QPendientes@">
          <a:extLst>
            <a:ext uri="{FF2B5EF4-FFF2-40B4-BE49-F238E27FC236}">
              <a16:creationId xmlns:a16="http://schemas.microsoft.com/office/drawing/2014/main" id="{BFC7EDE6-971A-4823-A6E4-E721F8BE4B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2477" name="Picture@5C\QPendientes@" descr="@5C\QPendientes@">
          <a:extLst>
            <a:ext uri="{FF2B5EF4-FFF2-40B4-BE49-F238E27FC236}">
              <a16:creationId xmlns:a16="http://schemas.microsoft.com/office/drawing/2014/main" id="{C1BC9106-5C48-4265-A4F5-93B3737BD7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2478" name="Picture@5C\QPendientes@" descr="@5C\QPendientes@">
          <a:extLst>
            <a:ext uri="{FF2B5EF4-FFF2-40B4-BE49-F238E27FC236}">
              <a16:creationId xmlns:a16="http://schemas.microsoft.com/office/drawing/2014/main" id="{C69CA6BA-03E1-4A1A-A2C2-0BA73E9850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2479" name="Picture@5C\QPendientes@" descr="@5C\QPendientes@">
          <a:extLst>
            <a:ext uri="{FF2B5EF4-FFF2-40B4-BE49-F238E27FC236}">
              <a16:creationId xmlns:a16="http://schemas.microsoft.com/office/drawing/2014/main" id="{0D2F9244-D6F7-4C87-96A7-96CE653B29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2480" name="Picture@5C\QPendientes@" descr="@5C\QPendientes@">
          <a:extLst>
            <a:ext uri="{FF2B5EF4-FFF2-40B4-BE49-F238E27FC236}">
              <a16:creationId xmlns:a16="http://schemas.microsoft.com/office/drawing/2014/main" id="{038EC221-395B-4064-9313-4D2994A3ED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2481" name="Picture@5C\QPendientes@" descr="@5C\QPendientes@">
          <a:extLst>
            <a:ext uri="{FF2B5EF4-FFF2-40B4-BE49-F238E27FC236}">
              <a16:creationId xmlns:a16="http://schemas.microsoft.com/office/drawing/2014/main" id="{7343CE35-2F73-4C8C-B865-5B2AAC6366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2482" name="Picture@5C\QPendientes@" descr="@5C\QPendientes@">
          <a:extLst>
            <a:ext uri="{FF2B5EF4-FFF2-40B4-BE49-F238E27FC236}">
              <a16:creationId xmlns:a16="http://schemas.microsoft.com/office/drawing/2014/main" id="{99C63DFE-118F-44EA-BB08-E40E91821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2483" name="Picture@5C\QPendientes@" descr="@5C\QPendientes@">
          <a:extLst>
            <a:ext uri="{FF2B5EF4-FFF2-40B4-BE49-F238E27FC236}">
              <a16:creationId xmlns:a16="http://schemas.microsoft.com/office/drawing/2014/main" id="{D523219F-BC7E-4F4E-ADEF-88E81E7089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2484" name="Picture@5C\QPendientes@" descr="@5C\QPendientes@">
          <a:extLst>
            <a:ext uri="{FF2B5EF4-FFF2-40B4-BE49-F238E27FC236}">
              <a16:creationId xmlns:a16="http://schemas.microsoft.com/office/drawing/2014/main" id="{C5E5FD3B-33EC-4C20-B3C2-1DA4097F34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2485" name="Picture@5C\QPendientes@" descr="@5C\QPendientes@">
          <a:extLst>
            <a:ext uri="{FF2B5EF4-FFF2-40B4-BE49-F238E27FC236}">
              <a16:creationId xmlns:a16="http://schemas.microsoft.com/office/drawing/2014/main" id="{F9FFC993-3FE9-4B6E-9A84-83AF043284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2486" name="Picture@5C\QPendientes@" descr="@5C\QPendientes@">
          <a:extLst>
            <a:ext uri="{FF2B5EF4-FFF2-40B4-BE49-F238E27FC236}">
              <a16:creationId xmlns:a16="http://schemas.microsoft.com/office/drawing/2014/main" id="{A2D88446-175A-4133-B186-2F4A0A4F31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2487" name="Picture@5C\QPendientes@" descr="@5C\QPendientes@">
          <a:extLst>
            <a:ext uri="{FF2B5EF4-FFF2-40B4-BE49-F238E27FC236}">
              <a16:creationId xmlns:a16="http://schemas.microsoft.com/office/drawing/2014/main" id="{69F988C0-F694-4CEE-9575-900673B108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2488" name="Picture@5C\QPendientes@" descr="@5C\QPendientes@">
          <a:extLst>
            <a:ext uri="{FF2B5EF4-FFF2-40B4-BE49-F238E27FC236}">
              <a16:creationId xmlns:a16="http://schemas.microsoft.com/office/drawing/2014/main" id="{3C34781E-0AD0-41C8-8C70-49FA4394BF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2489" name="Picture@5C\QPendientes@" descr="@5C\QPendientes@">
          <a:extLst>
            <a:ext uri="{FF2B5EF4-FFF2-40B4-BE49-F238E27FC236}">
              <a16:creationId xmlns:a16="http://schemas.microsoft.com/office/drawing/2014/main" id="{6CF9F42C-7186-4112-988D-4DC190B7B0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2490" name="Picture@5C\QPendientes@" descr="@5C\QPendientes@">
          <a:extLst>
            <a:ext uri="{FF2B5EF4-FFF2-40B4-BE49-F238E27FC236}">
              <a16:creationId xmlns:a16="http://schemas.microsoft.com/office/drawing/2014/main" id="{EEF4C8FA-EB6A-4C49-9155-E8F4792095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2491" name="Picture@5C\QPendientes@" descr="@5C\QPendientes@">
          <a:extLst>
            <a:ext uri="{FF2B5EF4-FFF2-40B4-BE49-F238E27FC236}">
              <a16:creationId xmlns:a16="http://schemas.microsoft.com/office/drawing/2014/main" id="{1E57B20D-FFC8-46A6-BCDD-FEF2CB6572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2492" name="Picture@5C\QPendientes@" descr="@5C\QPendientes@">
          <a:extLst>
            <a:ext uri="{FF2B5EF4-FFF2-40B4-BE49-F238E27FC236}">
              <a16:creationId xmlns:a16="http://schemas.microsoft.com/office/drawing/2014/main" id="{E5A669E1-9272-4685-93EC-50977346EC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2493" name="Picture@5C\QPendientes@" descr="@5C\QPendientes@">
          <a:extLst>
            <a:ext uri="{FF2B5EF4-FFF2-40B4-BE49-F238E27FC236}">
              <a16:creationId xmlns:a16="http://schemas.microsoft.com/office/drawing/2014/main" id="{6E13D7BE-FC39-48E2-8ECE-585306F0C2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2494" name="Picture@5C\QPendientes@" descr="@5C\QPendientes@">
          <a:extLst>
            <a:ext uri="{FF2B5EF4-FFF2-40B4-BE49-F238E27FC236}">
              <a16:creationId xmlns:a16="http://schemas.microsoft.com/office/drawing/2014/main" id="{D3A1F39C-4137-4901-9D1D-41B1059581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2495" name="Picture@5C\QPendientes@" descr="@5C\QPendientes@">
          <a:extLst>
            <a:ext uri="{FF2B5EF4-FFF2-40B4-BE49-F238E27FC236}">
              <a16:creationId xmlns:a16="http://schemas.microsoft.com/office/drawing/2014/main" id="{A77086B5-45DA-4843-9208-9526707CCC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2496" name="Picture@5C\QPendientes@" descr="@5C\QPendientes@">
          <a:extLst>
            <a:ext uri="{FF2B5EF4-FFF2-40B4-BE49-F238E27FC236}">
              <a16:creationId xmlns:a16="http://schemas.microsoft.com/office/drawing/2014/main" id="{F1587ADD-FBAB-4286-B6A6-04A89BF792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2497" name="Picture@5C\QPendientes@" descr="@5C\QPendientes@">
          <a:extLst>
            <a:ext uri="{FF2B5EF4-FFF2-40B4-BE49-F238E27FC236}">
              <a16:creationId xmlns:a16="http://schemas.microsoft.com/office/drawing/2014/main" id="{0E8C4F90-B121-44DE-99A7-1796F632DF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2498" name="Picture@5C\QPendientes@" descr="@5C\QPendientes@">
          <a:extLst>
            <a:ext uri="{FF2B5EF4-FFF2-40B4-BE49-F238E27FC236}">
              <a16:creationId xmlns:a16="http://schemas.microsoft.com/office/drawing/2014/main" id="{59380E5A-64FB-48B3-A135-FB52F67A24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2499" name="Picture@5C\QPendientes@" descr="@5C\QPendientes@">
          <a:extLst>
            <a:ext uri="{FF2B5EF4-FFF2-40B4-BE49-F238E27FC236}">
              <a16:creationId xmlns:a16="http://schemas.microsoft.com/office/drawing/2014/main" id="{0A09F714-08A3-4C9A-9333-A45184D29F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2500" name="Picture@5C\QPendientes@" descr="@5C\QPendientes@">
          <a:extLst>
            <a:ext uri="{FF2B5EF4-FFF2-40B4-BE49-F238E27FC236}">
              <a16:creationId xmlns:a16="http://schemas.microsoft.com/office/drawing/2014/main" id="{8333A042-0C11-4F23-8080-F74D9D27DC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2501" name="Picture@5C\QPendientes@" descr="@5C\QPendientes@">
          <a:extLst>
            <a:ext uri="{FF2B5EF4-FFF2-40B4-BE49-F238E27FC236}">
              <a16:creationId xmlns:a16="http://schemas.microsoft.com/office/drawing/2014/main" id="{85CBB238-EA13-4C68-8ED1-8465071C22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2502" name="Picture@5C\QPendientes@" descr="@5C\QPendientes@">
          <a:extLst>
            <a:ext uri="{FF2B5EF4-FFF2-40B4-BE49-F238E27FC236}">
              <a16:creationId xmlns:a16="http://schemas.microsoft.com/office/drawing/2014/main" id="{8676F7C0-FA8E-4ED4-94BB-3556982F1E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2503" name="Picture@5C\QPendientes@" descr="@5C\QPendientes@">
          <a:extLst>
            <a:ext uri="{FF2B5EF4-FFF2-40B4-BE49-F238E27FC236}">
              <a16:creationId xmlns:a16="http://schemas.microsoft.com/office/drawing/2014/main" id="{CA3CF837-A066-4E70-819D-3B1993E43A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2504" name="Picture@5C\QPendientes@" descr="@5C\QPendientes@">
          <a:extLst>
            <a:ext uri="{FF2B5EF4-FFF2-40B4-BE49-F238E27FC236}">
              <a16:creationId xmlns:a16="http://schemas.microsoft.com/office/drawing/2014/main" id="{62E0E586-292A-4911-94B8-8543D45465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2505" name="Picture@5C\QPendientes@" descr="@5C\QPendientes@">
          <a:extLst>
            <a:ext uri="{FF2B5EF4-FFF2-40B4-BE49-F238E27FC236}">
              <a16:creationId xmlns:a16="http://schemas.microsoft.com/office/drawing/2014/main" id="{F8C1BD81-4398-4736-9E40-740A1913C6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2506" name="Picture@5C\QPendientes@" descr="@5C\QPendientes@">
          <a:extLst>
            <a:ext uri="{FF2B5EF4-FFF2-40B4-BE49-F238E27FC236}">
              <a16:creationId xmlns:a16="http://schemas.microsoft.com/office/drawing/2014/main" id="{3D8587EB-429A-41E7-858E-7FE0617255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2507" name="Picture@5C\QPendientes@" descr="@5C\QPendientes@">
          <a:extLst>
            <a:ext uri="{FF2B5EF4-FFF2-40B4-BE49-F238E27FC236}">
              <a16:creationId xmlns:a16="http://schemas.microsoft.com/office/drawing/2014/main" id="{E166535C-7CA2-412E-AB2C-5B484574A8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2508" name="Picture@5C\QPendientes@" descr="@5C\QPendientes@">
          <a:extLst>
            <a:ext uri="{FF2B5EF4-FFF2-40B4-BE49-F238E27FC236}">
              <a16:creationId xmlns:a16="http://schemas.microsoft.com/office/drawing/2014/main" id="{8FEBD927-6905-4173-94DE-B9780B9620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2509" name="Picture@5C\QPendientes@" descr="@5C\QPendientes@">
          <a:extLst>
            <a:ext uri="{FF2B5EF4-FFF2-40B4-BE49-F238E27FC236}">
              <a16:creationId xmlns:a16="http://schemas.microsoft.com/office/drawing/2014/main" id="{68DDB234-28D5-4AA1-9E05-CBA35E4BE8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2510" name="Picture@5C\QPendientes@" descr="@5C\QPendientes@">
          <a:extLst>
            <a:ext uri="{FF2B5EF4-FFF2-40B4-BE49-F238E27FC236}">
              <a16:creationId xmlns:a16="http://schemas.microsoft.com/office/drawing/2014/main" id="{17C5DA8C-65B8-47AD-BD21-D012E51922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2511" name="Picture@5C\QPendientes@" descr="@5C\QPendientes@">
          <a:extLst>
            <a:ext uri="{FF2B5EF4-FFF2-40B4-BE49-F238E27FC236}">
              <a16:creationId xmlns:a16="http://schemas.microsoft.com/office/drawing/2014/main" id="{B8457A83-5BAE-43EC-B56C-D5E762735B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2512" name="Picture@5C\QPendientes@" descr="@5C\QPendientes@">
          <a:extLst>
            <a:ext uri="{FF2B5EF4-FFF2-40B4-BE49-F238E27FC236}">
              <a16:creationId xmlns:a16="http://schemas.microsoft.com/office/drawing/2014/main" id="{CFB03E96-1418-40ED-A304-D213F8E4BD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2513" name="Picture@5C\QPendientes@" descr="@5C\QPendientes@">
          <a:extLst>
            <a:ext uri="{FF2B5EF4-FFF2-40B4-BE49-F238E27FC236}">
              <a16:creationId xmlns:a16="http://schemas.microsoft.com/office/drawing/2014/main" id="{8A78F204-E7C6-45F2-8728-7641D603F7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2514" name="Picture@5C\QPendientes@" descr="@5C\QPendientes@">
          <a:extLst>
            <a:ext uri="{FF2B5EF4-FFF2-40B4-BE49-F238E27FC236}">
              <a16:creationId xmlns:a16="http://schemas.microsoft.com/office/drawing/2014/main" id="{FC03001E-6481-4504-8CE4-91EE608F32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2515" name="Picture@5C\QPendientes@" descr="@5C\QPendientes@">
          <a:extLst>
            <a:ext uri="{FF2B5EF4-FFF2-40B4-BE49-F238E27FC236}">
              <a16:creationId xmlns:a16="http://schemas.microsoft.com/office/drawing/2014/main" id="{B2806B14-79F4-4EEF-BD22-3DB576A556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2516" name="Picture@5C\QPendientes@" descr="@5C\QPendientes@">
          <a:extLst>
            <a:ext uri="{FF2B5EF4-FFF2-40B4-BE49-F238E27FC236}">
              <a16:creationId xmlns:a16="http://schemas.microsoft.com/office/drawing/2014/main" id="{F2C5E570-3482-431C-AB2D-4D7566BBA5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2517" name="Picture@5C\QPendientes@" descr="@5C\QPendientes@">
          <a:extLst>
            <a:ext uri="{FF2B5EF4-FFF2-40B4-BE49-F238E27FC236}">
              <a16:creationId xmlns:a16="http://schemas.microsoft.com/office/drawing/2014/main" id="{436A8392-382E-4ACD-8098-65FD04201E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2518" name="Picture@5C\QPendientes@" descr="@5C\QPendientes@">
          <a:extLst>
            <a:ext uri="{FF2B5EF4-FFF2-40B4-BE49-F238E27FC236}">
              <a16:creationId xmlns:a16="http://schemas.microsoft.com/office/drawing/2014/main" id="{718185D7-E231-4114-9787-FCE7E19F99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2519" name="Picture@5C\QPendientes@" descr="@5C\QPendientes@">
          <a:extLst>
            <a:ext uri="{FF2B5EF4-FFF2-40B4-BE49-F238E27FC236}">
              <a16:creationId xmlns:a16="http://schemas.microsoft.com/office/drawing/2014/main" id="{08EDA334-1F5C-4430-AF68-16CEE27148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2520" name="Picture@5C\QPendientes@" descr="@5C\QPendientes@">
          <a:extLst>
            <a:ext uri="{FF2B5EF4-FFF2-40B4-BE49-F238E27FC236}">
              <a16:creationId xmlns:a16="http://schemas.microsoft.com/office/drawing/2014/main" id="{BB2BD2DC-E456-479B-946A-AD35D602B9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2521" name="Picture@5C\QPendientes@" descr="@5C\QPendientes@">
          <a:extLst>
            <a:ext uri="{FF2B5EF4-FFF2-40B4-BE49-F238E27FC236}">
              <a16:creationId xmlns:a16="http://schemas.microsoft.com/office/drawing/2014/main" id="{E6390B74-2F5F-4DC6-A893-01C35B692F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2522" name="Picture@5C\QPendientes@" descr="@5C\QPendientes@">
          <a:extLst>
            <a:ext uri="{FF2B5EF4-FFF2-40B4-BE49-F238E27FC236}">
              <a16:creationId xmlns:a16="http://schemas.microsoft.com/office/drawing/2014/main" id="{70212126-9AEA-4AB2-8555-69647E0D98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2523" name="Picture@5C\QPendientes@" descr="@5C\QPendientes@">
          <a:extLst>
            <a:ext uri="{FF2B5EF4-FFF2-40B4-BE49-F238E27FC236}">
              <a16:creationId xmlns:a16="http://schemas.microsoft.com/office/drawing/2014/main" id="{76F85329-4F74-4D2A-A3C9-969EE6AF4D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2524" name="Picture@5C\QPendientes@" descr="@5C\QPendientes@">
          <a:extLst>
            <a:ext uri="{FF2B5EF4-FFF2-40B4-BE49-F238E27FC236}">
              <a16:creationId xmlns:a16="http://schemas.microsoft.com/office/drawing/2014/main" id="{1525339C-50EC-474D-B163-C773F1E2EF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2525" name="Picture@5C\QPendientes@" descr="@5C\QPendientes@">
          <a:extLst>
            <a:ext uri="{FF2B5EF4-FFF2-40B4-BE49-F238E27FC236}">
              <a16:creationId xmlns:a16="http://schemas.microsoft.com/office/drawing/2014/main" id="{0471083A-7D13-4FB3-AF0B-EEFE4A96AB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2526" name="Picture@5C\QPendientes@" descr="@5C\QPendientes@">
          <a:extLst>
            <a:ext uri="{FF2B5EF4-FFF2-40B4-BE49-F238E27FC236}">
              <a16:creationId xmlns:a16="http://schemas.microsoft.com/office/drawing/2014/main" id="{7447930D-F9CF-4C94-BEAB-89415E4AA3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2527" name="Picture@5C\QPendientes@" descr="@5C\QPendientes@">
          <a:extLst>
            <a:ext uri="{FF2B5EF4-FFF2-40B4-BE49-F238E27FC236}">
              <a16:creationId xmlns:a16="http://schemas.microsoft.com/office/drawing/2014/main" id="{6477FAAB-0B92-4A63-98F4-7A0DB6DED5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2528" name="Picture@5C\QPendientes@" descr="@5C\QPendientes@">
          <a:extLst>
            <a:ext uri="{FF2B5EF4-FFF2-40B4-BE49-F238E27FC236}">
              <a16:creationId xmlns:a16="http://schemas.microsoft.com/office/drawing/2014/main" id="{58FC3ED2-3C98-4952-8CC3-42947C1089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2529" name="Picture@5C\QPendientes@" descr="@5C\QPendientes@">
          <a:extLst>
            <a:ext uri="{FF2B5EF4-FFF2-40B4-BE49-F238E27FC236}">
              <a16:creationId xmlns:a16="http://schemas.microsoft.com/office/drawing/2014/main" id="{D7F6FCCD-BC2C-419D-A676-0C426D1848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2530" name="Picture@5C\QPendientes@" descr="@5C\QPendientes@">
          <a:extLst>
            <a:ext uri="{FF2B5EF4-FFF2-40B4-BE49-F238E27FC236}">
              <a16:creationId xmlns:a16="http://schemas.microsoft.com/office/drawing/2014/main" id="{E33A4C29-C11D-4E65-AF46-36D4DBB6A4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2531" name="Picture@5C\QPendientes@" descr="@5C\QPendientes@">
          <a:extLst>
            <a:ext uri="{FF2B5EF4-FFF2-40B4-BE49-F238E27FC236}">
              <a16:creationId xmlns:a16="http://schemas.microsoft.com/office/drawing/2014/main" id="{28A54F7F-FE6B-4344-B31C-F2A0A8DF74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2532" name="Picture@5C\QPendientes@" descr="@5C\QPendientes@">
          <a:extLst>
            <a:ext uri="{FF2B5EF4-FFF2-40B4-BE49-F238E27FC236}">
              <a16:creationId xmlns:a16="http://schemas.microsoft.com/office/drawing/2014/main" id="{D9F92AFB-CCBB-4DBE-B9E4-2ED5C9582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2533" name="Picture@5C\QPendientes@" descr="@5C\QPendientes@">
          <a:extLst>
            <a:ext uri="{FF2B5EF4-FFF2-40B4-BE49-F238E27FC236}">
              <a16:creationId xmlns:a16="http://schemas.microsoft.com/office/drawing/2014/main" id="{AC64BCB3-33BE-4B05-B706-0F829808E9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2534" name="Picture@5C\QPendientes@" descr="@5C\QPendientes@">
          <a:extLst>
            <a:ext uri="{FF2B5EF4-FFF2-40B4-BE49-F238E27FC236}">
              <a16:creationId xmlns:a16="http://schemas.microsoft.com/office/drawing/2014/main" id="{E12478F7-6824-43F7-9C44-A78ADAC903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2535" name="Picture@5C\QPendientes@" descr="@5C\QPendientes@">
          <a:extLst>
            <a:ext uri="{FF2B5EF4-FFF2-40B4-BE49-F238E27FC236}">
              <a16:creationId xmlns:a16="http://schemas.microsoft.com/office/drawing/2014/main" id="{D2510ED6-0BA3-45A0-A3AC-08E8FF65AE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2536" name="Picture@5C\QPendientes@" descr="@5C\QPendientes@">
          <a:extLst>
            <a:ext uri="{FF2B5EF4-FFF2-40B4-BE49-F238E27FC236}">
              <a16:creationId xmlns:a16="http://schemas.microsoft.com/office/drawing/2014/main" id="{04741815-444B-4E55-959C-6CF7220D72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2537" name="Picture@5C\QPendientes@" descr="@5C\QPendientes@">
          <a:extLst>
            <a:ext uri="{FF2B5EF4-FFF2-40B4-BE49-F238E27FC236}">
              <a16:creationId xmlns:a16="http://schemas.microsoft.com/office/drawing/2014/main" id="{5EF897E4-B794-4D91-8BD5-6ED0254097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2538" name="Picture@5C\QPendientes@" descr="@5C\QPendientes@">
          <a:extLst>
            <a:ext uri="{FF2B5EF4-FFF2-40B4-BE49-F238E27FC236}">
              <a16:creationId xmlns:a16="http://schemas.microsoft.com/office/drawing/2014/main" id="{EE8E510E-9740-4FC6-A459-722B3301C1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2539" name="Picture@5C\QPendientes@" descr="@5C\QPendientes@">
          <a:extLst>
            <a:ext uri="{FF2B5EF4-FFF2-40B4-BE49-F238E27FC236}">
              <a16:creationId xmlns:a16="http://schemas.microsoft.com/office/drawing/2014/main" id="{EA542C6D-C426-4470-AD4A-038F2138B2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2540" name="Picture@5C\QPendientes@" descr="@5C\QPendientes@">
          <a:extLst>
            <a:ext uri="{FF2B5EF4-FFF2-40B4-BE49-F238E27FC236}">
              <a16:creationId xmlns:a16="http://schemas.microsoft.com/office/drawing/2014/main" id="{556A7F4C-59A0-465E-B52B-88A927AB70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2541" name="Picture@5C\QPendientes@" descr="@5C\QPendientes@">
          <a:extLst>
            <a:ext uri="{FF2B5EF4-FFF2-40B4-BE49-F238E27FC236}">
              <a16:creationId xmlns:a16="http://schemas.microsoft.com/office/drawing/2014/main" id="{F0BEEC69-2B82-470B-952F-33177E6B82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2542" name="Picture@5C\QPendientes@" descr="@5C\QPendientes@">
          <a:extLst>
            <a:ext uri="{FF2B5EF4-FFF2-40B4-BE49-F238E27FC236}">
              <a16:creationId xmlns:a16="http://schemas.microsoft.com/office/drawing/2014/main" id="{29931E17-4BEE-464C-A216-A500F109B4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2543" name="Picture@5C\QPendientes@" descr="@5C\QPendientes@">
          <a:extLst>
            <a:ext uri="{FF2B5EF4-FFF2-40B4-BE49-F238E27FC236}">
              <a16:creationId xmlns:a16="http://schemas.microsoft.com/office/drawing/2014/main" id="{F349C71F-8D17-4E3E-A4DB-42B7994BEE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2544" name="Picture@5C\QPendientes@" descr="@5C\QPendientes@">
          <a:extLst>
            <a:ext uri="{FF2B5EF4-FFF2-40B4-BE49-F238E27FC236}">
              <a16:creationId xmlns:a16="http://schemas.microsoft.com/office/drawing/2014/main" id="{9575ACDD-AC44-4305-9C71-7D3C3D7E0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2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2545" name="Picture@5C\QPendientes@" descr="@5C\QPendientes@">
          <a:extLst>
            <a:ext uri="{FF2B5EF4-FFF2-40B4-BE49-F238E27FC236}">
              <a16:creationId xmlns:a16="http://schemas.microsoft.com/office/drawing/2014/main" id="{6BC9A896-6BD6-4E19-96EF-C6D27B9D7C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4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2546" name="Picture@5C\QPendientes@" descr="@5C\QPendientes@">
          <a:extLst>
            <a:ext uri="{FF2B5EF4-FFF2-40B4-BE49-F238E27FC236}">
              <a16:creationId xmlns:a16="http://schemas.microsoft.com/office/drawing/2014/main" id="{14F4184C-6FC6-4655-8BA2-77F705CFE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2547" name="Picture@5C\QPendientes@" descr="@5C\QPendientes@">
          <a:extLst>
            <a:ext uri="{FF2B5EF4-FFF2-40B4-BE49-F238E27FC236}">
              <a16:creationId xmlns:a16="http://schemas.microsoft.com/office/drawing/2014/main" id="{C96E1A43-8B9C-4D35-A0D7-0EBC4545B1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2548" name="Picture@5C\QPendientes@" descr="@5C\QPendientes@">
          <a:extLst>
            <a:ext uri="{FF2B5EF4-FFF2-40B4-BE49-F238E27FC236}">
              <a16:creationId xmlns:a16="http://schemas.microsoft.com/office/drawing/2014/main" id="{F643C042-DCA5-4746-AB81-1E15FCD217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2549" name="Picture@5C\QPendientes@" descr="@5C\QPendientes@">
          <a:extLst>
            <a:ext uri="{FF2B5EF4-FFF2-40B4-BE49-F238E27FC236}">
              <a16:creationId xmlns:a16="http://schemas.microsoft.com/office/drawing/2014/main" id="{B3BDB128-9A99-482F-9C5A-DBEE5FBC8E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1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2550" name="Picture@5C\QPendientes@" descr="@5C\QPendientes@">
          <a:extLst>
            <a:ext uri="{FF2B5EF4-FFF2-40B4-BE49-F238E27FC236}">
              <a16:creationId xmlns:a16="http://schemas.microsoft.com/office/drawing/2014/main" id="{A00C2936-0891-463E-AFC0-F103E10D5A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3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2551" name="Picture@5C\QPendientes@" descr="@5C\QPendientes@">
          <a:extLst>
            <a:ext uri="{FF2B5EF4-FFF2-40B4-BE49-F238E27FC236}">
              <a16:creationId xmlns:a16="http://schemas.microsoft.com/office/drawing/2014/main" id="{60604908-DAC5-4604-A49D-CAA976510D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2552" name="Picture@5C\QPendientes@" descr="@5C\QPendientes@">
          <a:extLst>
            <a:ext uri="{FF2B5EF4-FFF2-40B4-BE49-F238E27FC236}">
              <a16:creationId xmlns:a16="http://schemas.microsoft.com/office/drawing/2014/main" id="{F8D2AA1A-559F-448C-8E7C-94EE6100C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2553" name="Picture@5C\QPendientes@" descr="@5C\QPendientes@">
          <a:extLst>
            <a:ext uri="{FF2B5EF4-FFF2-40B4-BE49-F238E27FC236}">
              <a16:creationId xmlns:a16="http://schemas.microsoft.com/office/drawing/2014/main" id="{AF704A4D-BCEA-4C9D-81D4-B5461DDD79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2554" name="Picture@5C\QPendientes@" descr="@5C\QPendientes@">
          <a:extLst>
            <a:ext uri="{FF2B5EF4-FFF2-40B4-BE49-F238E27FC236}">
              <a16:creationId xmlns:a16="http://schemas.microsoft.com/office/drawing/2014/main" id="{0CEB46D5-43C8-4751-8421-00CF10292A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2555" name="Picture@5C\QPendientes@" descr="@5C\QPendientes@">
          <a:extLst>
            <a:ext uri="{FF2B5EF4-FFF2-40B4-BE49-F238E27FC236}">
              <a16:creationId xmlns:a16="http://schemas.microsoft.com/office/drawing/2014/main" id="{16FF3416-3BB1-43EC-981B-40D8493348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2556" name="Picture@5C\QPendientes@" descr="@5C\QPendientes@">
          <a:extLst>
            <a:ext uri="{FF2B5EF4-FFF2-40B4-BE49-F238E27FC236}">
              <a16:creationId xmlns:a16="http://schemas.microsoft.com/office/drawing/2014/main" id="{941AE99F-87FF-457E-B8A0-8310E12E23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2557" name="Picture@5C\QPendientes@" descr="@5C\QPendientes@">
          <a:extLst>
            <a:ext uri="{FF2B5EF4-FFF2-40B4-BE49-F238E27FC236}">
              <a16:creationId xmlns:a16="http://schemas.microsoft.com/office/drawing/2014/main" id="{7D5A6752-9F92-45BE-AF0E-5A66C6D384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2558" name="Picture@5C\QPendientes@" descr="@5C\QPendientes@">
          <a:extLst>
            <a:ext uri="{FF2B5EF4-FFF2-40B4-BE49-F238E27FC236}">
              <a16:creationId xmlns:a16="http://schemas.microsoft.com/office/drawing/2014/main" id="{14F8826B-2726-413B-AFE4-AB65EDC8B0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2559" name="Picture@5C\QPendientes@" descr="@5C\QPendientes@">
          <a:extLst>
            <a:ext uri="{FF2B5EF4-FFF2-40B4-BE49-F238E27FC236}">
              <a16:creationId xmlns:a16="http://schemas.microsoft.com/office/drawing/2014/main" id="{A2D5E321-B873-4377-B857-EC214B4957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2560" name="Picture@5C\QPendientes@" descr="@5C\QPendientes@">
          <a:extLst>
            <a:ext uri="{FF2B5EF4-FFF2-40B4-BE49-F238E27FC236}">
              <a16:creationId xmlns:a16="http://schemas.microsoft.com/office/drawing/2014/main" id="{094260D2-AD3D-4E94-BCA4-E7EBA33EB4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2561" name="Picture@5C\QPendientes@" descr="@5C\QPendientes@">
          <a:extLst>
            <a:ext uri="{FF2B5EF4-FFF2-40B4-BE49-F238E27FC236}">
              <a16:creationId xmlns:a16="http://schemas.microsoft.com/office/drawing/2014/main" id="{0D0CA187-57D9-409D-B002-BB70D18CA3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2562" name="Picture@5C\QPendientes@" descr="@5C\QPendientes@">
          <a:extLst>
            <a:ext uri="{FF2B5EF4-FFF2-40B4-BE49-F238E27FC236}">
              <a16:creationId xmlns:a16="http://schemas.microsoft.com/office/drawing/2014/main" id="{02FAB108-73D6-41E7-B154-EBE23A9F3A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2563" name="Picture@5C\QPendientes@" descr="@5C\QPendientes@">
          <a:extLst>
            <a:ext uri="{FF2B5EF4-FFF2-40B4-BE49-F238E27FC236}">
              <a16:creationId xmlns:a16="http://schemas.microsoft.com/office/drawing/2014/main" id="{8253A7D9-FD12-4792-9634-E107320615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2564" name="Picture@5C\QPendientes@" descr="@5C\QPendientes@">
          <a:extLst>
            <a:ext uri="{FF2B5EF4-FFF2-40B4-BE49-F238E27FC236}">
              <a16:creationId xmlns:a16="http://schemas.microsoft.com/office/drawing/2014/main" id="{5CA768EF-9EE1-4977-ABDA-D525B4BE45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2565" name="Picture@5C\QPendientes@" descr="@5C\QPendientes@">
          <a:extLst>
            <a:ext uri="{FF2B5EF4-FFF2-40B4-BE49-F238E27FC236}">
              <a16:creationId xmlns:a16="http://schemas.microsoft.com/office/drawing/2014/main" id="{6027D101-21A4-4952-9D08-845E9D382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1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2566" name="Picture@5C\QPendientes@" descr="@5C\QPendientes@">
          <a:extLst>
            <a:ext uri="{FF2B5EF4-FFF2-40B4-BE49-F238E27FC236}">
              <a16:creationId xmlns:a16="http://schemas.microsoft.com/office/drawing/2014/main" id="{59C22861-1963-4DA7-B703-252D7738A8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2567" name="Picture@5C\QPendientes@" descr="@5C\QPendientes@">
          <a:extLst>
            <a:ext uri="{FF2B5EF4-FFF2-40B4-BE49-F238E27FC236}">
              <a16:creationId xmlns:a16="http://schemas.microsoft.com/office/drawing/2014/main" id="{AA2BB47F-BD1C-45AB-82E8-65C833AFA7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2568" name="Picture@5C\QPendientes@" descr="@5C\QPendientes@">
          <a:extLst>
            <a:ext uri="{FF2B5EF4-FFF2-40B4-BE49-F238E27FC236}">
              <a16:creationId xmlns:a16="http://schemas.microsoft.com/office/drawing/2014/main" id="{12099621-A164-412E-BA2F-97C18A070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2569" name="Picture@5C\QPendientes@" descr="@5C\QPendientes@">
          <a:extLst>
            <a:ext uri="{FF2B5EF4-FFF2-40B4-BE49-F238E27FC236}">
              <a16:creationId xmlns:a16="http://schemas.microsoft.com/office/drawing/2014/main" id="{AF2EAA85-10E4-419C-BE1A-691F98B116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2570" name="Picture@5C\QPendientes@" descr="@5C\QPendientes@">
          <a:extLst>
            <a:ext uri="{FF2B5EF4-FFF2-40B4-BE49-F238E27FC236}">
              <a16:creationId xmlns:a16="http://schemas.microsoft.com/office/drawing/2014/main" id="{86597F7E-19D8-4A0B-A12F-FE9FA7CFB6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2571" name="Picture@5C\QPendientes@" descr="@5C\QPendientes@">
          <a:extLst>
            <a:ext uri="{FF2B5EF4-FFF2-40B4-BE49-F238E27FC236}">
              <a16:creationId xmlns:a16="http://schemas.microsoft.com/office/drawing/2014/main" id="{6F2CE077-97CD-41B0-B1FD-3627476A9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2572" name="Picture@5C\QPendientes@" descr="@5C\QPendientes@">
          <a:extLst>
            <a:ext uri="{FF2B5EF4-FFF2-40B4-BE49-F238E27FC236}">
              <a16:creationId xmlns:a16="http://schemas.microsoft.com/office/drawing/2014/main" id="{06460F19-3804-4934-AE34-21A40BB7DE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3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2573" name="Picture@5C\QPendientes@" descr="@5C\QPendientes@">
          <a:extLst>
            <a:ext uri="{FF2B5EF4-FFF2-40B4-BE49-F238E27FC236}">
              <a16:creationId xmlns:a16="http://schemas.microsoft.com/office/drawing/2014/main" id="{5DEAC5F3-C53E-4569-9660-FCD9BB1A27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5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2574" name="Picture@5C\QPendientes@" descr="@5C\QPendientes@">
          <a:extLst>
            <a:ext uri="{FF2B5EF4-FFF2-40B4-BE49-F238E27FC236}">
              <a16:creationId xmlns:a16="http://schemas.microsoft.com/office/drawing/2014/main" id="{E6A3A076-DBDB-46CD-A8EB-80C696CC33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2575" name="Picture@5C\QPendientes@" descr="@5C\QPendientes@">
          <a:extLst>
            <a:ext uri="{FF2B5EF4-FFF2-40B4-BE49-F238E27FC236}">
              <a16:creationId xmlns:a16="http://schemas.microsoft.com/office/drawing/2014/main" id="{52BF990D-FBC8-4538-890F-0413697EB9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2576" name="Picture@5C\QPendientes@" descr="@5C\QPendientes@">
          <a:extLst>
            <a:ext uri="{FF2B5EF4-FFF2-40B4-BE49-F238E27FC236}">
              <a16:creationId xmlns:a16="http://schemas.microsoft.com/office/drawing/2014/main" id="{286303F5-9F3A-4034-8433-8C59B979E0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2577" name="Picture@5C\QPendientes@" descr="@5C\QPendientes@">
          <a:extLst>
            <a:ext uri="{FF2B5EF4-FFF2-40B4-BE49-F238E27FC236}">
              <a16:creationId xmlns:a16="http://schemas.microsoft.com/office/drawing/2014/main" id="{878B73A7-FF24-416F-B6D7-F503FC8874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2578" name="Picture@5C\QPendientes@" descr="@5C\QPendientes@">
          <a:extLst>
            <a:ext uri="{FF2B5EF4-FFF2-40B4-BE49-F238E27FC236}">
              <a16:creationId xmlns:a16="http://schemas.microsoft.com/office/drawing/2014/main" id="{7C1A32D1-194E-4778-88EA-E72AB23367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2579" name="Picture@5C\QPendientes@" descr="@5C\QPendientes@">
          <a:extLst>
            <a:ext uri="{FF2B5EF4-FFF2-40B4-BE49-F238E27FC236}">
              <a16:creationId xmlns:a16="http://schemas.microsoft.com/office/drawing/2014/main" id="{6D403A9C-C25D-4F56-A3AC-E8EC6548F4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2580" name="Picture@5C\QPendientes@" descr="@5C\QPendientes@">
          <a:extLst>
            <a:ext uri="{FF2B5EF4-FFF2-40B4-BE49-F238E27FC236}">
              <a16:creationId xmlns:a16="http://schemas.microsoft.com/office/drawing/2014/main" id="{11F5211D-691A-4E8B-96D6-AE03A92FD6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8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2581" name="Picture@5C\QPendientes@" descr="@5C\QPendientes@">
          <a:extLst>
            <a:ext uri="{FF2B5EF4-FFF2-40B4-BE49-F238E27FC236}">
              <a16:creationId xmlns:a16="http://schemas.microsoft.com/office/drawing/2014/main" id="{B9719B08-399C-4187-84E4-A572E15603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2582" name="Picture@5C\QPendientes@" descr="@5C\QPendientes@">
          <a:extLst>
            <a:ext uri="{FF2B5EF4-FFF2-40B4-BE49-F238E27FC236}">
              <a16:creationId xmlns:a16="http://schemas.microsoft.com/office/drawing/2014/main" id="{9A3944A8-02F2-492E-B652-334E318F7B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2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2583" name="Picture@5C\QPendientes@" descr="@5C\QPendientes@">
          <a:extLst>
            <a:ext uri="{FF2B5EF4-FFF2-40B4-BE49-F238E27FC236}">
              <a16:creationId xmlns:a16="http://schemas.microsoft.com/office/drawing/2014/main" id="{6714935E-BB9B-4107-8536-D4E7EB1824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2584" name="Picture@5C\QPendientes@" descr="@5C\QPendientes@">
          <a:extLst>
            <a:ext uri="{FF2B5EF4-FFF2-40B4-BE49-F238E27FC236}">
              <a16:creationId xmlns:a16="http://schemas.microsoft.com/office/drawing/2014/main" id="{909AC82A-308C-4B3C-89A9-6D9A43F5AE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5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2585" name="Picture@5C\QPendientes@" descr="@5C\QPendientes@">
          <a:extLst>
            <a:ext uri="{FF2B5EF4-FFF2-40B4-BE49-F238E27FC236}">
              <a16:creationId xmlns:a16="http://schemas.microsoft.com/office/drawing/2014/main" id="{4F0DB589-F7D8-411D-B5C1-E2E3AF794A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7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2586" name="Picture@5C\QPendientes@" descr="@5C\QPendientes@">
          <a:extLst>
            <a:ext uri="{FF2B5EF4-FFF2-40B4-BE49-F238E27FC236}">
              <a16:creationId xmlns:a16="http://schemas.microsoft.com/office/drawing/2014/main" id="{7F1B6AB6-6FC0-4F03-A7D6-5DC8994B02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9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2587" name="Picture@5C\QPendientes@" descr="@5C\QPendientes@">
          <a:extLst>
            <a:ext uri="{FF2B5EF4-FFF2-40B4-BE49-F238E27FC236}">
              <a16:creationId xmlns:a16="http://schemas.microsoft.com/office/drawing/2014/main" id="{F0882DB1-E4FF-4D7F-ACDE-7DEAD4007F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1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2588" name="Picture@5C\QPendientes@" descr="@5C\QPendientes@">
          <a:extLst>
            <a:ext uri="{FF2B5EF4-FFF2-40B4-BE49-F238E27FC236}">
              <a16:creationId xmlns:a16="http://schemas.microsoft.com/office/drawing/2014/main" id="{B4866114-1EA2-4E79-B9F6-F286B44735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3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2589" name="Picture@5C\QPendientes@" descr="@5C\QPendientes@">
          <a:extLst>
            <a:ext uri="{FF2B5EF4-FFF2-40B4-BE49-F238E27FC236}">
              <a16:creationId xmlns:a16="http://schemas.microsoft.com/office/drawing/2014/main" id="{7800C0C6-CF27-4B6B-AB81-5F7669CA96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2590" name="Picture@5C\QPendientes@" descr="@5C\QPendientes@">
          <a:extLst>
            <a:ext uri="{FF2B5EF4-FFF2-40B4-BE49-F238E27FC236}">
              <a16:creationId xmlns:a16="http://schemas.microsoft.com/office/drawing/2014/main" id="{82D56D71-7843-43FC-A1E3-B35B1315BA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2591" name="Picture@5C\QPendientes@" descr="@5C\QPendientes@">
          <a:extLst>
            <a:ext uri="{FF2B5EF4-FFF2-40B4-BE49-F238E27FC236}">
              <a16:creationId xmlns:a16="http://schemas.microsoft.com/office/drawing/2014/main" id="{803E1548-1D10-464B-B520-6DE9F74259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2592" name="Picture@5C\QPendientes@" descr="@5C\QPendientes@">
          <a:extLst>
            <a:ext uri="{FF2B5EF4-FFF2-40B4-BE49-F238E27FC236}">
              <a16:creationId xmlns:a16="http://schemas.microsoft.com/office/drawing/2014/main" id="{1B864365-6F73-4B1A-A366-040F446C36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0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2593" name="Picture@5C\QPendientes@" descr="@5C\QPendientes@">
          <a:extLst>
            <a:ext uri="{FF2B5EF4-FFF2-40B4-BE49-F238E27FC236}">
              <a16:creationId xmlns:a16="http://schemas.microsoft.com/office/drawing/2014/main" id="{E22FBC8A-1FB8-45E8-B418-7DFB55228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2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2594" name="Picture@5C\QPendientes@" descr="@5C\QPendientes@">
          <a:extLst>
            <a:ext uri="{FF2B5EF4-FFF2-40B4-BE49-F238E27FC236}">
              <a16:creationId xmlns:a16="http://schemas.microsoft.com/office/drawing/2014/main" id="{3C0520F6-6612-4014-AB52-F8B89BC356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4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2595" name="Picture@5C\QPendientes@" descr="@5C\QPendientes@">
          <a:extLst>
            <a:ext uri="{FF2B5EF4-FFF2-40B4-BE49-F238E27FC236}">
              <a16:creationId xmlns:a16="http://schemas.microsoft.com/office/drawing/2014/main" id="{F94B0C33-EAC8-4F84-91A6-7E329CA1D5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2596" name="Picture@5C\QPendientes@" descr="@5C\QPendientes@">
          <a:extLst>
            <a:ext uri="{FF2B5EF4-FFF2-40B4-BE49-F238E27FC236}">
              <a16:creationId xmlns:a16="http://schemas.microsoft.com/office/drawing/2014/main" id="{0483A247-73DC-4A9D-A0A9-5CD4EE218D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7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2597" name="Picture@5C\QPendientes@" descr="@5C\QPendientes@">
          <a:extLst>
            <a:ext uri="{FF2B5EF4-FFF2-40B4-BE49-F238E27FC236}">
              <a16:creationId xmlns:a16="http://schemas.microsoft.com/office/drawing/2014/main" id="{3BA99A15-8FB7-41A6-A0A6-4E0D841E13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9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2598" name="Picture@5C\QPendientes@" descr="@5C\QPendientes@">
          <a:extLst>
            <a:ext uri="{FF2B5EF4-FFF2-40B4-BE49-F238E27FC236}">
              <a16:creationId xmlns:a16="http://schemas.microsoft.com/office/drawing/2014/main" id="{DC41A23B-C251-4BD0-ACFE-65921CECB0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1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2599" name="Picture@5C\QPendientes@" descr="@5C\QPendientes@">
          <a:extLst>
            <a:ext uri="{FF2B5EF4-FFF2-40B4-BE49-F238E27FC236}">
              <a16:creationId xmlns:a16="http://schemas.microsoft.com/office/drawing/2014/main" id="{F92D5B34-FFB9-471A-A8C5-ACC73BB5EC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3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2600" name="Picture@5C\QPendientes@" descr="@5C\QPendientes@">
          <a:extLst>
            <a:ext uri="{FF2B5EF4-FFF2-40B4-BE49-F238E27FC236}">
              <a16:creationId xmlns:a16="http://schemas.microsoft.com/office/drawing/2014/main" id="{9B34D536-E7D5-4014-A779-11BCEE72F0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5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2601" name="Picture@5C\QPendientes@" descr="@5C\QPendientes@">
          <a:extLst>
            <a:ext uri="{FF2B5EF4-FFF2-40B4-BE49-F238E27FC236}">
              <a16:creationId xmlns:a16="http://schemas.microsoft.com/office/drawing/2014/main" id="{CB566323-0744-4272-94C1-E92B69A74F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2602" name="Picture@5C\QPendientes@" descr="@5C\QPendientes@">
          <a:extLst>
            <a:ext uri="{FF2B5EF4-FFF2-40B4-BE49-F238E27FC236}">
              <a16:creationId xmlns:a16="http://schemas.microsoft.com/office/drawing/2014/main" id="{4BDBD47C-C493-4BC1-BA7D-85832FF93B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8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2603" name="Picture@5C\QPendientes@" descr="@5C\QPendientes@">
          <a:extLst>
            <a:ext uri="{FF2B5EF4-FFF2-40B4-BE49-F238E27FC236}">
              <a16:creationId xmlns:a16="http://schemas.microsoft.com/office/drawing/2014/main" id="{457309FE-55B6-4830-BABD-A361CE6C31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0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2604" name="Picture@5C\QPendientes@" descr="@5C\QPendientes@">
          <a:extLst>
            <a:ext uri="{FF2B5EF4-FFF2-40B4-BE49-F238E27FC236}">
              <a16:creationId xmlns:a16="http://schemas.microsoft.com/office/drawing/2014/main" id="{D0D591F9-11E1-45FB-B1B3-ED8D2A0251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2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2605" name="Picture@5C\QPendientes@" descr="@5C\QPendientes@">
          <a:extLst>
            <a:ext uri="{FF2B5EF4-FFF2-40B4-BE49-F238E27FC236}">
              <a16:creationId xmlns:a16="http://schemas.microsoft.com/office/drawing/2014/main" id="{94ED73B0-D62D-4061-A63D-C337183288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4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2606" name="Picture@5C\QPendientes@" descr="@5C\QPendientes@">
          <a:extLst>
            <a:ext uri="{FF2B5EF4-FFF2-40B4-BE49-F238E27FC236}">
              <a16:creationId xmlns:a16="http://schemas.microsoft.com/office/drawing/2014/main" id="{823414A9-E398-49C9-AD3B-CBABB399F4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6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2607" name="Picture@5C\QPendientes@" descr="@5C\QPendientes@">
          <a:extLst>
            <a:ext uri="{FF2B5EF4-FFF2-40B4-BE49-F238E27FC236}">
              <a16:creationId xmlns:a16="http://schemas.microsoft.com/office/drawing/2014/main" id="{F19F04B8-F30E-4DA8-8D42-97F3C480F7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7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2608" name="Picture@5C\QPendientes@" descr="@5C\QPendientes@">
          <a:extLst>
            <a:ext uri="{FF2B5EF4-FFF2-40B4-BE49-F238E27FC236}">
              <a16:creationId xmlns:a16="http://schemas.microsoft.com/office/drawing/2014/main" id="{512BE1A7-8DF3-45E2-B899-1E36163E43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9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2609" name="Picture@5C\QPendientes@" descr="@5C\QPendientes@">
          <a:extLst>
            <a:ext uri="{FF2B5EF4-FFF2-40B4-BE49-F238E27FC236}">
              <a16:creationId xmlns:a16="http://schemas.microsoft.com/office/drawing/2014/main" id="{43085F54-7CD3-42C7-B2BA-7C99CC8A1B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1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2610" name="Picture@5C\QPendientes@" descr="@5C\QPendientes@">
          <a:extLst>
            <a:ext uri="{FF2B5EF4-FFF2-40B4-BE49-F238E27FC236}">
              <a16:creationId xmlns:a16="http://schemas.microsoft.com/office/drawing/2014/main" id="{D8730B8B-227E-4A05-A3AC-8170322155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3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2611" name="Picture@5C\QPendientes@" descr="@5C\QPendientes@">
          <a:extLst>
            <a:ext uri="{FF2B5EF4-FFF2-40B4-BE49-F238E27FC236}">
              <a16:creationId xmlns:a16="http://schemas.microsoft.com/office/drawing/2014/main" id="{E7F75177-78CD-4E33-92EB-4A11D0A51C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2612" name="Picture@5C\QPendientes@" descr="@5C\QPendientes@">
          <a:extLst>
            <a:ext uri="{FF2B5EF4-FFF2-40B4-BE49-F238E27FC236}">
              <a16:creationId xmlns:a16="http://schemas.microsoft.com/office/drawing/2014/main" id="{4D2BBBD5-00F7-4132-8790-F6EB9563D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7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2613" name="Picture@5C\QPendientes@" descr="@5C\QPendientes@">
          <a:extLst>
            <a:ext uri="{FF2B5EF4-FFF2-40B4-BE49-F238E27FC236}">
              <a16:creationId xmlns:a16="http://schemas.microsoft.com/office/drawing/2014/main" id="{94127523-1A81-40B6-8772-B2FA0F118C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8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2614" name="Picture@5C\QPendientes@" descr="@5C\QPendientes@">
          <a:extLst>
            <a:ext uri="{FF2B5EF4-FFF2-40B4-BE49-F238E27FC236}">
              <a16:creationId xmlns:a16="http://schemas.microsoft.com/office/drawing/2014/main" id="{5F94CB74-4DF8-4387-8CF0-09812EA6C3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0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2615" name="Picture@5C\QPendientes@" descr="@5C\QPendientes@">
          <a:extLst>
            <a:ext uri="{FF2B5EF4-FFF2-40B4-BE49-F238E27FC236}">
              <a16:creationId xmlns:a16="http://schemas.microsoft.com/office/drawing/2014/main" id="{C988A3D8-42BC-4CC3-89DF-E0EE399947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2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2616" name="Picture@5C\QPendientes@" descr="@5C\QPendientes@">
          <a:extLst>
            <a:ext uri="{FF2B5EF4-FFF2-40B4-BE49-F238E27FC236}">
              <a16:creationId xmlns:a16="http://schemas.microsoft.com/office/drawing/2014/main" id="{4EDCC1C4-B39C-478D-9859-904314A411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4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2617" name="Picture@5C\QPendientes@" descr="@5C\QPendientes@">
          <a:extLst>
            <a:ext uri="{FF2B5EF4-FFF2-40B4-BE49-F238E27FC236}">
              <a16:creationId xmlns:a16="http://schemas.microsoft.com/office/drawing/2014/main" id="{DE3AA2E9-CA4A-4832-8808-5EC8571341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6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2618" name="Picture@5C\QPendientes@" descr="@5C\QPendientes@">
          <a:extLst>
            <a:ext uri="{FF2B5EF4-FFF2-40B4-BE49-F238E27FC236}">
              <a16:creationId xmlns:a16="http://schemas.microsoft.com/office/drawing/2014/main" id="{AF88BF07-CC36-447C-8CA1-95C796B00A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8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2619" name="Picture@5C\QPendientes@" descr="@5C\QPendientes@">
          <a:extLst>
            <a:ext uri="{FF2B5EF4-FFF2-40B4-BE49-F238E27FC236}">
              <a16:creationId xmlns:a16="http://schemas.microsoft.com/office/drawing/2014/main" id="{2F39902E-2998-41A3-A0B3-74E0482849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9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2620" name="Picture@5C\QPendientes@" descr="@5C\QPendientes@">
          <a:extLst>
            <a:ext uri="{FF2B5EF4-FFF2-40B4-BE49-F238E27FC236}">
              <a16:creationId xmlns:a16="http://schemas.microsoft.com/office/drawing/2014/main" id="{17654A47-BC3C-43D3-82C5-20EB98CB5A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1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2621" name="Picture@5C\QPendientes@" descr="@5C\QPendientes@">
          <a:extLst>
            <a:ext uri="{FF2B5EF4-FFF2-40B4-BE49-F238E27FC236}">
              <a16:creationId xmlns:a16="http://schemas.microsoft.com/office/drawing/2014/main" id="{70D1FCA4-7F03-4F9D-A892-D1BB78731C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2622" name="Picture@5C\QPendientes@" descr="@5C\QPendientes@">
          <a:extLst>
            <a:ext uri="{FF2B5EF4-FFF2-40B4-BE49-F238E27FC236}">
              <a16:creationId xmlns:a16="http://schemas.microsoft.com/office/drawing/2014/main" id="{EB6300D1-2067-42CE-82B3-92B2730026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5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2623" name="Picture@5C\QPendientes@" descr="@5C\QPendientes@">
          <a:extLst>
            <a:ext uri="{FF2B5EF4-FFF2-40B4-BE49-F238E27FC236}">
              <a16:creationId xmlns:a16="http://schemas.microsoft.com/office/drawing/2014/main" id="{5C1DB2AA-982E-4C88-A8E7-7811D13EB4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7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2624" name="Picture@5C\QPendientes@" descr="@5C\QPendientes@">
          <a:extLst>
            <a:ext uri="{FF2B5EF4-FFF2-40B4-BE49-F238E27FC236}">
              <a16:creationId xmlns:a16="http://schemas.microsoft.com/office/drawing/2014/main" id="{3ECD020D-CCC5-4EAF-8ED2-E4637662CB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8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2625" name="Picture@5C\QPendientes@" descr="@5C\QPendientes@">
          <a:extLst>
            <a:ext uri="{FF2B5EF4-FFF2-40B4-BE49-F238E27FC236}">
              <a16:creationId xmlns:a16="http://schemas.microsoft.com/office/drawing/2014/main" id="{C8A1342C-CF19-43AB-AB4A-12169DF2EC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0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2626" name="Picture@5C\QPendientes@" descr="@5C\QPendientes@">
          <a:extLst>
            <a:ext uri="{FF2B5EF4-FFF2-40B4-BE49-F238E27FC236}">
              <a16:creationId xmlns:a16="http://schemas.microsoft.com/office/drawing/2014/main" id="{3EF61664-1E01-40DC-A6F7-EA3267CC19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2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2627" name="Picture@5C\QPendientes@" descr="@5C\QPendientes@">
          <a:extLst>
            <a:ext uri="{FF2B5EF4-FFF2-40B4-BE49-F238E27FC236}">
              <a16:creationId xmlns:a16="http://schemas.microsoft.com/office/drawing/2014/main" id="{A572D34F-FD81-42D5-96C5-B4208CC055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4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2628" name="Picture@5C\QPendientes@" descr="@5C\QPendientes@">
          <a:extLst>
            <a:ext uri="{FF2B5EF4-FFF2-40B4-BE49-F238E27FC236}">
              <a16:creationId xmlns:a16="http://schemas.microsoft.com/office/drawing/2014/main" id="{9913CE8C-90B4-4321-973F-BEBBD6F082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6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2629" name="Picture@5C\QPendientes@" descr="@5C\QPendientes@">
          <a:extLst>
            <a:ext uri="{FF2B5EF4-FFF2-40B4-BE49-F238E27FC236}">
              <a16:creationId xmlns:a16="http://schemas.microsoft.com/office/drawing/2014/main" id="{7A1FB776-4391-4B65-BB4F-B882A55234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8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2630" name="Picture@5C\QPendientes@" descr="@5C\QPendientes@">
          <a:extLst>
            <a:ext uri="{FF2B5EF4-FFF2-40B4-BE49-F238E27FC236}">
              <a16:creationId xmlns:a16="http://schemas.microsoft.com/office/drawing/2014/main" id="{D647B061-C67F-4EE2-920E-B87083668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9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2631" name="Picture@5C\QPendientes@" descr="@5C\QPendientes@">
          <a:extLst>
            <a:ext uri="{FF2B5EF4-FFF2-40B4-BE49-F238E27FC236}">
              <a16:creationId xmlns:a16="http://schemas.microsoft.com/office/drawing/2014/main" id="{3C243D3A-B55D-44D2-A37E-43A9E9EB9D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2632" name="Picture@5C\QPendientes@" descr="@5C\QPendientes@">
          <a:extLst>
            <a:ext uri="{FF2B5EF4-FFF2-40B4-BE49-F238E27FC236}">
              <a16:creationId xmlns:a16="http://schemas.microsoft.com/office/drawing/2014/main" id="{DC38DB6A-9128-4E09-B2ED-1F6A0A2D6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3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2633" name="Picture@5C\QPendientes@" descr="@5C\QPendientes@">
          <a:extLst>
            <a:ext uri="{FF2B5EF4-FFF2-40B4-BE49-F238E27FC236}">
              <a16:creationId xmlns:a16="http://schemas.microsoft.com/office/drawing/2014/main" id="{140E7D48-C068-4AB1-972B-FE33C934D0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5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2634" name="Picture@5C\QPendientes@" descr="@5C\QPendientes@">
          <a:extLst>
            <a:ext uri="{FF2B5EF4-FFF2-40B4-BE49-F238E27FC236}">
              <a16:creationId xmlns:a16="http://schemas.microsoft.com/office/drawing/2014/main" id="{C2FF72C9-94F3-48DD-A896-70E511551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7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2635" name="Picture@5C\QPendientes@" descr="@5C\QPendientes@">
          <a:extLst>
            <a:ext uri="{FF2B5EF4-FFF2-40B4-BE49-F238E27FC236}">
              <a16:creationId xmlns:a16="http://schemas.microsoft.com/office/drawing/2014/main" id="{E982DE50-761D-45AF-9C25-9463AD63A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9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2636" name="Picture@5C\QPendientes@" descr="@5C\QPendientes@">
          <a:extLst>
            <a:ext uri="{FF2B5EF4-FFF2-40B4-BE49-F238E27FC236}">
              <a16:creationId xmlns:a16="http://schemas.microsoft.com/office/drawing/2014/main" id="{0CDDE3AA-B218-4C5C-B56D-CC95DDDB5D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0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2637" name="Picture@5C\QPendientes@" descr="@5C\QPendientes@">
          <a:extLst>
            <a:ext uri="{FF2B5EF4-FFF2-40B4-BE49-F238E27FC236}">
              <a16:creationId xmlns:a16="http://schemas.microsoft.com/office/drawing/2014/main" id="{7EE22992-4302-45A9-B796-AD6F69519F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2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2638" name="Picture@5C\QPendientes@" descr="@5C\QPendientes@">
          <a:extLst>
            <a:ext uri="{FF2B5EF4-FFF2-40B4-BE49-F238E27FC236}">
              <a16:creationId xmlns:a16="http://schemas.microsoft.com/office/drawing/2014/main" id="{1BC3A02B-2236-4EE4-A4BD-666A89F210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4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2639" name="Picture@5C\QPendientes@" descr="@5C\QPendientes@">
          <a:extLst>
            <a:ext uri="{FF2B5EF4-FFF2-40B4-BE49-F238E27FC236}">
              <a16:creationId xmlns:a16="http://schemas.microsoft.com/office/drawing/2014/main" id="{294F3ABA-15EA-49B4-8176-9C9E508250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6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2640" name="Picture@5C\QPendientes@" descr="@5C\QPendientes@">
          <a:extLst>
            <a:ext uri="{FF2B5EF4-FFF2-40B4-BE49-F238E27FC236}">
              <a16:creationId xmlns:a16="http://schemas.microsoft.com/office/drawing/2014/main" id="{A9AF50F2-1135-4B5F-A809-8323C423D9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8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2641" name="Picture@5C\QPendientes@" descr="@5C\QPendientes@">
          <a:extLst>
            <a:ext uri="{FF2B5EF4-FFF2-40B4-BE49-F238E27FC236}">
              <a16:creationId xmlns:a16="http://schemas.microsoft.com/office/drawing/2014/main" id="{9E7101A0-D533-45EF-AC8C-715631CBA8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2642" name="Picture@5C\QPendientes@" descr="@5C\QPendientes@">
          <a:extLst>
            <a:ext uri="{FF2B5EF4-FFF2-40B4-BE49-F238E27FC236}">
              <a16:creationId xmlns:a16="http://schemas.microsoft.com/office/drawing/2014/main" id="{78F187AE-91A2-4AF3-A191-A537A317C4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1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2643" name="Picture@5C\QPendientes@" descr="@5C\QPendientes@">
          <a:extLst>
            <a:ext uri="{FF2B5EF4-FFF2-40B4-BE49-F238E27FC236}">
              <a16:creationId xmlns:a16="http://schemas.microsoft.com/office/drawing/2014/main" id="{BF79C54E-94ED-43EC-BF54-0203CA97E8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3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2644" name="Picture@5C\QPendientes@" descr="@5C\QPendientes@">
          <a:extLst>
            <a:ext uri="{FF2B5EF4-FFF2-40B4-BE49-F238E27FC236}">
              <a16:creationId xmlns:a16="http://schemas.microsoft.com/office/drawing/2014/main" id="{A9F556F7-D6DF-42D2-8C8D-91DECF2DBB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5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2645" name="Picture@5C\QPendientes@" descr="@5C\QPendientes@">
          <a:extLst>
            <a:ext uri="{FF2B5EF4-FFF2-40B4-BE49-F238E27FC236}">
              <a16:creationId xmlns:a16="http://schemas.microsoft.com/office/drawing/2014/main" id="{DA756E31-0529-41E5-97B7-8D3308B1F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7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2646" name="Picture@5C\QPendientes@" descr="@5C\QPendientes@">
          <a:extLst>
            <a:ext uri="{FF2B5EF4-FFF2-40B4-BE49-F238E27FC236}">
              <a16:creationId xmlns:a16="http://schemas.microsoft.com/office/drawing/2014/main" id="{50EBBA37-C711-49F2-9366-D78CEAEEA9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9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2647" name="Picture@5C\QPendientes@" descr="@5C\QPendientes@">
          <a:extLst>
            <a:ext uri="{FF2B5EF4-FFF2-40B4-BE49-F238E27FC236}">
              <a16:creationId xmlns:a16="http://schemas.microsoft.com/office/drawing/2014/main" id="{2505BEA7-F05E-424C-B7D2-B9B164833D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1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2648" name="Picture@5C\QPendientes@" descr="@5C\QPendientes@">
          <a:extLst>
            <a:ext uri="{FF2B5EF4-FFF2-40B4-BE49-F238E27FC236}">
              <a16:creationId xmlns:a16="http://schemas.microsoft.com/office/drawing/2014/main" id="{BAE64991-B4B4-452F-ADC7-A9FB41992B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2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2649" name="Picture@5C\QPendientes@" descr="@5C\QPendientes@">
          <a:extLst>
            <a:ext uri="{FF2B5EF4-FFF2-40B4-BE49-F238E27FC236}">
              <a16:creationId xmlns:a16="http://schemas.microsoft.com/office/drawing/2014/main" id="{6DC44086-CEB3-40BE-9F08-192355626C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4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2650" name="Picture@5C\QPendientes@" descr="@5C\QPendientes@">
          <a:extLst>
            <a:ext uri="{FF2B5EF4-FFF2-40B4-BE49-F238E27FC236}">
              <a16:creationId xmlns:a16="http://schemas.microsoft.com/office/drawing/2014/main" id="{4C6C7499-2513-4D2B-B3D0-BE661E23CF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6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2651" name="Picture@5C\QPendientes@" descr="@5C\QPendientes@">
          <a:extLst>
            <a:ext uri="{FF2B5EF4-FFF2-40B4-BE49-F238E27FC236}">
              <a16:creationId xmlns:a16="http://schemas.microsoft.com/office/drawing/2014/main" id="{07667900-60D5-486B-A7B5-0E8DE93826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2652" name="Picture@5C\QPendientes@" descr="@5C\QPendientes@">
          <a:extLst>
            <a:ext uri="{FF2B5EF4-FFF2-40B4-BE49-F238E27FC236}">
              <a16:creationId xmlns:a16="http://schemas.microsoft.com/office/drawing/2014/main" id="{AAF0EADE-B870-4876-AA60-AAD28163EC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0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2653" name="Picture@5C\QPendientes@" descr="@5C\QPendientes@">
          <a:extLst>
            <a:ext uri="{FF2B5EF4-FFF2-40B4-BE49-F238E27FC236}">
              <a16:creationId xmlns:a16="http://schemas.microsoft.com/office/drawing/2014/main" id="{7A9B7DA9-65B5-4B8A-A22D-4D181BE10F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2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2654" name="Picture@5C\QPendientes@" descr="@5C\QPendientes@">
          <a:extLst>
            <a:ext uri="{FF2B5EF4-FFF2-40B4-BE49-F238E27FC236}">
              <a16:creationId xmlns:a16="http://schemas.microsoft.com/office/drawing/2014/main" id="{97DF4990-55C2-4E56-9820-154016FF48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3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2655" name="Picture@5C\QPendientes@" descr="@5C\QPendientes@">
          <a:extLst>
            <a:ext uri="{FF2B5EF4-FFF2-40B4-BE49-F238E27FC236}">
              <a16:creationId xmlns:a16="http://schemas.microsoft.com/office/drawing/2014/main" id="{0974EAD3-38E0-4751-AA59-972CFC17C4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5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2656" name="Picture@5C\QPendientes@" descr="@5C\QPendientes@">
          <a:extLst>
            <a:ext uri="{FF2B5EF4-FFF2-40B4-BE49-F238E27FC236}">
              <a16:creationId xmlns:a16="http://schemas.microsoft.com/office/drawing/2014/main" id="{2EB83845-87B3-4275-9F55-A206683A97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7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2657" name="Picture@5C\QPendientes@" descr="@5C\QPendientes@">
          <a:extLst>
            <a:ext uri="{FF2B5EF4-FFF2-40B4-BE49-F238E27FC236}">
              <a16:creationId xmlns:a16="http://schemas.microsoft.com/office/drawing/2014/main" id="{81E4ED9A-7EF9-423B-8199-E5DAF99B16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9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2658" name="Picture@5C\QPendientes@" descr="@5C\QPendientes@">
          <a:extLst>
            <a:ext uri="{FF2B5EF4-FFF2-40B4-BE49-F238E27FC236}">
              <a16:creationId xmlns:a16="http://schemas.microsoft.com/office/drawing/2014/main" id="{FC068490-3C91-40E2-AF12-CA75AEEDB8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2659" name="Picture@5C\QPendientes@" descr="@5C\QPendientes@">
          <a:extLst>
            <a:ext uri="{FF2B5EF4-FFF2-40B4-BE49-F238E27FC236}">
              <a16:creationId xmlns:a16="http://schemas.microsoft.com/office/drawing/2014/main" id="{E33B13AA-DF5C-47CC-B071-D2A93176EA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2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2660" name="Picture@5C\QPendientes@" descr="@5C\QPendientes@">
          <a:extLst>
            <a:ext uri="{FF2B5EF4-FFF2-40B4-BE49-F238E27FC236}">
              <a16:creationId xmlns:a16="http://schemas.microsoft.com/office/drawing/2014/main" id="{9FA8DD80-5F39-49DD-9CF1-E1E7E46C0B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4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2661" name="Picture@5C\QPendientes@" descr="@5C\QPendientes@">
          <a:extLst>
            <a:ext uri="{FF2B5EF4-FFF2-40B4-BE49-F238E27FC236}">
              <a16:creationId xmlns:a16="http://schemas.microsoft.com/office/drawing/2014/main" id="{B0C95C29-9AF5-4575-8E5F-2C7EBC2E4F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2662" name="Picture@5C\QPendientes@" descr="@5C\QPendientes@">
          <a:extLst>
            <a:ext uri="{FF2B5EF4-FFF2-40B4-BE49-F238E27FC236}">
              <a16:creationId xmlns:a16="http://schemas.microsoft.com/office/drawing/2014/main" id="{B7A8D89B-5620-41C6-9E03-533CAF2DB8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8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2663" name="Picture@5C\QPendientes@" descr="@5C\QPendientes@">
          <a:extLst>
            <a:ext uri="{FF2B5EF4-FFF2-40B4-BE49-F238E27FC236}">
              <a16:creationId xmlns:a16="http://schemas.microsoft.com/office/drawing/2014/main" id="{689BD741-A2B8-433F-95F8-F9E399684E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0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2664" name="Picture@5C\QPendientes@" descr="@5C\QPendientes@">
          <a:extLst>
            <a:ext uri="{FF2B5EF4-FFF2-40B4-BE49-F238E27FC236}">
              <a16:creationId xmlns:a16="http://schemas.microsoft.com/office/drawing/2014/main" id="{36F6DB4F-F048-425D-97A7-A575D54D08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2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2665" name="Picture@5C\QPendientes@" descr="@5C\QPendientes@">
          <a:extLst>
            <a:ext uri="{FF2B5EF4-FFF2-40B4-BE49-F238E27FC236}">
              <a16:creationId xmlns:a16="http://schemas.microsoft.com/office/drawing/2014/main" id="{B9A159D0-B04E-4B83-AE82-6ED11DE871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3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2666" name="Picture@5C\QPendientes@" descr="@5C\QPendientes@">
          <a:extLst>
            <a:ext uri="{FF2B5EF4-FFF2-40B4-BE49-F238E27FC236}">
              <a16:creationId xmlns:a16="http://schemas.microsoft.com/office/drawing/2014/main" id="{CFC3338B-9CAB-4F1E-AFB4-DFB63EBC9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5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2667" name="Picture@5C\QPendientes@" descr="@5C\QPendientes@">
          <a:extLst>
            <a:ext uri="{FF2B5EF4-FFF2-40B4-BE49-F238E27FC236}">
              <a16:creationId xmlns:a16="http://schemas.microsoft.com/office/drawing/2014/main" id="{8FAF8C58-A6C7-434B-B231-BB42C56618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7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2668" name="Picture@5C\QPendientes@" descr="@5C\QPendientes@">
          <a:extLst>
            <a:ext uri="{FF2B5EF4-FFF2-40B4-BE49-F238E27FC236}">
              <a16:creationId xmlns:a16="http://schemas.microsoft.com/office/drawing/2014/main" id="{A813FADE-B8AE-43BD-8900-14D03CE977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9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2669" name="Picture@5C\QPendientes@" descr="@5C\QPendientes@">
          <a:extLst>
            <a:ext uri="{FF2B5EF4-FFF2-40B4-BE49-F238E27FC236}">
              <a16:creationId xmlns:a16="http://schemas.microsoft.com/office/drawing/2014/main" id="{89C0E93E-6708-4648-AD5C-A14CF7C0DF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1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2670" name="Picture@5C\QPendientes@" descr="@5C\QPendientes@">
          <a:extLst>
            <a:ext uri="{FF2B5EF4-FFF2-40B4-BE49-F238E27FC236}">
              <a16:creationId xmlns:a16="http://schemas.microsoft.com/office/drawing/2014/main" id="{2246E5BD-B332-4FC8-8808-95B49F0806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3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2671" name="Picture@5C\QPendientes@" descr="@5C\QPendientes@">
          <a:extLst>
            <a:ext uri="{FF2B5EF4-FFF2-40B4-BE49-F238E27FC236}">
              <a16:creationId xmlns:a16="http://schemas.microsoft.com/office/drawing/2014/main" id="{12F93223-D504-4716-A30A-E8B424C4E2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2672" name="Picture@5C\QPendientes@" descr="@5C\QPendientes@">
          <a:extLst>
            <a:ext uri="{FF2B5EF4-FFF2-40B4-BE49-F238E27FC236}">
              <a16:creationId xmlns:a16="http://schemas.microsoft.com/office/drawing/2014/main" id="{2199FE5E-C4B1-4FDA-9986-68B742427C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6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2673" name="Picture@5C\QPendientes@" descr="@5C\QPendientes@">
          <a:extLst>
            <a:ext uri="{FF2B5EF4-FFF2-40B4-BE49-F238E27FC236}">
              <a16:creationId xmlns:a16="http://schemas.microsoft.com/office/drawing/2014/main" id="{24FDC2F3-5D57-4793-BBD7-F2630DDECF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8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2674" name="Picture@5C\QPendientes@" descr="@5C\QPendientes@">
          <a:extLst>
            <a:ext uri="{FF2B5EF4-FFF2-40B4-BE49-F238E27FC236}">
              <a16:creationId xmlns:a16="http://schemas.microsoft.com/office/drawing/2014/main" id="{140F7EEB-AC1B-4461-896F-CDE0F989DC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0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2675" name="Picture@5C\QPendientes@" descr="@5C\QPendientes@">
          <a:extLst>
            <a:ext uri="{FF2B5EF4-FFF2-40B4-BE49-F238E27FC236}">
              <a16:creationId xmlns:a16="http://schemas.microsoft.com/office/drawing/2014/main" id="{6353F19D-BF9C-4F75-B3D3-9D64F336C5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2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2676" name="Picture@5C\QPendientes@" descr="@5C\QPendientes@">
          <a:extLst>
            <a:ext uri="{FF2B5EF4-FFF2-40B4-BE49-F238E27FC236}">
              <a16:creationId xmlns:a16="http://schemas.microsoft.com/office/drawing/2014/main" id="{A5E1FE0E-964B-4786-A348-A620DCE0A8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4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2677" name="Picture@5C\QPendientes@" descr="@5C\QPendientes@">
          <a:extLst>
            <a:ext uri="{FF2B5EF4-FFF2-40B4-BE49-F238E27FC236}">
              <a16:creationId xmlns:a16="http://schemas.microsoft.com/office/drawing/2014/main" id="{E1C7C8D1-27CF-41B2-9F05-A1069ACC2D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5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2678" name="Picture@5C\QPendientes@" descr="@5C\QPendientes@">
          <a:extLst>
            <a:ext uri="{FF2B5EF4-FFF2-40B4-BE49-F238E27FC236}">
              <a16:creationId xmlns:a16="http://schemas.microsoft.com/office/drawing/2014/main" id="{8830AF13-33D1-459F-8430-83715BCC22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7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2679" name="Picture@5C\QPendientes@" descr="@5C\QPendientes@">
          <a:extLst>
            <a:ext uri="{FF2B5EF4-FFF2-40B4-BE49-F238E27FC236}">
              <a16:creationId xmlns:a16="http://schemas.microsoft.com/office/drawing/2014/main" id="{E8C024AA-58F0-478B-9042-4EFAF569D8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9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2680" name="Picture@5C\QPendientes@" descr="@5C\QPendientes@">
          <a:extLst>
            <a:ext uri="{FF2B5EF4-FFF2-40B4-BE49-F238E27FC236}">
              <a16:creationId xmlns:a16="http://schemas.microsoft.com/office/drawing/2014/main" id="{6DB946EB-3B93-4696-936E-42EA5ABC33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1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2681" name="Picture@5C\QPendientes@" descr="@5C\QPendientes@">
          <a:extLst>
            <a:ext uri="{FF2B5EF4-FFF2-40B4-BE49-F238E27FC236}">
              <a16:creationId xmlns:a16="http://schemas.microsoft.com/office/drawing/2014/main" id="{113824D9-3655-429A-AC92-03BCBA3B8E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2682" name="Picture@5C\QPendientes@" descr="@5C\QPendientes@">
          <a:extLst>
            <a:ext uri="{FF2B5EF4-FFF2-40B4-BE49-F238E27FC236}">
              <a16:creationId xmlns:a16="http://schemas.microsoft.com/office/drawing/2014/main" id="{BCEE9D33-2FD1-4530-A6E0-A66F581DD3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5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2683" name="Picture@5C\QPendientes@" descr="@5C\QPendientes@">
          <a:extLst>
            <a:ext uri="{FF2B5EF4-FFF2-40B4-BE49-F238E27FC236}">
              <a16:creationId xmlns:a16="http://schemas.microsoft.com/office/drawing/2014/main" id="{2B8666ED-B754-4284-A11A-025C58F3A4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6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2684" name="Picture@5C\QPendientes@" descr="@5C\QPendientes@">
          <a:extLst>
            <a:ext uri="{FF2B5EF4-FFF2-40B4-BE49-F238E27FC236}">
              <a16:creationId xmlns:a16="http://schemas.microsoft.com/office/drawing/2014/main" id="{AE84721F-0B0E-4062-99E4-325BE3E8AC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8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2685" name="Picture@5C\QPendientes@" descr="@5C\QPendientes@">
          <a:extLst>
            <a:ext uri="{FF2B5EF4-FFF2-40B4-BE49-F238E27FC236}">
              <a16:creationId xmlns:a16="http://schemas.microsoft.com/office/drawing/2014/main" id="{E8548F39-4390-41A4-9E21-A2D7AB6248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0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2686" name="Picture@5C\QPendientes@" descr="@5C\QPendientes@">
          <a:extLst>
            <a:ext uri="{FF2B5EF4-FFF2-40B4-BE49-F238E27FC236}">
              <a16:creationId xmlns:a16="http://schemas.microsoft.com/office/drawing/2014/main" id="{A8DC1B2E-7363-41A3-987B-6421B853AA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2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2687" name="Picture@5C\QPendientes@" descr="@5C\QPendientes@">
          <a:extLst>
            <a:ext uri="{FF2B5EF4-FFF2-40B4-BE49-F238E27FC236}">
              <a16:creationId xmlns:a16="http://schemas.microsoft.com/office/drawing/2014/main" id="{B424AD52-8772-4C44-A72D-5A9CF9D02F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4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2688" name="Picture@5C\QPendientes@" descr="@5C\QPendientes@">
          <a:extLst>
            <a:ext uri="{FF2B5EF4-FFF2-40B4-BE49-F238E27FC236}">
              <a16:creationId xmlns:a16="http://schemas.microsoft.com/office/drawing/2014/main" id="{7E17FF26-4C93-4AA9-A6FF-10520EA211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6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2689" name="Picture@5C\QPendientes@" descr="@5C\QPendientes@">
          <a:extLst>
            <a:ext uri="{FF2B5EF4-FFF2-40B4-BE49-F238E27FC236}">
              <a16:creationId xmlns:a16="http://schemas.microsoft.com/office/drawing/2014/main" id="{DAB9177E-D6EC-440C-B3DC-B10D2BAB07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7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2690" name="Picture@5C\QPendientes@" descr="@5C\QPendientes@">
          <a:extLst>
            <a:ext uri="{FF2B5EF4-FFF2-40B4-BE49-F238E27FC236}">
              <a16:creationId xmlns:a16="http://schemas.microsoft.com/office/drawing/2014/main" id="{ED299A10-3370-4BFD-AF51-E956CCF053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9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2691" name="Picture@5C\QPendientes@" descr="@5C\QPendientes@">
          <a:extLst>
            <a:ext uri="{FF2B5EF4-FFF2-40B4-BE49-F238E27FC236}">
              <a16:creationId xmlns:a16="http://schemas.microsoft.com/office/drawing/2014/main" id="{2327AA4A-0453-42F9-BD47-2A8955653A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2692" name="Picture@5C\QPendientes@" descr="@5C\QPendientes@">
          <a:extLst>
            <a:ext uri="{FF2B5EF4-FFF2-40B4-BE49-F238E27FC236}">
              <a16:creationId xmlns:a16="http://schemas.microsoft.com/office/drawing/2014/main" id="{24653750-629C-47E9-A2A2-4F0A4ED9DE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3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2693" name="Picture@5C\QPendientes@" descr="@5C\QPendientes@">
          <a:extLst>
            <a:ext uri="{FF2B5EF4-FFF2-40B4-BE49-F238E27FC236}">
              <a16:creationId xmlns:a16="http://schemas.microsoft.com/office/drawing/2014/main" id="{2085255B-CC14-4F38-B0A0-1D3AB9E5F3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5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2694" name="Picture@5C\QPendientes@" descr="@5C\QPendientes@">
          <a:extLst>
            <a:ext uri="{FF2B5EF4-FFF2-40B4-BE49-F238E27FC236}">
              <a16:creationId xmlns:a16="http://schemas.microsoft.com/office/drawing/2014/main" id="{01C0337A-0D6D-4C2F-9E99-371697C05C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7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2695" name="Picture@5C\QPendientes@" descr="@5C\QPendientes@">
          <a:extLst>
            <a:ext uri="{FF2B5EF4-FFF2-40B4-BE49-F238E27FC236}">
              <a16:creationId xmlns:a16="http://schemas.microsoft.com/office/drawing/2014/main" id="{CE21C304-28E5-4FDE-9303-5C1C8FE0E6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8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2696" name="Picture@5C\QPendientes@" descr="@5C\QPendientes@">
          <a:extLst>
            <a:ext uri="{FF2B5EF4-FFF2-40B4-BE49-F238E27FC236}">
              <a16:creationId xmlns:a16="http://schemas.microsoft.com/office/drawing/2014/main" id="{362817CC-94BD-4510-B4A1-CC7969F0D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0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2697" name="Picture@5C\QPendientes@" descr="@5C\QPendientes@">
          <a:extLst>
            <a:ext uri="{FF2B5EF4-FFF2-40B4-BE49-F238E27FC236}">
              <a16:creationId xmlns:a16="http://schemas.microsoft.com/office/drawing/2014/main" id="{D221A11D-6B4D-4986-A70A-6B09713DB4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2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2698" name="Picture@5C\QPendientes@" descr="@5C\QPendientes@">
          <a:extLst>
            <a:ext uri="{FF2B5EF4-FFF2-40B4-BE49-F238E27FC236}">
              <a16:creationId xmlns:a16="http://schemas.microsoft.com/office/drawing/2014/main" id="{0E6ED586-AC31-4D7E-A223-5D244F6E6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4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2699" name="Picture@5C\QPendientes@" descr="@5C\QPendientes@">
          <a:extLst>
            <a:ext uri="{FF2B5EF4-FFF2-40B4-BE49-F238E27FC236}">
              <a16:creationId xmlns:a16="http://schemas.microsoft.com/office/drawing/2014/main" id="{16B459F2-6943-489A-A21A-7364B0963C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6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2700" name="Picture@5C\QPendientes@" descr="@5C\QPendientes@">
          <a:extLst>
            <a:ext uri="{FF2B5EF4-FFF2-40B4-BE49-F238E27FC236}">
              <a16:creationId xmlns:a16="http://schemas.microsoft.com/office/drawing/2014/main" id="{BFAD244D-52DC-4E14-A25B-C1F9B98E75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7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2701" name="Picture@5C\QPendientes@" descr="@5C\QPendientes@">
          <a:extLst>
            <a:ext uri="{FF2B5EF4-FFF2-40B4-BE49-F238E27FC236}">
              <a16:creationId xmlns:a16="http://schemas.microsoft.com/office/drawing/2014/main" id="{DC8FE99B-A0EC-4BA6-8447-63D747444D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2702" name="Picture@5C\QPendientes@" descr="@5C\QPendientes@">
          <a:extLst>
            <a:ext uri="{FF2B5EF4-FFF2-40B4-BE49-F238E27FC236}">
              <a16:creationId xmlns:a16="http://schemas.microsoft.com/office/drawing/2014/main" id="{BA4EC2E4-CCB5-4377-B0ED-3B2BA46B1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1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2703" name="Picture@5C\QPendientes@" descr="@5C\QPendientes@">
          <a:extLst>
            <a:ext uri="{FF2B5EF4-FFF2-40B4-BE49-F238E27FC236}">
              <a16:creationId xmlns:a16="http://schemas.microsoft.com/office/drawing/2014/main" id="{B0CCD607-B82A-4EAD-A4EF-AA953369E3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3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2704" name="Picture@5C\QPendientes@" descr="@5C\QPendientes@">
          <a:extLst>
            <a:ext uri="{FF2B5EF4-FFF2-40B4-BE49-F238E27FC236}">
              <a16:creationId xmlns:a16="http://schemas.microsoft.com/office/drawing/2014/main" id="{9975A346-6FCB-42FA-8116-FA31D9A2D0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5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2705" name="Picture@5C\QPendientes@" descr="@5C\QPendientes@">
          <a:extLst>
            <a:ext uri="{FF2B5EF4-FFF2-40B4-BE49-F238E27FC236}">
              <a16:creationId xmlns:a16="http://schemas.microsoft.com/office/drawing/2014/main" id="{581EFD45-1BB1-4128-85FB-B893DAE1E3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7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2706" name="Picture@5C\QPendientes@" descr="@5C\QPendientes@">
          <a:extLst>
            <a:ext uri="{FF2B5EF4-FFF2-40B4-BE49-F238E27FC236}">
              <a16:creationId xmlns:a16="http://schemas.microsoft.com/office/drawing/2014/main" id="{6FCA7D7E-AF7A-4BE6-996E-6FCB6B39DA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8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2707" name="Picture@5C\QPendientes@" descr="@5C\QPendientes@">
          <a:extLst>
            <a:ext uri="{FF2B5EF4-FFF2-40B4-BE49-F238E27FC236}">
              <a16:creationId xmlns:a16="http://schemas.microsoft.com/office/drawing/2014/main" id="{CCCF93B2-083E-4CA2-9919-27B3632A95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0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2708" name="Picture@5C\QPendientes@" descr="@5C\QPendientes@">
          <a:extLst>
            <a:ext uri="{FF2B5EF4-FFF2-40B4-BE49-F238E27FC236}">
              <a16:creationId xmlns:a16="http://schemas.microsoft.com/office/drawing/2014/main" id="{99617DA1-E554-4FC2-9DF9-B83579866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2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2709" name="Picture@5C\QPendientes@" descr="@5C\QPendientes@">
          <a:extLst>
            <a:ext uri="{FF2B5EF4-FFF2-40B4-BE49-F238E27FC236}">
              <a16:creationId xmlns:a16="http://schemas.microsoft.com/office/drawing/2014/main" id="{0BE3393E-2FB3-4BD2-8EE1-3C43EC4F8C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4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2710" name="Picture@5C\QPendientes@" descr="@5C\QPendientes@">
          <a:extLst>
            <a:ext uri="{FF2B5EF4-FFF2-40B4-BE49-F238E27FC236}">
              <a16:creationId xmlns:a16="http://schemas.microsoft.com/office/drawing/2014/main" id="{7E7FC6E8-02EB-4DCC-90D3-4143CACDFF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6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2711" name="Picture@5C\QPendientes@" descr="@5C\QPendientes@">
          <a:extLst>
            <a:ext uri="{FF2B5EF4-FFF2-40B4-BE49-F238E27FC236}">
              <a16:creationId xmlns:a16="http://schemas.microsoft.com/office/drawing/2014/main" id="{63EB9D47-B3F5-420F-865C-68B86D3CF0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2712" name="Picture@5C\QPendientes@" descr="@5C\QPendientes@">
          <a:extLst>
            <a:ext uri="{FF2B5EF4-FFF2-40B4-BE49-F238E27FC236}">
              <a16:creationId xmlns:a16="http://schemas.microsoft.com/office/drawing/2014/main" id="{05D5797E-E33C-4BCD-A62F-58385BD077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9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2713" name="Picture@5C\QPendientes@" descr="@5C\QPendientes@">
          <a:extLst>
            <a:ext uri="{FF2B5EF4-FFF2-40B4-BE49-F238E27FC236}">
              <a16:creationId xmlns:a16="http://schemas.microsoft.com/office/drawing/2014/main" id="{5256F107-07CF-48F9-822B-612FCC1DC9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1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2714" name="Picture@5C\QPendientes@" descr="@5C\QPendientes@">
          <a:extLst>
            <a:ext uri="{FF2B5EF4-FFF2-40B4-BE49-F238E27FC236}">
              <a16:creationId xmlns:a16="http://schemas.microsoft.com/office/drawing/2014/main" id="{18FDFE21-31D5-4241-819C-E85DE72AD9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3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2715" name="Picture@5C\QPendientes@" descr="@5C\QPendientes@">
          <a:extLst>
            <a:ext uri="{FF2B5EF4-FFF2-40B4-BE49-F238E27FC236}">
              <a16:creationId xmlns:a16="http://schemas.microsoft.com/office/drawing/2014/main" id="{86437E26-F228-48F5-AC02-CD2E00A1F4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5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2716" name="Picture@5C\QPendientes@" descr="@5C\QPendientes@">
          <a:extLst>
            <a:ext uri="{FF2B5EF4-FFF2-40B4-BE49-F238E27FC236}">
              <a16:creationId xmlns:a16="http://schemas.microsoft.com/office/drawing/2014/main" id="{EC0850CA-A995-4F73-96B5-80ECF39113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7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2717" name="Picture@5C\QPendientes@" descr="@5C\QPendientes@">
          <a:extLst>
            <a:ext uri="{FF2B5EF4-FFF2-40B4-BE49-F238E27FC236}">
              <a16:creationId xmlns:a16="http://schemas.microsoft.com/office/drawing/2014/main" id="{542632C7-0E2D-474D-96A1-8B6AAB239C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9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2718" name="Picture@5C\QPendientes@" descr="@5C\QPendientes@">
          <a:extLst>
            <a:ext uri="{FF2B5EF4-FFF2-40B4-BE49-F238E27FC236}">
              <a16:creationId xmlns:a16="http://schemas.microsoft.com/office/drawing/2014/main" id="{62090876-D333-47A1-ACBA-599D7BD925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0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2719" name="Picture@5C\QPendientes@" descr="@5C\QPendientes@">
          <a:extLst>
            <a:ext uri="{FF2B5EF4-FFF2-40B4-BE49-F238E27FC236}">
              <a16:creationId xmlns:a16="http://schemas.microsoft.com/office/drawing/2014/main" id="{084D8883-7A8D-4029-800B-CC056A0F6E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2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2720" name="Picture@5C\QPendientes@" descr="@5C\QPendientes@">
          <a:extLst>
            <a:ext uri="{FF2B5EF4-FFF2-40B4-BE49-F238E27FC236}">
              <a16:creationId xmlns:a16="http://schemas.microsoft.com/office/drawing/2014/main" id="{C582A71A-8EEE-48B9-87CB-00C35D9CA2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4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2721" name="Picture@5C\QPendientes@" descr="@5C\QPendientes@">
          <a:extLst>
            <a:ext uri="{FF2B5EF4-FFF2-40B4-BE49-F238E27FC236}">
              <a16:creationId xmlns:a16="http://schemas.microsoft.com/office/drawing/2014/main" id="{7CA8CC50-086C-449A-BE1D-9EAFE52A1D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2722" name="Picture@5C\QPendientes@" descr="@5C\QPendientes@">
          <a:extLst>
            <a:ext uri="{FF2B5EF4-FFF2-40B4-BE49-F238E27FC236}">
              <a16:creationId xmlns:a16="http://schemas.microsoft.com/office/drawing/2014/main" id="{91F0A089-7F9C-4457-9F76-525AF35351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8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2723" name="Picture@5C\QPendientes@" descr="@5C\QPendientes@">
          <a:extLst>
            <a:ext uri="{FF2B5EF4-FFF2-40B4-BE49-F238E27FC236}">
              <a16:creationId xmlns:a16="http://schemas.microsoft.com/office/drawing/2014/main" id="{1ED2240D-1AD1-4064-BC56-047F8B97E4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0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2724" name="Picture@5C\QPendientes@" descr="@5C\QPendientes@">
          <a:extLst>
            <a:ext uri="{FF2B5EF4-FFF2-40B4-BE49-F238E27FC236}">
              <a16:creationId xmlns:a16="http://schemas.microsoft.com/office/drawing/2014/main" id="{CF70BD5D-9B66-4B0F-B295-11ED142AD4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1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2725" name="Picture@5C\QPendientes@" descr="@5C\QPendientes@">
          <a:extLst>
            <a:ext uri="{FF2B5EF4-FFF2-40B4-BE49-F238E27FC236}">
              <a16:creationId xmlns:a16="http://schemas.microsoft.com/office/drawing/2014/main" id="{57804776-2789-4D73-AC87-C7206ED509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3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2726" name="Picture@5C\QPendientes@" descr="@5C\QPendientes@">
          <a:extLst>
            <a:ext uri="{FF2B5EF4-FFF2-40B4-BE49-F238E27FC236}">
              <a16:creationId xmlns:a16="http://schemas.microsoft.com/office/drawing/2014/main" id="{B330B1C0-02E9-40F7-8208-67B19B5DF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5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2727" name="Picture@5C\QPendientes@" descr="@5C\QPendientes@">
          <a:extLst>
            <a:ext uri="{FF2B5EF4-FFF2-40B4-BE49-F238E27FC236}">
              <a16:creationId xmlns:a16="http://schemas.microsoft.com/office/drawing/2014/main" id="{F72DF304-C6C9-4BD5-9479-320E031EF3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7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2728" name="Picture@5C\QPendientes@" descr="@5C\QPendientes@">
          <a:extLst>
            <a:ext uri="{FF2B5EF4-FFF2-40B4-BE49-F238E27FC236}">
              <a16:creationId xmlns:a16="http://schemas.microsoft.com/office/drawing/2014/main" id="{6F552EAB-1F19-4425-8B02-6DA8A78E6B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9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2729" name="Picture@5C\QPendientes@" descr="@5C\QPendientes@">
          <a:extLst>
            <a:ext uri="{FF2B5EF4-FFF2-40B4-BE49-F238E27FC236}">
              <a16:creationId xmlns:a16="http://schemas.microsoft.com/office/drawing/2014/main" id="{20F0209A-A5F5-461F-8530-617E47A397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1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2730" name="Picture@5C\QPendientes@" descr="@5C\QPendientes@">
          <a:extLst>
            <a:ext uri="{FF2B5EF4-FFF2-40B4-BE49-F238E27FC236}">
              <a16:creationId xmlns:a16="http://schemas.microsoft.com/office/drawing/2014/main" id="{AF659ED8-B591-4D36-BF81-5A755A8095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2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2731" name="Picture@5C\QPendientes@" descr="@5C\QPendientes@">
          <a:extLst>
            <a:ext uri="{FF2B5EF4-FFF2-40B4-BE49-F238E27FC236}">
              <a16:creationId xmlns:a16="http://schemas.microsoft.com/office/drawing/2014/main" id="{C71ADE88-C45B-4996-ABA3-20AC4BA662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2732" name="Picture@5C\QPendientes@" descr="@5C\QPendientes@">
          <a:extLst>
            <a:ext uri="{FF2B5EF4-FFF2-40B4-BE49-F238E27FC236}">
              <a16:creationId xmlns:a16="http://schemas.microsoft.com/office/drawing/2014/main" id="{A38000D8-5F71-4B44-9D5A-D9318AD671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6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2733" name="Picture@5C\QPendientes@" descr="@5C\QPendientes@">
          <a:extLst>
            <a:ext uri="{FF2B5EF4-FFF2-40B4-BE49-F238E27FC236}">
              <a16:creationId xmlns:a16="http://schemas.microsoft.com/office/drawing/2014/main" id="{FE204864-AD5C-477E-A78C-A6CF87D5EC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8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2734" name="Picture@5C\QPendientes@" descr="@5C\QPendientes@">
          <a:extLst>
            <a:ext uri="{FF2B5EF4-FFF2-40B4-BE49-F238E27FC236}">
              <a16:creationId xmlns:a16="http://schemas.microsoft.com/office/drawing/2014/main" id="{22BEF3D4-3FF3-4215-9725-92E520FC31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0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2735" name="Picture@5C\QPendientes@" descr="@5C\QPendientes@">
          <a:extLst>
            <a:ext uri="{FF2B5EF4-FFF2-40B4-BE49-F238E27FC236}">
              <a16:creationId xmlns:a16="http://schemas.microsoft.com/office/drawing/2014/main" id="{E33A180B-9D8D-442D-B511-7C1A7E691A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1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2736" name="Picture@5C\QPendientes@" descr="@5C\QPendientes@">
          <a:extLst>
            <a:ext uri="{FF2B5EF4-FFF2-40B4-BE49-F238E27FC236}">
              <a16:creationId xmlns:a16="http://schemas.microsoft.com/office/drawing/2014/main" id="{2977C6B5-4356-4CF7-88AA-B46BFD8F61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3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2737" name="Picture@5C\QPendientes@" descr="@5C\QPendientes@">
          <a:extLst>
            <a:ext uri="{FF2B5EF4-FFF2-40B4-BE49-F238E27FC236}">
              <a16:creationId xmlns:a16="http://schemas.microsoft.com/office/drawing/2014/main" id="{7DFD6539-BD02-4C40-B792-0C67CB417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5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2738" name="Picture@5C\QPendientes@" descr="@5C\QPendientes@">
          <a:extLst>
            <a:ext uri="{FF2B5EF4-FFF2-40B4-BE49-F238E27FC236}">
              <a16:creationId xmlns:a16="http://schemas.microsoft.com/office/drawing/2014/main" id="{C579ED5D-C0BB-4309-9CB1-5FFB77D491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7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2739" name="Picture@5C\QPendientes@" descr="@5C\QPendientes@">
          <a:extLst>
            <a:ext uri="{FF2B5EF4-FFF2-40B4-BE49-F238E27FC236}">
              <a16:creationId xmlns:a16="http://schemas.microsoft.com/office/drawing/2014/main" id="{B8BD6A10-5CF0-4116-B388-FD896C5F98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9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2740" name="Picture@5C\QPendientes@" descr="@5C\QPendientes@">
          <a:extLst>
            <a:ext uri="{FF2B5EF4-FFF2-40B4-BE49-F238E27FC236}">
              <a16:creationId xmlns:a16="http://schemas.microsoft.com/office/drawing/2014/main" id="{CCA8EB18-928A-41B5-B20D-631F3C5377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1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2741" name="Picture@5C\QPendientes@" descr="@5C\QPendientes@">
          <a:extLst>
            <a:ext uri="{FF2B5EF4-FFF2-40B4-BE49-F238E27FC236}">
              <a16:creationId xmlns:a16="http://schemas.microsoft.com/office/drawing/2014/main" id="{C7AD2BC8-D81D-49A6-B706-DCFBECE56D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2742" name="Picture@5C\QPendientes@" descr="@5C\QPendientes@">
          <a:extLst>
            <a:ext uri="{FF2B5EF4-FFF2-40B4-BE49-F238E27FC236}">
              <a16:creationId xmlns:a16="http://schemas.microsoft.com/office/drawing/2014/main" id="{C92C6556-5F6E-4005-9E20-CD4A05E23A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4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2743" name="Picture@5C\QPendientes@" descr="@5C\QPendientes@">
          <a:extLst>
            <a:ext uri="{FF2B5EF4-FFF2-40B4-BE49-F238E27FC236}">
              <a16:creationId xmlns:a16="http://schemas.microsoft.com/office/drawing/2014/main" id="{C5C60AB0-B16D-44D6-8415-F25CACEF04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6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2744" name="Picture@5C\QPendientes@" descr="@5C\QPendientes@">
          <a:extLst>
            <a:ext uri="{FF2B5EF4-FFF2-40B4-BE49-F238E27FC236}">
              <a16:creationId xmlns:a16="http://schemas.microsoft.com/office/drawing/2014/main" id="{57E4C721-67CD-42C7-A9E2-9A481D47C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8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2745" name="Picture@5C\QPendientes@" descr="@5C\QPendientes@">
          <a:extLst>
            <a:ext uri="{FF2B5EF4-FFF2-40B4-BE49-F238E27FC236}">
              <a16:creationId xmlns:a16="http://schemas.microsoft.com/office/drawing/2014/main" id="{8536F81C-6687-47DD-A4C5-7687D7915F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0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2746" name="Picture@5C\QPendientes@" descr="@5C\QPendientes@">
          <a:extLst>
            <a:ext uri="{FF2B5EF4-FFF2-40B4-BE49-F238E27FC236}">
              <a16:creationId xmlns:a16="http://schemas.microsoft.com/office/drawing/2014/main" id="{6A359178-077C-47CF-A33C-7571E42B4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2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2747" name="Picture@5C\QPendientes@" descr="@5C\QPendientes@">
          <a:extLst>
            <a:ext uri="{FF2B5EF4-FFF2-40B4-BE49-F238E27FC236}">
              <a16:creationId xmlns:a16="http://schemas.microsoft.com/office/drawing/2014/main" id="{AC36C830-5C9A-4F0E-9215-A91A702FB8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3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2748" name="Picture@5C\QPendientes@" descr="@5C\QPendientes@">
          <a:extLst>
            <a:ext uri="{FF2B5EF4-FFF2-40B4-BE49-F238E27FC236}">
              <a16:creationId xmlns:a16="http://schemas.microsoft.com/office/drawing/2014/main" id="{B8D128F7-C80C-4E00-A21A-79C7FAE433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5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2749" name="Picture@5C\QPendientes@" descr="@5C\QPendientes@">
          <a:extLst>
            <a:ext uri="{FF2B5EF4-FFF2-40B4-BE49-F238E27FC236}">
              <a16:creationId xmlns:a16="http://schemas.microsoft.com/office/drawing/2014/main" id="{5EA25518-2116-4C1A-8284-CF08EE3B38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7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2750" name="Picture@5C\QPendientes@" descr="@5C\QPendientes@">
          <a:extLst>
            <a:ext uri="{FF2B5EF4-FFF2-40B4-BE49-F238E27FC236}">
              <a16:creationId xmlns:a16="http://schemas.microsoft.com/office/drawing/2014/main" id="{90C6024C-B800-4622-AEF6-8F25C75843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9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2751" name="Picture@5C\QPendientes@" descr="@5C\QPendientes@">
          <a:extLst>
            <a:ext uri="{FF2B5EF4-FFF2-40B4-BE49-F238E27FC236}">
              <a16:creationId xmlns:a16="http://schemas.microsoft.com/office/drawing/2014/main" id="{E3BD9D27-35EA-4749-BEBD-7708B87B25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2752" name="Picture@5C\QPendientes@" descr="@5C\QPendientes@">
          <a:extLst>
            <a:ext uri="{FF2B5EF4-FFF2-40B4-BE49-F238E27FC236}">
              <a16:creationId xmlns:a16="http://schemas.microsoft.com/office/drawing/2014/main" id="{B29ED451-C21F-471B-8088-0D542D0590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3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2753" name="Picture@5C\QPendientes@" descr="@5C\QPendientes@">
          <a:extLst>
            <a:ext uri="{FF2B5EF4-FFF2-40B4-BE49-F238E27FC236}">
              <a16:creationId xmlns:a16="http://schemas.microsoft.com/office/drawing/2014/main" id="{E357A22B-0475-4DC7-8081-01D7303D2D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4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2754" name="Picture@5C\QPendientes@" descr="@5C\QPendientes@">
          <a:extLst>
            <a:ext uri="{FF2B5EF4-FFF2-40B4-BE49-F238E27FC236}">
              <a16:creationId xmlns:a16="http://schemas.microsoft.com/office/drawing/2014/main" id="{E68694AB-E322-4FE8-95E5-549B98A58E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6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2755" name="Picture@5C\QPendientes@" descr="@5C\QPendientes@">
          <a:extLst>
            <a:ext uri="{FF2B5EF4-FFF2-40B4-BE49-F238E27FC236}">
              <a16:creationId xmlns:a16="http://schemas.microsoft.com/office/drawing/2014/main" id="{FB414CAE-C58A-4AE4-BCCF-3591A9FF33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8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2756" name="Picture@5C\QPendientes@" descr="@5C\QPendientes@">
          <a:extLst>
            <a:ext uri="{FF2B5EF4-FFF2-40B4-BE49-F238E27FC236}">
              <a16:creationId xmlns:a16="http://schemas.microsoft.com/office/drawing/2014/main" id="{5E9DEEF9-5B78-4F6A-8830-837617D471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0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2757" name="Picture@5C\QPendientes@" descr="@5C\QPendientes@">
          <a:extLst>
            <a:ext uri="{FF2B5EF4-FFF2-40B4-BE49-F238E27FC236}">
              <a16:creationId xmlns:a16="http://schemas.microsoft.com/office/drawing/2014/main" id="{D29F01A3-8B03-4738-91BC-3B2C47223C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2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2758" name="Picture@5C\QPendientes@" descr="@5C\QPendientes@">
          <a:extLst>
            <a:ext uri="{FF2B5EF4-FFF2-40B4-BE49-F238E27FC236}">
              <a16:creationId xmlns:a16="http://schemas.microsoft.com/office/drawing/2014/main" id="{6F5ED4EA-7EE3-4A09-AFD0-0FE8659426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4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2759" name="Picture@5C\QPendientes@" descr="@5C\QPendientes@">
          <a:extLst>
            <a:ext uri="{FF2B5EF4-FFF2-40B4-BE49-F238E27FC236}">
              <a16:creationId xmlns:a16="http://schemas.microsoft.com/office/drawing/2014/main" id="{3C8CCF1D-B943-4FF5-ACBA-93E413257E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5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2760" name="Picture@5C\QPendientes@" descr="@5C\QPendientes@">
          <a:extLst>
            <a:ext uri="{FF2B5EF4-FFF2-40B4-BE49-F238E27FC236}">
              <a16:creationId xmlns:a16="http://schemas.microsoft.com/office/drawing/2014/main" id="{F6424638-48C6-4B21-8B96-87E5E2DFF0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7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2761" name="Picture@5C\QPendientes@" descr="@5C\QPendientes@">
          <a:extLst>
            <a:ext uri="{FF2B5EF4-FFF2-40B4-BE49-F238E27FC236}">
              <a16:creationId xmlns:a16="http://schemas.microsoft.com/office/drawing/2014/main" id="{FD78D2BD-0EF0-49FE-BA61-6249A76195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2762" name="Picture@5C\QPendientes@" descr="@5C\QPendientes@">
          <a:extLst>
            <a:ext uri="{FF2B5EF4-FFF2-40B4-BE49-F238E27FC236}">
              <a16:creationId xmlns:a16="http://schemas.microsoft.com/office/drawing/2014/main" id="{181B0141-12B1-436C-B2CD-CBD8F01A04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1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2763" name="Picture@5C\QPendientes@" descr="@5C\QPendientes@">
          <a:extLst>
            <a:ext uri="{FF2B5EF4-FFF2-40B4-BE49-F238E27FC236}">
              <a16:creationId xmlns:a16="http://schemas.microsoft.com/office/drawing/2014/main" id="{687EC7FA-FC04-4696-9621-335499EB44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3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2764" name="Picture@5C\QPendientes@" descr="@5C\QPendientes@">
          <a:extLst>
            <a:ext uri="{FF2B5EF4-FFF2-40B4-BE49-F238E27FC236}">
              <a16:creationId xmlns:a16="http://schemas.microsoft.com/office/drawing/2014/main" id="{9C6CFE82-DE47-4CCE-AD42-4885DBF98F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5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2765" name="Picture@5C\QPendientes@" descr="@5C\QPendientes@">
          <a:extLst>
            <a:ext uri="{FF2B5EF4-FFF2-40B4-BE49-F238E27FC236}">
              <a16:creationId xmlns:a16="http://schemas.microsoft.com/office/drawing/2014/main" id="{327D2E46-A72F-431B-B8F6-2A9AD15F44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6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2766" name="Picture@5C\QPendientes@" descr="@5C\QPendientes@">
          <a:extLst>
            <a:ext uri="{FF2B5EF4-FFF2-40B4-BE49-F238E27FC236}">
              <a16:creationId xmlns:a16="http://schemas.microsoft.com/office/drawing/2014/main" id="{BE002DBF-8E92-42B7-92B5-9BB853224A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8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2767" name="Picture@5C\QPendientes@" descr="@5C\QPendientes@">
          <a:extLst>
            <a:ext uri="{FF2B5EF4-FFF2-40B4-BE49-F238E27FC236}">
              <a16:creationId xmlns:a16="http://schemas.microsoft.com/office/drawing/2014/main" id="{BFEDFB06-6E98-48C4-A740-236F8D6E17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0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2768" name="Picture@5C\QPendientes@" descr="@5C\QPendientes@">
          <a:extLst>
            <a:ext uri="{FF2B5EF4-FFF2-40B4-BE49-F238E27FC236}">
              <a16:creationId xmlns:a16="http://schemas.microsoft.com/office/drawing/2014/main" id="{40F2B135-C344-4953-8547-056E47A57D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2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2769" name="Picture@5C\QPendientes@" descr="@5C\QPendientes@">
          <a:extLst>
            <a:ext uri="{FF2B5EF4-FFF2-40B4-BE49-F238E27FC236}">
              <a16:creationId xmlns:a16="http://schemas.microsoft.com/office/drawing/2014/main" id="{147E0263-DF55-451F-8845-8F9C3C678C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4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2770" name="Picture@5C\QPendientes@" descr="@5C\QPendientes@">
          <a:extLst>
            <a:ext uri="{FF2B5EF4-FFF2-40B4-BE49-F238E27FC236}">
              <a16:creationId xmlns:a16="http://schemas.microsoft.com/office/drawing/2014/main" id="{59F1DCA5-D108-444C-8378-30E378BE7D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5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2771" name="Picture@5C\QPendientes@" descr="@5C\QPendientes@">
          <a:extLst>
            <a:ext uri="{FF2B5EF4-FFF2-40B4-BE49-F238E27FC236}">
              <a16:creationId xmlns:a16="http://schemas.microsoft.com/office/drawing/2014/main" id="{CC017EA4-5681-4418-857B-586B523D47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2772" name="Picture@5C\QPendientes@" descr="@5C\QPendientes@">
          <a:extLst>
            <a:ext uri="{FF2B5EF4-FFF2-40B4-BE49-F238E27FC236}">
              <a16:creationId xmlns:a16="http://schemas.microsoft.com/office/drawing/2014/main" id="{26538EE4-75D4-4AB8-AD5A-5A062F8EF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9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2773" name="Picture@5C\QPendientes@" descr="@5C\QPendientes@">
          <a:extLst>
            <a:ext uri="{FF2B5EF4-FFF2-40B4-BE49-F238E27FC236}">
              <a16:creationId xmlns:a16="http://schemas.microsoft.com/office/drawing/2014/main" id="{83BD8C9B-4D37-404A-9DA8-EAB551FC12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1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2774" name="Picture@5C\QPendientes@" descr="@5C\QPendientes@">
          <a:extLst>
            <a:ext uri="{FF2B5EF4-FFF2-40B4-BE49-F238E27FC236}">
              <a16:creationId xmlns:a16="http://schemas.microsoft.com/office/drawing/2014/main" id="{3AE5C2FD-A90A-49A6-84E9-325FBB2CFC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3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2775" name="Picture@5C\QPendientes@" descr="@5C\QPendientes@">
          <a:extLst>
            <a:ext uri="{FF2B5EF4-FFF2-40B4-BE49-F238E27FC236}">
              <a16:creationId xmlns:a16="http://schemas.microsoft.com/office/drawing/2014/main" id="{6EDD3B1C-2F6B-4B97-A968-37E854649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5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2776" name="Picture@5C\QPendientes@" descr="@5C\QPendientes@">
          <a:extLst>
            <a:ext uri="{FF2B5EF4-FFF2-40B4-BE49-F238E27FC236}">
              <a16:creationId xmlns:a16="http://schemas.microsoft.com/office/drawing/2014/main" id="{CB5500D0-41B8-41F0-A3D8-B0D903FFC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6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2777" name="Picture@5C\QPendientes@" descr="@5C\QPendientes@">
          <a:extLst>
            <a:ext uri="{FF2B5EF4-FFF2-40B4-BE49-F238E27FC236}">
              <a16:creationId xmlns:a16="http://schemas.microsoft.com/office/drawing/2014/main" id="{A9FB6D5A-E7FE-47FC-A4EA-F8BFE7AEA5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8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2778" name="Picture@5C\QPendientes@" descr="@5C\QPendientes@">
          <a:extLst>
            <a:ext uri="{FF2B5EF4-FFF2-40B4-BE49-F238E27FC236}">
              <a16:creationId xmlns:a16="http://schemas.microsoft.com/office/drawing/2014/main" id="{3DEEFE51-53A8-4C69-ADBD-93DD5D2A60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0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2779" name="Picture@5C\QPendientes@" descr="@5C\QPendientes@">
          <a:extLst>
            <a:ext uri="{FF2B5EF4-FFF2-40B4-BE49-F238E27FC236}">
              <a16:creationId xmlns:a16="http://schemas.microsoft.com/office/drawing/2014/main" id="{2CFEEC43-A8E3-4761-82A8-FB9D9A1DF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2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2780" name="Picture@5C\QPendientes@" descr="@5C\QPendientes@">
          <a:extLst>
            <a:ext uri="{FF2B5EF4-FFF2-40B4-BE49-F238E27FC236}">
              <a16:creationId xmlns:a16="http://schemas.microsoft.com/office/drawing/2014/main" id="{A92B7947-AF94-47EF-87D9-01C710BFEA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4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2781" name="Picture@5C\QPendientes@" descr="@5C\QPendientes@">
          <a:extLst>
            <a:ext uri="{FF2B5EF4-FFF2-40B4-BE49-F238E27FC236}">
              <a16:creationId xmlns:a16="http://schemas.microsoft.com/office/drawing/2014/main" id="{0453D577-3E90-4CB8-8040-A2875A7CB3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2782" name="Picture@5C\QPendientes@" descr="@5C\QPendientes@">
          <a:extLst>
            <a:ext uri="{FF2B5EF4-FFF2-40B4-BE49-F238E27FC236}">
              <a16:creationId xmlns:a16="http://schemas.microsoft.com/office/drawing/2014/main" id="{AD8BC8D5-856C-4424-B2DD-0E60EF991B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7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2783" name="Picture@5C\QPendientes@" descr="@5C\QPendientes@">
          <a:extLst>
            <a:ext uri="{FF2B5EF4-FFF2-40B4-BE49-F238E27FC236}">
              <a16:creationId xmlns:a16="http://schemas.microsoft.com/office/drawing/2014/main" id="{59CA4458-7A22-48FD-BA9C-B7F8B0A9EC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9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2784" name="Picture@5C\QPendientes@" descr="@5C\QPendientes@">
          <a:extLst>
            <a:ext uri="{FF2B5EF4-FFF2-40B4-BE49-F238E27FC236}">
              <a16:creationId xmlns:a16="http://schemas.microsoft.com/office/drawing/2014/main" id="{4A03C29B-12B4-4832-AA85-A60C71E953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1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2785" name="Picture@5C\QPendientes@" descr="@5C\QPendientes@">
          <a:extLst>
            <a:ext uri="{FF2B5EF4-FFF2-40B4-BE49-F238E27FC236}">
              <a16:creationId xmlns:a16="http://schemas.microsoft.com/office/drawing/2014/main" id="{7B8BF665-0F15-4D9D-904E-FFB4A564B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3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2786" name="Picture@5C\QPendientes@" descr="@5C\QPendientes@">
          <a:extLst>
            <a:ext uri="{FF2B5EF4-FFF2-40B4-BE49-F238E27FC236}">
              <a16:creationId xmlns:a16="http://schemas.microsoft.com/office/drawing/2014/main" id="{075753DA-18AE-4851-9722-397E55B7FD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5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2787" name="Picture@5C\QPendientes@" descr="@5C\QPendientes@">
          <a:extLst>
            <a:ext uri="{FF2B5EF4-FFF2-40B4-BE49-F238E27FC236}">
              <a16:creationId xmlns:a16="http://schemas.microsoft.com/office/drawing/2014/main" id="{B6695BC7-C7B3-4C7E-A567-83F5F7547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7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2788" name="Picture@5C\QPendientes@" descr="@5C\QPendientes@">
          <a:extLst>
            <a:ext uri="{FF2B5EF4-FFF2-40B4-BE49-F238E27FC236}">
              <a16:creationId xmlns:a16="http://schemas.microsoft.com/office/drawing/2014/main" id="{F8CFE966-498A-41F7-BDAC-254A7A926A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8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2789" name="Picture@5C\QPendientes@" descr="@5C\QPendientes@">
          <a:extLst>
            <a:ext uri="{FF2B5EF4-FFF2-40B4-BE49-F238E27FC236}">
              <a16:creationId xmlns:a16="http://schemas.microsoft.com/office/drawing/2014/main" id="{33706DDB-7CC6-4B0E-821E-2CF3FB8280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0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2790" name="Picture@5C\QPendientes@" descr="@5C\QPendientes@">
          <a:extLst>
            <a:ext uri="{FF2B5EF4-FFF2-40B4-BE49-F238E27FC236}">
              <a16:creationId xmlns:a16="http://schemas.microsoft.com/office/drawing/2014/main" id="{A4E92A7C-A6AB-4363-8DC9-EEBB100874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2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2791" name="Picture@5C\QPendientes@" descr="@5C\QPendientes@">
          <a:extLst>
            <a:ext uri="{FF2B5EF4-FFF2-40B4-BE49-F238E27FC236}">
              <a16:creationId xmlns:a16="http://schemas.microsoft.com/office/drawing/2014/main" id="{082F2F43-E51E-4BAC-B406-58DB548E1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2792" name="Picture@5C\QPendientes@" descr="@5C\QPendientes@">
          <a:extLst>
            <a:ext uri="{FF2B5EF4-FFF2-40B4-BE49-F238E27FC236}">
              <a16:creationId xmlns:a16="http://schemas.microsoft.com/office/drawing/2014/main" id="{FB3F5AAC-5E25-4650-889D-8292AD6AD2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6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2793" name="Picture@5C\QPendientes@" descr="@5C\QPendientes@">
          <a:extLst>
            <a:ext uri="{FF2B5EF4-FFF2-40B4-BE49-F238E27FC236}">
              <a16:creationId xmlns:a16="http://schemas.microsoft.com/office/drawing/2014/main" id="{0E1F8785-BD6E-4060-A3FE-DF063B2342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8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2794" name="Picture@5C\QPendientes@" descr="@5C\QPendientes@">
          <a:extLst>
            <a:ext uri="{FF2B5EF4-FFF2-40B4-BE49-F238E27FC236}">
              <a16:creationId xmlns:a16="http://schemas.microsoft.com/office/drawing/2014/main" id="{0FB8E499-FE1A-4184-B9C8-4246AFD513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9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2795" name="Picture@5C\QPendientes@" descr="@5C\QPendientes@">
          <a:extLst>
            <a:ext uri="{FF2B5EF4-FFF2-40B4-BE49-F238E27FC236}">
              <a16:creationId xmlns:a16="http://schemas.microsoft.com/office/drawing/2014/main" id="{68BF4CB6-CCF3-4CFC-BF87-90822DBAB8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1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2796" name="Picture@5C\QPendientes@" descr="@5C\QPendientes@">
          <a:extLst>
            <a:ext uri="{FF2B5EF4-FFF2-40B4-BE49-F238E27FC236}">
              <a16:creationId xmlns:a16="http://schemas.microsoft.com/office/drawing/2014/main" id="{CC33D577-BCA3-46A6-AFEF-7CAA33193F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3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2797" name="Picture@5C\QPendientes@" descr="@5C\QPendientes@">
          <a:extLst>
            <a:ext uri="{FF2B5EF4-FFF2-40B4-BE49-F238E27FC236}">
              <a16:creationId xmlns:a16="http://schemas.microsoft.com/office/drawing/2014/main" id="{B79660BD-C406-4DC8-8C13-8A6415F1C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5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2798" name="Picture@5C\QPendientes@" descr="@5C\QPendientes@">
          <a:extLst>
            <a:ext uri="{FF2B5EF4-FFF2-40B4-BE49-F238E27FC236}">
              <a16:creationId xmlns:a16="http://schemas.microsoft.com/office/drawing/2014/main" id="{68F5A7E4-AB19-40DA-A2B9-C8A2A36E5A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7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2799" name="Picture@5C\QPendientes@" descr="@5C\QPendientes@">
          <a:extLst>
            <a:ext uri="{FF2B5EF4-FFF2-40B4-BE49-F238E27FC236}">
              <a16:creationId xmlns:a16="http://schemas.microsoft.com/office/drawing/2014/main" id="{79319A83-6736-4D73-A0B4-323A287083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9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2800" name="Picture@5C\QPendientes@" descr="@5C\QPendientes@">
          <a:extLst>
            <a:ext uri="{FF2B5EF4-FFF2-40B4-BE49-F238E27FC236}">
              <a16:creationId xmlns:a16="http://schemas.microsoft.com/office/drawing/2014/main" id="{04E5417B-A7D7-4A53-8CFB-A0268D9A1E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0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2801" name="Picture@5C\QPendientes@" descr="@5C\QPendientes@">
          <a:extLst>
            <a:ext uri="{FF2B5EF4-FFF2-40B4-BE49-F238E27FC236}">
              <a16:creationId xmlns:a16="http://schemas.microsoft.com/office/drawing/2014/main" id="{A00322F7-9B69-41D0-BD93-18D53DED6D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2802" name="Picture@5C\QPendientes@" descr="@5C\QPendientes@">
          <a:extLst>
            <a:ext uri="{FF2B5EF4-FFF2-40B4-BE49-F238E27FC236}">
              <a16:creationId xmlns:a16="http://schemas.microsoft.com/office/drawing/2014/main" id="{3614FB33-42CB-44C2-B3C9-B1CAE1D024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4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2803" name="Picture@5C\QPendientes@" descr="@5C\QPendientes@">
          <a:extLst>
            <a:ext uri="{FF2B5EF4-FFF2-40B4-BE49-F238E27FC236}">
              <a16:creationId xmlns:a16="http://schemas.microsoft.com/office/drawing/2014/main" id="{CDBB0CC5-92D6-40B9-A33E-2089F49FBD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6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2804" name="Picture@5C\QPendientes@" descr="@5C\QPendientes@">
          <a:extLst>
            <a:ext uri="{FF2B5EF4-FFF2-40B4-BE49-F238E27FC236}">
              <a16:creationId xmlns:a16="http://schemas.microsoft.com/office/drawing/2014/main" id="{F4505853-461D-4E50-94D6-0EB14929C5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8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2805" name="Picture@5C\QPendientes@" descr="@5C\QPendientes@">
          <a:extLst>
            <a:ext uri="{FF2B5EF4-FFF2-40B4-BE49-F238E27FC236}">
              <a16:creationId xmlns:a16="http://schemas.microsoft.com/office/drawing/2014/main" id="{84862587-2CAD-408A-8A3F-8094E81518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0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2806" name="Picture@5C\QPendientes@" descr="@5C\QPendientes@">
          <a:extLst>
            <a:ext uri="{FF2B5EF4-FFF2-40B4-BE49-F238E27FC236}">
              <a16:creationId xmlns:a16="http://schemas.microsoft.com/office/drawing/2014/main" id="{A232051A-1ED5-4EF9-9E0C-EC1236171C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1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2807" name="Picture@5C\QPendientes@" descr="@5C\QPendientes@">
          <a:extLst>
            <a:ext uri="{FF2B5EF4-FFF2-40B4-BE49-F238E27FC236}">
              <a16:creationId xmlns:a16="http://schemas.microsoft.com/office/drawing/2014/main" id="{43075C97-2AE6-446A-A8E5-4DA18481A8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3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2808" name="Picture@5C\QPendientes@" descr="@5C\QPendientes@">
          <a:extLst>
            <a:ext uri="{FF2B5EF4-FFF2-40B4-BE49-F238E27FC236}">
              <a16:creationId xmlns:a16="http://schemas.microsoft.com/office/drawing/2014/main" id="{3EAA4E58-69C8-4BF9-9F3C-DE0D671765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5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2809" name="Picture@5C\QPendientes@" descr="@5C\QPendientes@">
          <a:extLst>
            <a:ext uri="{FF2B5EF4-FFF2-40B4-BE49-F238E27FC236}">
              <a16:creationId xmlns:a16="http://schemas.microsoft.com/office/drawing/2014/main" id="{DC9E2F0B-5397-4354-A09A-382754A547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7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2810" name="Picture@5C\QPendientes@" descr="@5C\QPendientes@">
          <a:extLst>
            <a:ext uri="{FF2B5EF4-FFF2-40B4-BE49-F238E27FC236}">
              <a16:creationId xmlns:a16="http://schemas.microsoft.com/office/drawing/2014/main" id="{F4806276-B41A-4DB0-A41F-44DE89377F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9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2811" name="Picture@5C\QPendientes@" descr="@5C\QPendientes@">
          <a:extLst>
            <a:ext uri="{FF2B5EF4-FFF2-40B4-BE49-F238E27FC236}">
              <a16:creationId xmlns:a16="http://schemas.microsoft.com/office/drawing/2014/main" id="{9D5F5535-347D-4F93-AB64-D81D4C8034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2812" name="Picture@5C\QPendientes@" descr="@5C\QPendientes@">
          <a:extLst>
            <a:ext uri="{FF2B5EF4-FFF2-40B4-BE49-F238E27FC236}">
              <a16:creationId xmlns:a16="http://schemas.microsoft.com/office/drawing/2014/main" id="{AC0F3251-7BE1-4F91-A161-C422697F51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2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2813" name="Picture@5C\QPendientes@" descr="@5C\QPendientes@">
          <a:extLst>
            <a:ext uri="{FF2B5EF4-FFF2-40B4-BE49-F238E27FC236}">
              <a16:creationId xmlns:a16="http://schemas.microsoft.com/office/drawing/2014/main" id="{D5E4E652-B1F2-435D-9296-AC5BC39DB2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4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2814" name="Picture@5C\QPendientes@" descr="@5C\QPendientes@">
          <a:extLst>
            <a:ext uri="{FF2B5EF4-FFF2-40B4-BE49-F238E27FC236}">
              <a16:creationId xmlns:a16="http://schemas.microsoft.com/office/drawing/2014/main" id="{36CFCFD7-5375-4546-AABB-A2A85162C0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6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2815" name="Picture@5C\QPendientes@" descr="@5C\QPendientes@">
          <a:extLst>
            <a:ext uri="{FF2B5EF4-FFF2-40B4-BE49-F238E27FC236}">
              <a16:creationId xmlns:a16="http://schemas.microsoft.com/office/drawing/2014/main" id="{F0A3BE73-8705-4A0F-B5FD-B738978651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8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2816" name="Picture@5C\QPendientes@" descr="@5C\QPendientes@">
          <a:extLst>
            <a:ext uri="{FF2B5EF4-FFF2-40B4-BE49-F238E27FC236}">
              <a16:creationId xmlns:a16="http://schemas.microsoft.com/office/drawing/2014/main" id="{5558CAEF-88A1-4354-8F45-7DE1022645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0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2817" name="Picture@5C\QPendientes@" descr="@5C\QPendientes@">
          <a:extLst>
            <a:ext uri="{FF2B5EF4-FFF2-40B4-BE49-F238E27FC236}">
              <a16:creationId xmlns:a16="http://schemas.microsoft.com/office/drawing/2014/main" id="{1CA0CD56-653F-44BF-A436-B3AC15473B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1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2818" name="Picture@5C\QPendientes@" descr="@5C\QPendientes@">
          <a:extLst>
            <a:ext uri="{FF2B5EF4-FFF2-40B4-BE49-F238E27FC236}">
              <a16:creationId xmlns:a16="http://schemas.microsoft.com/office/drawing/2014/main" id="{7B8558C7-8B1B-4419-9752-9C259C39D6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3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2819" name="Picture@5C\QPendientes@" descr="@5C\QPendientes@">
          <a:extLst>
            <a:ext uri="{FF2B5EF4-FFF2-40B4-BE49-F238E27FC236}">
              <a16:creationId xmlns:a16="http://schemas.microsoft.com/office/drawing/2014/main" id="{AE4BCCCA-ADAB-469E-A24A-49F1C6092E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5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2820" name="Picture@5C\QPendientes@" descr="@5C\QPendientes@">
          <a:extLst>
            <a:ext uri="{FF2B5EF4-FFF2-40B4-BE49-F238E27FC236}">
              <a16:creationId xmlns:a16="http://schemas.microsoft.com/office/drawing/2014/main" id="{3ED575A0-6E49-4459-8B56-D9BB5E6035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7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2821" name="Picture@5C\QPendientes@" descr="@5C\QPendientes@">
          <a:extLst>
            <a:ext uri="{FF2B5EF4-FFF2-40B4-BE49-F238E27FC236}">
              <a16:creationId xmlns:a16="http://schemas.microsoft.com/office/drawing/2014/main" id="{2C6F6762-4FDC-404D-8396-2C5EB59D00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2822" name="Picture@5C\QPendientes@" descr="@5C\QPendientes@">
          <a:extLst>
            <a:ext uri="{FF2B5EF4-FFF2-40B4-BE49-F238E27FC236}">
              <a16:creationId xmlns:a16="http://schemas.microsoft.com/office/drawing/2014/main" id="{379BF50A-16BD-4F83-8F3A-D45D3DA079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1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2823" name="Picture@5C\QPendientes@" descr="@5C\QPendientes@">
          <a:extLst>
            <a:ext uri="{FF2B5EF4-FFF2-40B4-BE49-F238E27FC236}">
              <a16:creationId xmlns:a16="http://schemas.microsoft.com/office/drawing/2014/main" id="{31E9803D-79EB-4173-A64E-C63B756883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2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2824" name="Picture@5C\QPendientes@" descr="@5C\QPendientes@">
          <a:extLst>
            <a:ext uri="{FF2B5EF4-FFF2-40B4-BE49-F238E27FC236}">
              <a16:creationId xmlns:a16="http://schemas.microsoft.com/office/drawing/2014/main" id="{AD8257A1-D95B-4C4B-A045-11546B1739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4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2825" name="Picture@5C\QPendientes@" descr="@5C\QPendientes@">
          <a:extLst>
            <a:ext uri="{FF2B5EF4-FFF2-40B4-BE49-F238E27FC236}">
              <a16:creationId xmlns:a16="http://schemas.microsoft.com/office/drawing/2014/main" id="{070CC6A7-13B6-4C6E-AE44-65548F4B51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6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2826" name="Picture@5C\QPendientes@" descr="@5C\QPendientes@">
          <a:extLst>
            <a:ext uri="{FF2B5EF4-FFF2-40B4-BE49-F238E27FC236}">
              <a16:creationId xmlns:a16="http://schemas.microsoft.com/office/drawing/2014/main" id="{EF1318F8-D0EE-4061-9229-AA5E5F07C2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8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2827" name="Picture@5C\QPendientes@" descr="@5C\QPendientes@">
          <a:extLst>
            <a:ext uri="{FF2B5EF4-FFF2-40B4-BE49-F238E27FC236}">
              <a16:creationId xmlns:a16="http://schemas.microsoft.com/office/drawing/2014/main" id="{D5CF3E6B-56E2-4FBB-872B-1CD05A8355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0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2828" name="Picture@5C\QPendientes@" descr="@5C\QPendientes@">
          <a:extLst>
            <a:ext uri="{FF2B5EF4-FFF2-40B4-BE49-F238E27FC236}">
              <a16:creationId xmlns:a16="http://schemas.microsoft.com/office/drawing/2014/main" id="{F387F698-CBD7-484D-BD4D-A35919C324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2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2829" name="Picture@5C\QPendientes@" descr="@5C\QPendientes@">
          <a:extLst>
            <a:ext uri="{FF2B5EF4-FFF2-40B4-BE49-F238E27FC236}">
              <a16:creationId xmlns:a16="http://schemas.microsoft.com/office/drawing/2014/main" id="{7C841EBF-C7A4-4E0F-A899-73683FB7C7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3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2830" name="Picture@5C\QPendientes@" descr="@5C\QPendientes@">
          <a:extLst>
            <a:ext uri="{FF2B5EF4-FFF2-40B4-BE49-F238E27FC236}">
              <a16:creationId xmlns:a16="http://schemas.microsoft.com/office/drawing/2014/main" id="{6A058B4E-BDE9-45D4-864A-C5FE6892F2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5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2831" name="Picture@5C\QPendientes@" descr="@5C\QPendientes@">
          <a:extLst>
            <a:ext uri="{FF2B5EF4-FFF2-40B4-BE49-F238E27FC236}">
              <a16:creationId xmlns:a16="http://schemas.microsoft.com/office/drawing/2014/main" id="{60169940-2A71-47CD-9AC4-699A3B38D0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2832" name="Picture@5C\QPendientes@" descr="@5C\QPendientes@">
          <a:extLst>
            <a:ext uri="{FF2B5EF4-FFF2-40B4-BE49-F238E27FC236}">
              <a16:creationId xmlns:a16="http://schemas.microsoft.com/office/drawing/2014/main" id="{7BE69145-6502-4B18-8BEE-677183C06B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9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2833" name="Picture@5C\QPendientes@" descr="@5C\QPendientes@">
          <a:extLst>
            <a:ext uri="{FF2B5EF4-FFF2-40B4-BE49-F238E27FC236}">
              <a16:creationId xmlns:a16="http://schemas.microsoft.com/office/drawing/2014/main" id="{12F500EB-4E08-4DEE-8978-5857C7905F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1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2834" name="Picture@5C\QPendientes@" descr="@5C\QPendientes@">
          <a:extLst>
            <a:ext uri="{FF2B5EF4-FFF2-40B4-BE49-F238E27FC236}">
              <a16:creationId xmlns:a16="http://schemas.microsoft.com/office/drawing/2014/main" id="{E8443B9A-D1A8-47B3-A61D-8E070C568C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3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2835" name="Picture@5C\QPendientes@" descr="@5C\QPendientes@">
          <a:extLst>
            <a:ext uri="{FF2B5EF4-FFF2-40B4-BE49-F238E27FC236}">
              <a16:creationId xmlns:a16="http://schemas.microsoft.com/office/drawing/2014/main" id="{2676B375-5733-41B1-88D6-FDBC75B7DE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4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2836" name="Picture@5C\QPendientes@" descr="@5C\QPendientes@">
          <a:extLst>
            <a:ext uri="{FF2B5EF4-FFF2-40B4-BE49-F238E27FC236}">
              <a16:creationId xmlns:a16="http://schemas.microsoft.com/office/drawing/2014/main" id="{2A847FE1-8E27-4E5C-82AF-85F41AD86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6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2837" name="Picture@5C\QPendientes@" descr="@5C\QPendientes@">
          <a:extLst>
            <a:ext uri="{FF2B5EF4-FFF2-40B4-BE49-F238E27FC236}">
              <a16:creationId xmlns:a16="http://schemas.microsoft.com/office/drawing/2014/main" id="{91A7A4FA-9274-4CB0-BD22-14362A446D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8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2838" name="Picture@5C\QPendientes@" descr="@5C\QPendientes@">
          <a:extLst>
            <a:ext uri="{FF2B5EF4-FFF2-40B4-BE49-F238E27FC236}">
              <a16:creationId xmlns:a16="http://schemas.microsoft.com/office/drawing/2014/main" id="{97E6B2DE-C231-41B0-A902-540E5703EA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0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2839" name="Picture@5C\QPendientes@" descr="@5C\QPendientes@">
          <a:extLst>
            <a:ext uri="{FF2B5EF4-FFF2-40B4-BE49-F238E27FC236}">
              <a16:creationId xmlns:a16="http://schemas.microsoft.com/office/drawing/2014/main" id="{C3CC04CF-476B-4760-8CA2-77E95FAA14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2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2840" name="Picture@5C\QPendientes@" descr="@5C\QPendientes@">
          <a:extLst>
            <a:ext uri="{FF2B5EF4-FFF2-40B4-BE49-F238E27FC236}">
              <a16:creationId xmlns:a16="http://schemas.microsoft.com/office/drawing/2014/main" id="{8226920C-A3D6-4466-9621-06472E7C7A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4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2841" name="Picture@5C\QPendientes@" descr="@5C\QPendientes@">
          <a:extLst>
            <a:ext uri="{FF2B5EF4-FFF2-40B4-BE49-F238E27FC236}">
              <a16:creationId xmlns:a16="http://schemas.microsoft.com/office/drawing/2014/main" id="{7CEDF976-AF59-43D5-87DF-63B878F17D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2842" name="Picture@5C\QPendientes@" descr="@5C\QPendientes@">
          <a:extLst>
            <a:ext uri="{FF2B5EF4-FFF2-40B4-BE49-F238E27FC236}">
              <a16:creationId xmlns:a16="http://schemas.microsoft.com/office/drawing/2014/main" id="{06A47839-A97A-4590-879C-9A0A3AA876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7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2843" name="Picture@5C\QPendientes@" descr="@5C\QPendientes@">
          <a:extLst>
            <a:ext uri="{FF2B5EF4-FFF2-40B4-BE49-F238E27FC236}">
              <a16:creationId xmlns:a16="http://schemas.microsoft.com/office/drawing/2014/main" id="{24B70D8B-D4B0-440D-85C2-A4AE951A95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9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2844" name="Picture@5C\QPendientes@" descr="@5C\QPendientes@">
          <a:extLst>
            <a:ext uri="{FF2B5EF4-FFF2-40B4-BE49-F238E27FC236}">
              <a16:creationId xmlns:a16="http://schemas.microsoft.com/office/drawing/2014/main" id="{997CC6A4-F2D7-4C5B-9CE6-F24DD78712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1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2845" name="Picture@5C\QPendientes@" descr="@5C\QPendientes@">
          <a:extLst>
            <a:ext uri="{FF2B5EF4-FFF2-40B4-BE49-F238E27FC236}">
              <a16:creationId xmlns:a16="http://schemas.microsoft.com/office/drawing/2014/main" id="{7C83C672-87BD-4DB1-BD13-A4E0C423B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3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2846" name="Picture@5C\QPendientes@" descr="@5C\QPendientes@">
          <a:extLst>
            <a:ext uri="{FF2B5EF4-FFF2-40B4-BE49-F238E27FC236}">
              <a16:creationId xmlns:a16="http://schemas.microsoft.com/office/drawing/2014/main" id="{50C98CAE-82B6-40B3-8E2E-064AE5D608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4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2847" name="Picture@5C\QPendientes@" descr="@5C\QPendientes@">
          <a:extLst>
            <a:ext uri="{FF2B5EF4-FFF2-40B4-BE49-F238E27FC236}">
              <a16:creationId xmlns:a16="http://schemas.microsoft.com/office/drawing/2014/main" id="{83D380B9-9AFD-4ED1-9502-E4A5E5EEE6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6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2848" name="Picture@5C\QPendientes@" descr="@5C\QPendientes@">
          <a:extLst>
            <a:ext uri="{FF2B5EF4-FFF2-40B4-BE49-F238E27FC236}">
              <a16:creationId xmlns:a16="http://schemas.microsoft.com/office/drawing/2014/main" id="{37A8AD1D-C69B-4545-B0D7-441D3DFBE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8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2849" name="Picture@5C\QPendientes@" descr="@5C\QPendientes@">
          <a:extLst>
            <a:ext uri="{FF2B5EF4-FFF2-40B4-BE49-F238E27FC236}">
              <a16:creationId xmlns:a16="http://schemas.microsoft.com/office/drawing/2014/main" id="{9FE22DC2-8F90-4A10-A566-55FD19D7BF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0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2850" name="Picture@5C\QPendientes@" descr="@5C\QPendientes@">
          <a:extLst>
            <a:ext uri="{FF2B5EF4-FFF2-40B4-BE49-F238E27FC236}">
              <a16:creationId xmlns:a16="http://schemas.microsoft.com/office/drawing/2014/main" id="{6A2F35DC-C2DD-4ED9-A1C2-EF5D3F2642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2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2851" name="Picture@5C\QPendientes@" descr="@5C\QPendientes@">
          <a:extLst>
            <a:ext uri="{FF2B5EF4-FFF2-40B4-BE49-F238E27FC236}">
              <a16:creationId xmlns:a16="http://schemas.microsoft.com/office/drawing/2014/main" id="{E17D2908-A783-4F81-8356-C0C6867AB2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2852" name="Picture@5C\QPendientes@" descr="@5C\QPendientes@">
          <a:extLst>
            <a:ext uri="{FF2B5EF4-FFF2-40B4-BE49-F238E27FC236}">
              <a16:creationId xmlns:a16="http://schemas.microsoft.com/office/drawing/2014/main" id="{676D7B10-87F5-468D-B277-240695CCFD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5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2853" name="Picture@5C\QPendientes@" descr="@5C\QPendientes@">
          <a:extLst>
            <a:ext uri="{FF2B5EF4-FFF2-40B4-BE49-F238E27FC236}">
              <a16:creationId xmlns:a16="http://schemas.microsoft.com/office/drawing/2014/main" id="{8FAD8032-233A-4B03-BF36-EA4E349C5A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77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2854" name="Picture@5C\QPendientes@" descr="@5C\QPendientes@">
          <a:extLst>
            <a:ext uri="{FF2B5EF4-FFF2-40B4-BE49-F238E27FC236}">
              <a16:creationId xmlns:a16="http://schemas.microsoft.com/office/drawing/2014/main" id="{D6ADB04F-C4C8-4104-8361-7AFD8F580B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96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2855" name="Picture@5C\QPendientes@" descr="@5C\QPendientes@">
          <a:extLst>
            <a:ext uri="{FF2B5EF4-FFF2-40B4-BE49-F238E27FC236}">
              <a16:creationId xmlns:a16="http://schemas.microsoft.com/office/drawing/2014/main" id="{9173BD24-FC59-4A12-A4E5-BFD4AB6F28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14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2856" name="Picture@5C\QPendientes@" descr="@5C\QPendientes@">
          <a:extLst>
            <a:ext uri="{FF2B5EF4-FFF2-40B4-BE49-F238E27FC236}">
              <a16:creationId xmlns:a16="http://schemas.microsoft.com/office/drawing/2014/main" id="{BBA8D68E-2F53-48AE-AB01-E65C9F5EFE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32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2857" name="Picture@5C\QPendientes@" descr="@5C\QPendientes@">
          <a:extLst>
            <a:ext uri="{FF2B5EF4-FFF2-40B4-BE49-F238E27FC236}">
              <a16:creationId xmlns:a16="http://schemas.microsoft.com/office/drawing/2014/main" id="{585FF023-5DB2-4EEF-9782-55797109E2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51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2858" name="Picture@5C\QPendientes@" descr="@5C\QPendientes@">
          <a:extLst>
            <a:ext uri="{FF2B5EF4-FFF2-40B4-BE49-F238E27FC236}">
              <a16:creationId xmlns:a16="http://schemas.microsoft.com/office/drawing/2014/main" id="{422CE724-41AF-4CE2-B252-CB2FE20230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69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2859" name="Picture@5C\QPendientes@" descr="@5C\QPendientes@">
          <a:extLst>
            <a:ext uri="{FF2B5EF4-FFF2-40B4-BE49-F238E27FC236}">
              <a16:creationId xmlns:a16="http://schemas.microsoft.com/office/drawing/2014/main" id="{1F7943EE-DC81-43AC-89FE-387D751426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87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2860" name="Picture@5C\QPendientes@" descr="@5C\QPendientes@">
          <a:extLst>
            <a:ext uri="{FF2B5EF4-FFF2-40B4-BE49-F238E27FC236}">
              <a16:creationId xmlns:a16="http://schemas.microsoft.com/office/drawing/2014/main" id="{0E6275BF-B673-476D-80CA-38F2D8713C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05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2861" name="Picture@5C\QPendientes@" descr="@5C\QPendientes@">
          <a:extLst>
            <a:ext uri="{FF2B5EF4-FFF2-40B4-BE49-F238E27FC236}">
              <a16:creationId xmlns:a16="http://schemas.microsoft.com/office/drawing/2014/main" id="{0E967D74-3294-4B67-BDE6-72D3BFD5EB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2862" name="Picture@5C\QPendientes@" descr="@5C\QPendientes@">
          <a:extLst>
            <a:ext uri="{FF2B5EF4-FFF2-40B4-BE49-F238E27FC236}">
              <a16:creationId xmlns:a16="http://schemas.microsoft.com/office/drawing/2014/main" id="{FEEC45F3-A268-4839-B726-F424A84665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42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2863" name="Picture@5C\QPendientes@" descr="@5C\QPendientes@">
          <a:extLst>
            <a:ext uri="{FF2B5EF4-FFF2-40B4-BE49-F238E27FC236}">
              <a16:creationId xmlns:a16="http://schemas.microsoft.com/office/drawing/2014/main" id="{2998EFE2-6ECB-47C0-B070-F8C36E23E6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60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2864" name="Picture@5C\QPendientes@" descr="@5C\QPendientes@">
          <a:extLst>
            <a:ext uri="{FF2B5EF4-FFF2-40B4-BE49-F238E27FC236}">
              <a16:creationId xmlns:a16="http://schemas.microsoft.com/office/drawing/2014/main" id="{EC314224-CE0E-49E3-80ED-272CC60D5C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79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2865" name="Picture@5C\QPendientes@" descr="@5C\QPendientes@">
          <a:extLst>
            <a:ext uri="{FF2B5EF4-FFF2-40B4-BE49-F238E27FC236}">
              <a16:creationId xmlns:a16="http://schemas.microsoft.com/office/drawing/2014/main" id="{6665FA27-17CA-4796-A9E5-93097C539C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97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2866" name="Picture@5C\QPendientes@" descr="@5C\QPendientes@">
          <a:extLst>
            <a:ext uri="{FF2B5EF4-FFF2-40B4-BE49-F238E27FC236}">
              <a16:creationId xmlns:a16="http://schemas.microsoft.com/office/drawing/2014/main" id="{7E0240D2-64B4-441D-85B6-A53995ED10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1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2867" name="Picture@5C\QPendientes@" descr="@5C\QPendientes@">
          <a:extLst>
            <a:ext uri="{FF2B5EF4-FFF2-40B4-BE49-F238E27FC236}">
              <a16:creationId xmlns:a16="http://schemas.microsoft.com/office/drawing/2014/main" id="{B5F44FAF-97B6-4BFB-82CE-3168CD54DB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33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2868" name="Picture@5C\QPendientes@" descr="@5C\QPendientes@">
          <a:extLst>
            <a:ext uri="{FF2B5EF4-FFF2-40B4-BE49-F238E27FC236}">
              <a16:creationId xmlns:a16="http://schemas.microsoft.com/office/drawing/2014/main" id="{0C8D5C0F-DE06-40A6-A5FA-4D6367D944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52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2869" name="Picture@5C\QPendientes@" descr="@5C\QPendientes@">
          <a:extLst>
            <a:ext uri="{FF2B5EF4-FFF2-40B4-BE49-F238E27FC236}">
              <a16:creationId xmlns:a16="http://schemas.microsoft.com/office/drawing/2014/main" id="{DA8E5167-2C15-4A24-9F28-60EACCDAC7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70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2870" name="Picture@5C\QPendientes@" descr="@5C\QPendientes@">
          <a:extLst>
            <a:ext uri="{FF2B5EF4-FFF2-40B4-BE49-F238E27FC236}">
              <a16:creationId xmlns:a16="http://schemas.microsoft.com/office/drawing/2014/main" id="{EA29C44D-1F32-4572-92E0-97F3A749A9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88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2871" name="Picture@5C\QPendientes@" descr="@5C\QPendientes@">
          <a:extLst>
            <a:ext uri="{FF2B5EF4-FFF2-40B4-BE49-F238E27FC236}">
              <a16:creationId xmlns:a16="http://schemas.microsoft.com/office/drawing/2014/main" id="{BD9A2D08-34AE-497C-B95A-AB2CE4E9DC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2872" name="Picture@5C\QPendientes@" descr="@5C\QPendientes@">
          <a:extLst>
            <a:ext uri="{FF2B5EF4-FFF2-40B4-BE49-F238E27FC236}">
              <a16:creationId xmlns:a16="http://schemas.microsoft.com/office/drawing/2014/main" id="{3932523F-E46E-4AD6-82EC-7E41AED0A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25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2873" name="Picture@5C\QPendientes@" descr="@5C\QPendientes@">
          <a:extLst>
            <a:ext uri="{FF2B5EF4-FFF2-40B4-BE49-F238E27FC236}">
              <a16:creationId xmlns:a16="http://schemas.microsoft.com/office/drawing/2014/main" id="{65F664CC-6B54-42B7-A79D-F111ADC577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43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2874" name="Picture@5C\QPendientes@" descr="@5C\QPendientes@">
          <a:extLst>
            <a:ext uri="{FF2B5EF4-FFF2-40B4-BE49-F238E27FC236}">
              <a16:creationId xmlns:a16="http://schemas.microsoft.com/office/drawing/2014/main" id="{6CE09DEB-3A2D-4E57-A990-F85ED1D4A3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61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2875" name="Picture@5C\QPendientes@" descr="@5C\QPendientes@">
          <a:extLst>
            <a:ext uri="{FF2B5EF4-FFF2-40B4-BE49-F238E27FC236}">
              <a16:creationId xmlns:a16="http://schemas.microsoft.com/office/drawing/2014/main" id="{1A74DCE0-4FF4-4E87-A946-FAEDE1EA9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80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2876" name="Picture@5C\QPendientes@" descr="@5C\QPendientes@">
          <a:extLst>
            <a:ext uri="{FF2B5EF4-FFF2-40B4-BE49-F238E27FC236}">
              <a16:creationId xmlns:a16="http://schemas.microsoft.com/office/drawing/2014/main" id="{32E67B23-82CC-4606-8151-266BF2B177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98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2877" name="Picture@5C\QPendientes@" descr="@5C\QPendientes@">
          <a:extLst>
            <a:ext uri="{FF2B5EF4-FFF2-40B4-BE49-F238E27FC236}">
              <a16:creationId xmlns:a16="http://schemas.microsoft.com/office/drawing/2014/main" id="{9F849B34-3E96-41B9-9CE6-C1657ECC44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16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2878" name="Picture@5C\QPendientes@" descr="@5C\QPendientes@">
          <a:extLst>
            <a:ext uri="{FF2B5EF4-FFF2-40B4-BE49-F238E27FC236}">
              <a16:creationId xmlns:a16="http://schemas.microsoft.com/office/drawing/2014/main" id="{481D20B8-553A-4BCA-89EE-AA4104A5C0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35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2879" name="Picture@5C\QPendientes@" descr="@5C\QPendientes@">
          <a:extLst>
            <a:ext uri="{FF2B5EF4-FFF2-40B4-BE49-F238E27FC236}">
              <a16:creationId xmlns:a16="http://schemas.microsoft.com/office/drawing/2014/main" id="{45C6A828-4ADE-4A5E-90F8-31D4B9F749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53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2880" name="Picture@5C\QPendientes@" descr="@5C\QPendientes@">
          <a:extLst>
            <a:ext uri="{FF2B5EF4-FFF2-40B4-BE49-F238E27FC236}">
              <a16:creationId xmlns:a16="http://schemas.microsoft.com/office/drawing/2014/main" id="{4766EB7F-733F-45D6-8E3F-D7FF87A46B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71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2881" name="Picture@5C\QPendientes@" descr="@5C\QPendientes@">
          <a:extLst>
            <a:ext uri="{FF2B5EF4-FFF2-40B4-BE49-F238E27FC236}">
              <a16:creationId xmlns:a16="http://schemas.microsoft.com/office/drawing/2014/main" id="{22EE3978-5869-467E-94D7-D2A8F0F619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2882" name="Picture@5C\QPendientes@" descr="@5C\QPendientes@">
          <a:extLst>
            <a:ext uri="{FF2B5EF4-FFF2-40B4-BE49-F238E27FC236}">
              <a16:creationId xmlns:a16="http://schemas.microsoft.com/office/drawing/2014/main" id="{418DF48D-8AC1-4F6E-A3D3-1D7202559F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08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2883" name="Picture@5C\QPendientes@" descr="@5C\QPendientes@">
          <a:extLst>
            <a:ext uri="{FF2B5EF4-FFF2-40B4-BE49-F238E27FC236}">
              <a16:creationId xmlns:a16="http://schemas.microsoft.com/office/drawing/2014/main" id="{13E8A0ED-54AA-4094-BBD5-F13DC4E267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26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2884" name="Picture@5C\QPendientes@" descr="@5C\QPendientes@">
          <a:extLst>
            <a:ext uri="{FF2B5EF4-FFF2-40B4-BE49-F238E27FC236}">
              <a16:creationId xmlns:a16="http://schemas.microsoft.com/office/drawing/2014/main" id="{A91B5195-4AF1-4744-B18E-9AD9FD1F75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44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2885" name="Picture@5C\QPendientes@" descr="@5C\QPendientes@">
          <a:extLst>
            <a:ext uri="{FF2B5EF4-FFF2-40B4-BE49-F238E27FC236}">
              <a16:creationId xmlns:a16="http://schemas.microsoft.com/office/drawing/2014/main" id="{452E8728-3DD5-4237-B99A-D8A734E82F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63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2886" name="Picture@5C\QPendientes@" descr="@5C\QPendientes@">
          <a:extLst>
            <a:ext uri="{FF2B5EF4-FFF2-40B4-BE49-F238E27FC236}">
              <a16:creationId xmlns:a16="http://schemas.microsoft.com/office/drawing/2014/main" id="{1A58FB22-4331-483C-BD71-48730F6B1C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81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2887" name="Picture@5C\QPendientes@" descr="@5C\QPendientes@">
          <a:extLst>
            <a:ext uri="{FF2B5EF4-FFF2-40B4-BE49-F238E27FC236}">
              <a16:creationId xmlns:a16="http://schemas.microsoft.com/office/drawing/2014/main" id="{68AAF372-B1AA-4629-AD46-2C689FDC5A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99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2888" name="Picture@5C\QPendientes@" descr="@5C\QPendientes@">
          <a:extLst>
            <a:ext uri="{FF2B5EF4-FFF2-40B4-BE49-F238E27FC236}">
              <a16:creationId xmlns:a16="http://schemas.microsoft.com/office/drawing/2014/main" id="{B71C25EC-A1A9-4283-BA43-BC7194D700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17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2889" name="Picture@5C\QPendientes@" descr="@5C\QPendientes@">
          <a:extLst>
            <a:ext uri="{FF2B5EF4-FFF2-40B4-BE49-F238E27FC236}">
              <a16:creationId xmlns:a16="http://schemas.microsoft.com/office/drawing/2014/main" id="{7DCBE34D-496B-4F28-8927-15D10B821E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36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2890" name="Picture@5C\QPendientes@" descr="@5C\QPendientes@">
          <a:extLst>
            <a:ext uri="{FF2B5EF4-FFF2-40B4-BE49-F238E27FC236}">
              <a16:creationId xmlns:a16="http://schemas.microsoft.com/office/drawing/2014/main" id="{43ABDD07-E9CB-4191-A4EF-E535D7946E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54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2891" name="Picture@5C\QPendientes@" descr="@5C\QPendientes@">
          <a:extLst>
            <a:ext uri="{FF2B5EF4-FFF2-40B4-BE49-F238E27FC236}">
              <a16:creationId xmlns:a16="http://schemas.microsoft.com/office/drawing/2014/main" id="{29078A02-9D88-4684-B571-E0C93C5029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2892" name="Picture@5C\QPendientes@" descr="@5C\QPendientes@">
          <a:extLst>
            <a:ext uri="{FF2B5EF4-FFF2-40B4-BE49-F238E27FC236}">
              <a16:creationId xmlns:a16="http://schemas.microsoft.com/office/drawing/2014/main" id="{03D579FC-BFC2-4547-815A-A6A530D19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91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2893" name="Picture@5C\QPendientes@" descr="@5C\QPendientes@">
          <a:extLst>
            <a:ext uri="{FF2B5EF4-FFF2-40B4-BE49-F238E27FC236}">
              <a16:creationId xmlns:a16="http://schemas.microsoft.com/office/drawing/2014/main" id="{5B852987-0761-4B8B-91C6-58A02CE35B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09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2894" name="Picture@5C\QPendientes@" descr="@5C\QPendientes@">
          <a:extLst>
            <a:ext uri="{FF2B5EF4-FFF2-40B4-BE49-F238E27FC236}">
              <a16:creationId xmlns:a16="http://schemas.microsoft.com/office/drawing/2014/main" id="{F14DB2D7-6EF2-4241-9FA7-DD7BB70DDC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27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2895" name="Picture@5C\QPendientes@" descr="@5C\QPendientes@">
          <a:extLst>
            <a:ext uri="{FF2B5EF4-FFF2-40B4-BE49-F238E27FC236}">
              <a16:creationId xmlns:a16="http://schemas.microsoft.com/office/drawing/2014/main" id="{9333894B-D8F4-4EDA-86B1-F0B079C55E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45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2896" name="Picture@5C\QPendientes@" descr="@5C\QPendientes@">
          <a:extLst>
            <a:ext uri="{FF2B5EF4-FFF2-40B4-BE49-F238E27FC236}">
              <a16:creationId xmlns:a16="http://schemas.microsoft.com/office/drawing/2014/main" id="{C11CA6E3-CED7-4BA6-A263-8AF4C2AC0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64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2897" name="Picture@5C\QPendientes@" descr="@5C\QPendientes@">
          <a:extLst>
            <a:ext uri="{FF2B5EF4-FFF2-40B4-BE49-F238E27FC236}">
              <a16:creationId xmlns:a16="http://schemas.microsoft.com/office/drawing/2014/main" id="{C0A7347B-4421-4584-9ACA-0DD57B47C3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82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2898" name="Picture@5C\QPendientes@" descr="@5C\QPendientes@">
          <a:extLst>
            <a:ext uri="{FF2B5EF4-FFF2-40B4-BE49-F238E27FC236}">
              <a16:creationId xmlns:a16="http://schemas.microsoft.com/office/drawing/2014/main" id="{253C4721-434C-48A7-9F02-165B8B6ED6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00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2899" name="Picture@5C\QPendientes@" descr="@5C\QPendientes@">
          <a:extLst>
            <a:ext uri="{FF2B5EF4-FFF2-40B4-BE49-F238E27FC236}">
              <a16:creationId xmlns:a16="http://schemas.microsoft.com/office/drawing/2014/main" id="{7F3D90C6-4E19-4C87-AA3D-FCA0D67E0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19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2900" name="Picture@5C\QPendientes@" descr="@5C\QPendientes@">
          <a:extLst>
            <a:ext uri="{FF2B5EF4-FFF2-40B4-BE49-F238E27FC236}">
              <a16:creationId xmlns:a16="http://schemas.microsoft.com/office/drawing/2014/main" id="{857C4ADC-4E25-44FA-8280-BB7292B53D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37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2901" name="Picture@5C\QPendientes@" descr="@5C\QPendientes@">
          <a:extLst>
            <a:ext uri="{FF2B5EF4-FFF2-40B4-BE49-F238E27FC236}">
              <a16:creationId xmlns:a16="http://schemas.microsoft.com/office/drawing/2014/main" id="{7A98ABB5-95AE-4932-93DF-98D5B36DA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2902" name="Picture@5C\QPendientes@" descr="@5C\QPendientes@">
          <a:extLst>
            <a:ext uri="{FF2B5EF4-FFF2-40B4-BE49-F238E27FC236}">
              <a16:creationId xmlns:a16="http://schemas.microsoft.com/office/drawing/2014/main" id="{2765E507-8FAD-48EF-AC0C-86A30CDFED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73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2903" name="Picture@5C\QPendientes@" descr="@5C\QPendientes@">
          <a:extLst>
            <a:ext uri="{FF2B5EF4-FFF2-40B4-BE49-F238E27FC236}">
              <a16:creationId xmlns:a16="http://schemas.microsoft.com/office/drawing/2014/main" id="{20595304-C5B9-4BA7-812A-8179EA41F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92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2904" name="Picture@5C\QPendientes@" descr="@5C\QPendientes@">
          <a:extLst>
            <a:ext uri="{FF2B5EF4-FFF2-40B4-BE49-F238E27FC236}">
              <a16:creationId xmlns:a16="http://schemas.microsoft.com/office/drawing/2014/main" id="{8255F35B-5C03-4710-A198-3F9ED5697F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10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2905" name="Picture@5C\QPendientes@" descr="@5C\QPendientes@">
          <a:extLst>
            <a:ext uri="{FF2B5EF4-FFF2-40B4-BE49-F238E27FC236}">
              <a16:creationId xmlns:a16="http://schemas.microsoft.com/office/drawing/2014/main" id="{829A036D-FB73-42A3-880E-559D09E63E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28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2906" name="Picture@5C\QPendientes@" descr="@5C\QPendientes@">
          <a:extLst>
            <a:ext uri="{FF2B5EF4-FFF2-40B4-BE49-F238E27FC236}">
              <a16:creationId xmlns:a16="http://schemas.microsoft.com/office/drawing/2014/main" id="{69B629B4-A6D9-447F-807A-1407BE4131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47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2907" name="Picture@5C\QPendientes@" descr="@5C\QPendientes@">
          <a:extLst>
            <a:ext uri="{FF2B5EF4-FFF2-40B4-BE49-F238E27FC236}">
              <a16:creationId xmlns:a16="http://schemas.microsoft.com/office/drawing/2014/main" id="{DBFE2107-DB6D-4B3B-B693-30A87D73CE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65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2908" name="Picture@5C\QPendientes@" descr="@5C\QPendientes@">
          <a:extLst>
            <a:ext uri="{FF2B5EF4-FFF2-40B4-BE49-F238E27FC236}">
              <a16:creationId xmlns:a16="http://schemas.microsoft.com/office/drawing/2014/main" id="{FA24028F-0943-43AA-88C7-851E8F0611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83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2909" name="Picture@5C\QPendientes@" descr="@5C\QPendientes@">
          <a:extLst>
            <a:ext uri="{FF2B5EF4-FFF2-40B4-BE49-F238E27FC236}">
              <a16:creationId xmlns:a16="http://schemas.microsoft.com/office/drawing/2014/main" id="{994D1C3F-EAC2-4932-A409-B8D3EE931A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01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2910" name="Picture@5C\QPendientes@" descr="@5C\QPendientes@">
          <a:extLst>
            <a:ext uri="{FF2B5EF4-FFF2-40B4-BE49-F238E27FC236}">
              <a16:creationId xmlns:a16="http://schemas.microsoft.com/office/drawing/2014/main" id="{902470A3-9540-4934-B18A-57B402BE64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20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2911" name="Picture@5C\QPendientes@" descr="@5C\QPendientes@">
          <a:extLst>
            <a:ext uri="{FF2B5EF4-FFF2-40B4-BE49-F238E27FC236}">
              <a16:creationId xmlns:a16="http://schemas.microsoft.com/office/drawing/2014/main" id="{955D83F9-3B17-4F2E-96AC-1EDFCA4AEB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2912" name="Picture@5C\QPendientes@" descr="@5C\QPendientes@">
          <a:extLst>
            <a:ext uri="{FF2B5EF4-FFF2-40B4-BE49-F238E27FC236}">
              <a16:creationId xmlns:a16="http://schemas.microsoft.com/office/drawing/2014/main" id="{117B1F98-6254-4C5E-B523-A6A21A6F45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56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2913" name="Picture@5C\QPendientes@" descr="@5C\QPendientes@">
          <a:extLst>
            <a:ext uri="{FF2B5EF4-FFF2-40B4-BE49-F238E27FC236}">
              <a16:creationId xmlns:a16="http://schemas.microsoft.com/office/drawing/2014/main" id="{62D88E47-7925-414D-8945-DF3FD9E5AA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75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2914" name="Picture@5C\QPendientes@" descr="@5C\QPendientes@">
          <a:extLst>
            <a:ext uri="{FF2B5EF4-FFF2-40B4-BE49-F238E27FC236}">
              <a16:creationId xmlns:a16="http://schemas.microsoft.com/office/drawing/2014/main" id="{1662B6AD-9A76-4F4A-8CF3-7BC3E54168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93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2915" name="Picture@5C\QPendientes@" descr="@5C\QPendientes@">
          <a:extLst>
            <a:ext uri="{FF2B5EF4-FFF2-40B4-BE49-F238E27FC236}">
              <a16:creationId xmlns:a16="http://schemas.microsoft.com/office/drawing/2014/main" id="{5489FD94-75F5-469C-ABD0-2D04A5628C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11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2916" name="Picture@5C\QPendientes@" descr="@5C\QPendientes@">
          <a:extLst>
            <a:ext uri="{FF2B5EF4-FFF2-40B4-BE49-F238E27FC236}">
              <a16:creationId xmlns:a16="http://schemas.microsoft.com/office/drawing/2014/main" id="{0885DC77-BB63-4227-ACB5-7E13A4A394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30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2917" name="Picture@5C\QPendientes@" descr="@5C\QPendientes@">
          <a:extLst>
            <a:ext uri="{FF2B5EF4-FFF2-40B4-BE49-F238E27FC236}">
              <a16:creationId xmlns:a16="http://schemas.microsoft.com/office/drawing/2014/main" id="{9176F790-4A43-48D7-B4E8-D2B56793DC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4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2918" name="Picture@5C\QPendientes@" descr="@5C\QPendientes@">
          <a:extLst>
            <a:ext uri="{FF2B5EF4-FFF2-40B4-BE49-F238E27FC236}">
              <a16:creationId xmlns:a16="http://schemas.microsoft.com/office/drawing/2014/main" id="{6D95B021-C3EE-44C6-B4A8-E31E31FEF5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6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2919" name="Picture@5C\QPendientes@" descr="@5C\QPendientes@">
          <a:extLst>
            <a:ext uri="{FF2B5EF4-FFF2-40B4-BE49-F238E27FC236}">
              <a16:creationId xmlns:a16="http://schemas.microsoft.com/office/drawing/2014/main" id="{D8E44ED3-AB08-41B4-A12A-5634E54DF2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8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2920" name="Picture@5C\QPendientes@" descr="@5C\QPendientes@">
          <a:extLst>
            <a:ext uri="{FF2B5EF4-FFF2-40B4-BE49-F238E27FC236}">
              <a16:creationId xmlns:a16="http://schemas.microsoft.com/office/drawing/2014/main" id="{85446241-F28F-4C4A-B4DF-E736C7511B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0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2921" name="Picture@5C\QPendientes@" descr="@5C\QPendientes@">
          <a:extLst>
            <a:ext uri="{FF2B5EF4-FFF2-40B4-BE49-F238E27FC236}">
              <a16:creationId xmlns:a16="http://schemas.microsoft.com/office/drawing/2014/main" id="{22E69097-B40D-40E4-A0CB-1C6D1FB6F3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2922" name="Picture@5C\QPendientes@" descr="@5C\QPendientes@">
          <a:extLst>
            <a:ext uri="{FF2B5EF4-FFF2-40B4-BE49-F238E27FC236}">
              <a16:creationId xmlns:a16="http://schemas.microsoft.com/office/drawing/2014/main" id="{C4CD4409-A81C-48F4-AE43-40F8026D68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3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2923" name="Picture@5C\QPendientes@" descr="@5C\QPendientes@">
          <a:extLst>
            <a:ext uri="{FF2B5EF4-FFF2-40B4-BE49-F238E27FC236}">
              <a16:creationId xmlns:a16="http://schemas.microsoft.com/office/drawing/2014/main" id="{B1A2774B-77D1-442F-AFB5-39FF9376B9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5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2924" name="Picture@5C\QPendientes@" descr="@5C\QPendientes@">
          <a:extLst>
            <a:ext uri="{FF2B5EF4-FFF2-40B4-BE49-F238E27FC236}">
              <a16:creationId xmlns:a16="http://schemas.microsoft.com/office/drawing/2014/main" id="{8DFADB6E-29F7-488B-AA16-9C9CBB4811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7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2925" name="Picture@5C\QPendientes@" descr="@5C\QPendientes@">
          <a:extLst>
            <a:ext uri="{FF2B5EF4-FFF2-40B4-BE49-F238E27FC236}">
              <a16:creationId xmlns:a16="http://schemas.microsoft.com/office/drawing/2014/main" id="{D37A13B5-7C15-421B-954C-9C30D073A1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9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2926" name="Picture@5C\QPendientes@" descr="@5C\QPendientes@">
          <a:extLst>
            <a:ext uri="{FF2B5EF4-FFF2-40B4-BE49-F238E27FC236}">
              <a16:creationId xmlns:a16="http://schemas.microsoft.com/office/drawing/2014/main" id="{CB839C48-70BA-4EF9-AAF1-1C3D2E53C5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1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2927" name="Picture@5C\QPendientes@" descr="@5C\QPendientes@">
          <a:extLst>
            <a:ext uri="{FF2B5EF4-FFF2-40B4-BE49-F238E27FC236}">
              <a16:creationId xmlns:a16="http://schemas.microsoft.com/office/drawing/2014/main" id="{EBF22517-7273-4C75-A4A5-6A29AA6A75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3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2928" name="Picture@5C\QPendientes@" descr="@5C\QPendientes@">
          <a:extLst>
            <a:ext uri="{FF2B5EF4-FFF2-40B4-BE49-F238E27FC236}">
              <a16:creationId xmlns:a16="http://schemas.microsoft.com/office/drawing/2014/main" id="{7A025BC9-8793-4B9B-996D-185F259BB9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4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2929" name="Picture@5C\QPendientes@" descr="@5C\QPendientes@">
          <a:extLst>
            <a:ext uri="{FF2B5EF4-FFF2-40B4-BE49-F238E27FC236}">
              <a16:creationId xmlns:a16="http://schemas.microsoft.com/office/drawing/2014/main" id="{5AA18BEA-45A3-4A8E-B9F9-DD6E08443C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6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2930" name="Picture@5C\QPendientes@" descr="@5C\QPendientes@">
          <a:extLst>
            <a:ext uri="{FF2B5EF4-FFF2-40B4-BE49-F238E27FC236}">
              <a16:creationId xmlns:a16="http://schemas.microsoft.com/office/drawing/2014/main" id="{CC85ECE3-9870-4627-B338-20731CFBE5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8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2931" name="Picture@5C\QPendientes@" descr="@5C\QPendientes@">
          <a:extLst>
            <a:ext uri="{FF2B5EF4-FFF2-40B4-BE49-F238E27FC236}">
              <a16:creationId xmlns:a16="http://schemas.microsoft.com/office/drawing/2014/main" id="{B68C30B6-8372-47EF-9B16-B5A1EB363D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2932" name="Picture@5C\QPendientes@" descr="@5C\QPendientes@">
          <a:extLst>
            <a:ext uri="{FF2B5EF4-FFF2-40B4-BE49-F238E27FC236}">
              <a16:creationId xmlns:a16="http://schemas.microsoft.com/office/drawing/2014/main" id="{0523DE73-E1A5-4E7B-BDD5-FC09D2B35E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2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2933" name="Picture@5C\QPendientes@" descr="@5C\QPendientes@">
          <a:extLst>
            <a:ext uri="{FF2B5EF4-FFF2-40B4-BE49-F238E27FC236}">
              <a16:creationId xmlns:a16="http://schemas.microsoft.com/office/drawing/2014/main" id="{1F5772CC-7A53-4FA5-AF15-3592C5EFE9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4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2934" name="Picture@5C\QPendientes@" descr="@5C\QPendientes@">
          <a:extLst>
            <a:ext uri="{FF2B5EF4-FFF2-40B4-BE49-F238E27FC236}">
              <a16:creationId xmlns:a16="http://schemas.microsoft.com/office/drawing/2014/main" id="{D9334596-B3B0-4CBE-8C13-FB19073A36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5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2935" name="Picture@5C\QPendientes@" descr="@5C\QPendientes@">
          <a:extLst>
            <a:ext uri="{FF2B5EF4-FFF2-40B4-BE49-F238E27FC236}">
              <a16:creationId xmlns:a16="http://schemas.microsoft.com/office/drawing/2014/main" id="{C32B0636-7755-49BD-9B1B-C89FFBC1BE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7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2936" name="Picture@5C\QPendientes@" descr="@5C\QPendientes@">
          <a:extLst>
            <a:ext uri="{FF2B5EF4-FFF2-40B4-BE49-F238E27FC236}">
              <a16:creationId xmlns:a16="http://schemas.microsoft.com/office/drawing/2014/main" id="{175EF125-3AF6-49D4-8B55-413CC7328F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9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2937" name="Picture@5C\QPendientes@" descr="@5C\QPendientes@">
          <a:extLst>
            <a:ext uri="{FF2B5EF4-FFF2-40B4-BE49-F238E27FC236}">
              <a16:creationId xmlns:a16="http://schemas.microsoft.com/office/drawing/2014/main" id="{CA5215EB-4D1B-4B25-B635-38B4CF7B5C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1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2938" name="Picture@5C\QPendientes@" descr="@5C\QPendientes@">
          <a:extLst>
            <a:ext uri="{FF2B5EF4-FFF2-40B4-BE49-F238E27FC236}">
              <a16:creationId xmlns:a16="http://schemas.microsoft.com/office/drawing/2014/main" id="{39619146-242D-4B65-89AF-ABD3E1147E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3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2939" name="Picture@5C\QPendientes@" descr="@5C\QPendientes@">
          <a:extLst>
            <a:ext uri="{FF2B5EF4-FFF2-40B4-BE49-F238E27FC236}">
              <a16:creationId xmlns:a16="http://schemas.microsoft.com/office/drawing/2014/main" id="{8C0724FF-303F-43B1-A61C-7E01D030C2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5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2940" name="Picture@5C\QPendientes@" descr="@5C\QPendientes@">
          <a:extLst>
            <a:ext uri="{FF2B5EF4-FFF2-40B4-BE49-F238E27FC236}">
              <a16:creationId xmlns:a16="http://schemas.microsoft.com/office/drawing/2014/main" id="{65F7102C-564D-4BE7-B711-F3DEFFA07D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6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2941" name="Picture@5C\QPendientes@" descr="@5C\QPendientes@">
          <a:extLst>
            <a:ext uri="{FF2B5EF4-FFF2-40B4-BE49-F238E27FC236}">
              <a16:creationId xmlns:a16="http://schemas.microsoft.com/office/drawing/2014/main" id="{37E7E81F-DC12-4A0F-8EAE-D668695771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2942" name="Picture@5C\QPendientes@" descr="@5C\QPendientes@">
          <a:extLst>
            <a:ext uri="{FF2B5EF4-FFF2-40B4-BE49-F238E27FC236}">
              <a16:creationId xmlns:a16="http://schemas.microsoft.com/office/drawing/2014/main" id="{C9E782D9-8A1A-4D0E-B497-7545CE264A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0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2943" name="Picture@5C\QPendientes@" descr="@5C\QPendientes@">
          <a:extLst>
            <a:ext uri="{FF2B5EF4-FFF2-40B4-BE49-F238E27FC236}">
              <a16:creationId xmlns:a16="http://schemas.microsoft.com/office/drawing/2014/main" id="{D8A3AE9F-2987-4DE4-A099-0B9E45D25D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2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2944" name="Picture@5C\QPendientes@" descr="@5C\QPendientes@">
          <a:extLst>
            <a:ext uri="{FF2B5EF4-FFF2-40B4-BE49-F238E27FC236}">
              <a16:creationId xmlns:a16="http://schemas.microsoft.com/office/drawing/2014/main" id="{8E3178B5-72D4-413D-8941-F31759A969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4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2945" name="Picture@5C\QPendientes@" descr="@5C\QPendientes@">
          <a:extLst>
            <a:ext uri="{FF2B5EF4-FFF2-40B4-BE49-F238E27FC236}">
              <a16:creationId xmlns:a16="http://schemas.microsoft.com/office/drawing/2014/main" id="{F440F187-203F-41F0-8F7A-7541B1EC50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6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2946" name="Picture@5C\QPendientes@" descr="@5C\QPendientes@">
          <a:extLst>
            <a:ext uri="{FF2B5EF4-FFF2-40B4-BE49-F238E27FC236}">
              <a16:creationId xmlns:a16="http://schemas.microsoft.com/office/drawing/2014/main" id="{F551BCE9-0430-4E1C-9F78-3A440D343D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7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2947" name="Picture@5C\QPendientes@" descr="@5C\QPendientes@">
          <a:extLst>
            <a:ext uri="{FF2B5EF4-FFF2-40B4-BE49-F238E27FC236}">
              <a16:creationId xmlns:a16="http://schemas.microsoft.com/office/drawing/2014/main" id="{E4DCD2CD-72CB-4F51-9E06-912B58EC92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9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2948" name="Picture@5C\QPendientes@" descr="@5C\QPendientes@">
          <a:extLst>
            <a:ext uri="{FF2B5EF4-FFF2-40B4-BE49-F238E27FC236}">
              <a16:creationId xmlns:a16="http://schemas.microsoft.com/office/drawing/2014/main" id="{ED3D2332-27A0-4508-B997-AF511A98FE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1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2949" name="Picture@5C\QPendientes@" descr="@5C\QPendientes@">
          <a:extLst>
            <a:ext uri="{FF2B5EF4-FFF2-40B4-BE49-F238E27FC236}">
              <a16:creationId xmlns:a16="http://schemas.microsoft.com/office/drawing/2014/main" id="{85271A27-A636-451F-932C-2D57B2B464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3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2950" name="Picture@5C\QPendientes@" descr="@5C\QPendientes@">
          <a:extLst>
            <a:ext uri="{FF2B5EF4-FFF2-40B4-BE49-F238E27FC236}">
              <a16:creationId xmlns:a16="http://schemas.microsoft.com/office/drawing/2014/main" id="{F438F750-891F-4F3B-B27C-52C20CB517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5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2951" name="Picture@5C\QPendientes@" descr="@5C\QPendientes@">
          <a:extLst>
            <a:ext uri="{FF2B5EF4-FFF2-40B4-BE49-F238E27FC236}">
              <a16:creationId xmlns:a16="http://schemas.microsoft.com/office/drawing/2014/main" id="{58B63D54-56FC-4FD9-89D4-AEC23BBF2F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2952" name="Picture@5C\QPendientes@" descr="@5C\QPendientes@">
          <a:extLst>
            <a:ext uri="{FF2B5EF4-FFF2-40B4-BE49-F238E27FC236}">
              <a16:creationId xmlns:a16="http://schemas.microsoft.com/office/drawing/2014/main" id="{88C991D3-17C7-4AB1-B967-9A508A3147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8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2953" name="Picture@5C\QPendientes@" descr="@5C\QPendientes@">
          <a:extLst>
            <a:ext uri="{FF2B5EF4-FFF2-40B4-BE49-F238E27FC236}">
              <a16:creationId xmlns:a16="http://schemas.microsoft.com/office/drawing/2014/main" id="{33601CAC-FEEC-4F5A-8640-2D3D7AE229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0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2954" name="Picture@5C\QPendientes@" descr="@5C\QPendientes@">
          <a:extLst>
            <a:ext uri="{FF2B5EF4-FFF2-40B4-BE49-F238E27FC236}">
              <a16:creationId xmlns:a16="http://schemas.microsoft.com/office/drawing/2014/main" id="{6344F80B-6562-42B1-9B7B-B71FECB76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2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2955" name="Picture@5C\QPendientes@" descr="@5C\QPendientes@">
          <a:extLst>
            <a:ext uri="{FF2B5EF4-FFF2-40B4-BE49-F238E27FC236}">
              <a16:creationId xmlns:a16="http://schemas.microsoft.com/office/drawing/2014/main" id="{91304A0D-943D-4623-A298-8D1D42AFD7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4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2956" name="Picture@5C\QPendientes@" descr="@5C\QPendientes@">
          <a:extLst>
            <a:ext uri="{FF2B5EF4-FFF2-40B4-BE49-F238E27FC236}">
              <a16:creationId xmlns:a16="http://schemas.microsoft.com/office/drawing/2014/main" id="{102B00C4-6291-49E4-847E-D2E6D26F15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6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2957" name="Picture@5C\QPendientes@" descr="@5C\QPendientes@">
          <a:extLst>
            <a:ext uri="{FF2B5EF4-FFF2-40B4-BE49-F238E27FC236}">
              <a16:creationId xmlns:a16="http://schemas.microsoft.com/office/drawing/2014/main" id="{D383C7B5-40E2-4A29-95C2-7D7604E2B8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7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2958" name="Picture@5C\QPendientes@" descr="@5C\QPendientes@">
          <a:extLst>
            <a:ext uri="{FF2B5EF4-FFF2-40B4-BE49-F238E27FC236}">
              <a16:creationId xmlns:a16="http://schemas.microsoft.com/office/drawing/2014/main" id="{5CC919AE-CFAB-4605-8295-FCA2BB42B3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9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2959" name="Picture@5C\QPendientes@" descr="@5C\QPendientes@">
          <a:extLst>
            <a:ext uri="{FF2B5EF4-FFF2-40B4-BE49-F238E27FC236}">
              <a16:creationId xmlns:a16="http://schemas.microsoft.com/office/drawing/2014/main" id="{D83F5E15-4236-4E43-B5C3-70B80582ED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1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2960" name="Picture@5C\QPendientes@" descr="@5C\QPendientes@">
          <a:extLst>
            <a:ext uri="{FF2B5EF4-FFF2-40B4-BE49-F238E27FC236}">
              <a16:creationId xmlns:a16="http://schemas.microsoft.com/office/drawing/2014/main" id="{2438388B-FD21-4F17-BABC-95632CF5BE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3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2961" name="Picture@5C\QPendientes@" descr="@5C\QPendientes@">
          <a:extLst>
            <a:ext uri="{FF2B5EF4-FFF2-40B4-BE49-F238E27FC236}">
              <a16:creationId xmlns:a16="http://schemas.microsoft.com/office/drawing/2014/main" id="{D46445EB-4ECC-403D-8993-7EDE2FBF8F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2962" name="Picture@5C\QPendientes@" descr="@5C\QPendientes@">
          <a:extLst>
            <a:ext uri="{FF2B5EF4-FFF2-40B4-BE49-F238E27FC236}">
              <a16:creationId xmlns:a16="http://schemas.microsoft.com/office/drawing/2014/main" id="{A0434856-12A4-444E-B635-0BCA717818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7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2963" name="Picture@5C\QPendientes@" descr="@5C\QPendientes@">
          <a:extLst>
            <a:ext uri="{FF2B5EF4-FFF2-40B4-BE49-F238E27FC236}">
              <a16:creationId xmlns:a16="http://schemas.microsoft.com/office/drawing/2014/main" id="{E370E326-B59B-4357-8E1C-DAC12A7EB6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8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2964" name="Picture@5C\QPendientes@" descr="@5C\QPendientes@">
          <a:extLst>
            <a:ext uri="{FF2B5EF4-FFF2-40B4-BE49-F238E27FC236}">
              <a16:creationId xmlns:a16="http://schemas.microsoft.com/office/drawing/2014/main" id="{7E441CE2-E631-4AE6-8E90-E49C751000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0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2965" name="Picture@5C\QPendientes@" descr="@5C\QPendientes@">
          <a:extLst>
            <a:ext uri="{FF2B5EF4-FFF2-40B4-BE49-F238E27FC236}">
              <a16:creationId xmlns:a16="http://schemas.microsoft.com/office/drawing/2014/main" id="{964F95C9-CB4B-4C4A-8A64-E216190F46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2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2966" name="Picture@5C\QPendientes@" descr="@5C\QPendientes@">
          <a:extLst>
            <a:ext uri="{FF2B5EF4-FFF2-40B4-BE49-F238E27FC236}">
              <a16:creationId xmlns:a16="http://schemas.microsoft.com/office/drawing/2014/main" id="{DAB312BB-1034-49EE-A873-201656F53F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4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2967" name="Picture@5C\QPendientes@" descr="@5C\QPendientes@">
          <a:extLst>
            <a:ext uri="{FF2B5EF4-FFF2-40B4-BE49-F238E27FC236}">
              <a16:creationId xmlns:a16="http://schemas.microsoft.com/office/drawing/2014/main" id="{3357E649-0344-4025-92FF-E44DC6005C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6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2968" name="Picture@5C\QPendientes@" descr="@5C\QPendientes@">
          <a:extLst>
            <a:ext uri="{FF2B5EF4-FFF2-40B4-BE49-F238E27FC236}">
              <a16:creationId xmlns:a16="http://schemas.microsoft.com/office/drawing/2014/main" id="{882AF3DF-9154-46AD-BE98-7C105962FC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8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2969" name="Picture@5C\QPendientes@" descr="@5C\QPendientes@">
          <a:extLst>
            <a:ext uri="{FF2B5EF4-FFF2-40B4-BE49-F238E27FC236}">
              <a16:creationId xmlns:a16="http://schemas.microsoft.com/office/drawing/2014/main" id="{9A940239-0028-4456-9EEB-545725D017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9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2970" name="Picture@5C\QPendientes@" descr="@5C\QPendientes@">
          <a:extLst>
            <a:ext uri="{FF2B5EF4-FFF2-40B4-BE49-F238E27FC236}">
              <a16:creationId xmlns:a16="http://schemas.microsoft.com/office/drawing/2014/main" id="{3B928EB4-E682-4BB6-80DE-21BCBE5311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1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2971" name="Picture@5C\QPendientes@" descr="@5C\QPendientes@">
          <a:extLst>
            <a:ext uri="{FF2B5EF4-FFF2-40B4-BE49-F238E27FC236}">
              <a16:creationId xmlns:a16="http://schemas.microsoft.com/office/drawing/2014/main" id="{392DF305-C9DC-4342-A6EF-B59AE1A267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2972" name="Picture@5C\QPendientes@" descr="@5C\QPendientes@">
          <a:extLst>
            <a:ext uri="{FF2B5EF4-FFF2-40B4-BE49-F238E27FC236}">
              <a16:creationId xmlns:a16="http://schemas.microsoft.com/office/drawing/2014/main" id="{C15C2539-1991-44AE-A350-6546E2788A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5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2973" name="Picture@5C\QPendientes@" descr="@5C\QPendientes@">
          <a:extLst>
            <a:ext uri="{FF2B5EF4-FFF2-40B4-BE49-F238E27FC236}">
              <a16:creationId xmlns:a16="http://schemas.microsoft.com/office/drawing/2014/main" id="{B7BEC792-270E-42E0-937F-2133CBD42B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7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2974" name="Picture@5C\QPendientes@" descr="@5C\QPendientes@">
          <a:extLst>
            <a:ext uri="{FF2B5EF4-FFF2-40B4-BE49-F238E27FC236}">
              <a16:creationId xmlns:a16="http://schemas.microsoft.com/office/drawing/2014/main" id="{C1ED0054-00B6-4FAA-A55B-D1BAA39801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9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2975" name="Picture@5C\QPendientes@" descr="@5C\QPendientes@">
          <a:extLst>
            <a:ext uri="{FF2B5EF4-FFF2-40B4-BE49-F238E27FC236}">
              <a16:creationId xmlns:a16="http://schemas.microsoft.com/office/drawing/2014/main" id="{46A9974A-14B5-40BE-8009-3221212E95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0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2976" name="Picture@5C\QPendientes@" descr="@5C\QPendientes@">
          <a:extLst>
            <a:ext uri="{FF2B5EF4-FFF2-40B4-BE49-F238E27FC236}">
              <a16:creationId xmlns:a16="http://schemas.microsoft.com/office/drawing/2014/main" id="{2774500B-8F58-4D31-8662-8A2B9DD549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2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2977" name="Picture@5C\QPendientes@" descr="@5C\QPendientes@">
          <a:extLst>
            <a:ext uri="{FF2B5EF4-FFF2-40B4-BE49-F238E27FC236}">
              <a16:creationId xmlns:a16="http://schemas.microsoft.com/office/drawing/2014/main" id="{55613C0E-8762-4CC8-91E6-35AE8BF5E7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4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2978" name="Picture@5C\QPendientes@" descr="@5C\QPendientes@">
          <a:extLst>
            <a:ext uri="{FF2B5EF4-FFF2-40B4-BE49-F238E27FC236}">
              <a16:creationId xmlns:a16="http://schemas.microsoft.com/office/drawing/2014/main" id="{83D1DDFD-3472-4D7D-9216-4F6E4F252D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6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2979" name="Picture@5C\QPendientes@" descr="@5C\QPendientes@">
          <a:extLst>
            <a:ext uri="{FF2B5EF4-FFF2-40B4-BE49-F238E27FC236}">
              <a16:creationId xmlns:a16="http://schemas.microsoft.com/office/drawing/2014/main" id="{3E1CAF13-C8D5-4987-A054-674FEE736F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8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2980" name="Picture@5C\QPendientes@" descr="@5C\QPendientes@">
          <a:extLst>
            <a:ext uri="{FF2B5EF4-FFF2-40B4-BE49-F238E27FC236}">
              <a16:creationId xmlns:a16="http://schemas.microsoft.com/office/drawing/2014/main" id="{2FBA1FAC-94BC-41F1-8119-A62CBDDF0C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0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2981" name="Picture@5C\QPendientes@" descr="@5C\QPendientes@">
          <a:extLst>
            <a:ext uri="{FF2B5EF4-FFF2-40B4-BE49-F238E27FC236}">
              <a16:creationId xmlns:a16="http://schemas.microsoft.com/office/drawing/2014/main" id="{C4D2758B-A710-4ED6-AE41-C62E9E8BF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2982" name="Picture@5C\QPendientes@" descr="@5C\QPendientes@">
          <a:extLst>
            <a:ext uri="{FF2B5EF4-FFF2-40B4-BE49-F238E27FC236}">
              <a16:creationId xmlns:a16="http://schemas.microsoft.com/office/drawing/2014/main" id="{21F210AF-0D8C-4984-B8DE-53776B22AE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3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2983" name="Picture@5C\QPendientes@" descr="@5C\QPendientes@">
          <a:extLst>
            <a:ext uri="{FF2B5EF4-FFF2-40B4-BE49-F238E27FC236}">
              <a16:creationId xmlns:a16="http://schemas.microsoft.com/office/drawing/2014/main" id="{029BD014-2780-4F2E-962A-449F700F3B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5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3086" name="Picture@5C\QPendientes@" descr="@5C\QPendientes@">
          <a:extLst>
            <a:ext uri="{FF2B5EF4-FFF2-40B4-BE49-F238E27FC236}">
              <a16:creationId xmlns:a16="http://schemas.microsoft.com/office/drawing/2014/main" id="{347B31E5-D08F-4F3B-87B1-9AB6277A7B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3087" name="Picture@5C\QPendientes@" descr="@5C\QPendientes@">
          <a:extLst>
            <a:ext uri="{FF2B5EF4-FFF2-40B4-BE49-F238E27FC236}">
              <a16:creationId xmlns:a16="http://schemas.microsoft.com/office/drawing/2014/main" id="{5F93B3EF-3D43-4BC4-BFCF-FC697A1DC1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3088" name="Picture@5C\QPendientes@" descr="@5C\QPendientes@">
          <a:extLst>
            <a:ext uri="{FF2B5EF4-FFF2-40B4-BE49-F238E27FC236}">
              <a16:creationId xmlns:a16="http://schemas.microsoft.com/office/drawing/2014/main" id="{DD33851E-EBF6-4468-8C0A-DC7A9AB04A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3089" name="Picture@5C\QPendientes@" descr="@5C\QPendientes@">
          <a:extLst>
            <a:ext uri="{FF2B5EF4-FFF2-40B4-BE49-F238E27FC236}">
              <a16:creationId xmlns:a16="http://schemas.microsoft.com/office/drawing/2014/main" id="{55483B64-1877-46C0-84D3-CB0648059C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3090" name="Picture@5C\QPendientes@" descr="@5C\QPendientes@">
          <a:extLst>
            <a:ext uri="{FF2B5EF4-FFF2-40B4-BE49-F238E27FC236}">
              <a16:creationId xmlns:a16="http://schemas.microsoft.com/office/drawing/2014/main" id="{18E7EEC1-8B5B-4261-8219-32225F96D6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3091" name="Picture@5C\QPendientes@" descr="@5C\QPendientes@">
          <a:extLst>
            <a:ext uri="{FF2B5EF4-FFF2-40B4-BE49-F238E27FC236}">
              <a16:creationId xmlns:a16="http://schemas.microsoft.com/office/drawing/2014/main" id="{5B571044-47AE-42F1-B374-0AE89CB97C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3092" name="Picture@5C\QPendientes@" descr="@5C\QPendientes@">
          <a:extLst>
            <a:ext uri="{FF2B5EF4-FFF2-40B4-BE49-F238E27FC236}">
              <a16:creationId xmlns:a16="http://schemas.microsoft.com/office/drawing/2014/main" id="{DD0FBDB4-4DF3-49C2-862E-0A8077F9AB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3093" name="Picture@5C\QPendientes@" descr="@5C\QPendientes@">
          <a:extLst>
            <a:ext uri="{FF2B5EF4-FFF2-40B4-BE49-F238E27FC236}">
              <a16:creationId xmlns:a16="http://schemas.microsoft.com/office/drawing/2014/main" id="{BA4F95F7-5475-4E12-A257-1E308F5C31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3094" name="Picture@5C\QPendientes@" descr="@5C\QPendientes@">
          <a:extLst>
            <a:ext uri="{FF2B5EF4-FFF2-40B4-BE49-F238E27FC236}">
              <a16:creationId xmlns:a16="http://schemas.microsoft.com/office/drawing/2014/main" id="{AF4041E2-9161-4805-A9C0-6CD417F14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3095" name="Picture@5C\QPendientes@" descr="@5C\QPendientes@">
          <a:extLst>
            <a:ext uri="{FF2B5EF4-FFF2-40B4-BE49-F238E27FC236}">
              <a16:creationId xmlns:a16="http://schemas.microsoft.com/office/drawing/2014/main" id="{3CFBD519-F01A-4330-A867-D75924BEB1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3096" name="Picture@5C\QPendientes@" descr="@5C\QPendientes@">
          <a:extLst>
            <a:ext uri="{FF2B5EF4-FFF2-40B4-BE49-F238E27FC236}">
              <a16:creationId xmlns:a16="http://schemas.microsoft.com/office/drawing/2014/main" id="{9FF60148-8DC5-4F25-8199-CB5B349405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3097" name="Picture@5C\QPendientes@" descr="@5C\QPendientes@">
          <a:extLst>
            <a:ext uri="{FF2B5EF4-FFF2-40B4-BE49-F238E27FC236}">
              <a16:creationId xmlns:a16="http://schemas.microsoft.com/office/drawing/2014/main" id="{ADFCFF4D-A854-4FF0-B555-F0AAA3CCD1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3098" name="Picture@5C\QPendientes@" descr="@5C\QPendientes@">
          <a:extLst>
            <a:ext uri="{FF2B5EF4-FFF2-40B4-BE49-F238E27FC236}">
              <a16:creationId xmlns:a16="http://schemas.microsoft.com/office/drawing/2014/main" id="{0BC5EA41-0276-406D-BCEA-57EC71C183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3099" name="Picture@5C\QPendientes@" descr="@5C\QPendientes@">
          <a:extLst>
            <a:ext uri="{FF2B5EF4-FFF2-40B4-BE49-F238E27FC236}">
              <a16:creationId xmlns:a16="http://schemas.microsoft.com/office/drawing/2014/main" id="{CA4428B3-F515-4344-947D-44F5E1D1F9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3100" name="Picture@5C\QPendientes@" descr="@5C\QPendientes@">
          <a:extLst>
            <a:ext uri="{FF2B5EF4-FFF2-40B4-BE49-F238E27FC236}">
              <a16:creationId xmlns:a16="http://schemas.microsoft.com/office/drawing/2014/main" id="{05BC6423-A889-49E8-ABA4-B7D5146B74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3101" name="Picture@5C\QPendientes@" descr="@5C\QPendientes@">
          <a:extLst>
            <a:ext uri="{FF2B5EF4-FFF2-40B4-BE49-F238E27FC236}">
              <a16:creationId xmlns:a16="http://schemas.microsoft.com/office/drawing/2014/main" id="{485A2705-AADF-44D3-A042-AE0F3859B7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3102" name="Picture@5C\QPendientes@" descr="@5C\QPendientes@">
          <a:extLst>
            <a:ext uri="{FF2B5EF4-FFF2-40B4-BE49-F238E27FC236}">
              <a16:creationId xmlns:a16="http://schemas.microsoft.com/office/drawing/2014/main" id="{2D73AD5F-CB9A-49BC-A4BF-3020A3DE7C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3103" name="Picture@5C\QPendientes@" descr="@5C\QPendientes@">
          <a:extLst>
            <a:ext uri="{FF2B5EF4-FFF2-40B4-BE49-F238E27FC236}">
              <a16:creationId xmlns:a16="http://schemas.microsoft.com/office/drawing/2014/main" id="{128F7C4D-33C3-428F-AC29-B3247CBF13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3104" name="Picture@5C\QPendientes@" descr="@5C\QPendientes@">
          <a:extLst>
            <a:ext uri="{FF2B5EF4-FFF2-40B4-BE49-F238E27FC236}">
              <a16:creationId xmlns:a16="http://schemas.microsoft.com/office/drawing/2014/main" id="{4C6AEC29-1486-4EAC-8E1B-9356E01AC4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3105" name="Picture@5C\QPendientes@" descr="@5C\QPendientes@">
          <a:extLst>
            <a:ext uri="{FF2B5EF4-FFF2-40B4-BE49-F238E27FC236}">
              <a16:creationId xmlns:a16="http://schemas.microsoft.com/office/drawing/2014/main" id="{A53F5C3C-2720-480B-81F6-417EB4B06B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3106" name="Picture@5C\QPendientes@" descr="@5C\QPendientes@">
          <a:extLst>
            <a:ext uri="{FF2B5EF4-FFF2-40B4-BE49-F238E27FC236}">
              <a16:creationId xmlns:a16="http://schemas.microsoft.com/office/drawing/2014/main" id="{92B244C5-FE51-436B-B3CE-B76344F929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3107" name="Picture@5C\QPendientes@" descr="@5C\QPendientes@">
          <a:extLst>
            <a:ext uri="{FF2B5EF4-FFF2-40B4-BE49-F238E27FC236}">
              <a16:creationId xmlns:a16="http://schemas.microsoft.com/office/drawing/2014/main" id="{C0BD6B0D-5D1D-43E6-804C-421C949E1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3108" name="Picture@5C\QPendientes@" descr="@5C\QPendientes@">
          <a:extLst>
            <a:ext uri="{FF2B5EF4-FFF2-40B4-BE49-F238E27FC236}">
              <a16:creationId xmlns:a16="http://schemas.microsoft.com/office/drawing/2014/main" id="{100DAE8B-403A-413B-8DF6-AC801C242D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3109" name="Picture@5C\QPendientes@" descr="@5C\QPendientes@">
          <a:extLst>
            <a:ext uri="{FF2B5EF4-FFF2-40B4-BE49-F238E27FC236}">
              <a16:creationId xmlns:a16="http://schemas.microsoft.com/office/drawing/2014/main" id="{B0626D39-C159-49D8-B047-6B81B63012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3110" name="Picture@5C\QPendientes@" descr="@5C\QPendientes@">
          <a:extLst>
            <a:ext uri="{FF2B5EF4-FFF2-40B4-BE49-F238E27FC236}">
              <a16:creationId xmlns:a16="http://schemas.microsoft.com/office/drawing/2014/main" id="{2E6F8932-3DD7-4C97-9C11-125B1B61F3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3111" name="Picture@5C\QPendientes@" descr="@5C\QPendientes@">
          <a:extLst>
            <a:ext uri="{FF2B5EF4-FFF2-40B4-BE49-F238E27FC236}">
              <a16:creationId xmlns:a16="http://schemas.microsoft.com/office/drawing/2014/main" id="{30ADF40D-7E38-4BEC-95A0-F21122525C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3112" name="Picture@5C\QPendientes@" descr="@5C\QPendientes@">
          <a:extLst>
            <a:ext uri="{FF2B5EF4-FFF2-40B4-BE49-F238E27FC236}">
              <a16:creationId xmlns:a16="http://schemas.microsoft.com/office/drawing/2014/main" id="{77E14070-5459-4EFB-94E6-5A6276CB15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3113" name="Picture@5C\QPendientes@" descr="@5C\QPendientes@">
          <a:extLst>
            <a:ext uri="{FF2B5EF4-FFF2-40B4-BE49-F238E27FC236}">
              <a16:creationId xmlns:a16="http://schemas.microsoft.com/office/drawing/2014/main" id="{3DD462A2-8A99-4345-8E55-35B3EBE0C4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3114" name="Picture@5C\QPendientes@" descr="@5C\QPendientes@">
          <a:extLst>
            <a:ext uri="{FF2B5EF4-FFF2-40B4-BE49-F238E27FC236}">
              <a16:creationId xmlns:a16="http://schemas.microsoft.com/office/drawing/2014/main" id="{37EC3235-1C00-47AD-A4F2-5A39AD92E2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3115" name="Picture@5C\QPendientes@" descr="@5C\QPendientes@">
          <a:extLst>
            <a:ext uri="{FF2B5EF4-FFF2-40B4-BE49-F238E27FC236}">
              <a16:creationId xmlns:a16="http://schemas.microsoft.com/office/drawing/2014/main" id="{E123C8A9-786D-4C92-934B-DFB9E94E95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3116" name="Picture@5C\QPendientes@" descr="@5C\QPendientes@">
          <a:extLst>
            <a:ext uri="{FF2B5EF4-FFF2-40B4-BE49-F238E27FC236}">
              <a16:creationId xmlns:a16="http://schemas.microsoft.com/office/drawing/2014/main" id="{D4160A2F-351D-4503-8843-3AA6717312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3117" name="Picture@5C\QPendientes@" descr="@5C\QPendientes@">
          <a:extLst>
            <a:ext uri="{FF2B5EF4-FFF2-40B4-BE49-F238E27FC236}">
              <a16:creationId xmlns:a16="http://schemas.microsoft.com/office/drawing/2014/main" id="{B4C223D6-6B61-4BAD-BB87-7E2381D74A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3118" name="Picture@5C\QPendientes@" descr="@5C\QPendientes@">
          <a:extLst>
            <a:ext uri="{FF2B5EF4-FFF2-40B4-BE49-F238E27FC236}">
              <a16:creationId xmlns:a16="http://schemas.microsoft.com/office/drawing/2014/main" id="{B3D57231-F249-4E22-87FB-988686BA2A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3119" name="Picture@5C\QPendientes@" descr="@5C\QPendientes@">
          <a:extLst>
            <a:ext uri="{FF2B5EF4-FFF2-40B4-BE49-F238E27FC236}">
              <a16:creationId xmlns:a16="http://schemas.microsoft.com/office/drawing/2014/main" id="{3614E45A-3955-4114-9D0A-DD27005863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120" name="Picture@5C\QPendientes@" descr="@5C\QPendientes@">
          <a:extLst>
            <a:ext uri="{FF2B5EF4-FFF2-40B4-BE49-F238E27FC236}">
              <a16:creationId xmlns:a16="http://schemas.microsoft.com/office/drawing/2014/main" id="{5E0235FE-B8C9-41EC-9B84-6F84B900A4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121" name="Picture@5C\QPendientes@" descr="@5C\QPendientes@">
          <a:extLst>
            <a:ext uri="{FF2B5EF4-FFF2-40B4-BE49-F238E27FC236}">
              <a16:creationId xmlns:a16="http://schemas.microsoft.com/office/drawing/2014/main" id="{D6EB9C1E-829D-4129-9E6F-216B4F1491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122" name="Picture@5C\QPendientes@" descr="@5C\QPendientes@">
          <a:extLst>
            <a:ext uri="{FF2B5EF4-FFF2-40B4-BE49-F238E27FC236}">
              <a16:creationId xmlns:a16="http://schemas.microsoft.com/office/drawing/2014/main" id="{EA289C63-6D22-4A4F-BFEF-885C179721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123" name="Picture@5C\QPendientes@" descr="@5C\QPendientes@">
          <a:extLst>
            <a:ext uri="{FF2B5EF4-FFF2-40B4-BE49-F238E27FC236}">
              <a16:creationId xmlns:a16="http://schemas.microsoft.com/office/drawing/2014/main" id="{852743AF-3594-4E09-873B-D81B0B473A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3124" name="Picture@5C\QPendientes@" descr="@5C\QPendientes@">
          <a:extLst>
            <a:ext uri="{FF2B5EF4-FFF2-40B4-BE49-F238E27FC236}">
              <a16:creationId xmlns:a16="http://schemas.microsoft.com/office/drawing/2014/main" id="{AB1F52C3-32F7-48F4-B37B-F59EE93B6C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3125" name="Picture@5C\QPendientes@" descr="@5C\QPendientes@">
          <a:extLst>
            <a:ext uri="{FF2B5EF4-FFF2-40B4-BE49-F238E27FC236}">
              <a16:creationId xmlns:a16="http://schemas.microsoft.com/office/drawing/2014/main" id="{EF440AA9-EA19-4764-B3B7-3B60CF5C0A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3126" name="Picture@5C\QPendientes@" descr="@5C\QPendientes@">
          <a:extLst>
            <a:ext uri="{FF2B5EF4-FFF2-40B4-BE49-F238E27FC236}">
              <a16:creationId xmlns:a16="http://schemas.microsoft.com/office/drawing/2014/main" id="{5FFCC5D8-A37F-4282-ABC9-B2E2148AC0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3127" name="Picture@5C\QPendientes@" descr="@5C\QPendientes@">
          <a:extLst>
            <a:ext uri="{FF2B5EF4-FFF2-40B4-BE49-F238E27FC236}">
              <a16:creationId xmlns:a16="http://schemas.microsoft.com/office/drawing/2014/main" id="{B071053F-5A1C-4CA2-BF1C-AA2FE3A9A4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3128" name="Picture@5C\QPendientes@" descr="@5C\QPendientes@">
          <a:extLst>
            <a:ext uri="{FF2B5EF4-FFF2-40B4-BE49-F238E27FC236}">
              <a16:creationId xmlns:a16="http://schemas.microsoft.com/office/drawing/2014/main" id="{D06C3E41-99EA-416C-87F6-E3EFFA2157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3129" name="Picture@5C\QPendientes@" descr="@5C\QPendientes@">
          <a:extLst>
            <a:ext uri="{FF2B5EF4-FFF2-40B4-BE49-F238E27FC236}">
              <a16:creationId xmlns:a16="http://schemas.microsoft.com/office/drawing/2014/main" id="{F33921A6-CFC7-463E-A564-969F156F4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3130" name="Picture@5C\QPendientes@" descr="@5C\QPendientes@">
          <a:extLst>
            <a:ext uri="{FF2B5EF4-FFF2-40B4-BE49-F238E27FC236}">
              <a16:creationId xmlns:a16="http://schemas.microsoft.com/office/drawing/2014/main" id="{E305F564-7900-4DB4-9B04-C25C7F0A38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3131" name="Picture@5C\QPendientes@" descr="@5C\QPendientes@">
          <a:extLst>
            <a:ext uri="{FF2B5EF4-FFF2-40B4-BE49-F238E27FC236}">
              <a16:creationId xmlns:a16="http://schemas.microsoft.com/office/drawing/2014/main" id="{C7A77F76-EE1B-42B0-9EB6-D1EE869175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3132" name="Picture@5C\QPendientes@" descr="@5C\QPendientes@">
          <a:extLst>
            <a:ext uri="{FF2B5EF4-FFF2-40B4-BE49-F238E27FC236}">
              <a16:creationId xmlns:a16="http://schemas.microsoft.com/office/drawing/2014/main" id="{C1FDD354-F073-43B5-A999-58254C5ACA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3133" name="Picture@5C\QPendientes@" descr="@5C\QPendientes@">
          <a:extLst>
            <a:ext uri="{FF2B5EF4-FFF2-40B4-BE49-F238E27FC236}">
              <a16:creationId xmlns:a16="http://schemas.microsoft.com/office/drawing/2014/main" id="{5E7B152D-941F-49BF-A024-09684D3BF2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3134" name="Picture@5C\QPendientes@" descr="@5C\QPendientes@">
          <a:extLst>
            <a:ext uri="{FF2B5EF4-FFF2-40B4-BE49-F238E27FC236}">
              <a16:creationId xmlns:a16="http://schemas.microsoft.com/office/drawing/2014/main" id="{7B2A0863-B64E-45DA-97E7-4FB2E7881F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3135" name="Picture@5C\QPendientes@" descr="@5C\QPendientes@">
          <a:extLst>
            <a:ext uri="{FF2B5EF4-FFF2-40B4-BE49-F238E27FC236}">
              <a16:creationId xmlns:a16="http://schemas.microsoft.com/office/drawing/2014/main" id="{796B33DB-82C2-42F3-9AC4-CDAAFC7B73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2186" name="Picture@5C\QPendientes@" descr="@5C\QPendientes@">
          <a:extLst>
            <a:ext uri="{FF2B5EF4-FFF2-40B4-BE49-F238E27FC236}">
              <a16:creationId xmlns:a16="http://schemas.microsoft.com/office/drawing/2014/main" id="{BD220FE2-0991-423D-825A-51D44DA584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2187" name="Picture@5C\QPendientes@" descr="@5C\QPendientes@">
          <a:extLst>
            <a:ext uri="{FF2B5EF4-FFF2-40B4-BE49-F238E27FC236}">
              <a16:creationId xmlns:a16="http://schemas.microsoft.com/office/drawing/2014/main" id="{D402AF87-BF77-4562-9E66-46A96A22B9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2188" name="Picture@5C\QPendientes@" descr="@5C\QPendientes@">
          <a:extLst>
            <a:ext uri="{FF2B5EF4-FFF2-40B4-BE49-F238E27FC236}">
              <a16:creationId xmlns:a16="http://schemas.microsoft.com/office/drawing/2014/main" id="{830107CE-FE83-4CFE-978B-4D08908FF5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2189" name="Picture@5C\QPendientes@" descr="@5C\QPendientes@">
          <a:extLst>
            <a:ext uri="{FF2B5EF4-FFF2-40B4-BE49-F238E27FC236}">
              <a16:creationId xmlns:a16="http://schemas.microsoft.com/office/drawing/2014/main" id="{3287B257-1706-423B-B5A9-702B298A33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2190" name="Picture@5C\QPendientes@" descr="@5C\QPendientes@">
          <a:extLst>
            <a:ext uri="{FF2B5EF4-FFF2-40B4-BE49-F238E27FC236}">
              <a16:creationId xmlns:a16="http://schemas.microsoft.com/office/drawing/2014/main" id="{BF3764F9-2FBC-41D8-9F1D-9288076381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2191" name="Picture@5C\QPendientes@" descr="@5C\QPendientes@">
          <a:extLst>
            <a:ext uri="{FF2B5EF4-FFF2-40B4-BE49-F238E27FC236}">
              <a16:creationId xmlns:a16="http://schemas.microsoft.com/office/drawing/2014/main" id="{D9AFAB24-CA22-48C8-8AAB-62B5BFFCEB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2192" name="Picture@5C\QPendientes@" descr="@5C\QPendientes@">
          <a:extLst>
            <a:ext uri="{FF2B5EF4-FFF2-40B4-BE49-F238E27FC236}">
              <a16:creationId xmlns:a16="http://schemas.microsoft.com/office/drawing/2014/main" id="{409B6B64-A08C-42E1-9009-A38CB58488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2193" name="Picture@5C\QPendientes@" descr="@5C\QPendientes@">
          <a:extLst>
            <a:ext uri="{FF2B5EF4-FFF2-40B4-BE49-F238E27FC236}">
              <a16:creationId xmlns:a16="http://schemas.microsoft.com/office/drawing/2014/main" id="{5FC7BC8F-23D4-46B7-A92F-EC0CA784D7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2194" name="Picture@5C\QPendientes@" descr="@5C\QPendientes@">
          <a:extLst>
            <a:ext uri="{FF2B5EF4-FFF2-40B4-BE49-F238E27FC236}">
              <a16:creationId xmlns:a16="http://schemas.microsoft.com/office/drawing/2014/main" id="{6E74AD25-4528-4ABC-9DFB-F407F29B48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2195" name="Picture@5C\QPendientes@" descr="@5C\QPendientes@">
          <a:extLst>
            <a:ext uri="{FF2B5EF4-FFF2-40B4-BE49-F238E27FC236}">
              <a16:creationId xmlns:a16="http://schemas.microsoft.com/office/drawing/2014/main" id="{425C435B-210A-47F4-97FE-9AD0E05296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2196" name="Picture@5C\QPendientes@" descr="@5C\QPendientes@">
          <a:extLst>
            <a:ext uri="{FF2B5EF4-FFF2-40B4-BE49-F238E27FC236}">
              <a16:creationId xmlns:a16="http://schemas.microsoft.com/office/drawing/2014/main" id="{95014903-96F1-4816-AF1F-E9D797498C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2197" name="Picture@5C\QPendientes@" descr="@5C\QPendientes@">
          <a:extLst>
            <a:ext uri="{FF2B5EF4-FFF2-40B4-BE49-F238E27FC236}">
              <a16:creationId xmlns:a16="http://schemas.microsoft.com/office/drawing/2014/main" id="{782503D7-C692-448E-8C3F-A44910EC0F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2198" name="Picture@5C\QPendientes@" descr="@5C\QPendientes@">
          <a:extLst>
            <a:ext uri="{FF2B5EF4-FFF2-40B4-BE49-F238E27FC236}">
              <a16:creationId xmlns:a16="http://schemas.microsoft.com/office/drawing/2014/main" id="{ECC19C6F-94C4-423D-995B-2619E4CED7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2199" name="Picture@5C\QPendientes@" descr="@5C\QPendientes@">
          <a:extLst>
            <a:ext uri="{FF2B5EF4-FFF2-40B4-BE49-F238E27FC236}">
              <a16:creationId xmlns:a16="http://schemas.microsoft.com/office/drawing/2014/main" id="{0827DDE5-7780-46F5-AD34-CE82CC5F40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2200" name="Picture@5C\QPendientes@" descr="@5C\QPendientes@">
          <a:extLst>
            <a:ext uri="{FF2B5EF4-FFF2-40B4-BE49-F238E27FC236}">
              <a16:creationId xmlns:a16="http://schemas.microsoft.com/office/drawing/2014/main" id="{86FFB966-75FC-4FF0-BB13-A3C6FAD2FE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2201" name="Picture@5C\QPendientes@" descr="@5C\QPendientes@">
          <a:extLst>
            <a:ext uri="{FF2B5EF4-FFF2-40B4-BE49-F238E27FC236}">
              <a16:creationId xmlns:a16="http://schemas.microsoft.com/office/drawing/2014/main" id="{F1DB2ECB-B7CA-418A-85CB-144FF5C361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2202" name="Picture@5C\QPendientes@" descr="@5C\QPendientes@">
          <a:extLst>
            <a:ext uri="{FF2B5EF4-FFF2-40B4-BE49-F238E27FC236}">
              <a16:creationId xmlns:a16="http://schemas.microsoft.com/office/drawing/2014/main" id="{8878ACFC-E1BE-469E-BD24-C3F6888285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2203" name="Picture@5C\QPendientes@" descr="@5C\QPendientes@">
          <a:extLst>
            <a:ext uri="{FF2B5EF4-FFF2-40B4-BE49-F238E27FC236}">
              <a16:creationId xmlns:a16="http://schemas.microsoft.com/office/drawing/2014/main" id="{935C85A6-06E8-4C00-A9FF-F7D138932C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2204" name="Picture@5C\QPendientes@" descr="@5C\QPendientes@">
          <a:extLst>
            <a:ext uri="{FF2B5EF4-FFF2-40B4-BE49-F238E27FC236}">
              <a16:creationId xmlns:a16="http://schemas.microsoft.com/office/drawing/2014/main" id="{8356AFA1-47BF-4B73-B656-F7BA0D26A9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2205" name="Picture@5C\QPendientes@" descr="@5C\QPendientes@">
          <a:extLst>
            <a:ext uri="{FF2B5EF4-FFF2-40B4-BE49-F238E27FC236}">
              <a16:creationId xmlns:a16="http://schemas.microsoft.com/office/drawing/2014/main" id="{CADCF81F-AB01-4A18-B41C-773C3DF229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2206" name="Picture@5C\QPendientes@" descr="@5C\QPendientes@">
          <a:extLst>
            <a:ext uri="{FF2B5EF4-FFF2-40B4-BE49-F238E27FC236}">
              <a16:creationId xmlns:a16="http://schemas.microsoft.com/office/drawing/2014/main" id="{0DE584EF-A5F8-4C6E-8E45-50BDB9261E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2207" name="Picture@5C\QPendientes@" descr="@5C\QPendientes@">
          <a:extLst>
            <a:ext uri="{FF2B5EF4-FFF2-40B4-BE49-F238E27FC236}">
              <a16:creationId xmlns:a16="http://schemas.microsoft.com/office/drawing/2014/main" id="{031B2168-0814-4743-BE1A-2FD780532C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2208" name="Picture@5C\QPendientes@" descr="@5C\QPendientes@">
          <a:extLst>
            <a:ext uri="{FF2B5EF4-FFF2-40B4-BE49-F238E27FC236}">
              <a16:creationId xmlns:a16="http://schemas.microsoft.com/office/drawing/2014/main" id="{C341B1B1-736E-403A-B534-05030DA78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2209" name="Picture@5C\QPendientes@" descr="@5C\QPendientes@">
          <a:extLst>
            <a:ext uri="{FF2B5EF4-FFF2-40B4-BE49-F238E27FC236}">
              <a16:creationId xmlns:a16="http://schemas.microsoft.com/office/drawing/2014/main" id="{42700836-7162-45DD-99EC-EE54BB44FF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2210" name="Picture@5C\QPendientes@" descr="@5C\QPendientes@">
          <a:extLst>
            <a:ext uri="{FF2B5EF4-FFF2-40B4-BE49-F238E27FC236}">
              <a16:creationId xmlns:a16="http://schemas.microsoft.com/office/drawing/2014/main" id="{C74C0235-C06A-4DEF-B88A-90FB150723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2211" name="Picture@5C\QPendientes@" descr="@5C\QPendientes@">
          <a:extLst>
            <a:ext uri="{FF2B5EF4-FFF2-40B4-BE49-F238E27FC236}">
              <a16:creationId xmlns:a16="http://schemas.microsoft.com/office/drawing/2014/main" id="{5CED3C04-9EEF-4BC0-A465-D4608F785A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2212" name="Picture@5C\QPendientes@" descr="@5C\QPendientes@">
          <a:extLst>
            <a:ext uri="{FF2B5EF4-FFF2-40B4-BE49-F238E27FC236}">
              <a16:creationId xmlns:a16="http://schemas.microsoft.com/office/drawing/2014/main" id="{D40F5D91-DB14-4B16-8932-53C6E8C948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2213" name="Picture@5C\QPendientes@" descr="@5C\QPendientes@">
          <a:extLst>
            <a:ext uri="{FF2B5EF4-FFF2-40B4-BE49-F238E27FC236}">
              <a16:creationId xmlns:a16="http://schemas.microsoft.com/office/drawing/2014/main" id="{38977EC4-7A5D-435E-A383-1A870B36CA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2214" name="Picture@5C\QPendientes@" descr="@5C\QPendientes@">
          <a:extLst>
            <a:ext uri="{FF2B5EF4-FFF2-40B4-BE49-F238E27FC236}">
              <a16:creationId xmlns:a16="http://schemas.microsoft.com/office/drawing/2014/main" id="{8A9FC61B-3819-4887-88D3-A547C3E5C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2215" name="Picture@5C\QPendientes@" descr="@5C\QPendientes@">
          <a:extLst>
            <a:ext uri="{FF2B5EF4-FFF2-40B4-BE49-F238E27FC236}">
              <a16:creationId xmlns:a16="http://schemas.microsoft.com/office/drawing/2014/main" id="{599AD0B9-677E-4817-8D5B-604DEFB01A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2216" name="Picture@5C\QPendientes@" descr="@5C\QPendientes@">
          <a:extLst>
            <a:ext uri="{FF2B5EF4-FFF2-40B4-BE49-F238E27FC236}">
              <a16:creationId xmlns:a16="http://schemas.microsoft.com/office/drawing/2014/main" id="{C675704A-18E8-4297-8B65-F2A149B230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2217" name="Picture@5C\QPendientes@" descr="@5C\QPendientes@">
          <a:extLst>
            <a:ext uri="{FF2B5EF4-FFF2-40B4-BE49-F238E27FC236}">
              <a16:creationId xmlns:a16="http://schemas.microsoft.com/office/drawing/2014/main" id="{74816122-7F6D-45B6-9B9E-91E6146D52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2218" name="Picture@5C\QPendientes@" descr="@5C\QPendientes@">
          <a:extLst>
            <a:ext uri="{FF2B5EF4-FFF2-40B4-BE49-F238E27FC236}">
              <a16:creationId xmlns:a16="http://schemas.microsoft.com/office/drawing/2014/main" id="{038EE1F3-C9A5-42ED-B806-22E1C776B2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2219" name="Picture@5C\QPendientes@" descr="@5C\QPendientes@">
          <a:extLst>
            <a:ext uri="{FF2B5EF4-FFF2-40B4-BE49-F238E27FC236}">
              <a16:creationId xmlns:a16="http://schemas.microsoft.com/office/drawing/2014/main" id="{0F824D32-76A4-476A-B1CA-67846B2081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2220" name="Picture@5C\QPendientes@" descr="@5C\QPendientes@">
          <a:extLst>
            <a:ext uri="{FF2B5EF4-FFF2-40B4-BE49-F238E27FC236}">
              <a16:creationId xmlns:a16="http://schemas.microsoft.com/office/drawing/2014/main" id="{961066A9-CC4A-4417-BA2A-161BDAB0D1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2221" name="Picture@5C\QPendientes@" descr="@5C\QPendientes@">
          <a:extLst>
            <a:ext uri="{FF2B5EF4-FFF2-40B4-BE49-F238E27FC236}">
              <a16:creationId xmlns:a16="http://schemas.microsoft.com/office/drawing/2014/main" id="{35FBFB00-6075-4776-A18B-BA55B44074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2222" name="Picture@5C\QPendientes@" descr="@5C\QPendientes@">
          <a:extLst>
            <a:ext uri="{FF2B5EF4-FFF2-40B4-BE49-F238E27FC236}">
              <a16:creationId xmlns:a16="http://schemas.microsoft.com/office/drawing/2014/main" id="{8AC7D7BA-63E1-43CC-8181-719B57F5C8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2223" name="Picture@5C\QPendientes@" descr="@5C\QPendientes@">
          <a:extLst>
            <a:ext uri="{FF2B5EF4-FFF2-40B4-BE49-F238E27FC236}">
              <a16:creationId xmlns:a16="http://schemas.microsoft.com/office/drawing/2014/main" id="{F256B309-D28D-49CC-9C52-2884768CA6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2224" name="Picture@5C\QPendientes@" descr="@5C\QPendientes@">
          <a:extLst>
            <a:ext uri="{FF2B5EF4-FFF2-40B4-BE49-F238E27FC236}">
              <a16:creationId xmlns:a16="http://schemas.microsoft.com/office/drawing/2014/main" id="{73511128-16E1-4E2D-B32A-680C35F2C4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2225" name="Picture@5C\QPendientes@" descr="@5C\QPendientes@">
          <a:extLst>
            <a:ext uri="{FF2B5EF4-FFF2-40B4-BE49-F238E27FC236}">
              <a16:creationId xmlns:a16="http://schemas.microsoft.com/office/drawing/2014/main" id="{C0F28D02-61DE-4D58-A114-EF01B28CDA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2226" name="Picture@5C\QPendientes@" descr="@5C\QPendientes@">
          <a:extLst>
            <a:ext uri="{FF2B5EF4-FFF2-40B4-BE49-F238E27FC236}">
              <a16:creationId xmlns:a16="http://schemas.microsoft.com/office/drawing/2014/main" id="{39AD7BC4-09DA-43F9-890D-838B6E5A61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2227" name="Picture@5C\QPendientes@" descr="@5C\QPendientes@">
          <a:extLst>
            <a:ext uri="{FF2B5EF4-FFF2-40B4-BE49-F238E27FC236}">
              <a16:creationId xmlns:a16="http://schemas.microsoft.com/office/drawing/2014/main" id="{91883C46-826D-49CC-9061-0251EF4F6C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2228" name="Picture@5C\QPendientes@" descr="@5C\QPendientes@">
          <a:extLst>
            <a:ext uri="{FF2B5EF4-FFF2-40B4-BE49-F238E27FC236}">
              <a16:creationId xmlns:a16="http://schemas.microsoft.com/office/drawing/2014/main" id="{0A9D13F9-5A09-453E-9395-2F411F8BDA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2229" name="Picture@5C\QPendientes@" descr="@5C\QPendientes@">
          <a:extLst>
            <a:ext uri="{FF2B5EF4-FFF2-40B4-BE49-F238E27FC236}">
              <a16:creationId xmlns:a16="http://schemas.microsoft.com/office/drawing/2014/main" id="{CB237D45-68AE-470C-A44D-B2C4623D98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2230" name="Picture@5C\QPendientes@" descr="@5C\QPendientes@">
          <a:extLst>
            <a:ext uri="{FF2B5EF4-FFF2-40B4-BE49-F238E27FC236}">
              <a16:creationId xmlns:a16="http://schemas.microsoft.com/office/drawing/2014/main" id="{27693AC6-A367-4126-BF32-AD50D2BFDD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2231" name="Picture@5C\QPendientes@" descr="@5C\QPendientes@">
          <a:extLst>
            <a:ext uri="{FF2B5EF4-FFF2-40B4-BE49-F238E27FC236}">
              <a16:creationId xmlns:a16="http://schemas.microsoft.com/office/drawing/2014/main" id="{9307F87D-E139-4BB5-9B53-035E030A8B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2232" name="Picture@5C\QPendientes@" descr="@5C\QPendientes@">
          <a:extLst>
            <a:ext uri="{FF2B5EF4-FFF2-40B4-BE49-F238E27FC236}">
              <a16:creationId xmlns:a16="http://schemas.microsoft.com/office/drawing/2014/main" id="{3992E9A8-8CC2-493E-ADBB-B7A948145F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2233" name="Picture@5C\QPendientes@" descr="@5C\QPendientes@">
          <a:extLst>
            <a:ext uri="{FF2B5EF4-FFF2-40B4-BE49-F238E27FC236}">
              <a16:creationId xmlns:a16="http://schemas.microsoft.com/office/drawing/2014/main" id="{A038D987-0671-4BD8-8F65-2026243C5F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2234" name="Picture@5C\QPendientes@" descr="@5C\QPendientes@">
          <a:extLst>
            <a:ext uri="{FF2B5EF4-FFF2-40B4-BE49-F238E27FC236}">
              <a16:creationId xmlns:a16="http://schemas.microsoft.com/office/drawing/2014/main" id="{234423BA-2163-4068-9F27-46DA4A432B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2235" name="Picture@5C\QPendientes@" descr="@5C\QPendientes@">
          <a:extLst>
            <a:ext uri="{FF2B5EF4-FFF2-40B4-BE49-F238E27FC236}">
              <a16:creationId xmlns:a16="http://schemas.microsoft.com/office/drawing/2014/main" id="{4B91EEE8-DFAE-4383-8AC2-735990A6A7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2236" name="Picture@5C\QPendientes@" descr="@5C\QPendientes@">
          <a:extLst>
            <a:ext uri="{FF2B5EF4-FFF2-40B4-BE49-F238E27FC236}">
              <a16:creationId xmlns:a16="http://schemas.microsoft.com/office/drawing/2014/main" id="{6EC367D8-C3B8-427F-8ACF-F2BAC1148D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2237" name="Picture@5C\QPendientes@" descr="@5C\QPendientes@">
          <a:extLst>
            <a:ext uri="{FF2B5EF4-FFF2-40B4-BE49-F238E27FC236}">
              <a16:creationId xmlns:a16="http://schemas.microsoft.com/office/drawing/2014/main" id="{832EE68C-D557-4605-BC45-B1229319C2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2238" name="Picture@5C\QPendientes@" descr="@5C\QPendientes@">
          <a:extLst>
            <a:ext uri="{FF2B5EF4-FFF2-40B4-BE49-F238E27FC236}">
              <a16:creationId xmlns:a16="http://schemas.microsoft.com/office/drawing/2014/main" id="{3494BD89-2400-43F2-A2D2-EBD39FF336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2239" name="Picture@5C\QPendientes@" descr="@5C\QPendientes@">
          <a:extLst>
            <a:ext uri="{FF2B5EF4-FFF2-40B4-BE49-F238E27FC236}">
              <a16:creationId xmlns:a16="http://schemas.microsoft.com/office/drawing/2014/main" id="{DD62ACDC-96CB-44EC-90CD-31E98C61B2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2240" name="Picture@5C\QPendientes@" descr="@5C\QPendientes@">
          <a:extLst>
            <a:ext uri="{FF2B5EF4-FFF2-40B4-BE49-F238E27FC236}">
              <a16:creationId xmlns:a16="http://schemas.microsoft.com/office/drawing/2014/main" id="{2199771A-3361-431C-A375-0E71BD5428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2241" name="Picture@5C\QPendientes@" descr="@5C\QPendientes@">
          <a:extLst>
            <a:ext uri="{FF2B5EF4-FFF2-40B4-BE49-F238E27FC236}">
              <a16:creationId xmlns:a16="http://schemas.microsoft.com/office/drawing/2014/main" id="{0DF75257-0A14-4F9D-9BD5-8E2F969965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2242" name="Picture@5C\QPendientes@" descr="@5C\QPendientes@">
          <a:extLst>
            <a:ext uri="{FF2B5EF4-FFF2-40B4-BE49-F238E27FC236}">
              <a16:creationId xmlns:a16="http://schemas.microsoft.com/office/drawing/2014/main" id="{1133E71F-3561-4E70-A5C7-1E28A0C27D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2243" name="Picture@5C\QPendientes@" descr="@5C\QPendientes@">
          <a:extLst>
            <a:ext uri="{FF2B5EF4-FFF2-40B4-BE49-F238E27FC236}">
              <a16:creationId xmlns:a16="http://schemas.microsoft.com/office/drawing/2014/main" id="{5F243315-2B37-481F-9403-C6E7B45379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2244" name="Picture@5C\QPendientes@" descr="@5C\QPendientes@">
          <a:extLst>
            <a:ext uri="{FF2B5EF4-FFF2-40B4-BE49-F238E27FC236}">
              <a16:creationId xmlns:a16="http://schemas.microsoft.com/office/drawing/2014/main" id="{031DC385-A5F8-482E-8490-891A8CD16F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2245" name="Picture@5C\QPendientes@" descr="@5C\QPendientes@">
          <a:extLst>
            <a:ext uri="{FF2B5EF4-FFF2-40B4-BE49-F238E27FC236}">
              <a16:creationId xmlns:a16="http://schemas.microsoft.com/office/drawing/2014/main" id="{F5570FA4-D227-451C-8789-87CB530656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2246" name="Picture@5C\QPendientes@" descr="@5C\QPendientes@">
          <a:extLst>
            <a:ext uri="{FF2B5EF4-FFF2-40B4-BE49-F238E27FC236}">
              <a16:creationId xmlns:a16="http://schemas.microsoft.com/office/drawing/2014/main" id="{A1BD7314-172D-4F1B-ADC8-303F4A5B40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2247" name="Picture@5C\QPendientes@" descr="@5C\QPendientes@">
          <a:extLst>
            <a:ext uri="{FF2B5EF4-FFF2-40B4-BE49-F238E27FC236}">
              <a16:creationId xmlns:a16="http://schemas.microsoft.com/office/drawing/2014/main" id="{BDBA1D8F-C853-424C-B761-DA899A1918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2248" name="Picture@5C\QPendientes@" descr="@5C\QPendientes@">
          <a:extLst>
            <a:ext uri="{FF2B5EF4-FFF2-40B4-BE49-F238E27FC236}">
              <a16:creationId xmlns:a16="http://schemas.microsoft.com/office/drawing/2014/main" id="{4B1A9DA3-A0BA-4896-8B86-BAFE2D0A95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2249" name="Picture@5C\QPendientes@" descr="@5C\QPendientes@">
          <a:extLst>
            <a:ext uri="{FF2B5EF4-FFF2-40B4-BE49-F238E27FC236}">
              <a16:creationId xmlns:a16="http://schemas.microsoft.com/office/drawing/2014/main" id="{21ED830A-D470-42AE-ABD9-4B30213F01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2250" name="Picture@5C\QPendientes@" descr="@5C\QPendientes@">
          <a:extLst>
            <a:ext uri="{FF2B5EF4-FFF2-40B4-BE49-F238E27FC236}">
              <a16:creationId xmlns:a16="http://schemas.microsoft.com/office/drawing/2014/main" id="{8B8CFF7C-C9B0-4226-AB40-87A49EC38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2251" name="Picture@5C\QPendientes@" descr="@5C\QPendientes@">
          <a:extLst>
            <a:ext uri="{FF2B5EF4-FFF2-40B4-BE49-F238E27FC236}">
              <a16:creationId xmlns:a16="http://schemas.microsoft.com/office/drawing/2014/main" id="{094819F2-ADB6-41AB-ACFC-8B741D1032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2252" name="Picture@5C\QPendientes@" descr="@5C\QPendientes@">
          <a:extLst>
            <a:ext uri="{FF2B5EF4-FFF2-40B4-BE49-F238E27FC236}">
              <a16:creationId xmlns:a16="http://schemas.microsoft.com/office/drawing/2014/main" id="{690900E3-EB50-4267-BB63-71CD8D0DE3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2253" name="Picture@5C\QPendientes@" descr="@5C\QPendientes@">
          <a:extLst>
            <a:ext uri="{FF2B5EF4-FFF2-40B4-BE49-F238E27FC236}">
              <a16:creationId xmlns:a16="http://schemas.microsoft.com/office/drawing/2014/main" id="{41A584C8-3285-4EF9-B133-85F3A567E9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2254" name="Picture@5C\QPendientes@" descr="@5C\QPendientes@">
          <a:extLst>
            <a:ext uri="{FF2B5EF4-FFF2-40B4-BE49-F238E27FC236}">
              <a16:creationId xmlns:a16="http://schemas.microsoft.com/office/drawing/2014/main" id="{7C15FF9A-6497-4B0D-8DC2-0DC5994EBE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2255" name="Picture@5C\QPendientes@" descr="@5C\QPendientes@">
          <a:extLst>
            <a:ext uri="{FF2B5EF4-FFF2-40B4-BE49-F238E27FC236}">
              <a16:creationId xmlns:a16="http://schemas.microsoft.com/office/drawing/2014/main" id="{30D5B390-4079-4D76-8466-90255811B7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2256" name="Picture@5C\QPendientes@" descr="@5C\QPendientes@">
          <a:extLst>
            <a:ext uri="{FF2B5EF4-FFF2-40B4-BE49-F238E27FC236}">
              <a16:creationId xmlns:a16="http://schemas.microsoft.com/office/drawing/2014/main" id="{78D2567C-3DE5-4FDB-B87A-77B3079693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2257" name="Picture@5C\QPendientes@" descr="@5C\QPendientes@">
          <a:extLst>
            <a:ext uri="{FF2B5EF4-FFF2-40B4-BE49-F238E27FC236}">
              <a16:creationId xmlns:a16="http://schemas.microsoft.com/office/drawing/2014/main" id="{62BF8A42-163E-4D44-9BE6-7D25984B56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2258" name="Picture@5C\QPendientes@" descr="@5C\QPendientes@">
          <a:extLst>
            <a:ext uri="{FF2B5EF4-FFF2-40B4-BE49-F238E27FC236}">
              <a16:creationId xmlns:a16="http://schemas.microsoft.com/office/drawing/2014/main" id="{F10A5604-1A30-422E-A12F-293B0F6B72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2259" name="Picture@5C\QPendientes@" descr="@5C\QPendientes@">
          <a:extLst>
            <a:ext uri="{FF2B5EF4-FFF2-40B4-BE49-F238E27FC236}">
              <a16:creationId xmlns:a16="http://schemas.microsoft.com/office/drawing/2014/main" id="{BA87E9C5-1AC5-46F1-AA69-5292840F08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2260" name="Picture@5C\QPendientes@" descr="@5C\QPendientes@">
          <a:extLst>
            <a:ext uri="{FF2B5EF4-FFF2-40B4-BE49-F238E27FC236}">
              <a16:creationId xmlns:a16="http://schemas.microsoft.com/office/drawing/2014/main" id="{B4D4FC5B-5173-45E7-9FCA-10281C4416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2261" name="Picture@5C\QPendientes@" descr="@5C\QPendientes@">
          <a:extLst>
            <a:ext uri="{FF2B5EF4-FFF2-40B4-BE49-F238E27FC236}">
              <a16:creationId xmlns:a16="http://schemas.microsoft.com/office/drawing/2014/main" id="{0C71E439-9E35-4159-B0D3-145C8AF712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2262" name="Picture@5C\QPendientes@" descr="@5C\QPendientes@">
          <a:extLst>
            <a:ext uri="{FF2B5EF4-FFF2-40B4-BE49-F238E27FC236}">
              <a16:creationId xmlns:a16="http://schemas.microsoft.com/office/drawing/2014/main" id="{72CC8FF2-F64B-4250-9613-FCA1F667FE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2263" name="Picture@5C\QPendientes@" descr="@5C\QPendientes@">
          <a:extLst>
            <a:ext uri="{FF2B5EF4-FFF2-40B4-BE49-F238E27FC236}">
              <a16:creationId xmlns:a16="http://schemas.microsoft.com/office/drawing/2014/main" id="{66946EBC-1A9B-42B3-BA74-CD8A7AAEAC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2264" name="Picture@5C\QPendientes@" descr="@5C\QPendientes@">
          <a:extLst>
            <a:ext uri="{FF2B5EF4-FFF2-40B4-BE49-F238E27FC236}">
              <a16:creationId xmlns:a16="http://schemas.microsoft.com/office/drawing/2014/main" id="{3D6E5C92-3624-4F31-AA52-A494624BCE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2265" name="Picture@5C\QPendientes@" descr="@5C\QPendientes@">
          <a:extLst>
            <a:ext uri="{FF2B5EF4-FFF2-40B4-BE49-F238E27FC236}">
              <a16:creationId xmlns:a16="http://schemas.microsoft.com/office/drawing/2014/main" id="{E81AD2FC-0047-42E1-A084-FA14B28796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2266" name="Picture@5C\QPendientes@" descr="@5C\QPendientes@">
          <a:extLst>
            <a:ext uri="{FF2B5EF4-FFF2-40B4-BE49-F238E27FC236}">
              <a16:creationId xmlns:a16="http://schemas.microsoft.com/office/drawing/2014/main" id="{59590A5B-EC9E-4915-A4DC-0EE5F4896C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2267" name="Picture@5C\QPendientes@" descr="@5C\QPendientes@">
          <a:extLst>
            <a:ext uri="{FF2B5EF4-FFF2-40B4-BE49-F238E27FC236}">
              <a16:creationId xmlns:a16="http://schemas.microsoft.com/office/drawing/2014/main" id="{5BE16BC6-E617-4CDE-AC5C-9F5B403CB1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2268" name="Picture@5C\QPendientes@" descr="@5C\QPendientes@">
          <a:extLst>
            <a:ext uri="{FF2B5EF4-FFF2-40B4-BE49-F238E27FC236}">
              <a16:creationId xmlns:a16="http://schemas.microsoft.com/office/drawing/2014/main" id="{EB1B724A-72BC-4F80-BB2C-5381C28EA9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2269" name="Picture@5C\QPendientes@" descr="@5C\QPendientes@">
          <a:extLst>
            <a:ext uri="{FF2B5EF4-FFF2-40B4-BE49-F238E27FC236}">
              <a16:creationId xmlns:a16="http://schemas.microsoft.com/office/drawing/2014/main" id="{294A94D5-C143-41C7-A306-CDCE639FE3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2270" name="Picture@5C\QPendientes@" descr="@5C\QPendientes@">
          <a:extLst>
            <a:ext uri="{FF2B5EF4-FFF2-40B4-BE49-F238E27FC236}">
              <a16:creationId xmlns:a16="http://schemas.microsoft.com/office/drawing/2014/main" id="{601D4716-18FA-4781-B769-2DE6BE3F85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2271" name="Picture@5C\QPendientes@" descr="@5C\QPendientes@">
          <a:extLst>
            <a:ext uri="{FF2B5EF4-FFF2-40B4-BE49-F238E27FC236}">
              <a16:creationId xmlns:a16="http://schemas.microsoft.com/office/drawing/2014/main" id="{6DEE0E85-AEDE-4A17-A57E-52F1B3EFA2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2272" name="Picture@5C\QPendientes@" descr="@5C\QPendientes@">
          <a:extLst>
            <a:ext uri="{FF2B5EF4-FFF2-40B4-BE49-F238E27FC236}">
              <a16:creationId xmlns:a16="http://schemas.microsoft.com/office/drawing/2014/main" id="{C1A6A207-85C0-43CC-B7F6-447C5C6A26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2273" name="Picture@5C\QPendientes@" descr="@5C\QPendientes@">
          <a:extLst>
            <a:ext uri="{FF2B5EF4-FFF2-40B4-BE49-F238E27FC236}">
              <a16:creationId xmlns:a16="http://schemas.microsoft.com/office/drawing/2014/main" id="{CECC9B31-5F6E-4357-A8CB-CE031066FE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2274" name="Picture@5C\QPendientes@" descr="@5C\QPendientes@">
          <a:extLst>
            <a:ext uri="{FF2B5EF4-FFF2-40B4-BE49-F238E27FC236}">
              <a16:creationId xmlns:a16="http://schemas.microsoft.com/office/drawing/2014/main" id="{11C0EC57-DAED-4B6E-9731-028F672DF0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2275" name="Picture@5C\QPendientes@" descr="@5C\QPendientes@">
          <a:extLst>
            <a:ext uri="{FF2B5EF4-FFF2-40B4-BE49-F238E27FC236}">
              <a16:creationId xmlns:a16="http://schemas.microsoft.com/office/drawing/2014/main" id="{EB521AF0-E086-42A4-B6C8-7017792574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2276" name="Picture@5C\QPendientes@" descr="@5C\QPendientes@">
          <a:extLst>
            <a:ext uri="{FF2B5EF4-FFF2-40B4-BE49-F238E27FC236}">
              <a16:creationId xmlns:a16="http://schemas.microsoft.com/office/drawing/2014/main" id="{BB1B6CDA-FE9E-46EA-A309-B2A96C49D0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2277" name="Picture@5C\QPendientes@" descr="@5C\QPendientes@">
          <a:extLst>
            <a:ext uri="{FF2B5EF4-FFF2-40B4-BE49-F238E27FC236}">
              <a16:creationId xmlns:a16="http://schemas.microsoft.com/office/drawing/2014/main" id="{D2B79407-8D92-41D9-9EA8-F5CAF10B3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2278" name="Picture@5C\QPendientes@" descr="@5C\QPendientes@">
          <a:extLst>
            <a:ext uri="{FF2B5EF4-FFF2-40B4-BE49-F238E27FC236}">
              <a16:creationId xmlns:a16="http://schemas.microsoft.com/office/drawing/2014/main" id="{608ADC94-97EE-44A4-8DB8-0714F33416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2279" name="Picture@5C\QPendientes@" descr="@5C\QPendientes@">
          <a:extLst>
            <a:ext uri="{FF2B5EF4-FFF2-40B4-BE49-F238E27FC236}">
              <a16:creationId xmlns:a16="http://schemas.microsoft.com/office/drawing/2014/main" id="{230936A3-7DDE-48CB-B441-5E33CE37B3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2280" name="Picture@5C\QPendientes@" descr="@5C\QPendientes@">
          <a:extLst>
            <a:ext uri="{FF2B5EF4-FFF2-40B4-BE49-F238E27FC236}">
              <a16:creationId xmlns:a16="http://schemas.microsoft.com/office/drawing/2014/main" id="{12534CB3-0C3F-43E5-8659-42E4F2DB4F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2281" name="Picture@5C\QPendientes@" descr="@5C\QPendientes@">
          <a:extLst>
            <a:ext uri="{FF2B5EF4-FFF2-40B4-BE49-F238E27FC236}">
              <a16:creationId xmlns:a16="http://schemas.microsoft.com/office/drawing/2014/main" id="{6A2EB3D1-2988-4688-89E0-C646BE89C2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2282" name="Picture@5C\QPendientes@" descr="@5C\QPendientes@">
          <a:extLst>
            <a:ext uri="{FF2B5EF4-FFF2-40B4-BE49-F238E27FC236}">
              <a16:creationId xmlns:a16="http://schemas.microsoft.com/office/drawing/2014/main" id="{6D870716-333A-4256-9BF7-74050C2217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2283" name="Picture@5C\QPendientes@" descr="@5C\QPendientes@">
          <a:extLst>
            <a:ext uri="{FF2B5EF4-FFF2-40B4-BE49-F238E27FC236}">
              <a16:creationId xmlns:a16="http://schemas.microsoft.com/office/drawing/2014/main" id="{EEAFE6BB-E47C-4AA0-898B-42053B29B7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2284" name="Picture@5C\QPendientes@" descr="@5C\QPendientes@">
          <a:extLst>
            <a:ext uri="{FF2B5EF4-FFF2-40B4-BE49-F238E27FC236}">
              <a16:creationId xmlns:a16="http://schemas.microsoft.com/office/drawing/2014/main" id="{2D31F4AC-2E71-4E1C-B465-60E5B66C86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2285" name="Picture@5C\QPendientes@" descr="@5C\QPendientes@">
          <a:extLst>
            <a:ext uri="{FF2B5EF4-FFF2-40B4-BE49-F238E27FC236}">
              <a16:creationId xmlns:a16="http://schemas.microsoft.com/office/drawing/2014/main" id="{B809D87A-5132-4CC0-99C6-ED947E2D0D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2286" name="Picture@5C\QPendientes@" descr="@5C\QPendientes@">
          <a:extLst>
            <a:ext uri="{FF2B5EF4-FFF2-40B4-BE49-F238E27FC236}">
              <a16:creationId xmlns:a16="http://schemas.microsoft.com/office/drawing/2014/main" id="{8431C5B8-BA0E-4C6F-9F0F-5955F7A578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2287" name="Picture@5C\QPendientes@" descr="@5C\QPendientes@">
          <a:extLst>
            <a:ext uri="{FF2B5EF4-FFF2-40B4-BE49-F238E27FC236}">
              <a16:creationId xmlns:a16="http://schemas.microsoft.com/office/drawing/2014/main" id="{905A479A-9F9A-46C7-AB3B-EB15D55CFE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2288" name="Picture@5C\QPendientes@" descr="@5C\QPendientes@">
          <a:extLst>
            <a:ext uri="{FF2B5EF4-FFF2-40B4-BE49-F238E27FC236}">
              <a16:creationId xmlns:a16="http://schemas.microsoft.com/office/drawing/2014/main" id="{90B3B2FE-20A3-4678-9C6F-CC701AD592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2289" name="Picture@5C\QPendientes@" descr="@5C\QPendientes@">
          <a:extLst>
            <a:ext uri="{FF2B5EF4-FFF2-40B4-BE49-F238E27FC236}">
              <a16:creationId xmlns:a16="http://schemas.microsoft.com/office/drawing/2014/main" id="{8622C59C-8DD6-44E8-9472-3CCA550EA0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2290" name="Picture@5C\QPendientes@" descr="@5C\QPendientes@">
          <a:extLst>
            <a:ext uri="{FF2B5EF4-FFF2-40B4-BE49-F238E27FC236}">
              <a16:creationId xmlns:a16="http://schemas.microsoft.com/office/drawing/2014/main" id="{0D51230A-E4EA-4812-A3C2-B35824A4BE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2291" name="Picture@5C\QPendientes@" descr="@5C\QPendientes@">
          <a:extLst>
            <a:ext uri="{FF2B5EF4-FFF2-40B4-BE49-F238E27FC236}">
              <a16:creationId xmlns:a16="http://schemas.microsoft.com/office/drawing/2014/main" id="{C7748F2E-2068-4BF3-9F1F-90DABA3DB3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3136" name="Picture@5C\QPendientes@" descr="@5C\QPendientes@">
          <a:extLst>
            <a:ext uri="{FF2B5EF4-FFF2-40B4-BE49-F238E27FC236}">
              <a16:creationId xmlns:a16="http://schemas.microsoft.com/office/drawing/2014/main" id="{39499F04-84B1-4FA1-A411-FC849FC1EC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3137" name="Picture@5C\QPendientes@" descr="@5C\QPendientes@">
          <a:extLst>
            <a:ext uri="{FF2B5EF4-FFF2-40B4-BE49-F238E27FC236}">
              <a16:creationId xmlns:a16="http://schemas.microsoft.com/office/drawing/2014/main" id="{89355E34-CDB8-4C79-9FE1-92A0F450A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3138" name="Picture@5C\QPendientes@" descr="@5C\QPendientes@">
          <a:extLst>
            <a:ext uri="{FF2B5EF4-FFF2-40B4-BE49-F238E27FC236}">
              <a16:creationId xmlns:a16="http://schemas.microsoft.com/office/drawing/2014/main" id="{B0ECA8B7-B55B-499F-99AF-908EFBB2A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3139" name="Picture@5C\QPendientes@" descr="@5C\QPendientes@">
          <a:extLst>
            <a:ext uri="{FF2B5EF4-FFF2-40B4-BE49-F238E27FC236}">
              <a16:creationId xmlns:a16="http://schemas.microsoft.com/office/drawing/2014/main" id="{784159C3-1EC1-44A5-82EF-E7AC0B10B1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3140" name="Picture@5C\QPendientes@" descr="@5C\QPendientes@">
          <a:extLst>
            <a:ext uri="{FF2B5EF4-FFF2-40B4-BE49-F238E27FC236}">
              <a16:creationId xmlns:a16="http://schemas.microsoft.com/office/drawing/2014/main" id="{FBE26075-9BD8-4378-AEB3-7C91AA31A6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3141" name="Picture@5C\QPendientes@" descr="@5C\QPendientes@">
          <a:extLst>
            <a:ext uri="{FF2B5EF4-FFF2-40B4-BE49-F238E27FC236}">
              <a16:creationId xmlns:a16="http://schemas.microsoft.com/office/drawing/2014/main" id="{8061C51A-319E-4B74-A9B5-F6C0B049B1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3142" name="Picture@5C\QPendientes@" descr="@5C\QPendientes@">
          <a:extLst>
            <a:ext uri="{FF2B5EF4-FFF2-40B4-BE49-F238E27FC236}">
              <a16:creationId xmlns:a16="http://schemas.microsoft.com/office/drawing/2014/main" id="{3B2A80AA-1530-4B6D-806B-6FB1D6EC13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3143" name="Picture@5C\QPendientes@" descr="@5C\QPendientes@">
          <a:extLst>
            <a:ext uri="{FF2B5EF4-FFF2-40B4-BE49-F238E27FC236}">
              <a16:creationId xmlns:a16="http://schemas.microsoft.com/office/drawing/2014/main" id="{900B2BCA-118B-4AFC-B2C7-AD31BF681F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3144" name="Picture@5C\QPendientes@" descr="@5C\QPendientes@">
          <a:extLst>
            <a:ext uri="{FF2B5EF4-FFF2-40B4-BE49-F238E27FC236}">
              <a16:creationId xmlns:a16="http://schemas.microsoft.com/office/drawing/2014/main" id="{DF421D21-09B5-462B-8B9F-9FFE89D6AC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3145" name="Picture@5C\QPendientes@" descr="@5C\QPendientes@">
          <a:extLst>
            <a:ext uri="{FF2B5EF4-FFF2-40B4-BE49-F238E27FC236}">
              <a16:creationId xmlns:a16="http://schemas.microsoft.com/office/drawing/2014/main" id="{31B3BCFE-51D2-43A9-B860-CEF0901AAD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3146" name="Picture@5C\QPendientes@" descr="@5C\QPendientes@">
          <a:extLst>
            <a:ext uri="{FF2B5EF4-FFF2-40B4-BE49-F238E27FC236}">
              <a16:creationId xmlns:a16="http://schemas.microsoft.com/office/drawing/2014/main" id="{6D9227E9-F85D-4E21-B1E5-608A2F87E0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3147" name="Picture@5C\QPendientes@" descr="@5C\QPendientes@">
          <a:extLst>
            <a:ext uri="{FF2B5EF4-FFF2-40B4-BE49-F238E27FC236}">
              <a16:creationId xmlns:a16="http://schemas.microsoft.com/office/drawing/2014/main" id="{DF6E95FF-636D-44EB-8DBC-E0B67D7D70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3148" name="Picture@5C\QPendientes@" descr="@5C\QPendientes@">
          <a:extLst>
            <a:ext uri="{FF2B5EF4-FFF2-40B4-BE49-F238E27FC236}">
              <a16:creationId xmlns:a16="http://schemas.microsoft.com/office/drawing/2014/main" id="{8FFAEEC1-EAD1-417F-BABF-F16B278FD1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3149" name="Picture@5C\QPendientes@" descr="@5C\QPendientes@">
          <a:extLst>
            <a:ext uri="{FF2B5EF4-FFF2-40B4-BE49-F238E27FC236}">
              <a16:creationId xmlns:a16="http://schemas.microsoft.com/office/drawing/2014/main" id="{2952FFDA-3C0B-4CFC-93B6-49EC623451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3150" name="Picture@5C\QPendientes@" descr="@5C\QPendientes@">
          <a:extLst>
            <a:ext uri="{FF2B5EF4-FFF2-40B4-BE49-F238E27FC236}">
              <a16:creationId xmlns:a16="http://schemas.microsoft.com/office/drawing/2014/main" id="{9570AA99-2EB9-4B4A-83BF-0507F884B5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3151" name="Picture@5C\QPendientes@" descr="@5C\QPendientes@">
          <a:extLst>
            <a:ext uri="{FF2B5EF4-FFF2-40B4-BE49-F238E27FC236}">
              <a16:creationId xmlns:a16="http://schemas.microsoft.com/office/drawing/2014/main" id="{DA130603-F772-4B80-A269-398BA382F8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3152" name="Picture@5C\QPendientes@" descr="@5C\QPendientes@">
          <a:extLst>
            <a:ext uri="{FF2B5EF4-FFF2-40B4-BE49-F238E27FC236}">
              <a16:creationId xmlns:a16="http://schemas.microsoft.com/office/drawing/2014/main" id="{F881785B-DF50-40B8-9855-649FD46BCE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3153" name="Picture@5C\QPendientes@" descr="@5C\QPendientes@">
          <a:extLst>
            <a:ext uri="{FF2B5EF4-FFF2-40B4-BE49-F238E27FC236}">
              <a16:creationId xmlns:a16="http://schemas.microsoft.com/office/drawing/2014/main" id="{F3A839BB-EA92-47D4-8C25-23A67BFF0A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3154" name="Picture@5C\QPendientes@" descr="@5C\QPendientes@">
          <a:extLst>
            <a:ext uri="{FF2B5EF4-FFF2-40B4-BE49-F238E27FC236}">
              <a16:creationId xmlns:a16="http://schemas.microsoft.com/office/drawing/2014/main" id="{F90909C5-3E9C-4942-991A-6E7E42890E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3155" name="Picture@5C\QPendientes@" descr="@5C\QPendientes@">
          <a:extLst>
            <a:ext uri="{FF2B5EF4-FFF2-40B4-BE49-F238E27FC236}">
              <a16:creationId xmlns:a16="http://schemas.microsoft.com/office/drawing/2014/main" id="{FFA9B7D9-EE99-454B-A0BD-AF84DEFD4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3156" name="Picture@5C\QPendientes@" descr="@5C\QPendientes@">
          <a:extLst>
            <a:ext uri="{FF2B5EF4-FFF2-40B4-BE49-F238E27FC236}">
              <a16:creationId xmlns:a16="http://schemas.microsoft.com/office/drawing/2014/main" id="{06CD3A87-424D-412F-AD7F-AD8DA14BDB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3157" name="Picture@5C\QPendientes@" descr="@5C\QPendientes@">
          <a:extLst>
            <a:ext uri="{FF2B5EF4-FFF2-40B4-BE49-F238E27FC236}">
              <a16:creationId xmlns:a16="http://schemas.microsoft.com/office/drawing/2014/main" id="{7870136A-5B8D-4A19-A8D3-A94443639D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3158" name="Picture@5C\QPendientes@" descr="@5C\QPendientes@">
          <a:extLst>
            <a:ext uri="{FF2B5EF4-FFF2-40B4-BE49-F238E27FC236}">
              <a16:creationId xmlns:a16="http://schemas.microsoft.com/office/drawing/2014/main" id="{8FE7A3E8-F296-470B-A948-BE9EB6AD37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3159" name="Picture@5C\QPendientes@" descr="@5C\QPendientes@">
          <a:extLst>
            <a:ext uri="{FF2B5EF4-FFF2-40B4-BE49-F238E27FC236}">
              <a16:creationId xmlns:a16="http://schemas.microsoft.com/office/drawing/2014/main" id="{54C205F9-8CB9-4802-B887-CBCE0C6FC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3160" name="Picture@5C\QPendientes@" descr="@5C\QPendientes@">
          <a:extLst>
            <a:ext uri="{FF2B5EF4-FFF2-40B4-BE49-F238E27FC236}">
              <a16:creationId xmlns:a16="http://schemas.microsoft.com/office/drawing/2014/main" id="{88172E22-FCB4-4153-AB76-B8CAFA16EF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3161" name="Picture@5C\QPendientes@" descr="@5C\QPendientes@">
          <a:extLst>
            <a:ext uri="{FF2B5EF4-FFF2-40B4-BE49-F238E27FC236}">
              <a16:creationId xmlns:a16="http://schemas.microsoft.com/office/drawing/2014/main" id="{74A3F3A8-0C45-4E72-9BEF-3EA6B55340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3162" name="Picture@5C\QPendientes@" descr="@5C\QPendientes@">
          <a:extLst>
            <a:ext uri="{FF2B5EF4-FFF2-40B4-BE49-F238E27FC236}">
              <a16:creationId xmlns:a16="http://schemas.microsoft.com/office/drawing/2014/main" id="{AFD8FAA2-0B99-4347-8738-7A6002EA00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3163" name="Picture@5C\QPendientes@" descr="@5C\QPendientes@">
          <a:extLst>
            <a:ext uri="{FF2B5EF4-FFF2-40B4-BE49-F238E27FC236}">
              <a16:creationId xmlns:a16="http://schemas.microsoft.com/office/drawing/2014/main" id="{87F41B21-2AF1-4AD8-8CD4-52916D13B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3164" name="Picture@5C\QPendientes@" descr="@5C\QPendientes@">
          <a:extLst>
            <a:ext uri="{FF2B5EF4-FFF2-40B4-BE49-F238E27FC236}">
              <a16:creationId xmlns:a16="http://schemas.microsoft.com/office/drawing/2014/main" id="{4BE15E4C-2DAB-4114-894E-FF296FE335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3165" name="Picture@5C\QPendientes@" descr="@5C\QPendientes@">
          <a:extLst>
            <a:ext uri="{FF2B5EF4-FFF2-40B4-BE49-F238E27FC236}">
              <a16:creationId xmlns:a16="http://schemas.microsoft.com/office/drawing/2014/main" id="{4BC74E6A-51AF-45D2-86F8-F98E5A78A8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3166" name="Picture@5C\QPendientes@" descr="@5C\QPendientes@">
          <a:extLst>
            <a:ext uri="{FF2B5EF4-FFF2-40B4-BE49-F238E27FC236}">
              <a16:creationId xmlns:a16="http://schemas.microsoft.com/office/drawing/2014/main" id="{60ECDC2B-60DC-4D68-B4D7-3B0C36706D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3167" name="Picture@5C\QPendientes@" descr="@5C\QPendientes@">
          <a:extLst>
            <a:ext uri="{FF2B5EF4-FFF2-40B4-BE49-F238E27FC236}">
              <a16:creationId xmlns:a16="http://schemas.microsoft.com/office/drawing/2014/main" id="{11B28C22-5C6A-43FC-835F-86D407F34A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3168" name="Picture@5C\QPendientes@" descr="@5C\QPendientes@">
          <a:extLst>
            <a:ext uri="{FF2B5EF4-FFF2-40B4-BE49-F238E27FC236}">
              <a16:creationId xmlns:a16="http://schemas.microsoft.com/office/drawing/2014/main" id="{45D4DEB4-EF98-4611-94F2-99FC2673C9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3169" name="Picture@5C\QPendientes@" descr="@5C\QPendientes@">
          <a:extLst>
            <a:ext uri="{FF2B5EF4-FFF2-40B4-BE49-F238E27FC236}">
              <a16:creationId xmlns:a16="http://schemas.microsoft.com/office/drawing/2014/main" id="{1973F79D-6C27-4C95-A6CD-E804B75868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3170" name="Picture@5C\QPendientes@" descr="@5C\QPendientes@">
          <a:extLst>
            <a:ext uri="{FF2B5EF4-FFF2-40B4-BE49-F238E27FC236}">
              <a16:creationId xmlns:a16="http://schemas.microsoft.com/office/drawing/2014/main" id="{389F991B-1B2B-4EA9-84AE-6D47764EE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3171" name="Picture@5C\QPendientes@" descr="@5C\QPendientes@">
          <a:extLst>
            <a:ext uri="{FF2B5EF4-FFF2-40B4-BE49-F238E27FC236}">
              <a16:creationId xmlns:a16="http://schemas.microsoft.com/office/drawing/2014/main" id="{D8D679E4-619E-41C0-823D-CD9A8FB164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3172" name="Picture@5C\QPendientes@" descr="@5C\QPendientes@">
          <a:extLst>
            <a:ext uri="{FF2B5EF4-FFF2-40B4-BE49-F238E27FC236}">
              <a16:creationId xmlns:a16="http://schemas.microsoft.com/office/drawing/2014/main" id="{D503C739-7EDA-4A03-B5E1-93B8775291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3173" name="Picture@5C\QPendientes@" descr="@5C\QPendientes@">
          <a:extLst>
            <a:ext uri="{FF2B5EF4-FFF2-40B4-BE49-F238E27FC236}">
              <a16:creationId xmlns:a16="http://schemas.microsoft.com/office/drawing/2014/main" id="{648810E3-A989-4497-BA85-2C3A18A0BA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3174" name="Picture@5C\QPendientes@" descr="@5C\QPendientes@">
          <a:extLst>
            <a:ext uri="{FF2B5EF4-FFF2-40B4-BE49-F238E27FC236}">
              <a16:creationId xmlns:a16="http://schemas.microsoft.com/office/drawing/2014/main" id="{00BDE8F5-8659-49D1-8502-731A4CB0E8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3175" name="Picture@5C\QPendientes@" descr="@5C\QPendientes@">
          <a:extLst>
            <a:ext uri="{FF2B5EF4-FFF2-40B4-BE49-F238E27FC236}">
              <a16:creationId xmlns:a16="http://schemas.microsoft.com/office/drawing/2014/main" id="{E08F07B2-51E3-49DB-ADC8-042892976B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3176" name="Picture@5C\QPendientes@" descr="@5C\QPendientes@">
          <a:extLst>
            <a:ext uri="{FF2B5EF4-FFF2-40B4-BE49-F238E27FC236}">
              <a16:creationId xmlns:a16="http://schemas.microsoft.com/office/drawing/2014/main" id="{ACA8DCD6-D02B-48D0-89CF-70B3F63FDA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3177" name="Picture@5C\QPendientes@" descr="@5C\QPendientes@">
          <a:extLst>
            <a:ext uri="{FF2B5EF4-FFF2-40B4-BE49-F238E27FC236}">
              <a16:creationId xmlns:a16="http://schemas.microsoft.com/office/drawing/2014/main" id="{17DCF207-2CFF-40D1-8173-63F8CBC788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3178" name="Picture@5C\QPendientes@" descr="@5C\QPendientes@">
          <a:extLst>
            <a:ext uri="{FF2B5EF4-FFF2-40B4-BE49-F238E27FC236}">
              <a16:creationId xmlns:a16="http://schemas.microsoft.com/office/drawing/2014/main" id="{173DB746-C401-4012-B317-C935DE2AE0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3179" name="Picture@5C\QPendientes@" descr="@5C\QPendientes@">
          <a:extLst>
            <a:ext uri="{FF2B5EF4-FFF2-40B4-BE49-F238E27FC236}">
              <a16:creationId xmlns:a16="http://schemas.microsoft.com/office/drawing/2014/main" id="{8D97ED94-EE3B-4233-8E55-A2AB1A6C63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3180" name="Picture@5C\QPendientes@" descr="@5C\QPendientes@">
          <a:extLst>
            <a:ext uri="{FF2B5EF4-FFF2-40B4-BE49-F238E27FC236}">
              <a16:creationId xmlns:a16="http://schemas.microsoft.com/office/drawing/2014/main" id="{63E5D724-B81A-470B-8D8F-460A4162F9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3181" name="Picture@5C\QPendientes@" descr="@5C\QPendientes@">
          <a:extLst>
            <a:ext uri="{FF2B5EF4-FFF2-40B4-BE49-F238E27FC236}">
              <a16:creationId xmlns:a16="http://schemas.microsoft.com/office/drawing/2014/main" id="{87633E59-AB63-4487-9A96-0685803799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3182" name="Picture@5C\QPendientes@" descr="@5C\QPendientes@">
          <a:extLst>
            <a:ext uri="{FF2B5EF4-FFF2-40B4-BE49-F238E27FC236}">
              <a16:creationId xmlns:a16="http://schemas.microsoft.com/office/drawing/2014/main" id="{C0617F5E-AF98-49E4-84B1-C60F05A579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3183" name="Picture@5C\QPendientes@" descr="@5C\QPendientes@">
          <a:extLst>
            <a:ext uri="{FF2B5EF4-FFF2-40B4-BE49-F238E27FC236}">
              <a16:creationId xmlns:a16="http://schemas.microsoft.com/office/drawing/2014/main" id="{F7CC7C7B-3998-4309-AB99-091C43DC04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3184" name="Picture@5C\QPendientes@" descr="@5C\QPendientes@">
          <a:extLst>
            <a:ext uri="{FF2B5EF4-FFF2-40B4-BE49-F238E27FC236}">
              <a16:creationId xmlns:a16="http://schemas.microsoft.com/office/drawing/2014/main" id="{A3E991AD-6F45-4835-BCC8-1D71C9CD6D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3185" name="Picture@5C\QPendientes@" descr="@5C\QPendientes@">
          <a:extLst>
            <a:ext uri="{FF2B5EF4-FFF2-40B4-BE49-F238E27FC236}">
              <a16:creationId xmlns:a16="http://schemas.microsoft.com/office/drawing/2014/main" id="{72081226-87B9-4A82-A50A-BA75E085D3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3186" name="Picture@5C\QPendientes@" descr="@5C\QPendientes@">
          <a:extLst>
            <a:ext uri="{FF2B5EF4-FFF2-40B4-BE49-F238E27FC236}">
              <a16:creationId xmlns:a16="http://schemas.microsoft.com/office/drawing/2014/main" id="{F3A819B0-4909-4AD3-B4CD-B09FC95BA8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3187" name="Picture@5C\QPendientes@" descr="@5C\QPendientes@">
          <a:extLst>
            <a:ext uri="{FF2B5EF4-FFF2-40B4-BE49-F238E27FC236}">
              <a16:creationId xmlns:a16="http://schemas.microsoft.com/office/drawing/2014/main" id="{9F26DE27-09A4-4B47-8F03-A312EB4EAE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3188" name="Picture@5C\QPendientes@" descr="@5C\QPendientes@">
          <a:extLst>
            <a:ext uri="{FF2B5EF4-FFF2-40B4-BE49-F238E27FC236}">
              <a16:creationId xmlns:a16="http://schemas.microsoft.com/office/drawing/2014/main" id="{889C1108-D19C-4DCF-B71D-DF8798669C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3189" name="Picture@5C\QPendientes@" descr="@5C\QPendientes@">
          <a:extLst>
            <a:ext uri="{FF2B5EF4-FFF2-40B4-BE49-F238E27FC236}">
              <a16:creationId xmlns:a16="http://schemas.microsoft.com/office/drawing/2014/main" id="{48E3BE2D-F494-405E-B872-3931DC0BDC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3190" name="Picture@5C\QPendientes@" descr="@5C\QPendientes@">
          <a:extLst>
            <a:ext uri="{FF2B5EF4-FFF2-40B4-BE49-F238E27FC236}">
              <a16:creationId xmlns:a16="http://schemas.microsoft.com/office/drawing/2014/main" id="{44BE2B7A-90F2-4982-AD16-44CFFFE517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3191" name="Picture@5C\QPendientes@" descr="@5C\QPendientes@">
          <a:extLst>
            <a:ext uri="{FF2B5EF4-FFF2-40B4-BE49-F238E27FC236}">
              <a16:creationId xmlns:a16="http://schemas.microsoft.com/office/drawing/2014/main" id="{A8E31096-E975-47C0-9BDE-B18243F4A7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3192" name="Picture@5C\QPendientes@" descr="@5C\QPendientes@">
          <a:extLst>
            <a:ext uri="{FF2B5EF4-FFF2-40B4-BE49-F238E27FC236}">
              <a16:creationId xmlns:a16="http://schemas.microsoft.com/office/drawing/2014/main" id="{7915BDBF-21E5-412A-8517-0B686C67FD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3193" name="Picture@5C\QPendientes@" descr="@5C\QPendientes@">
          <a:extLst>
            <a:ext uri="{FF2B5EF4-FFF2-40B4-BE49-F238E27FC236}">
              <a16:creationId xmlns:a16="http://schemas.microsoft.com/office/drawing/2014/main" id="{AF0983DC-C7A8-448B-A12F-5797D14324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3194" name="Picture@5C\QPendientes@" descr="@5C\QPendientes@">
          <a:extLst>
            <a:ext uri="{FF2B5EF4-FFF2-40B4-BE49-F238E27FC236}">
              <a16:creationId xmlns:a16="http://schemas.microsoft.com/office/drawing/2014/main" id="{AA82E5B2-13EF-41B5-8B51-A7BF427245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3195" name="Picture@5C\QPendientes@" descr="@5C\QPendientes@">
          <a:extLst>
            <a:ext uri="{FF2B5EF4-FFF2-40B4-BE49-F238E27FC236}">
              <a16:creationId xmlns:a16="http://schemas.microsoft.com/office/drawing/2014/main" id="{C94AF2F3-A4A4-4006-9CCA-30F4211F09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3196" name="Picture@5C\QPendientes@" descr="@5C\QPendientes@">
          <a:extLst>
            <a:ext uri="{FF2B5EF4-FFF2-40B4-BE49-F238E27FC236}">
              <a16:creationId xmlns:a16="http://schemas.microsoft.com/office/drawing/2014/main" id="{C2B2C4F8-76F0-4BB2-973F-B03988E7C8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3197" name="Picture@5C\QPendientes@" descr="@5C\QPendientes@">
          <a:extLst>
            <a:ext uri="{FF2B5EF4-FFF2-40B4-BE49-F238E27FC236}">
              <a16:creationId xmlns:a16="http://schemas.microsoft.com/office/drawing/2014/main" id="{3B373386-B071-4855-B5FA-0B1E6CAB7D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3198" name="Picture@5C\QPendientes@" descr="@5C\QPendientes@">
          <a:extLst>
            <a:ext uri="{FF2B5EF4-FFF2-40B4-BE49-F238E27FC236}">
              <a16:creationId xmlns:a16="http://schemas.microsoft.com/office/drawing/2014/main" id="{9E06E2FF-9D6D-4716-B5E1-AD2007547A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3199" name="Picture@5C\QPendientes@" descr="@5C\QPendientes@">
          <a:extLst>
            <a:ext uri="{FF2B5EF4-FFF2-40B4-BE49-F238E27FC236}">
              <a16:creationId xmlns:a16="http://schemas.microsoft.com/office/drawing/2014/main" id="{1AA1CDB6-1ACC-465A-84B1-4746997C88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3200" name="Picture@5C\QPendientes@" descr="@5C\QPendientes@">
          <a:extLst>
            <a:ext uri="{FF2B5EF4-FFF2-40B4-BE49-F238E27FC236}">
              <a16:creationId xmlns:a16="http://schemas.microsoft.com/office/drawing/2014/main" id="{1CD1AB7B-B623-4522-AB09-35EFB222DF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3201" name="Picture@5C\QPendientes@" descr="@5C\QPendientes@">
          <a:extLst>
            <a:ext uri="{FF2B5EF4-FFF2-40B4-BE49-F238E27FC236}">
              <a16:creationId xmlns:a16="http://schemas.microsoft.com/office/drawing/2014/main" id="{1603CEFC-91DC-42E7-9123-66C652672F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3202" name="Picture@5C\QPendientes@" descr="@5C\QPendientes@">
          <a:extLst>
            <a:ext uri="{FF2B5EF4-FFF2-40B4-BE49-F238E27FC236}">
              <a16:creationId xmlns:a16="http://schemas.microsoft.com/office/drawing/2014/main" id="{DAC442C8-833D-409A-B273-EDD66E42BD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3203" name="Picture@5C\QPendientes@" descr="@5C\QPendientes@">
          <a:extLst>
            <a:ext uri="{FF2B5EF4-FFF2-40B4-BE49-F238E27FC236}">
              <a16:creationId xmlns:a16="http://schemas.microsoft.com/office/drawing/2014/main" id="{0F3175A8-04B3-4E41-9A95-89C1170566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3204" name="Picture@5C\QPendientes@" descr="@5C\QPendientes@">
          <a:extLst>
            <a:ext uri="{FF2B5EF4-FFF2-40B4-BE49-F238E27FC236}">
              <a16:creationId xmlns:a16="http://schemas.microsoft.com/office/drawing/2014/main" id="{BAC636FF-8BC9-4D8B-B06C-6EA894D05F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3205" name="Picture@5C\QPendientes@" descr="@5C\QPendientes@">
          <a:extLst>
            <a:ext uri="{FF2B5EF4-FFF2-40B4-BE49-F238E27FC236}">
              <a16:creationId xmlns:a16="http://schemas.microsoft.com/office/drawing/2014/main" id="{8B069B2F-9CC5-4D0F-AFFF-B1BA05A93A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3206" name="Picture@5C\QPendientes@" descr="@5C\QPendientes@">
          <a:extLst>
            <a:ext uri="{FF2B5EF4-FFF2-40B4-BE49-F238E27FC236}">
              <a16:creationId xmlns:a16="http://schemas.microsoft.com/office/drawing/2014/main" id="{1580278D-D961-4C50-98C8-CF57090281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3207" name="Picture@5C\QPendientes@" descr="@5C\QPendientes@">
          <a:extLst>
            <a:ext uri="{FF2B5EF4-FFF2-40B4-BE49-F238E27FC236}">
              <a16:creationId xmlns:a16="http://schemas.microsoft.com/office/drawing/2014/main" id="{1E60335C-858E-4D97-BC63-CCC2A4E77D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3208" name="Picture@5C\QPendientes@" descr="@5C\QPendientes@">
          <a:extLst>
            <a:ext uri="{FF2B5EF4-FFF2-40B4-BE49-F238E27FC236}">
              <a16:creationId xmlns:a16="http://schemas.microsoft.com/office/drawing/2014/main" id="{481AD30F-5111-48F8-A51D-0EC0C9C661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3209" name="Picture@5C\QPendientes@" descr="@5C\QPendientes@">
          <a:extLst>
            <a:ext uri="{FF2B5EF4-FFF2-40B4-BE49-F238E27FC236}">
              <a16:creationId xmlns:a16="http://schemas.microsoft.com/office/drawing/2014/main" id="{912E80B6-571A-41DE-AB05-B61C21158D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3210" name="Picture@5C\QPendientes@" descr="@5C\QPendientes@">
          <a:extLst>
            <a:ext uri="{FF2B5EF4-FFF2-40B4-BE49-F238E27FC236}">
              <a16:creationId xmlns:a16="http://schemas.microsoft.com/office/drawing/2014/main" id="{E5B358C8-11C6-49E0-B90D-2C75F55683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3211" name="Picture@5C\QPendientes@" descr="@5C\QPendientes@">
          <a:extLst>
            <a:ext uri="{FF2B5EF4-FFF2-40B4-BE49-F238E27FC236}">
              <a16:creationId xmlns:a16="http://schemas.microsoft.com/office/drawing/2014/main" id="{4C61C24E-7186-4D5E-93C8-E6BFB7236D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3212" name="Picture@5C\QPendientes@" descr="@5C\QPendientes@">
          <a:extLst>
            <a:ext uri="{FF2B5EF4-FFF2-40B4-BE49-F238E27FC236}">
              <a16:creationId xmlns:a16="http://schemas.microsoft.com/office/drawing/2014/main" id="{978093D0-3CD1-4753-BDFD-789997E530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3213" name="Picture@5C\QPendientes@" descr="@5C\QPendientes@">
          <a:extLst>
            <a:ext uri="{FF2B5EF4-FFF2-40B4-BE49-F238E27FC236}">
              <a16:creationId xmlns:a16="http://schemas.microsoft.com/office/drawing/2014/main" id="{BF56A760-1355-43D1-9644-ED742A7D57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3214" name="Picture@5C\QPendientes@" descr="@5C\QPendientes@">
          <a:extLst>
            <a:ext uri="{FF2B5EF4-FFF2-40B4-BE49-F238E27FC236}">
              <a16:creationId xmlns:a16="http://schemas.microsoft.com/office/drawing/2014/main" id="{14737F44-1B94-446A-9CD7-0DC32ED540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3215" name="Picture@5C\QPendientes@" descr="@5C\QPendientes@">
          <a:extLst>
            <a:ext uri="{FF2B5EF4-FFF2-40B4-BE49-F238E27FC236}">
              <a16:creationId xmlns:a16="http://schemas.microsoft.com/office/drawing/2014/main" id="{47BAFC36-7625-4866-A0B4-D5AAB1FE1C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3216" name="Picture@5C\QPendientes@" descr="@5C\QPendientes@">
          <a:extLst>
            <a:ext uri="{FF2B5EF4-FFF2-40B4-BE49-F238E27FC236}">
              <a16:creationId xmlns:a16="http://schemas.microsoft.com/office/drawing/2014/main" id="{EFD6D919-DBED-4195-87C3-499B5DB840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3217" name="Picture@5C\QPendientes@" descr="@5C\QPendientes@">
          <a:extLst>
            <a:ext uri="{FF2B5EF4-FFF2-40B4-BE49-F238E27FC236}">
              <a16:creationId xmlns:a16="http://schemas.microsoft.com/office/drawing/2014/main" id="{F817B366-9878-476F-9818-BCBAB21323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3218" name="Picture@5C\QPendientes@" descr="@5C\QPendientes@">
          <a:extLst>
            <a:ext uri="{FF2B5EF4-FFF2-40B4-BE49-F238E27FC236}">
              <a16:creationId xmlns:a16="http://schemas.microsoft.com/office/drawing/2014/main" id="{95933A51-0432-4F12-B1B8-1D3247233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3219" name="Picture@5C\QPendientes@" descr="@5C\QPendientes@">
          <a:extLst>
            <a:ext uri="{FF2B5EF4-FFF2-40B4-BE49-F238E27FC236}">
              <a16:creationId xmlns:a16="http://schemas.microsoft.com/office/drawing/2014/main" id="{277BB0D7-8007-4EFE-BE9F-4493664A54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3220" name="Picture@5C\QPendientes@" descr="@5C\QPendientes@">
          <a:extLst>
            <a:ext uri="{FF2B5EF4-FFF2-40B4-BE49-F238E27FC236}">
              <a16:creationId xmlns:a16="http://schemas.microsoft.com/office/drawing/2014/main" id="{EC3F3ED8-AF60-4EA4-8D87-7CBF5FEEB2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3221" name="Picture@5C\QPendientes@" descr="@5C\QPendientes@">
          <a:extLst>
            <a:ext uri="{FF2B5EF4-FFF2-40B4-BE49-F238E27FC236}">
              <a16:creationId xmlns:a16="http://schemas.microsoft.com/office/drawing/2014/main" id="{C9A4DB83-77FD-445A-AA56-6976628BC4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3222" name="Picture@5C\QPendientes@" descr="@5C\QPendientes@">
          <a:extLst>
            <a:ext uri="{FF2B5EF4-FFF2-40B4-BE49-F238E27FC236}">
              <a16:creationId xmlns:a16="http://schemas.microsoft.com/office/drawing/2014/main" id="{196B37EE-BD7F-4383-82F2-9CC47A434F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3223" name="Picture@5C\QPendientes@" descr="@5C\QPendientes@">
          <a:extLst>
            <a:ext uri="{FF2B5EF4-FFF2-40B4-BE49-F238E27FC236}">
              <a16:creationId xmlns:a16="http://schemas.microsoft.com/office/drawing/2014/main" id="{9F3A0A28-CEB3-47BD-A79E-1E5EA31F70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3224" name="Picture@5C\QPendientes@" descr="@5C\QPendientes@">
          <a:extLst>
            <a:ext uri="{FF2B5EF4-FFF2-40B4-BE49-F238E27FC236}">
              <a16:creationId xmlns:a16="http://schemas.microsoft.com/office/drawing/2014/main" id="{512C5ED5-DF40-4930-BAD8-669024748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3225" name="Picture@5C\QPendientes@" descr="@5C\QPendientes@">
          <a:extLst>
            <a:ext uri="{FF2B5EF4-FFF2-40B4-BE49-F238E27FC236}">
              <a16:creationId xmlns:a16="http://schemas.microsoft.com/office/drawing/2014/main" id="{F73E8D0E-4051-4C97-B956-32F99AF2A2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3226" name="Picture@5C\QPendientes@" descr="@5C\QPendientes@">
          <a:extLst>
            <a:ext uri="{FF2B5EF4-FFF2-40B4-BE49-F238E27FC236}">
              <a16:creationId xmlns:a16="http://schemas.microsoft.com/office/drawing/2014/main" id="{ADD66937-4CB4-4EF9-8B66-D362D91F58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3227" name="Picture@5C\QPendientes@" descr="@5C\QPendientes@">
          <a:extLst>
            <a:ext uri="{FF2B5EF4-FFF2-40B4-BE49-F238E27FC236}">
              <a16:creationId xmlns:a16="http://schemas.microsoft.com/office/drawing/2014/main" id="{EB543F9E-B54C-40E6-9FD7-40314B64A6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3228" name="Picture@5C\QPendientes@" descr="@5C\QPendientes@">
          <a:extLst>
            <a:ext uri="{FF2B5EF4-FFF2-40B4-BE49-F238E27FC236}">
              <a16:creationId xmlns:a16="http://schemas.microsoft.com/office/drawing/2014/main" id="{CEE7C6FF-C55B-48C1-8CC4-7EF6E498C4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3229" name="Picture@5C\QPendientes@" descr="@5C\QPendientes@">
          <a:extLst>
            <a:ext uri="{FF2B5EF4-FFF2-40B4-BE49-F238E27FC236}">
              <a16:creationId xmlns:a16="http://schemas.microsoft.com/office/drawing/2014/main" id="{11178F5B-32A5-4111-9493-AB392A8FB5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3230" name="Picture@5C\QPendientes@" descr="@5C\QPendientes@">
          <a:extLst>
            <a:ext uri="{FF2B5EF4-FFF2-40B4-BE49-F238E27FC236}">
              <a16:creationId xmlns:a16="http://schemas.microsoft.com/office/drawing/2014/main" id="{DBC0840E-A5E9-4F93-A410-52F5311518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3231" name="Picture@5C\QPendientes@" descr="@5C\QPendientes@">
          <a:extLst>
            <a:ext uri="{FF2B5EF4-FFF2-40B4-BE49-F238E27FC236}">
              <a16:creationId xmlns:a16="http://schemas.microsoft.com/office/drawing/2014/main" id="{B7356574-45BB-4317-B2FC-9E3C10F68C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3232" name="Picture@5C\QPendientes@" descr="@5C\QPendientes@">
          <a:extLst>
            <a:ext uri="{FF2B5EF4-FFF2-40B4-BE49-F238E27FC236}">
              <a16:creationId xmlns:a16="http://schemas.microsoft.com/office/drawing/2014/main" id="{162A8F12-7130-4EA0-ADA4-8ADBC84C39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2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3233" name="Picture@5C\QPendientes@" descr="@5C\QPendientes@">
          <a:extLst>
            <a:ext uri="{FF2B5EF4-FFF2-40B4-BE49-F238E27FC236}">
              <a16:creationId xmlns:a16="http://schemas.microsoft.com/office/drawing/2014/main" id="{4840899C-E173-4A46-A090-1AD718E531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4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3234" name="Picture@5C\QPendientes@" descr="@5C\QPendientes@">
          <a:extLst>
            <a:ext uri="{FF2B5EF4-FFF2-40B4-BE49-F238E27FC236}">
              <a16:creationId xmlns:a16="http://schemas.microsoft.com/office/drawing/2014/main" id="{BAA3B656-7E2B-4A73-B7D3-7B068A451F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3235" name="Picture@5C\QPendientes@" descr="@5C\QPendientes@">
          <a:extLst>
            <a:ext uri="{FF2B5EF4-FFF2-40B4-BE49-F238E27FC236}">
              <a16:creationId xmlns:a16="http://schemas.microsoft.com/office/drawing/2014/main" id="{5F9BD79E-B00E-4E34-933B-452BF9A779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3236" name="Picture@5C\QPendientes@" descr="@5C\QPendientes@">
          <a:extLst>
            <a:ext uri="{FF2B5EF4-FFF2-40B4-BE49-F238E27FC236}">
              <a16:creationId xmlns:a16="http://schemas.microsoft.com/office/drawing/2014/main" id="{850885DF-B115-4A54-934B-7C56E2DCC4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3237" name="Picture@5C\QPendientes@" descr="@5C\QPendientes@">
          <a:extLst>
            <a:ext uri="{FF2B5EF4-FFF2-40B4-BE49-F238E27FC236}">
              <a16:creationId xmlns:a16="http://schemas.microsoft.com/office/drawing/2014/main" id="{676E77C3-2C2A-4483-BE94-9506744FBD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1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3238" name="Picture@5C\QPendientes@" descr="@5C\QPendientes@">
          <a:extLst>
            <a:ext uri="{FF2B5EF4-FFF2-40B4-BE49-F238E27FC236}">
              <a16:creationId xmlns:a16="http://schemas.microsoft.com/office/drawing/2014/main" id="{7BDFA8B3-9F01-4C06-B1CC-7CFC4B4CBC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3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3239" name="Picture@5C\QPendientes@" descr="@5C\QPendientes@">
          <a:extLst>
            <a:ext uri="{FF2B5EF4-FFF2-40B4-BE49-F238E27FC236}">
              <a16:creationId xmlns:a16="http://schemas.microsoft.com/office/drawing/2014/main" id="{91928E5C-26F8-4B83-85BC-23F6F79A89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3240" name="Picture@5C\QPendientes@" descr="@5C\QPendientes@">
          <a:extLst>
            <a:ext uri="{FF2B5EF4-FFF2-40B4-BE49-F238E27FC236}">
              <a16:creationId xmlns:a16="http://schemas.microsoft.com/office/drawing/2014/main" id="{AC032B8B-7A8A-4500-BB6C-2A76CCFAA4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3241" name="Picture@5C\QPendientes@" descr="@5C\QPendientes@">
          <a:extLst>
            <a:ext uri="{FF2B5EF4-FFF2-40B4-BE49-F238E27FC236}">
              <a16:creationId xmlns:a16="http://schemas.microsoft.com/office/drawing/2014/main" id="{B6E5E4BB-2A0D-49D8-925B-8D66247D85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3242" name="Picture@5C\QPendientes@" descr="@5C\QPendientes@">
          <a:extLst>
            <a:ext uri="{FF2B5EF4-FFF2-40B4-BE49-F238E27FC236}">
              <a16:creationId xmlns:a16="http://schemas.microsoft.com/office/drawing/2014/main" id="{5AB9ED63-473A-43D8-9A7E-1999C9C868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3243" name="Picture@5C\QPendientes@" descr="@5C\QPendientes@">
          <a:extLst>
            <a:ext uri="{FF2B5EF4-FFF2-40B4-BE49-F238E27FC236}">
              <a16:creationId xmlns:a16="http://schemas.microsoft.com/office/drawing/2014/main" id="{4F117FDF-AFBD-4C71-9D40-E10DB1BF7A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3244" name="Picture@5C\QPendientes@" descr="@5C\QPendientes@">
          <a:extLst>
            <a:ext uri="{FF2B5EF4-FFF2-40B4-BE49-F238E27FC236}">
              <a16:creationId xmlns:a16="http://schemas.microsoft.com/office/drawing/2014/main" id="{896E2776-E9AA-4BEA-B8D5-19FE22641D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3245" name="Picture@5C\QPendientes@" descr="@5C\QPendientes@">
          <a:extLst>
            <a:ext uri="{FF2B5EF4-FFF2-40B4-BE49-F238E27FC236}">
              <a16:creationId xmlns:a16="http://schemas.microsoft.com/office/drawing/2014/main" id="{73987642-D715-4284-9E7C-AB14F1C38B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3246" name="Picture@5C\QPendientes@" descr="@5C\QPendientes@">
          <a:extLst>
            <a:ext uri="{FF2B5EF4-FFF2-40B4-BE49-F238E27FC236}">
              <a16:creationId xmlns:a16="http://schemas.microsoft.com/office/drawing/2014/main" id="{2F2D71B5-D356-4B04-AA15-198028C920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3247" name="Picture@5C\QPendientes@" descr="@5C\QPendientes@">
          <a:extLst>
            <a:ext uri="{FF2B5EF4-FFF2-40B4-BE49-F238E27FC236}">
              <a16:creationId xmlns:a16="http://schemas.microsoft.com/office/drawing/2014/main" id="{2EED6924-7733-4D63-8BC1-8E49C352ED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3248" name="Picture@5C\QPendientes@" descr="@5C\QPendientes@">
          <a:extLst>
            <a:ext uri="{FF2B5EF4-FFF2-40B4-BE49-F238E27FC236}">
              <a16:creationId xmlns:a16="http://schemas.microsoft.com/office/drawing/2014/main" id="{56A24CD2-661E-4D1E-9556-530081219D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3249" name="Picture@5C\QPendientes@" descr="@5C\QPendientes@">
          <a:extLst>
            <a:ext uri="{FF2B5EF4-FFF2-40B4-BE49-F238E27FC236}">
              <a16:creationId xmlns:a16="http://schemas.microsoft.com/office/drawing/2014/main" id="{50B8CB67-3D21-436A-A0F8-564EAF2EF6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3250" name="Picture@5C\QPendientes@" descr="@5C\QPendientes@">
          <a:extLst>
            <a:ext uri="{FF2B5EF4-FFF2-40B4-BE49-F238E27FC236}">
              <a16:creationId xmlns:a16="http://schemas.microsoft.com/office/drawing/2014/main" id="{E2D706D1-ABAF-494D-9EEF-C94E760DD1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3251" name="Picture@5C\QPendientes@" descr="@5C\QPendientes@">
          <a:extLst>
            <a:ext uri="{FF2B5EF4-FFF2-40B4-BE49-F238E27FC236}">
              <a16:creationId xmlns:a16="http://schemas.microsoft.com/office/drawing/2014/main" id="{273D1C9D-DA01-42C2-8C9E-D858BDB7A8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3252" name="Picture@5C\QPendientes@" descr="@5C\QPendientes@">
          <a:extLst>
            <a:ext uri="{FF2B5EF4-FFF2-40B4-BE49-F238E27FC236}">
              <a16:creationId xmlns:a16="http://schemas.microsoft.com/office/drawing/2014/main" id="{950B886D-9E77-44C8-BFC6-5798792DD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3253" name="Picture@5C\QPendientes@" descr="@5C\QPendientes@">
          <a:extLst>
            <a:ext uri="{FF2B5EF4-FFF2-40B4-BE49-F238E27FC236}">
              <a16:creationId xmlns:a16="http://schemas.microsoft.com/office/drawing/2014/main" id="{42CE923A-EF43-4104-B2F1-75F96F4283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1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3254" name="Picture@5C\QPendientes@" descr="@5C\QPendientes@">
          <a:extLst>
            <a:ext uri="{FF2B5EF4-FFF2-40B4-BE49-F238E27FC236}">
              <a16:creationId xmlns:a16="http://schemas.microsoft.com/office/drawing/2014/main" id="{B0FBB06F-6797-4DEC-97B7-6931830B77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3255" name="Picture@5C\QPendientes@" descr="@5C\QPendientes@">
          <a:extLst>
            <a:ext uri="{FF2B5EF4-FFF2-40B4-BE49-F238E27FC236}">
              <a16:creationId xmlns:a16="http://schemas.microsoft.com/office/drawing/2014/main" id="{F0C3EB62-BC01-4CAB-8155-D290518094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3256" name="Picture@5C\QPendientes@" descr="@5C\QPendientes@">
          <a:extLst>
            <a:ext uri="{FF2B5EF4-FFF2-40B4-BE49-F238E27FC236}">
              <a16:creationId xmlns:a16="http://schemas.microsoft.com/office/drawing/2014/main" id="{152183EF-BA2E-4CF5-8724-91365BDC8A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3257" name="Picture@5C\QPendientes@" descr="@5C\QPendientes@">
          <a:extLst>
            <a:ext uri="{FF2B5EF4-FFF2-40B4-BE49-F238E27FC236}">
              <a16:creationId xmlns:a16="http://schemas.microsoft.com/office/drawing/2014/main" id="{D6DB1347-D59D-4D65-91F2-5C87AC2F0F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3258" name="Picture@5C\QPendientes@" descr="@5C\QPendientes@">
          <a:extLst>
            <a:ext uri="{FF2B5EF4-FFF2-40B4-BE49-F238E27FC236}">
              <a16:creationId xmlns:a16="http://schemas.microsoft.com/office/drawing/2014/main" id="{F44D83CB-8784-4A02-88AB-825EE79AB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3259" name="Picture@5C\QPendientes@" descr="@5C\QPendientes@">
          <a:extLst>
            <a:ext uri="{FF2B5EF4-FFF2-40B4-BE49-F238E27FC236}">
              <a16:creationId xmlns:a16="http://schemas.microsoft.com/office/drawing/2014/main" id="{2A99C34E-FBE2-4EBD-A488-2464401C66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3260" name="Picture@5C\QPendientes@" descr="@5C\QPendientes@">
          <a:extLst>
            <a:ext uri="{FF2B5EF4-FFF2-40B4-BE49-F238E27FC236}">
              <a16:creationId xmlns:a16="http://schemas.microsoft.com/office/drawing/2014/main" id="{833992F1-2102-4E3A-B592-6B8BFF90E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3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3261" name="Picture@5C\QPendientes@" descr="@5C\QPendientes@">
          <a:extLst>
            <a:ext uri="{FF2B5EF4-FFF2-40B4-BE49-F238E27FC236}">
              <a16:creationId xmlns:a16="http://schemas.microsoft.com/office/drawing/2014/main" id="{EB52E453-EFAB-489A-9866-EA8F22F7E7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5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3262" name="Picture@5C\QPendientes@" descr="@5C\QPendientes@">
          <a:extLst>
            <a:ext uri="{FF2B5EF4-FFF2-40B4-BE49-F238E27FC236}">
              <a16:creationId xmlns:a16="http://schemas.microsoft.com/office/drawing/2014/main" id="{8553CE3E-6D25-477F-B9BA-05179AF461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3263" name="Picture@5C\QPendientes@" descr="@5C\QPendientes@">
          <a:extLst>
            <a:ext uri="{FF2B5EF4-FFF2-40B4-BE49-F238E27FC236}">
              <a16:creationId xmlns:a16="http://schemas.microsoft.com/office/drawing/2014/main" id="{853C1527-9A0D-4FCF-9D11-7F78B0C98F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3264" name="Picture@5C\QPendientes@" descr="@5C\QPendientes@">
          <a:extLst>
            <a:ext uri="{FF2B5EF4-FFF2-40B4-BE49-F238E27FC236}">
              <a16:creationId xmlns:a16="http://schemas.microsoft.com/office/drawing/2014/main" id="{C0A728E8-3AB6-4EAA-BFB9-99329B2804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3265" name="Picture@5C\QPendientes@" descr="@5C\QPendientes@">
          <a:extLst>
            <a:ext uri="{FF2B5EF4-FFF2-40B4-BE49-F238E27FC236}">
              <a16:creationId xmlns:a16="http://schemas.microsoft.com/office/drawing/2014/main" id="{0924CBE7-C1F0-4B5E-8185-953BDB485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3266" name="Picture@5C\QPendientes@" descr="@5C\QPendientes@">
          <a:extLst>
            <a:ext uri="{FF2B5EF4-FFF2-40B4-BE49-F238E27FC236}">
              <a16:creationId xmlns:a16="http://schemas.microsoft.com/office/drawing/2014/main" id="{FE2C59BF-7BD2-40F3-8E01-2B6540D435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3267" name="Picture@5C\QPendientes@" descr="@5C\QPendientes@">
          <a:extLst>
            <a:ext uri="{FF2B5EF4-FFF2-40B4-BE49-F238E27FC236}">
              <a16:creationId xmlns:a16="http://schemas.microsoft.com/office/drawing/2014/main" id="{871FD533-EF0C-4983-880A-4851883342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3268" name="Picture@5C\QPendientes@" descr="@5C\QPendientes@">
          <a:extLst>
            <a:ext uri="{FF2B5EF4-FFF2-40B4-BE49-F238E27FC236}">
              <a16:creationId xmlns:a16="http://schemas.microsoft.com/office/drawing/2014/main" id="{5A997B84-D339-491D-8910-34F8F1C8A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8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3269" name="Picture@5C\QPendientes@" descr="@5C\QPendientes@">
          <a:extLst>
            <a:ext uri="{FF2B5EF4-FFF2-40B4-BE49-F238E27FC236}">
              <a16:creationId xmlns:a16="http://schemas.microsoft.com/office/drawing/2014/main" id="{993AB059-99DA-4AB6-9876-0531EC08EA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3270" name="Picture@5C\QPendientes@" descr="@5C\QPendientes@">
          <a:extLst>
            <a:ext uri="{FF2B5EF4-FFF2-40B4-BE49-F238E27FC236}">
              <a16:creationId xmlns:a16="http://schemas.microsoft.com/office/drawing/2014/main" id="{E1A5AFDB-14A2-4BB7-94F7-5C0B0F75F6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2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3271" name="Picture@5C\QPendientes@" descr="@5C\QPendientes@">
          <a:extLst>
            <a:ext uri="{FF2B5EF4-FFF2-40B4-BE49-F238E27FC236}">
              <a16:creationId xmlns:a16="http://schemas.microsoft.com/office/drawing/2014/main" id="{897DBDB2-67F2-435C-BCB3-F53CB2108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3272" name="Picture@5C\QPendientes@" descr="@5C\QPendientes@">
          <a:extLst>
            <a:ext uri="{FF2B5EF4-FFF2-40B4-BE49-F238E27FC236}">
              <a16:creationId xmlns:a16="http://schemas.microsoft.com/office/drawing/2014/main" id="{FF1EBF70-2B26-4153-A222-1E2CB88A68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5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3273" name="Picture@5C\QPendientes@" descr="@5C\QPendientes@">
          <a:extLst>
            <a:ext uri="{FF2B5EF4-FFF2-40B4-BE49-F238E27FC236}">
              <a16:creationId xmlns:a16="http://schemas.microsoft.com/office/drawing/2014/main" id="{00FEF018-3215-4617-A8E9-EB35C5E7B1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7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3274" name="Picture@5C\QPendientes@" descr="@5C\QPendientes@">
          <a:extLst>
            <a:ext uri="{FF2B5EF4-FFF2-40B4-BE49-F238E27FC236}">
              <a16:creationId xmlns:a16="http://schemas.microsoft.com/office/drawing/2014/main" id="{C456DF43-5F2A-48D9-A097-5965C91114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9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3275" name="Picture@5C\QPendientes@" descr="@5C\QPendientes@">
          <a:extLst>
            <a:ext uri="{FF2B5EF4-FFF2-40B4-BE49-F238E27FC236}">
              <a16:creationId xmlns:a16="http://schemas.microsoft.com/office/drawing/2014/main" id="{D28E5B24-9864-4C50-8836-682ACBB4F4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1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3276" name="Picture@5C\QPendientes@" descr="@5C\QPendientes@">
          <a:extLst>
            <a:ext uri="{FF2B5EF4-FFF2-40B4-BE49-F238E27FC236}">
              <a16:creationId xmlns:a16="http://schemas.microsoft.com/office/drawing/2014/main" id="{FC7EF7F3-5F17-46BE-A0F8-7839C7F47B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3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3277" name="Picture@5C\QPendientes@" descr="@5C\QPendientes@">
          <a:extLst>
            <a:ext uri="{FF2B5EF4-FFF2-40B4-BE49-F238E27FC236}">
              <a16:creationId xmlns:a16="http://schemas.microsoft.com/office/drawing/2014/main" id="{CB54F75B-054F-4172-B14D-985C1E8DCB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3278" name="Picture@5C\QPendientes@" descr="@5C\QPendientes@">
          <a:extLst>
            <a:ext uri="{FF2B5EF4-FFF2-40B4-BE49-F238E27FC236}">
              <a16:creationId xmlns:a16="http://schemas.microsoft.com/office/drawing/2014/main" id="{3467CF4D-98E8-4BE7-A75A-959B54CDBD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3279" name="Picture@5C\QPendientes@" descr="@5C\QPendientes@">
          <a:extLst>
            <a:ext uri="{FF2B5EF4-FFF2-40B4-BE49-F238E27FC236}">
              <a16:creationId xmlns:a16="http://schemas.microsoft.com/office/drawing/2014/main" id="{BA6ADDFB-6635-46B4-818C-4A3028A560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3280" name="Picture@5C\QPendientes@" descr="@5C\QPendientes@">
          <a:extLst>
            <a:ext uri="{FF2B5EF4-FFF2-40B4-BE49-F238E27FC236}">
              <a16:creationId xmlns:a16="http://schemas.microsoft.com/office/drawing/2014/main" id="{8080D496-4FF0-4771-862D-F3022CF31B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0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3281" name="Picture@5C\QPendientes@" descr="@5C\QPendientes@">
          <a:extLst>
            <a:ext uri="{FF2B5EF4-FFF2-40B4-BE49-F238E27FC236}">
              <a16:creationId xmlns:a16="http://schemas.microsoft.com/office/drawing/2014/main" id="{6A54D1AE-32DA-43A0-8BA6-8A5900522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2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3282" name="Picture@5C\QPendientes@" descr="@5C\QPendientes@">
          <a:extLst>
            <a:ext uri="{FF2B5EF4-FFF2-40B4-BE49-F238E27FC236}">
              <a16:creationId xmlns:a16="http://schemas.microsoft.com/office/drawing/2014/main" id="{C1B7939E-386C-4E48-8140-686B654C2F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4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3283" name="Picture@5C\QPendientes@" descr="@5C\QPendientes@">
          <a:extLst>
            <a:ext uri="{FF2B5EF4-FFF2-40B4-BE49-F238E27FC236}">
              <a16:creationId xmlns:a16="http://schemas.microsoft.com/office/drawing/2014/main" id="{99D8888E-26C9-4AFC-BF61-9A2C2B33A0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3284" name="Picture@5C\QPendientes@" descr="@5C\QPendientes@">
          <a:extLst>
            <a:ext uri="{FF2B5EF4-FFF2-40B4-BE49-F238E27FC236}">
              <a16:creationId xmlns:a16="http://schemas.microsoft.com/office/drawing/2014/main" id="{C0801E17-F921-4209-A3A4-D962836A9F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7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3285" name="Picture@5C\QPendientes@" descr="@5C\QPendientes@">
          <a:extLst>
            <a:ext uri="{FF2B5EF4-FFF2-40B4-BE49-F238E27FC236}">
              <a16:creationId xmlns:a16="http://schemas.microsoft.com/office/drawing/2014/main" id="{6282514B-B362-4D24-8B52-D09042B5E1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9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3286" name="Picture@5C\QPendientes@" descr="@5C\QPendientes@">
          <a:extLst>
            <a:ext uri="{FF2B5EF4-FFF2-40B4-BE49-F238E27FC236}">
              <a16:creationId xmlns:a16="http://schemas.microsoft.com/office/drawing/2014/main" id="{B0347C37-F118-46A9-89FC-25FF1C7408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1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3287" name="Picture@5C\QPendientes@" descr="@5C\QPendientes@">
          <a:extLst>
            <a:ext uri="{FF2B5EF4-FFF2-40B4-BE49-F238E27FC236}">
              <a16:creationId xmlns:a16="http://schemas.microsoft.com/office/drawing/2014/main" id="{330113D7-4B87-4E62-9170-D01FB21D05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3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3288" name="Picture@5C\QPendientes@" descr="@5C\QPendientes@">
          <a:extLst>
            <a:ext uri="{FF2B5EF4-FFF2-40B4-BE49-F238E27FC236}">
              <a16:creationId xmlns:a16="http://schemas.microsoft.com/office/drawing/2014/main" id="{878F235C-2EFE-4F73-9916-BF84E816F7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5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3289" name="Picture@5C\QPendientes@" descr="@5C\QPendientes@">
          <a:extLst>
            <a:ext uri="{FF2B5EF4-FFF2-40B4-BE49-F238E27FC236}">
              <a16:creationId xmlns:a16="http://schemas.microsoft.com/office/drawing/2014/main" id="{136741FE-5863-4139-9AF4-041F945BE2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3290" name="Picture@5C\QPendientes@" descr="@5C\QPendientes@">
          <a:extLst>
            <a:ext uri="{FF2B5EF4-FFF2-40B4-BE49-F238E27FC236}">
              <a16:creationId xmlns:a16="http://schemas.microsoft.com/office/drawing/2014/main" id="{BFBD59EC-84B4-4F63-987B-8473BCEDA6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8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3291" name="Picture@5C\QPendientes@" descr="@5C\QPendientes@">
          <a:extLst>
            <a:ext uri="{FF2B5EF4-FFF2-40B4-BE49-F238E27FC236}">
              <a16:creationId xmlns:a16="http://schemas.microsoft.com/office/drawing/2014/main" id="{9BE79E89-EEEA-4529-9876-20DA1235A0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0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3292" name="Picture@5C\QPendientes@" descr="@5C\QPendientes@">
          <a:extLst>
            <a:ext uri="{FF2B5EF4-FFF2-40B4-BE49-F238E27FC236}">
              <a16:creationId xmlns:a16="http://schemas.microsoft.com/office/drawing/2014/main" id="{F450FC1A-F3BE-442C-96FB-934F4FEB22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2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3293" name="Picture@5C\QPendientes@" descr="@5C\QPendientes@">
          <a:extLst>
            <a:ext uri="{FF2B5EF4-FFF2-40B4-BE49-F238E27FC236}">
              <a16:creationId xmlns:a16="http://schemas.microsoft.com/office/drawing/2014/main" id="{67DAE2EA-F25D-49AB-8649-779DDB8477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4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3294" name="Picture@5C\QPendientes@" descr="@5C\QPendientes@">
          <a:extLst>
            <a:ext uri="{FF2B5EF4-FFF2-40B4-BE49-F238E27FC236}">
              <a16:creationId xmlns:a16="http://schemas.microsoft.com/office/drawing/2014/main" id="{F2E87632-2D93-4AC9-A697-0513488C50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6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3295" name="Picture@5C\QPendientes@" descr="@5C\QPendientes@">
          <a:extLst>
            <a:ext uri="{FF2B5EF4-FFF2-40B4-BE49-F238E27FC236}">
              <a16:creationId xmlns:a16="http://schemas.microsoft.com/office/drawing/2014/main" id="{48D925C3-7348-439D-9D7B-206826C6EE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7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3296" name="Picture@5C\QPendientes@" descr="@5C\QPendientes@">
          <a:extLst>
            <a:ext uri="{FF2B5EF4-FFF2-40B4-BE49-F238E27FC236}">
              <a16:creationId xmlns:a16="http://schemas.microsoft.com/office/drawing/2014/main" id="{1C7D519F-EB16-4F9B-A47E-BE3F5B7401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9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3297" name="Picture@5C\QPendientes@" descr="@5C\QPendientes@">
          <a:extLst>
            <a:ext uri="{FF2B5EF4-FFF2-40B4-BE49-F238E27FC236}">
              <a16:creationId xmlns:a16="http://schemas.microsoft.com/office/drawing/2014/main" id="{FD08E690-1A60-4743-B019-1EA73E6E1A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1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3298" name="Picture@5C\QPendientes@" descr="@5C\QPendientes@">
          <a:extLst>
            <a:ext uri="{FF2B5EF4-FFF2-40B4-BE49-F238E27FC236}">
              <a16:creationId xmlns:a16="http://schemas.microsoft.com/office/drawing/2014/main" id="{125B0A49-37CB-404E-A6DF-7D48A95198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3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3299" name="Picture@5C\QPendientes@" descr="@5C\QPendientes@">
          <a:extLst>
            <a:ext uri="{FF2B5EF4-FFF2-40B4-BE49-F238E27FC236}">
              <a16:creationId xmlns:a16="http://schemas.microsoft.com/office/drawing/2014/main" id="{D8DA22DA-31B4-463A-B248-7F344BA0AB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3300" name="Picture@5C\QPendientes@" descr="@5C\QPendientes@">
          <a:extLst>
            <a:ext uri="{FF2B5EF4-FFF2-40B4-BE49-F238E27FC236}">
              <a16:creationId xmlns:a16="http://schemas.microsoft.com/office/drawing/2014/main" id="{9AE5D4F3-38F8-4570-B099-9C04C5CAE2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7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3301" name="Picture@5C\QPendientes@" descr="@5C\QPendientes@">
          <a:extLst>
            <a:ext uri="{FF2B5EF4-FFF2-40B4-BE49-F238E27FC236}">
              <a16:creationId xmlns:a16="http://schemas.microsoft.com/office/drawing/2014/main" id="{741041ED-1728-4692-8383-43EEE26C45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8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3302" name="Picture@5C\QPendientes@" descr="@5C\QPendientes@">
          <a:extLst>
            <a:ext uri="{FF2B5EF4-FFF2-40B4-BE49-F238E27FC236}">
              <a16:creationId xmlns:a16="http://schemas.microsoft.com/office/drawing/2014/main" id="{9699B01C-B217-43F4-BCA8-C0626F6F1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0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3303" name="Picture@5C\QPendientes@" descr="@5C\QPendientes@">
          <a:extLst>
            <a:ext uri="{FF2B5EF4-FFF2-40B4-BE49-F238E27FC236}">
              <a16:creationId xmlns:a16="http://schemas.microsoft.com/office/drawing/2014/main" id="{19F4DFAD-77BC-40D3-9241-8EE51957D8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2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3304" name="Picture@5C\QPendientes@" descr="@5C\QPendientes@">
          <a:extLst>
            <a:ext uri="{FF2B5EF4-FFF2-40B4-BE49-F238E27FC236}">
              <a16:creationId xmlns:a16="http://schemas.microsoft.com/office/drawing/2014/main" id="{5318F1EF-14D4-4616-A7F0-DE0805DDF3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4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3305" name="Picture@5C\QPendientes@" descr="@5C\QPendientes@">
          <a:extLst>
            <a:ext uri="{FF2B5EF4-FFF2-40B4-BE49-F238E27FC236}">
              <a16:creationId xmlns:a16="http://schemas.microsoft.com/office/drawing/2014/main" id="{7C811A8E-9C7D-47D5-BE6C-6F3B59484E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6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3306" name="Picture@5C\QPendientes@" descr="@5C\QPendientes@">
          <a:extLst>
            <a:ext uri="{FF2B5EF4-FFF2-40B4-BE49-F238E27FC236}">
              <a16:creationId xmlns:a16="http://schemas.microsoft.com/office/drawing/2014/main" id="{63524B3D-E4C9-4BAE-A9E4-528BE7C5B2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8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3307" name="Picture@5C\QPendientes@" descr="@5C\QPendientes@">
          <a:extLst>
            <a:ext uri="{FF2B5EF4-FFF2-40B4-BE49-F238E27FC236}">
              <a16:creationId xmlns:a16="http://schemas.microsoft.com/office/drawing/2014/main" id="{F81812AC-26E7-44C5-AB2F-41C593D529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9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3308" name="Picture@5C\QPendientes@" descr="@5C\QPendientes@">
          <a:extLst>
            <a:ext uri="{FF2B5EF4-FFF2-40B4-BE49-F238E27FC236}">
              <a16:creationId xmlns:a16="http://schemas.microsoft.com/office/drawing/2014/main" id="{FC5BBBF2-3970-4B81-AB49-96FBBCB75B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1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3309" name="Picture@5C\QPendientes@" descr="@5C\QPendientes@">
          <a:extLst>
            <a:ext uri="{FF2B5EF4-FFF2-40B4-BE49-F238E27FC236}">
              <a16:creationId xmlns:a16="http://schemas.microsoft.com/office/drawing/2014/main" id="{3BAE16A9-F5BE-411D-B97A-A7157AA299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3310" name="Picture@5C\QPendientes@" descr="@5C\QPendientes@">
          <a:extLst>
            <a:ext uri="{FF2B5EF4-FFF2-40B4-BE49-F238E27FC236}">
              <a16:creationId xmlns:a16="http://schemas.microsoft.com/office/drawing/2014/main" id="{365F14BC-DC7F-4DA4-B850-81FA144FD9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5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3311" name="Picture@5C\QPendientes@" descr="@5C\QPendientes@">
          <a:extLst>
            <a:ext uri="{FF2B5EF4-FFF2-40B4-BE49-F238E27FC236}">
              <a16:creationId xmlns:a16="http://schemas.microsoft.com/office/drawing/2014/main" id="{6C263D30-0FA5-4787-8FCF-248B281C4D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7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3312" name="Picture@5C\QPendientes@" descr="@5C\QPendientes@">
          <a:extLst>
            <a:ext uri="{FF2B5EF4-FFF2-40B4-BE49-F238E27FC236}">
              <a16:creationId xmlns:a16="http://schemas.microsoft.com/office/drawing/2014/main" id="{0C1B01B2-025C-43D5-B847-4486011566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8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3313" name="Picture@5C\QPendientes@" descr="@5C\QPendientes@">
          <a:extLst>
            <a:ext uri="{FF2B5EF4-FFF2-40B4-BE49-F238E27FC236}">
              <a16:creationId xmlns:a16="http://schemas.microsoft.com/office/drawing/2014/main" id="{29BC3963-8AFC-4315-8656-1A933269B5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0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3314" name="Picture@5C\QPendientes@" descr="@5C\QPendientes@">
          <a:extLst>
            <a:ext uri="{FF2B5EF4-FFF2-40B4-BE49-F238E27FC236}">
              <a16:creationId xmlns:a16="http://schemas.microsoft.com/office/drawing/2014/main" id="{C9844438-B343-4014-9880-1A590D84F7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2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3315" name="Picture@5C\QPendientes@" descr="@5C\QPendientes@">
          <a:extLst>
            <a:ext uri="{FF2B5EF4-FFF2-40B4-BE49-F238E27FC236}">
              <a16:creationId xmlns:a16="http://schemas.microsoft.com/office/drawing/2014/main" id="{9400DC74-20D1-4BD7-844B-2F2F469B35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4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3316" name="Picture@5C\QPendientes@" descr="@5C\QPendientes@">
          <a:extLst>
            <a:ext uri="{FF2B5EF4-FFF2-40B4-BE49-F238E27FC236}">
              <a16:creationId xmlns:a16="http://schemas.microsoft.com/office/drawing/2014/main" id="{6C690F18-A4B4-423D-A9A4-9BA4A07402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6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3317" name="Picture@5C\QPendientes@" descr="@5C\QPendientes@">
          <a:extLst>
            <a:ext uri="{FF2B5EF4-FFF2-40B4-BE49-F238E27FC236}">
              <a16:creationId xmlns:a16="http://schemas.microsoft.com/office/drawing/2014/main" id="{F030D600-BF1C-44F0-AC68-22CE33D039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8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3318" name="Picture@5C\QPendientes@" descr="@5C\QPendientes@">
          <a:extLst>
            <a:ext uri="{FF2B5EF4-FFF2-40B4-BE49-F238E27FC236}">
              <a16:creationId xmlns:a16="http://schemas.microsoft.com/office/drawing/2014/main" id="{F8A16A01-9D54-4925-9817-B532F1EDFC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9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3319" name="Picture@5C\QPendientes@" descr="@5C\QPendientes@">
          <a:extLst>
            <a:ext uri="{FF2B5EF4-FFF2-40B4-BE49-F238E27FC236}">
              <a16:creationId xmlns:a16="http://schemas.microsoft.com/office/drawing/2014/main" id="{23C45C8C-C71A-47D7-91AA-A9BFB8FF94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3320" name="Picture@5C\QPendientes@" descr="@5C\QPendientes@">
          <a:extLst>
            <a:ext uri="{FF2B5EF4-FFF2-40B4-BE49-F238E27FC236}">
              <a16:creationId xmlns:a16="http://schemas.microsoft.com/office/drawing/2014/main" id="{53B2A052-41B9-42B3-BA3D-3B98774149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3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3321" name="Picture@5C\QPendientes@" descr="@5C\QPendientes@">
          <a:extLst>
            <a:ext uri="{FF2B5EF4-FFF2-40B4-BE49-F238E27FC236}">
              <a16:creationId xmlns:a16="http://schemas.microsoft.com/office/drawing/2014/main" id="{AE727778-E4EA-4E3A-BF5E-8B8D32306F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5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3322" name="Picture@5C\QPendientes@" descr="@5C\QPendientes@">
          <a:extLst>
            <a:ext uri="{FF2B5EF4-FFF2-40B4-BE49-F238E27FC236}">
              <a16:creationId xmlns:a16="http://schemas.microsoft.com/office/drawing/2014/main" id="{D383F044-6542-4F3D-A015-6A241747CD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7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3323" name="Picture@5C\QPendientes@" descr="@5C\QPendientes@">
          <a:extLst>
            <a:ext uri="{FF2B5EF4-FFF2-40B4-BE49-F238E27FC236}">
              <a16:creationId xmlns:a16="http://schemas.microsoft.com/office/drawing/2014/main" id="{35193C74-CA1C-447D-994C-0F839CE912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9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3324" name="Picture@5C\QPendientes@" descr="@5C\QPendientes@">
          <a:extLst>
            <a:ext uri="{FF2B5EF4-FFF2-40B4-BE49-F238E27FC236}">
              <a16:creationId xmlns:a16="http://schemas.microsoft.com/office/drawing/2014/main" id="{A71B170B-AF69-40D4-BEFD-A8D263EE2B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0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3325" name="Picture@5C\QPendientes@" descr="@5C\QPendientes@">
          <a:extLst>
            <a:ext uri="{FF2B5EF4-FFF2-40B4-BE49-F238E27FC236}">
              <a16:creationId xmlns:a16="http://schemas.microsoft.com/office/drawing/2014/main" id="{71A68283-5E3A-48C6-9174-5CB07B206F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2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3326" name="Picture@5C\QPendientes@" descr="@5C\QPendientes@">
          <a:extLst>
            <a:ext uri="{FF2B5EF4-FFF2-40B4-BE49-F238E27FC236}">
              <a16:creationId xmlns:a16="http://schemas.microsoft.com/office/drawing/2014/main" id="{669B9FEA-D472-48DA-AFE9-DF9F6410D1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4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3327" name="Picture@5C\QPendientes@" descr="@5C\QPendientes@">
          <a:extLst>
            <a:ext uri="{FF2B5EF4-FFF2-40B4-BE49-F238E27FC236}">
              <a16:creationId xmlns:a16="http://schemas.microsoft.com/office/drawing/2014/main" id="{58E29E23-A74D-412A-8B98-E62C5A9A4C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6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3328" name="Picture@5C\QPendientes@" descr="@5C\QPendientes@">
          <a:extLst>
            <a:ext uri="{FF2B5EF4-FFF2-40B4-BE49-F238E27FC236}">
              <a16:creationId xmlns:a16="http://schemas.microsoft.com/office/drawing/2014/main" id="{3F4EE4A1-C747-4CBB-8A55-F926D7DB9B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8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3329" name="Picture@5C\QPendientes@" descr="@5C\QPendientes@">
          <a:extLst>
            <a:ext uri="{FF2B5EF4-FFF2-40B4-BE49-F238E27FC236}">
              <a16:creationId xmlns:a16="http://schemas.microsoft.com/office/drawing/2014/main" id="{24A619D9-BBA1-4D5B-AFED-9DEC1E98B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3330" name="Picture@5C\QPendientes@" descr="@5C\QPendientes@">
          <a:extLst>
            <a:ext uri="{FF2B5EF4-FFF2-40B4-BE49-F238E27FC236}">
              <a16:creationId xmlns:a16="http://schemas.microsoft.com/office/drawing/2014/main" id="{3348A033-E7C6-4C57-8D1B-B868902AFA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1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3331" name="Picture@5C\QPendientes@" descr="@5C\QPendientes@">
          <a:extLst>
            <a:ext uri="{FF2B5EF4-FFF2-40B4-BE49-F238E27FC236}">
              <a16:creationId xmlns:a16="http://schemas.microsoft.com/office/drawing/2014/main" id="{9BBF53E6-9469-475A-B823-8A62499349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3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3332" name="Picture@5C\QPendientes@" descr="@5C\QPendientes@">
          <a:extLst>
            <a:ext uri="{FF2B5EF4-FFF2-40B4-BE49-F238E27FC236}">
              <a16:creationId xmlns:a16="http://schemas.microsoft.com/office/drawing/2014/main" id="{86032463-9E4C-4502-9F2D-2F85D62D0E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5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3333" name="Picture@5C\QPendientes@" descr="@5C\QPendientes@">
          <a:extLst>
            <a:ext uri="{FF2B5EF4-FFF2-40B4-BE49-F238E27FC236}">
              <a16:creationId xmlns:a16="http://schemas.microsoft.com/office/drawing/2014/main" id="{AF4F44DB-123D-44FE-AE81-1A89C0E352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7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3334" name="Picture@5C\QPendientes@" descr="@5C\QPendientes@">
          <a:extLst>
            <a:ext uri="{FF2B5EF4-FFF2-40B4-BE49-F238E27FC236}">
              <a16:creationId xmlns:a16="http://schemas.microsoft.com/office/drawing/2014/main" id="{85A93271-64C9-4BFC-B28E-7A7B2430B3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9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3335" name="Picture@5C\QPendientes@" descr="@5C\QPendientes@">
          <a:extLst>
            <a:ext uri="{FF2B5EF4-FFF2-40B4-BE49-F238E27FC236}">
              <a16:creationId xmlns:a16="http://schemas.microsoft.com/office/drawing/2014/main" id="{86BFD614-8708-4502-954A-D09D342D69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1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3336" name="Picture@5C\QPendientes@" descr="@5C\QPendientes@">
          <a:extLst>
            <a:ext uri="{FF2B5EF4-FFF2-40B4-BE49-F238E27FC236}">
              <a16:creationId xmlns:a16="http://schemas.microsoft.com/office/drawing/2014/main" id="{85A4DED8-3F76-4A47-80D3-597DF0B467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2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3337" name="Picture@5C\QPendientes@" descr="@5C\QPendientes@">
          <a:extLst>
            <a:ext uri="{FF2B5EF4-FFF2-40B4-BE49-F238E27FC236}">
              <a16:creationId xmlns:a16="http://schemas.microsoft.com/office/drawing/2014/main" id="{990D0580-D0F6-4688-9935-4592FBD85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4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3338" name="Picture@5C\QPendientes@" descr="@5C\QPendientes@">
          <a:extLst>
            <a:ext uri="{FF2B5EF4-FFF2-40B4-BE49-F238E27FC236}">
              <a16:creationId xmlns:a16="http://schemas.microsoft.com/office/drawing/2014/main" id="{63551FCF-D696-46EC-BCC6-06C6857413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6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3339" name="Picture@5C\QPendientes@" descr="@5C\QPendientes@">
          <a:extLst>
            <a:ext uri="{FF2B5EF4-FFF2-40B4-BE49-F238E27FC236}">
              <a16:creationId xmlns:a16="http://schemas.microsoft.com/office/drawing/2014/main" id="{673E1609-B962-4CE9-A3B5-5520D677FE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3340" name="Picture@5C\QPendientes@" descr="@5C\QPendientes@">
          <a:extLst>
            <a:ext uri="{FF2B5EF4-FFF2-40B4-BE49-F238E27FC236}">
              <a16:creationId xmlns:a16="http://schemas.microsoft.com/office/drawing/2014/main" id="{9C41E997-6C74-490E-8374-02D096F8D0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0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3341" name="Picture@5C\QPendientes@" descr="@5C\QPendientes@">
          <a:extLst>
            <a:ext uri="{FF2B5EF4-FFF2-40B4-BE49-F238E27FC236}">
              <a16:creationId xmlns:a16="http://schemas.microsoft.com/office/drawing/2014/main" id="{504090C5-07EB-4863-8D31-C157D34B26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2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3342" name="Picture@5C\QPendientes@" descr="@5C\QPendientes@">
          <a:extLst>
            <a:ext uri="{FF2B5EF4-FFF2-40B4-BE49-F238E27FC236}">
              <a16:creationId xmlns:a16="http://schemas.microsoft.com/office/drawing/2014/main" id="{4E0A9C8D-C02D-4E86-B0E1-B687C828C2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3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3343" name="Picture@5C\QPendientes@" descr="@5C\QPendientes@">
          <a:extLst>
            <a:ext uri="{FF2B5EF4-FFF2-40B4-BE49-F238E27FC236}">
              <a16:creationId xmlns:a16="http://schemas.microsoft.com/office/drawing/2014/main" id="{A2D2C3F2-353E-4669-A41B-8CC31A849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5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3344" name="Picture@5C\QPendientes@" descr="@5C\QPendientes@">
          <a:extLst>
            <a:ext uri="{FF2B5EF4-FFF2-40B4-BE49-F238E27FC236}">
              <a16:creationId xmlns:a16="http://schemas.microsoft.com/office/drawing/2014/main" id="{E71C665C-A818-42E2-9BE8-52565E9B8A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7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3345" name="Picture@5C\QPendientes@" descr="@5C\QPendientes@">
          <a:extLst>
            <a:ext uri="{FF2B5EF4-FFF2-40B4-BE49-F238E27FC236}">
              <a16:creationId xmlns:a16="http://schemas.microsoft.com/office/drawing/2014/main" id="{41D9980A-81D5-432E-864B-3BBD97B76D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9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3346" name="Picture@5C\QPendientes@" descr="@5C\QPendientes@">
          <a:extLst>
            <a:ext uri="{FF2B5EF4-FFF2-40B4-BE49-F238E27FC236}">
              <a16:creationId xmlns:a16="http://schemas.microsoft.com/office/drawing/2014/main" id="{2A062834-6A9A-46F7-9A77-BFC4E06701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3347" name="Picture@5C\QPendientes@" descr="@5C\QPendientes@">
          <a:extLst>
            <a:ext uri="{FF2B5EF4-FFF2-40B4-BE49-F238E27FC236}">
              <a16:creationId xmlns:a16="http://schemas.microsoft.com/office/drawing/2014/main" id="{C7A6F6E9-25E2-447C-B834-5985AFD978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2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3348" name="Picture@5C\QPendientes@" descr="@5C\QPendientes@">
          <a:extLst>
            <a:ext uri="{FF2B5EF4-FFF2-40B4-BE49-F238E27FC236}">
              <a16:creationId xmlns:a16="http://schemas.microsoft.com/office/drawing/2014/main" id="{0AA34E35-436B-4152-A781-E393D6DA5B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4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3349" name="Picture@5C\QPendientes@" descr="@5C\QPendientes@">
          <a:extLst>
            <a:ext uri="{FF2B5EF4-FFF2-40B4-BE49-F238E27FC236}">
              <a16:creationId xmlns:a16="http://schemas.microsoft.com/office/drawing/2014/main" id="{4A9052DF-9CC6-42AD-8882-3312C72A78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3350" name="Picture@5C\QPendientes@" descr="@5C\QPendientes@">
          <a:extLst>
            <a:ext uri="{FF2B5EF4-FFF2-40B4-BE49-F238E27FC236}">
              <a16:creationId xmlns:a16="http://schemas.microsoft.com/office/drawing/2014/main" id="{F7043CCE-28E2-4332-ADC7-C9A3F5747F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8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3351" name="Picture@5C\QPendientes@" descr="@5C\QPendientes@">
          <a:extLst>
            <a:ext uri="{FF2B5EF4-FFF2-40B4-BE49-F238E27FC236}">
              <a16:creationId xmlns:a16="http://schemas.microsoft.com/office/drawing/2014/main" id="{087EA251-C692-4F57-ACA5-C7C5AA8964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0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3352" name="Picture@5C\QPendientes@" descr="@5C\QPendientes@">
          <a:extLst>
            <a:ext uri="{FF2B5EF4-FFF2-40B4-BE49-F238E27FC236}">
              <a16:creationId xmlns:a16="http://schemas.microsoft.com/office/drawing/2014/main" id="{D5B85D65-47B3-40DC-8AD9-F5784A87AC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2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3353" name="Picture@5C\QPendientes@" descr="@5C\QPendientes@">
          <a:extLst>
            <a:ext uri="{FF2B5EF4-FFF2-40B4-BE49-F238E27FC236}">
              <a16:creationId xmlns:a16="http://schemas.microsoft.com/office/drawing/2014/main" id="{360DE5E9-CF3A-43BE-BD80-75F50725CE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3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3354" name="Picture@5C\QPendientes@" descr="@5C\QPendientes@">
          <a:extLst>
            <a:ext uri="{FF2B5EF4-FFF2-40B4-BE49-F238E27FC236}">
              <a16:creationId xmlns:a16="http://schemas.microsoft.com/office/drawing/2014/main" id="{A1F732A7-DF21-4610-8BF6-216A6F23CE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5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3355" name="Picture@5C\QPendientes@" descr="@5C\QPendientes@">
          <a:extLst>
            <a:ext uri="{FF2B5EF4-FFF2-40B4-BE49-F238E27FC236}">
              <a16:creationId xmlns:a16="http://schemas.microsoft.com/office/drawing/2014/main" id="{8D9674F3-C443-4BA8-B433-5C402C9BF5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7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3356" name="Picture@5C\QPendientes@" descr="@5C\QPendientes@">
          <a:extLst>
            <a:ext uri="{FF2B5EF4-FFF2-40B4-BE49-F238E27FC236}">
              <a16:creationId xmlns:a16="http://schemas.microsoft.com/office/drawing/2014/main" id="{0890DA5E-049A-46DB-AD17-7904FDFCE2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9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3357" name="Picture@5C\QPendientes@" descr="@5C\QPendientes@">
          <a:extLst>
            <a:ext uri="{FF2B5EF4-FFF2-40B4-BE49-F238E27FC236}">
              <a16:creationId xmlns:a16="http://schemas.microsoft.com/office/drawing/2014/main" id="{00601D55-B6BB-4E52-A76E-1F0345CF5E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1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3358" name="Picture@5C\QPendientes@" descr="@5C\QPendientes@">
          <a:extLst>
            <a:ext uri="{FF2B5EF4-FFF2-40B4-BE49-F238E27FC236}">
              <a16:creationId xmlns:a16="http://schemas.microsoft.com/office/drawing/2014/main" id="{101CEF54-7DD1-464E-94E7-F602B9079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3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3359" name="Picture@5C\QPendientes@" descr="@5C\QPendientes@">
          <a:extLst>
            <a:ext uri="{FF2B5EF4-FFF2-40B4-BE49-F238E27FC236}">
              <a16:creationId xmlns:a16="http://schemas.microsoft.com/office/drawing/2014/main" id="{9EFD98ED-8530-4264-9EE3-7F81815C77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3360" name="Picture@5C\QPendientes@" descr="@5C\QPendientes@">
          <a:extLst>
            <a:ext uri="{FF2B5EF4-FFF2-40B4-BE49-F238E27FC236}">
              <a16:creationId xmlns:a16="http://schemas.microsoft.com/office/drawing/2014/main" id="{BF7C8101-6018-49B0-B139-984228263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6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3361" name="Picture@5C\QPendientes@" descr="@5C\QPendientes@">
          <a:extLst>
            <a:ext uri="{FF2B5EF4-FFF2-40B4-BE49-F238E27FC236}">
              <a16:creationId xmlns:a16="http://schemas.microsoft.com/office/drawing/2014/main" id="{2578A25F-5BED-4EB3-A0C1-1315F6C02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8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3362" name="Picture@5C\QPendientes@" descr="@5C\QPendientes@">
          <a:extLst>
            <a:ext uri="{FF2B5EF4-FFF2-40B4-BE49-F238E27FC236}">
              <a16:creationId xmlns:a16="http://schemas.microsoft.com/office/drawing/2014/main" id="{8E5ECF16-B004-4B45-A040-237426D1B6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0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3363" name="Picture@5C\QPendientes@" descr="@5C\QPendientes@">
          <a:extLst>
            <a:ext uri="{FF2B5EF4-FFF2-40B4-BE49-F238E27FC236}">
              <a16:creationId xmlns:a16="http://schemas.microsoft.com/office/drawing/2014/main" id="{229FB67B-3B4F-4CD0-9F20-EAD8C9A701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2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3364" name="Picture@5C\QPendientes@" descr="@5C\QPendientes@">
          <a:extLst>
            <a:ext uri="{FF2B5EF4-FFF2-40B4-BE49-F238E27FC236}">
              <a16:creationId xmlns:a16="http://schemas.microsoft.com/office/drawing/2014/main" id="{B002D45D-E351-4D97-8D31-A11A244EF5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4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3365" name="Picture@5C\QPendientes@" descr="@5C\QPendientes@">
          <a:extLst>
            <a:ext uri="{FF2B5EF4-FFF2-40B4-BE49-F238E27FC236}">
              <a16:creationId xmlns:a16="http://schemas.microsoft.com/office/drawing/2014/main" id="{61D227C1-4E31-426A-8B33-2F74EBAA63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5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3366" name="Picture@5C\QPendientes@" descr="@5C\QPendientes@">
          <a:extLst>
            <a:ext uri="{FF2B5EF4-FFF2-40B4-BE49-F238E27FC236}">
              <a16:creationId xmlns:a16="http://schemas.microsoft.com/office/drawing/2014/main" id="{F8BFF9D8-1E33-4265-8680-6FCD805EF6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7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3367" name="Picture@5C\QPendientes@" descr="@5C\QPendientes@">
          <a:extLst>
            <a:ext uri="{FF2B5EF4-FFF2-40B4-BE49-F238E27FC236}">
              <a16:creationId xmlns:a16="http://schemas.microsoft.com/office/drawing/2014/main" id="{2D529B0F-2AE8-4933-99AD-7DA8A64B90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9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3368" name="Picture@5C\QPendientes@" descr="@5C\QPendientes@">
          <a:extLst>
            <a:ext uri="{FF2B5EF4-FFF2-40B4-BE49-F238E27FC236}">
              <a16:creationId xmlns:a16="http://schemas.microsoft.com/office/drawing/2014/main" id="{F2646FE4-9780-4F15-B4F1-83406725F2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1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3369" name="Picture@5C\QPendientes@" descr="@5C\QPendientes@">
          <a:extLst>
            <a:ext uri="{FF2B5EF4-FFF2-40B4-BE49-F238E27FC236}">
              <a16:creationId xmlns:a16="http://schemas.microsoft.com/office/drawing/2014/main" id="{F2A97AE2-1099-4B3F-9293-FADE4AB03B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3370" name="Picture@5C\QPendientes@" descr="@5C\QPendientes@">
          <a:extLst>
            <a:ext uri="{FF2B5EF4-FFF2-40B4-BE49-F238E27FC236}">
              <a16:creationId xmlns:a16="http://schemas.microsoft.com/office/drawing/2014/main" id="{61B69B4D-0CCC-4D2B-B263-63B61F8A08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5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3371" name="Picture@5C\QPendientes@" descr="@5C\QPendientes@">
          <a:extLst>
            <a:ext uri="{FF2B5EF4-FFF2-40B4-BE49-F238E27FC236}">
              <a16:creationId xmlns:a16="http://schemas.microsoft.com/office/drawing/2014/main" id="{BE29B251-2AF2-4A32-B371-62412B46EF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6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3372" name="Picture@5C\QPendientes@" descr="@5C\QPendientes@">
          <a:extLst>
            <a:ext uri="{FF2B5EF4-FFF2-40B4-BE49-F238E27FC236}">
              <a16:creationId xmlns:a16="http://schemas.microsoft.com/office/drawing/2014/main" id="{C142DF89-8E9F-41EF-B403-CA9FF3F96B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8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3373" name="Picture@5C\QPendientes@" descr="@5C\QPendientes@">
          <a:extLst>
            <a:ext uri="{FF2B5EF4-FFF2-40B4-BE49-F238E27FC236}">
              <a16:creationId xmlns:a16="http://schemas.microsoft.com/office/drawing/2014/main" id="{A5717BD6-23AD-4136-ADD6-C67C6AFF00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0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3374" name="Picture@5C\QPendientes@" descr="@5C\QPendientes@">
          <a:extLst>
            <a:ext uri="{FF2B5EF4-FFF2-40B4-BE49-F238E27FC236}">
              <a16:creationId xmlns:a16="http://schemas.microsoft.com/office/drawing/2014/main" id="{F422C66F-9D68-49C6-AF8D-BD09A7B5AA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2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3375" name="Picture@5C\QPendientes@" descr="@5C\QPendientes@">
          <a:extLst>
            <a:ext uri="{FF2B5EF4-FFF2-40B4-BE49-F238E27FC236}">
              <a16:creationId xmlns:a16="http://schemas.microsoft.com/office/drawing/2014/main" id="{D886A38D-E074-4BD4-BB4F-5D1F8D030C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4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3376" name="Picture@5C\QPendientes@" descr="@5C\QPendientes@">
          <a:extLst>
            <a:ext uri="{FF2B5EF4-FFF2-40B4-BE49-F238E27FC236}">
              <a16:creationId xmlns:a16="http://schemas.microsoft.com/office/drawing/2014/main" id="{6481DC5D-74A1-447C-B239-DEFB8D681A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6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3377" name="Picture@5C\QPendientes@" descr="@5C\QPendientes@">
          <a:extLst>
            <a:ext uri="{FF2B5EF4-FFF2-40B4-BE49-F238E27FC236}">
              <a16:creationId xmlns:a16="http://schemas.microsoft.com/office/drawing/2014/main" id="{46768593-B6EC-4DB4-8DAF-04B62F1EB2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7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3378" name="Picture@5C\QPendientes@" descr="@5C\QPendientes@">
          <a:extLst>
            <a:ext uri="{FF2B5EF4-FFF2-40B4-BE49-F238E27FC236}">
              <a16:creationId xmlns:a16="http://schemas.microsoft.com/office/drawing/2014/main" id="{3404DC7D-AE1B-45B0-B340-C20EAB6691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9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3379" name="Picture@5C\QPendientes@" descr="@5C\QPendientes@">
          <a:extLst>
            <a:ext uri="{FF2B5EF4-FFF2-40B4-BE49-F238E27FC236}">
              <a16:creationId xmlns:a16="http://schemas.microsoft.com/office/drawing/2014/main" id="{9A203F6E-84E2-4E21-BD61-319ED2F109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3380" name="Picture@5C\QPendientes@" descr="@5C\QPendientes@">
          <a:extLst>
            <a:ext uri="{FF2B5EF4-FFF2-40B4-BE49-F238E27FC236}">
              <a16:creationId xmlns:a16="http://schemas.microsoft.com/office/drawing/2014/main" id="{C2D8F2F6-DECD-4A07-9709-BD4754FDFE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3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3381" name="Picture@5C\QPendientes@" descr="@5C\QPendientes@">
          <a:extLst>
            <a:ext uri="{FF2B5EF4-FFF2-40B4-BE49-F238E27FC236}">
              <a16:creationId xmlns:a16="http://schemas.microsoft.com/office/drawing/2014/main" id="{668F6BBF-5797-474B-AD77-CDFB5CF4D0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5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3382" name="Picture@5C\QPendientes@" descr="@5C\QPendientes@">
          <a:extLst>
            <a:ext uri="{FF2B5EF4-FFF2-40B4-BE49-F238E27FC236}">
              <a16:creationId xmlns:a16="http://schemas.microsoft.com/office/drawing/2014/main" id="{FBC073A1-7155-4B36-94A8-6C32A46A52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7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3383" name="Picture@5C\QPendientes@" descr="@5C\QPendientes@">
          <a:extLst>
            <a:ext uri="{FF2B5EF4-FFF2-40B4-BE49-F238E27FC236}">
              <a16:creationId xmlns:a16="http://schemas.microsoft.com/office/drawing/2014/main" id="{424035DF-5459-48D9-81C5-9C357A68B2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8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3384" name="Picture@5C\QPendientes@" descr="@5C\QPendientes@">
          <a:extLst>
            <a:ext uri="{FF2B5EF4-FFF2-40B4-BE49-F238E27FC236}">
              <a16:creationId xmlns:a16="http://schemas.microsoft.com/office/drawing/2014/main" id="{CB7DFF3E-2C49-4152-A2DB-975E1BE751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0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3385" name="Picture@5C\QPendientes@" descr="@5C\QPendientes@">
          <a:extLst>
            <a:ext uri="{FF2B5EF4-FFF2-40B4-BE49-F238E27FC236}">
              <a16:creationId xmlns:a16="http://schemas.microsoft.com/office/drawing/2014/main" id="{92E82233-0983-4DE3-BD4A-367D05045A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2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3386" name="Picture@5C\QPendientes@" descr="@5C\QPendientes@">
          <a:extLst>
            <a:ext uri="{FF2B5EF4-FFF2-40B4-BE49-F238E27FC236}">
              <a16:creationId xmlns:a16="http://schemas.microsoft.com/office/drawing/2014/main" id="{CD7686C8-C258-4E3F-B2BD-12B0A7DE1E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4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3387" name="Picture@5C\QPendientes@" descr="@5C\QPendientes@">
          <a:extLst>
            <a:ext uri="{FF2B5EF4-FFF2-40B4-BE49-F238E27FC236}">
              <a16:creationId xmlns:a16="http://schemas.microsoft.com/office/drawing/2014/main" id="{7A7A8496-0561-4D7B-9189-CDEE278CA8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6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3388" name="Picture@5C\QPendientes@" descr="@5C\QPendientes@">
          <a:extLst>
            <a:ext uri="{FF2B5EF4-FFF2-40B4-BE49-F238E27FC236}">
              <a16:creationId xmlns:a16="http://schemas.microsoft.com/office/drawing/2014/main" id="{4183F365-45CD-4490-9261-E5693993CC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7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3389" name="Picture@5C\QPendientes@" descr="@5C\QPendientes@">
          <a:extLst>
            <a:ext uri="{FF2B5EF4-FFF2-40B4-BE49-F238E27FC236}">
              <a16:creationId xmlns:a16="http://schemas.microsoft.com/office/drawing/2014/main" id="{40BC9A94-F4E0-4703-85C2-6B72FAE20A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3390" name="Picture@5C\QPendientes@" descr="@5C\QPendientes@">
          <a:extLst>
            <a:ext uri="{FF2B5EF4-FFF2-40B4-BE49-F238E27FC236}">
              <a16:creationId xmlns:a16="http://schemas.microsoft.com/office/drawing/2014/main" id="{2ABB3DEA-C606-404C-9B18-B3BDF4C842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1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3391" name="Picture@5C\QPendientes@" descr="@5C\QPendientes@">
          <a:extLst>
            <a:ext uri="{FF2B5EF4-FFF2-40B4-BE49-F238E27FC236}">
              <a16:creationId xmlns:a16="http://schemas.microsoft.com/office/drawing/2014/main" id="{676B8491-6ED9-4BCB-85FD-3507D08ABD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3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3392" name="Picture@5C\QPendientes@" descr="@5C\QPendientes@">
          <a:extLst>
            <a:ext uri="{FF2B5EF4-FFF2-40B4-BE49-F238E27FC236}">
              <a16:creationId xmlns:a16="http://schemas.microsoft.com/office/drawing/2014/main" id="{C3056EDF-DAD1-41FD-8815-C1955349AD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5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3393" name="Picture@5C\QPendientes@" descr="@5C\QPendientes@">
          <a:extLst>
            <a:ext uri="{FF2B5EF4-FFF2-40B4-BE49-F238E27FC236}">
              <a16:creationId xmlns:a16="http://schemas.microsoft.com/office/drawing/2014/main" id="{57C35009-754E-4346-B24B-D46C7718BA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7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3394" name="Picture@5C\QPendientes@" descr="@5C\QPendientes@">
          <a:extLst>
            <a:ext uri="{FF2B5EF4-FFF2-40B4-BE49-F238E27FC236}">
              <a16:creationId xmlns:a16="http://schemas.microsoft.com/office/drawing/2014/main" id="{25C49571-60DF-43E2-BC5A-BC1727E630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8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3395" name="Picture@5C\QPendientes@" descr="@5C\QPendientes@">
          <a:extLst>
            <a:ext uri="{FF2B5EF4-FFF2-40B4-BE49-F238E27FC236}">
              <a16:creationId xmlns:a16="http://schemas.microsoft.com/office/drawing/2014/main" id="{F8CD614E-E14B-4532-8B54-862615D948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0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3396" name="Picture@5C\QPendientes@" descr="@5C\QPendientes@">
          <a:extLst>
            <a:ext uri="{FF2B5EF4-FFF2-40B4-BE49-F238E27FC236}">
              <a16:creationId xmlns:a16="http://schemas.microsoft.com/office/drawing/2014/main" id="{F49580BD-991D-4932-A4C5-D2ACA2D8EE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2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3397" name="Picture@5C\QPendientes@" descr="@5C\QPendientes@">
          <a:extLst>
            <a:ext uri="{FF2B5EF4-FFF2-40B4-BE49-F238E27FC236}">
              <a16:creationId xmlns:a16="http://schemas.microsoft.com/office/drawing/2014/main" id="{F712CD63-CEE2-4AB0-9D8B-460A209EF6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4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3398" name="Picture@5C\QPendientes@" descr="@5C\QPendientes@">
          <a:extLst>
            <a:ext uri="{FF2B5EF4-FFF2-40B4-BE49-F238E27FC236}">
              <a16:creationId xmlns:a16="http://schemas.microsoft.com/office/drawing/2014/main" id="{088D17DA-4CD6-4C2E-8475-C51CDC9361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6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3399" name="Picture@5C\QPendientes@" descr="@5C\QPendientes@">
          <a:extLst>
            <a:ext uri="{FF2B5EF4-FFF2-40B4-BE49-F238E27FC236}">
              <a16:creationId xmlns:a16="http://schemas.microsoft.com/office/drawing/2014/main" id="{A096E4D2-2B4F-4136-A64A-E7E159EE22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3400" name="Picture@5C\QPendientes@" descr="@5C\QPendientes@">
          <a:extLst>
            <a:ext uri="{FF2B5EF4-FFF2-40B4-BE49-F238E27FC236}">
              <a16:creationId xmlns:a16="http://schemas.microsoft.com/office/drawing/2014/main" id="{2F9CC5BE-96A8-46CD-9BA8-B0BFB9E6B3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9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3401" name="Picture@5C\QPendientes@" descr="@5C\QPendientes@">
          <a:extLst>
            <a:ext uri="{FF2B5EF4-FFF2-40B4-BE49-F238E27FC236}">
              <a16:creationId xmlns:a16="http://schemas.microsoft.com/office/drawing/2014/main" id="{51AD7D81-E8FC-4448-90C3-BB164ED729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1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3402" name="Picture@5C\QPendientes@" descr="@5C\QPendientes@">
          <a:extLst>
            <a:ext uri="{FF2B5EF4-FFF2-40B4-BE49-F238E27FC236}">
              <a16:creationId xmlns:a16="http://schemas.microsoft.com/office/drawing/2014/main" id="{C5CC1E50-9E1C-4B1B-8CCB-C3B8938B45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3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3403" name="Picture@5C\QPendientes@" descr="@5C\QPendientes@">
          <a:extLst>
            <a:ext uri="{FF2B5EF4-FFF2-40B4-BE49-F238E27FC236}">
              <a16:creationId xmlns:a16="http://schemas.microsoft.com/office/drawing/2014/main" id="{7DD0CCEE-F6EE-4AAA-97B5-3AF55D08E8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5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3404" name="Picture@5C\QPendientes@" descr="@5C\QPendientes@">
          <a:extLst>
            <a:ext uri="{FF2B5EF4-FFF2-40B4-BE49-F238E27FC236}">
              <a16:creationId xmlns:a16="http://schemas.microsoft.com/office/drawing/2014/main" id="{26E0FD12-97F8-4A64-886D-FD274D5452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7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3405" name="Picture@5C\QPendientes@" descr="@5C\QPendientes@">
          <a:extLst>
            <a:ext uri="{FF2B5EF4-FFF2-40B4-BE49-F238E27FC236}">
              <a16:creationId xmlns:a16="http://schemas.microsoft.com/office/drawing/2014/main" id="{24C09DCB-4CFB-45D8-9848-1639D20E3D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9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3406" name="Picture@5C\QPendientes@" descr="@5C\QPendientes@">
          <a:extLst>
            <a:ext uri="{FF2B5EF4-FFF2-40B4-BE49-F238E27FC236}">
              <a16:creationId xmlns:a16="http://schemas.microsoft.com/office/drawing/2014/main" id="{48A3AF1F-A308-4C6D-ADF8-A4987F0873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0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3407" name="Picture@5C\QPendientes@" descr="@5C\QPendientes@">
          <a:extLst>
            <a:ext uri="{FF2B5EF4-FFF2-40B4-BE49-F238E27FC236}">
              <a16:creationId xmlns:a16="http://schemas.microsoft.com/office/drawing/2014/main" id="{0A17BE5C-CFD6-4EDB-A60C-1B98EA4BF8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2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3408" name="Picture@5C\QPendientes@" descr="@5C\QPendientes@">
          <a:extLst>
            <a:ext uri="{FF2B5EF4-FFF2-40B4-BE49-F238E27FC236}">
              <a16:creationId xmlns:a16="http://schemas.microsoft.com/office/drawing/2014/main" id="{24AAA5B4-6B33-4C43-8E8B-365AE05E3C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4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3409" name="Picture@5C\QPendientes@" descr="@5C\QPendientes@">
          <a:extLst>
            <a:ext uri="{FF2B5EF4-FFF2-40B4-BE49-F238E27FC236}">
              <a16:creationId xmlns:a16="http://schemas.microsoft.com/office/drawing/2014/main" id="{DF042867-674E-4448-9C08-AA54DBA8C7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3410" name="Picture@5C\QPendientes@" descr="@5C\QPendientes@">
          <a:extLst>
            <a:ext uri="{FF2B5EF4-FFF2-40B4-BE49-F238E27FC236}">
              <a16:creationId xmlns:a16="http://schemas.microsoft.com/office/drawing/2014/main" id="{28DEF201-91AA-4CAF-A3BB-A4BB7BBBF6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8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3411" name="Picture@5C\QPendientes@" descr="@5C\QPendientes@">
          <a:extLst>
            <a:ext uri="{FF2B5EF4-FFF2-40B4-BE49-F238E27FC236}">
              <a16:creationId xmlns:a16="http://schemas.microsoft.com/office/drawing/2014/main" id="{E23EFC5C-2C13-43B0-B266-B39CFB673F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0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3412" name="Picture@5C\QPendientes@" descr="@5C\QPendientes@">
          <a:extLst>
            <a:ext uri="{FF2B5EF4-FFF2-40B4-BE49-F238E27FC236}">
              <a16:creationId xmlns:a16="http://schemas.microsoft.com/office/drawing/2014/main" id="{5FB175E4-24AD-4E0F-921F-E48303B8B2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1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3413" name="Picture@5C\QPendientes@" descr="@5C\QPendientes@">
          <a:extLst>
            <a:ext uri="{FF2B5EF4-FFF2-40B4-BE49-F238E27FC236}">
              <a16:creationId xmlns:a16="http://schemas.microsoft.com/office/drawing/2014/main" id="{08350192-917C-4EA7-8541-3970964F17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3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3414" name="Picture@5C\QPendientes@" descr="@5C\QPendientes@">
          <a:extLst>
            <a:ext uri="{FF2B5EF4-FFF2-40B4-BE49-F238E27FC236}">
              <a16:creationId xmlns:a16="http://schemas.microsoft.com/office/drawing/2014/main" id="{7578D5D9-3412-4413-9DEE-1D94759EA9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5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3415" name="Picture@5C\QPendientes@" descr="@5C\QPendientes@">
          <a:extLst>
            <a:ext uri="{FF2B5EF4-FFF2-40B4-BE49-F238E27FC236}">
              <a16:creationId xmlns:a16="http://schemas.microsoft.com/office/drawing/2014/main" id="{7E6CE9C4-1F0A-4DF7-ACFE-15E282E461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7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3416" name="Picture@5C\QPendientes@" descr="@5C\QPendientes@">
          <a:extLst>
            <a:ext uri="{FF2B5EF4-FFF2-40B4-BE49-F238E27FC236}">
              <a16:creationId xmlns:a16="http://schemas.microsoft.com/office/drawing/2014/main" id="{A29EB6B6-10C3-4015-A624-E24776AF38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9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3417" name="Picture@5C\QPendientes@" descr="@5C\QPendientes@">
          <a:extLst>
            <a:ext uri="{FF2B5EF4-FFF2-40B4-BE49-F238E27FC236}">
              <a16:creationId xmlns:a16="http://schemas.microsoft.com/office/drawing/2014/main" id="{740B0CD0-9934-493B-BEC1-3A40AE97FC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1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3418" name="Picture@5C\QPendientes@" descr="@5C\QPendientes@">
          <a:extLst>
            <a:ext uri="{FF2B5EF4-FFF2-40B4-BE49-F238E27FC236}">
              <a16:creationId xmlns:a16="http://schemas.microsoft.com/office/drawing/2014/main" id="{9B941A89-4D24-49D1-9A14-541AC5CD14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2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3419" name="Picture@5C\QPendientes@" descr="@5C\QPendientes@">
          <a:extLst>
            <a:ext uri="{FF2B5EF4-FFF2-40B4-BE49-F238E27FC236}">
              <a16:creationId xmlns:a16="http://schemas.microsoft.com/office/drawing/2014/main" id="{8BB73CB8-7733-445A-AF55-293EEDBEB4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3420" name="Picture@5C\QPendientes@" descr="@5C\QPendientes@">
          <a:extLst>
            <a:ext uri="{FF2B5EF4-FFF2-40B4-BE49-F238E27FC236}">
              <a16:creationId xmlns:a16="http://schemas.microsoft.com/office/drawing/2014/main" id="{F75437C8-776B-4E37-A3E2-C586CC91BF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6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3421" name="Picture@5C\QPendientes@" descr="@5C\QPendientes@">
          <a:extLst>
            <a:ext uri="{FF2B5EF4-FFF2-40B4-BE49-F238E27FC236}">
              <a16:creationId xmlns:a16="http://schemas.microsoft.com/office/drawing/2014/main" id="{481E338B-7B85-49FF-B122-23134A2397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8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3422" name="Picture@5C\QPendientes@" descr="@5C\QPendientes@">
          <a:extLst>
            <a:ext uri="{FF2B5EF4-FFF2-40B4-BE49-F238E27FC236}">
              <a16:creationId xmlns:a16="http://schemas.microsoft.com/office/drawing/2014/main" id="{344803DF-E23E-4452-A2C7-3CDA4AB408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0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3423" name="Picture@5C\QPendientes@" descr="@5C\QPendientes@">
          <a:extLst>
            <a:ext uri="{FF2B5EF4-FFF2-40B4-BE49-F238E27FC236}">
              <a16:creationId xmlns:a16="http://schemas.microsoft.com/office/drawing/2014/main" id="{79DB3549-2AB4-4F36-B396-1CC05F0E30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1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3424" name="Picture@5C\QPendientes@" descr="@5C\QPendientes@">
          <a:extLst>
            <a:ext uri="{FF2B5EF4-FFF2-40B4-BE49-F238E27FC236}">
              <a16:creationId xmlns:a16="http://schemas.microsoft.com/office/drawing/2014/main" id="{B9240A2F-D80A-4D93-9410-FAC2673A4C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3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3425" name="Picture@5C\QPendientes@" descr="@5C\QPendientes@">
          <a:extLst>
            <a:ext uri="{FF2B5EF4-FFF2-40B4-BE49-F238E27FC236}">
              <a16:creationId xmlns:a16="http://schemas.microsoft.com/office/drawing/2014/main" id="{D37A86DF-EACB-47B5-AC05-4710DDC415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5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3426" name="Picture@5C\QPendientes@" descr="@5C\QPendientes@">
          <a:extLst>
            <a:ext uri="{FF2B5EF4-FFF2-40B4-BE49-F238E27FC236}">
              <a16:creationId xmlns:a16="http://schemas.microsoft.com/office/drawing/2014/main" id="{01BA4F52-DD41-4432-9153-BF5BD0625C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7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3427" name="Picture@5C\QPendientes@" descr="@5C\QPendientes@">
          <a:extLst>
            <a:ext uri="{FF2B5EF4-FFF2-40B4-BE49-F238E27FC236}">
              <a16:creationId xmlns:a16="http://schemas.microsoft.com/office/drawing/2014/main" id="{4F8B415C-DA1B-4363-B201-F78661711A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9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3428" name="Picture@5C\QPendientes@" descr="@5C\QPendientes@">
          <a:extLst>
            <a:ext uri="{FF2B5EF4-FFF2-40B4-BE49-F238E27FC236}">
              <a16:creationId xmlns:a16="http://schemas.microsoft.com/office/drawing/2014/main" id="{5438E1F7-C46D-4CBD-B6CC-9A9BD5DF6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1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3429" name="Picture@5C\QPendientes@" descr="@5C\QPendientes@">
          <a:extLst>
            <a:ext uri="{FF2B5EF4-FFF2-40B4-BE49-F238E27FC236}">
              <a16:creationId xmlns:a16="http://schemas.microsoft.com/office/drawing/2014/main" id="{2C62CAB8-37D8-4F45-98A1-77A0EFF8A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3430" name="Picture@5C\QPendientes@" descr="@5C\QPendientes@">
          <a:extLst>
            <a:ext uri="{FF2B5EF4-FFF2-40B4-BE49-F238E27FC236}">
              <a16:creationId xmlns:a16="http://schemas.microsoft.com/office/drawing/2014/main" id="{0B4B5982-3316-467A-8328-0F6E49223A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4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3431" name="Picture@5C\QPendientes@" descr="@5C\QPendientes@">
          <a:extLst>
            <a:ext uri="{FF2B5EF4-FFF2-40B4-BE49-F238E27FC236}">
              <a16:creationId xmlns:a16="http://schemas.microsoft.com/office/drawing/2014/main" id="{5EAEA9E1-8103-46BA-8773-278AD37282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6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3432" name="Picture@5C\QPendientes@" descr="@5C\QPendientes@">
          <a:extLst>
            <a:ext uri="{FF2B5EF4-FFF2-40B4-BE49-F238E27FC236}">
              <a16:creationId xmlns:a16="http://schemas.microsoft.com/office/drawing/2014/main" id="{B23EBED2-AD66-4549-9D1D-154EF84376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8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3433" name="Picture@5C\QPendientes@" descr="@5C\QPendientes@">
          <a:extLst>
            <a:ext uri="{FF2B5EF4-FFF2-40B4-BE49-F238E27FC236}">
              <a16:creationId xmlns:a16="http://schemas.microsoft.com/office/drawing/2014/main" id="{8A3548D1-97D7-4126-AF05-A22A16FBB3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0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3434" name="Picture@5C\QPendientes@" descr="@5C\QPendientes@">
          <a:extLst>
            <a:ext uri="{FF2B5EF4-FFF2-40B4-BE49-F238E27FC236}">
              <a16:creationId xmlns:a16="http://schemas.microsoft.com/office/drawing/2014/main" id="{EBCC33F4-9DDD-49FC-8746-130A25F0A5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2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3435" name="Picture@5C\QPendientes@" descr="@5C\QPendientes@">
          <a:extLst>
            <a:ext uri="{FF2B5EF4-FFF2-40B4-BE49-F238E27FC236}">
              <a16:creationId xmlns:a16="http://schemas.microsoft.com/office/drawing/2014/main" id="{43A2388F-9B6F-482A-91C4-CE5E13D1C1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3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3436" name="Picture@5C\QPendientes@" descr="@5C\QPendientes@">
          <a:extLst>
            <a:ext uri="{FF2B5EF4-FFF2-40B4-BE49-F238E27FC236}">
              <a16:creationId xmlns:a16="http://schemas.microsoft.com/office/drawing/2014/main" id="{BE73A86B-350C-4E72-859C-2EEC5AA223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5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3437" name="Picture@5C\QPendientes@" descr="@5C\QPendientes@">
          <a:extLst>
            <a:ext uri="{FF2B5EF4-FFF2-40B4-BE49-F238E27FC236}">
              <a16:creationId xmlns:a16="http://schemas.microsoft.com/office/drawing/2014/main" id="{021F2236-A6AD-4349-BB90-BF28E88EDB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7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3438" name="Picture@5C\QPendientes@" descr="@5C\QPendientes@">
          <a:extLst>
            <a:ext uri="{FF2B5EF4-FFF2-40B4-BE49-F238E27FC236}">
              <a16:creationId xmlns:a16="http://schemas.microsoft.com/office/drawing/2014/main" id="{81740754-3B0F-425A-AAD1-463FC1B149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9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3439" name="Picture@5C\QPendientes@" descr="@5C\QPendientes@">
          <a:extLst>
            <a:ext uri="{FF2B5EF4-FFF2-40B4-BE49-F238E27FC236}">
              <a16:creationId xmlns:a16="http://schemas.microsoft.com/office/drawing/2014/main" id="{4E2E8AE0-ABD0-4266-8A34-8C1161CD8A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3440" name="Picture@5C\QPendientes@" descr="@5C\QPendientes@">
          <a:extLst>
            <a:ext uri="{FF2B5EF4-FFF2-40B4-BE49-F238E27FC236}">
              <a16:creationId xmlns:a16="http://schemas.microsoft.com/office/drawing/2014/main" id="{CCC981F0-DFEA-4B28-B76D-2CB58F2B2A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3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3441" name="Picture@5C\QPendientes@" descr="@5C\QPendientes@">
          <a:extLst>
            <a:ext uri="{FF2B5EF4-FFF2-40B4-BE49-F238E27FC236}">
              <a16:creationId xmlns:a16="http://schemas.microsoft.com/office/drawing/2014/main" id="{A4CBD886-44E8-437C-A306-6E6198A64F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4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3442" name="Picture@5C\QPendientes@" descr="@5C\QPendientes@">
          <a:extLst>
            <a:ext uri="{FF2B5EF4-FFF2-40B4-BE49-F238E27FC236}">
              <a16:creationId xmlns:a16="http://schemas.microsoft.com/office/drawing/2014/main" id="{67F28081-7CB9-45EB-982B-A7096DB8B8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6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3443" name="Picture@5C\QPendientes@" descr="@5C\QPendientes@">
          <a:extLst>
            <a:ext uri="{FF2B5EF4-FFF2-40B4-BE49-F238E27FC236}">
              <a16:creationId xmlns:a16="http://schemas.microsoft.com/office/drawing/2014/main" id="{9A57B231-1725-484C-9BD3-412C39CBDB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8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3444" name="Picture@5C\QPendientes@" descr="@5C\QPendientes@">
          <a:extLst>
            <a:ext uri="{FF2B5EF4-FFF2-40B4-BE49-F238E27FC236}">
              <a16:creationId xmlns:a16="http://schemas.microsoft.com/office/drawing/2014/main" id="{FF0C448F-A44D-45BA-90A6-5AAF7A7993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0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3445" name="Picture@5C\QPendientes@" descr="@5C\QPendientes@">
          <a:extLst>
            <a:ext uri="{FF2B5EF4-FFF2-40B4-BE49-F238E27FC236}">
              <a16:creationId xmlns:a16="http://schemas.microsoft.com/office/drawing/2014/main" id="{ABE756D0-F4F0-4542-9F96-A7F770EA26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2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3446" name="Picture@5C\QPendientes@" descr="@5C\QPendientes@">
          <a:extLst>
            <a:ext uri="{FF2B5EF4-FFF2-40B4-BE49-F238E27FC236}">
              <a16:creationId xmlns:a16="http://schemas.microsoft.com/office/drawing/2014/main" id="{DD92B8F9-D12F-4BCF-9CC2-DCE60E444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4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3447" name="Picture@5C\QPendientes@" descr="@5C\QPendientes@">
          <a:extLst>
            <a:ext uri="{FF2B5EF4-FFF2-40B4-BE49-F238E27FC236}">
              <a16:creationId xmlns:a16="http://schemas.microsoft.com/office/drawing/2014/main" id="{EFF77244-7A28-4E5A-B788-D7CD43BF80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5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3448" name="Picture@5C\QPendientes@" descr="@5C\QPendientes@">
          <a:extLst>
            <a:ext uri="{FF2B5EF4-FFF2-40B4-BE49-F238E27FC236}">
              <a16:creationId xmlns:a16="http://schemas.microsoft.com/office/drawing/2014/main" id="{8F6D384E-2FCC-488A-8CB3-F9B386805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7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3449" name="Picture@5C\QPendientes@" descr="@5C\QPendientes@">
          <a:extLst>
            <a:ext uri="{FF2B5EF4-FFF2-40B4-BE49-F238E27FC236}">
              <a16:creationId xmlns:a16="http://schemas.microsoft.com/office/drawing/2014/main" id="{96AD7567-5B09-459A-B87A-3E84717FA4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3450" name="Picture@5C\QPendientes@" descr="@5C\QPendientes@">
          <a:extLst>
            <a:ext uri="{FF2B5EF4-FFF2-40B4-BE49-F238E27FC236}">
              <a16:creationId xmlns:a16="http://schemas.microsoft.com/office/drawing/2014/main" id="{6125ED03-8558-4D63-82DA-EE2943DFD2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1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3451" name="Picture@5C\QPendientes@" descr="@5C\QPendientes@">
          <a:extLst>
            <a:ext uri="{FF2B5EF4-FFF2-40B4-BE49-F238E27FC236}">
              <a16:creationId xmlns:a16="http://schemas.microsoft.com/office/drawing/2014/main" id="{1D5F7E97-B7EC-4F68-AE3F-1FE2273D4D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3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3452" name="Picture@5C\QPendientes@" descr="@5C\QPendientes@">
          <a:extLst>
            <a:ext uri="{FF2B5EF4-FFF2-40B4-BE49-F238E27FC236}">
              <a16:creationId xmlns:a16="http://schemas.microsoft.com/office/drawing/2014/main" id="{7790D92E-9CCA-4BEA-86D2-4BF3E742E5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5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3453" name="Picture@5C\QPendientes@" descr="@5C\QPendientes@">
          <a:extLst>
            <a:ext uri="{FF2B5EF4-FFF2-40B4-BE49-F238E27FC236}">
              <a16:creationId xmlns:a16="http://schemas.microsoft.com/office/drawing/2014/main" id="{CE94AB82-64C1-459E-8D98-C43B178101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6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3454" name="Picture@5C\QPendientes@" descr="@5C\QPendientes@">
          <a:extLst>
            <a:ext uri="{FF2B5EF4-FFF2-40B4-BE49-F238E27FC236}">
              <a16:creationId xmlns:a16="http://schemas.microsoft.com/office/drawing/2014/main" id="{9F388DF4-367B-4216-81F4-4CCB471EAD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8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3455" name="Picture@5C\QPendientes@" descr="@5C\QPendientes@">
          <a:extLst>
            <a:ext uri="{FF2B5EF4-FFF2-40B4-BE49-F238E27FC236}">
              <a16:creationId xmlns:a16="http://schemas.microsoft.com/office/drawing/2014/main" id="{5AB29835-3E17-449B-ABC5-BD215DA71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0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3456" name="Picture@5C\QPendientes@" descr="@5C\QPendientes@">
          <a:extLst>
            <a:ext uri="{FF2B5EF4-FFF2-40B4-BE49-F238E27FC236}">
              <a16:creationId xmlns:a16="http://schemas.microsoft.com/office/drawing/2014/main" id="{A060B1ED-946F-47A0-8F65-5BC9F3E4AC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2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3457" name="Picture@5C\QPendientes@" descr="@5C\QPendientes@">
          <a:extLst>
            <a:ext uri="{FF2B5EF4-FFF2-40B4-BE49-F238E27FC236}">
              <a16:creationId xmlns:a16="http://schemas.microsoft.com/office/drawing/2014/main" id="{F627ED5D-31D9-47DE-8201-78E300F883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4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3458" name="Picture@5C\QPendientes@" descr="@5C\QPendientes@">
          <a:extLst>
            <a:ext uri="{FF2B5EF4-FFF2-40B4-BE49-F238E27FC236}">
              <a16:creationId xmlns:a16="http://schemas.microsoft.com/office/drawing/2014/main" id="{6D052A90-4EE6-4568-9E89-37DDAF52CB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5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3459" name="Picture@5C\QPendientes@" descr="@5C\QPendientes@">
          <a:extLst>
            <a:ext uri="{FF2B5EF4-FFF2-40B4-BE49-F238E27FC236}">
              <a16:creationId xmlns:a16="http://schemas.microsoft.com/office/drawing/2014/main" id="{6B51F86D-2944-4F40-8E7C-2C9E5C11E8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3460" name="Picture@5C\QPendientes@" descr="@5C\QPendientes@">
          <a:extLst>
            <a:ext uri="{FF2B5EF4-FFF2-40B4-BE49-F238E27FC236}">
              <a16:creationId xmlns:a16="http://schemas.microsoft.com/office/drawing/2014/main" id="{6D96D217-2D23-4296-A0BE-9500442919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9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3461" name="Picture@5C\QPendientes@" descr="@5C\QPendientes@">
          <a:extLst>
            <a:ext uri="{FF2B5EF4-FFF2-40B4-BE49-F238E27FC236}">
              <a16:creationId xmlns:a16="http://schemas.microsoft.com/office/drawing/2014/main" id="{F597BDDE-DF1D-40A0-986C-30C446FB36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1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3462" name="Picture@5C\QPendientes@" descr="@5C\QPendientes@">
          <a:extLst>
            <a:ext uri="{FF2B5EF4-FFF2-40B4-BE49-F238E27FC236}">
              <a16:creationId xmlns:a16="http://schemas.microsoft.com/office/drawing/2014/main" id="{0CB7E37A-9B09-4098-BBFF-B95697A202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3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3463" name="Picture@5C\QPendientes@" descr="@5C\QPendientes@">
          <a:extLst>
            <a:ext uri="{FF2B5EF4-FFF2-40B4-BE49-F238E27FC236}">
              <a16:creationId xmlns:a16="http://schemas.microsoft.com/office/drawing/2014/main" id="{43D11F5E-8486-4075-82BF-5D6C76FFAA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5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3464" name="Picture@5C\QPendientes@" descr="@5C\QPendientes@">
          <a:extLst>
            <a:ext uri="{FF2B5EF4-FFF2-40B4-BE49-F238E27FC236}">
              <a16:creationId xmlns:a16="http://schemas.microsoft.com/office/drawing/2014/main" id="{389AF011-9E4A-4A0A-B764-450F819599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6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3465" name="Picture@5C\QPendientes@" descr="@5C\QPendientes@">
          <a:extLst>
            <a:ext uri="{FF2B5EF4-FFF2-40B4-BE49-F238E27FC236}">
              <a16:creationId xmlns:a16="http://schemas.microsoft.com/office/drawing/2014/main" id="{093EE166-8F13-45DA-909E-AB9BF176AE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8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3466" name="Picture@5C\QPendientes@" descr="@5C\QPendientes@">
          <a:extLst>
            <a:ext uri="{FF2B5EF4-FFF2-40B4-BE49-F238E27FC236}">
              <a16:creationId xmlns:a16="http://schemas.microsoft.com/office/drawing/2014/main" id="{81E48682-CC51-4AA3-95B6-87F9BB6BD3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0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3467" name="Picture@5C\QPendientes@" descr="@5C\QPendientes@">
          <a:extLst>
            <a:ext uri="{FF2B5EF4-FFF2-40B4-BE49-F238E27FC236}">
              <a16:creationId xmlns:a16="http://schemas.microsoft.com/office/drawing/2014/main" id="{DB888947-B4ED-4274-B851-964AD6233F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2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3468" name="Picture@5C\QPendientes@" descr="@5C\QPendientes@">
          <a:extLst>
            <a:ext uri="{FF2B5EF4-FFF2-40B4-BE49-F238E27FC236}">
              <a16:creationId xmlns:a16="http://schemas.microsoft.com/office/drawing/2014/main" id="{73E4AF82-1DDD-41CD-9C3F-11DDB36C64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4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3469" name="Picture@5C\QPendientes@" descr="@5C\QPendientes@">
          <a:extLst>
            <a:ext uri="{FF2B5EF4-FFF2-40B4-BE49-F238E27FC236}">
              <a16:creationId xmlns:a16="http://schemas.microsoft.com/office/drawing/2014/main" id="{F3BB22A2-B890-443F-A2F4-C2CCDE8AE1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3470" name="Picture@5C\QPendientes@" descr="@5C\QPendientes@">
          <a:extLst>
            <a:ext uri="{FF2B5EF4-FFF2-40B4-BE49-F238E27FC236}">
              <a16:creationId xmlns:a16="http://schemas.microsoft.com/office/drawing/2014/main" id="{D31A12CA-D76E-4028-A50D-EA8029238E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7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3471" name="Picture@5C\QPendientes@" descr="@5C\QPendientes@">
          <a:extLst>
            <a:ext uri="{FF2B5EF4-FFF2-40B4-BE49-F238E27FC236}">
              <a16:creationId xmlns:a16="http://schemas.microsoft.com/office/drawing/2014/main" id="{E47A3C8C-DBCF-40D7-9793-429B434144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9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3472" name="Picture@5C\QPendientes@" descr="@5C\QPendientes@">
          <a:extLst>
            <a:ext uri="{FF2B5EF4-FFF2-40B4-BE49-F238E27FC236}">
              <a16:creationId xmlns:a16="http://schemas.microsoft.com/office/drawing/2014/main" id="{A797EA39-3996-4478-AEE0-493359A29B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1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3473" name="Picture@5C\QPendientes@" descr="@5C\QPendientes@">
          <a:extLst>
            <a:ext uri="{FF2B5EF4-FFF2-40B4-BE49-F238E27FC236}">
              <a16:creationId xmlns:a16="http://schemas.microsoft.com/office/drawing/2014/main" id="{51995D75-9D73-45EB-BE01-2918A80DEF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3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3474" name="Picture@5C\QPendientes@" descr="@5C\QPendientes@">
          <a:extLst>
            <a:ext uri="{FF2B5EF4-FFF2-40B4-BE49-F238E27FC236}">
              <a16:creationId xmlns:a16="http://schemas.microsoft.com/office/drawing/2014/main" id="{7F757AE2-6157-4C86-91C6-69FADFE337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5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3475" name="Picture@5C\QPendientes@" descr="@5C\QPendientes@">
          <a:extLst>
            <a:ext uri="{FF2B5EF4-FFF2-40B4-BE49-F238E27FC236}">
              <a16:creationId xmlns:a16="http://schemas.microsoft.com/office/drawing/2014/main" id="{9302C59C-B17B-4C9A-ABB1-1C29FF78C8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7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3476" name="Picture@5C\QPendientes@" descr="@5C\QPendientes@">
          <a:extLst>
            <a:ext uri="{FF2B5EF4-FFF2-40B4-BE49-F238E27FC236}">
              <a16:creationId xmlns:a16="http://schemas.microsoft.com/office/drawing/2014/main" id="{49052566-C86F-4033-B049-DAAF49444E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8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3477" name="Picture@5C\QPendientes@" descr="@5C\QPendientes@">
          <a:extLst>
            <a:ext uri="{FF2B5EF4-FFF2-40B4-BE49-F238E27FC236}">
              <a16:creationId xmlns:a16="http://schemas.microsoft.com/office/drawing/2014/main" id="{1B05410D-FA8A-4509-A630-427415F27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0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3478" name="Picture@5C\QPendientes@" descr="@5C\QPendientes@">
          <a:extLst>
            <a:ext uri="{FF2B5EF4-FFF2-40B4-BE49-F238E27FC236}">
              <a16:creationId xmlns:a16="http://schemas.microsoft.com/office/drawing/2014/main" id="{CA97E1BE-1713-4E67-A52B-2AA6CDCF43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2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3479" name="Picture@5C\QPendientes@" descr="@5C\QPendientes@">
          <a:extLst>
            <a:ext uri="{FF2B5EF4-FFF2-40B4-BE49-F238E27FC236}">
              <a16:creationId xmlns:a16="http://schemas.microsoft.com/office/drawing/2014/main" id="{D202FCF9-8E46-427E-8821-66D56BE00B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3480" name="Picture@5C\QPendientes@" descr="@5C\QPendientes@">
          <a:extLst>
            <a:ext uri="{FF2B5EF4-FFF2-40B4-BE49-F238E27FC236}">
              <a16:creationId xmlns:a16="http://schemas.microsoft.com/office/drawing/2014/main" id="{5CC88802-4E35-4CA1-9498-168BF20FB3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6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3481" name="Picture@5C\QPendientes@" descr="@5C\QPendientes@">
          <a:extLst>
            <a:ext uri="{FF2B5EF4-FFF2-40B4-BE49-F238E27FC236}">
              <a16:creationId xmlns:a16="http://schemas.microsoft.com/office/drawing/2014/main" id="{5BBB97DA-A448-4F14-BBC0-75146492C9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8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3482" name="Picture@5C\QPendientes@" descr="@5C\QPendientes@">
          <a:extLst>
            <a:ext uri="{FF2B5EF4-FFF2-40B4-BE49-F238E27FC236}">
              <a16:creationId xmlns:a16="http://schemas.microsoft.com/office/drawing/2014/main" id="{82D1D343-5598-4041-84B2-38DEAF77D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9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3483" name="Picture@5C\QPendientes@" descr="@5C\QPendientes@">
          <a:extLst>
            <a:ext uri="{FF2B5EF4-FFF2-40B4-BE49-F238E27FC236}">
              <a16:creationId xmlns:a16="http://schemas.microsoft.com/office/drawing/2014/main" id="{FA91C8E6-8157-4759-8AF2-6B7D83159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1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3484" name="Picture@5C\QPendientes@" descr="@5C\QPendientes@">
          <a:extLst>
            <a:ext uri="{FF2B5EF4-FFF2-40B4-BE49-F238E27FC236}">
              <a16:creationId xmlns:a16="http://schemas.microsoft.com/office/drawing/2014/main" id="{97A3C104-8F57-4285-B932-78DD1E1A3E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3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3485" name="Picture@5C\QPendientes@" descr="@5C\QPendientes@">
          <a:extLst>
            <a:ext uri="{FF2B5EF4-FFF2-40B4-BE49-F238E27FC236}">
              <a16:creationId xmlns:a16="http://schemas.microsoft.com/office/drawing/2014/main" id="{CF381878-62F0-43EE-A0F5-712D5D7FA5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5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3486" name="Picture@5C\QPendientes@" descr="@5C\QPendientes@">
          <a:extLst>
            <a:ext uri="{FF2B5EF4-FFF2-40B4-BE49-F238E27FC236}">
              <a16:creationId xmlns:a16="http://schemas.microsoft.com/office/drawing/2014/main" id="{E7B943C2-4FAF-47F0-9EB4-A5A1AC87B4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7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3487" name="Picture@5C\QPendientes@" descr="@5C\QPendientes@">
          <a:extLst>
            <a:ext uri="{FF2B5EF4-FFF2-40B4-BE49-F238E27FC236}">
              <a16:creationId xmlns:a16="http://schemas.microsoft.com/office/drawing/2014/main" id="{454CD519-FC53-4DCC-BE8A-1D3E427DF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9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3488" name="Picture@5C\QPendientes@" descr="@5C\QPendientes@">
          <a:extLst>
            <a:ext uri="{FF2B5EF4-FFF2-40B4-BE49-F238E27FC236}">
              <a16:creationId xmlns:a16="http://schemas.microsoft.com/office/drawing/2014/main" id="{B476B07C-8430-4EA5-8DA6-F65DF396E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0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3489" name="Picture@5C\QPendientes@" descr="@5C\QPendientes@">
          <a:extLst>
            <a:ext uri="{FF2B5EF4-FFF2-40B4-BE49-F238E27FC236}">
              <a16:creationId xmlns:a16="http://schemas.microsoft.com/office/drawing/2014/main" id="{1982B64C-D7EA-46E3-A455-385296239A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3490" name="Picture@5C\QPendientes@" descr="@5C\QPendientes@">
          <a:extLst>
            <a:ext uri="{FF2B5EF4-FFF2-40B4-BE49-F238E27FC236}">
              <a16:creationId xmlns:a16="http://schemas.microsoft.com/office/drawing/2014/main" id="{FBD2F003-25B5-4C7C-8BA5-BFC29F251D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4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3491" name="Picture@5C\QPendientes@" descr="@5C\QPendientes@">
          <a:extLst>
            <a:ext uri="{FF2B5EF4-FFF2-40B4-BE49-F238E27FC236}">
              <a16:creationId xmlns:a16="http://schemas.microsoft.com/office/drawing/2014/main" id="{FD0754B9-D559-48E7-8715-9AAB49C316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6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3492" name="Picture@5C\QPendientes@" descr="@5C\QPendientes@">
          <a:extLst>
            <a:ext uri="{FF2B5EF4-FFF2-40B4-BE49-F238E27FC236}">
              <a16:creationId xmlns:a16="http://schemas.microsoft.com/office/drawing/2014/main" id="{00D87739-9987-47D7-AF8D-97E103A3CA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8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3493" name="Picture@5C\QPendientes@" descr="@5C\QPendientes@">
          <a:extLst>
            <a:ext uri="{FF2B5EF4-FFF2-40B4-BE49-F238E27FC236}">
              <a16:creationId xmlns:a16="http://schemas.microsoft.com/office/drawing/2014/main" id="{E0C3FF9B-E39A-4052-AFD8-013BAB9DD1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0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3494" name="Picture@5C\QPendientes@" descr="@5C\QPendientes@">
          <a:extLst>
            <a:ext uri="{FF2B5EF4-FFF2-40B4-BE49-F238E27FC236}">
              <a16:creationId xmlns:a16="http://schemas.microsoft.com/office/drawing/2014/main" id="{AD20BA65-467A-46DD-A9F9-6A361813E5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1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3495" name="Picture@5C\QPendientes@" descr="@5C\QPendientes@">
          <a:extLst>
            <a:ext uri="{FF2B5EF4-FFF2-40B4-BE49-F238E27FC236}">
              <a16:creationId xmlns:a16="http://schemas.microsoft.com/office/drawing/2014/main" id="{EAE9F289-3823-47AA-BA1E-CC8DCDAC97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3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3496" name="Picture@5C\QPendientes@" descr="@5C\QPendientes@">
          <a:extLst>
            <a:ext uri="{FF2B5EF4-FFF2-40B4-BE49-F238E27FC236}">
              <a16:creationId xmlns:a16="http://schemas.microsoft.com/office/drawing/2014/main" id="{7B09E2B5-2BC6-4FDD-8444-D855BF77F9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5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3497" name="Picture@5C\QPendientes@" descr="@5C\QPendientes@">
          <a:extLst>
            <a:ext uri="{FF2B5EF4-FFF2-40B4-BE49-F238E27FC236}">
              <a16:creationId xmlns:a16="http://schemas.microsoft.com/office/drawing/2014/main" id="{19A70A0F-74F3-4A0A-A4BA-01C9D0B3FC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7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3498" name="Picture@5C\QPendientes@" descr="@5C\QPendientes@">
          <a:extLst>
            <a:ext uri="{FF2B5EF4-FFF2-40B4-BE49-F238E27FC236}">
              <a16:creationId xmlns:a16="http://schemas.microsoft.com/office/drawing/2014/main" id="{FADF63BF-6140-4C11-BC99-23C517103E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9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3499" name="Picture@5C\QPendientes@" descr="@5C\QPendientes@">
          <a:extLst>
            <a:ext uri="{FF2B5EF4-FFF2-40B4-BE49-F238E27FC236}">
              <a16:creationId xmlns:a16="http://schemas.microsoft.com/office/drawing/2014/main" id="{13ED3AC5-5EB1-4A3C-8001-C7246DDEDB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3500" name="Picture@5C\QPendientes@" descr="@5C\QPendientes@">
          <a:extLst>
            <a:ext uri="{FF2B5EF4-FFF2-40B4-BE49-F238E27FC236}">
              <a16:creationId xmlns:a16="http://schemas.microsoft.com/office/drawing/2014/main" id="{CF465495-44D7-468C-8E8D-964384DC7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2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3501" name="Picture@5C\QPendientes@" descr="@5C\QPendientes@">
          <a:extLst>
            <a:ext uri="{FF2B5EF4-FFF2-40B4-BE49-F238E27FC236}">
              <a16:creationId xmlns:a16="http://schemas.microsoft.com/office/drawing/2014/main" id="{1F5C563C-A58D-40A8-B34A-93023E8594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4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3502" name="Picture@5C\QPendientes@" descr="@5C\QPendientes@">
          <a:extLst>
            <a:ext uri="{FF2B5EF4-FFF2-40B4-BE49-F238E27FC236}">
              <a16:creationId xmlns:a16="http://schemas.microsoft.com/office/drawing/2014/main" id="{11719326-C334-4E7A-8320-8A18DE27BC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6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3503" name="Picture@5C\QPendientes@" descr="@5C\QPendientes@">
          <a:extLst>
            <a:ext uri="{FF2B5EF4-FFF2-40B4-BE49-F238E27FC236}">
              <a16:creationId xmlns:a16="http://schemas.microsoft.com/office/drawing/2014/main" id="{E77E8033-C994-4D45-8F7D-776871418A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8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3504" name="Picture@5C\QPendientes@" descr="@5C\QPendientes@">
          <a:extLst>
            <a:ext uri="{FF2B5EF4-FFF2-40B4-BE49-F238E27FC236}">
              <a16:creationId xmlns:a16="http://schemas.microsoft.com/office/drawing/2014/main" id="{6788C1B6-337A-4C17-A5F8-D537305C56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0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3505" name="Picture@5C\QPendientes@" descr="@5C\QPendientes@">
          <a:extLst>
            <a:ext uri="{FF2B5EF4-FFF2-40B4-BE49-F238E27FC236}">
              <a16:creationId xmlns:a16="http://schemas.microsoft.com/office/drawing/2014/main" id="{E2220F77-BB89-4D13-98EA-459050FCB8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1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3506" name="Picture@5C\QPendientes@" descr="@5C\QPendientes@">
          <a:extLst>
            <a:ext uri="{FF2B5EF4-FFF2-40B4-BE49-F238E27FC236}">
              <a16:creationId xmlns:a16="http://schemas.microsoft.com/office/drawing/2014/main" id="{83DFB5CA-B4CC-4AC6-891A-2DC36D4CA9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3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3507" name="Picture@5C\QPendientes@" descr="@5C\QPendientes@">
          <a:extLst>
            <a:ext uri="{FF2B5EF4-FFF2-40B4-BE49-F238E27FC236}">
              <a16:creationId xmlns:a16="http://schemas.microsoft.com/office/drawing/2014/main" id="{A75749F1-127B-44FA-BBE0-1B847A7013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5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3508" name="Picture@5C\QPendientes@" descr="@5C\QPendientes@">
          <a:extLst>
            <a:ext uri="{FF2B5EF4-FFF2-40B4-BE49-F238E27FC236}">
              <a16:creationId xmlns:a16="http://schemas.microsoft.com/office/drawing/2014/main" id="{0A238FD4-98E3-4158-AEB3-59F6658D44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7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3509" name="Picture@5C\QPendientes@" descr="@5C\QPendientes@">
          <a:extLst>
            <a:ext uri="{FF2B5EF4-FFF2-40B4-BE49-F238E27FC236}">
              <a16:creationId xmlns:a16="http://schemas.microsoft.com/office/drawing/2014/main" id="{0F365DF2-D452-4535-BE1B-1A2ACA05DF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3510" name="Picture@5C\QPendientes@" descr="@5C\QPendientes@">
          <a:extLst>
            <a:ext uri="{FF2B5EF4-FFF2-40B4-BE49-F238E27FC236}">
              <a16:creationId xmlns:a16="http://schemas.microsoft.com/office/drawing/2014/main" id="{5F484221-6567-4B8C-A9AE-E1B522EF4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1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3511" name="Picture@5C\QPendientes@" descr="@5C\QPendientes@">
          <a:extLst>
            <a:ext uri="{FF2B5EF4-FFF2-40B4-BE49-F238E27FC236}">
              <a16:creationId xmlns:a16="http://schemas.microsoft.com/office/drawing/2014/main" id="{15704058-6AD3-4624-9E70-46E2431CA9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2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3512" name="Picture@5C\QPendientes@" descr="@5C\QPendientes@">
          <a:extLst>
            <a:ext uri="{FF2B5EF4-FFF2-40B4-BE49-F238E27FC236}">
              <a16:creationId xmlns:a16="http://schemas.microsoft.com/office/drawing/2014/main" id="{FF95EE7B-7086-42D9-9F9E-8E9138D323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4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3513" name="Picture@5C\QPendientes@" descr="@5C\QPendientes@">
          <a:extLst>
            <a:ext uri="{FF2B5EF4-FFF2-40B4-BE49-F238E27FC236}">
              <a16:creationId xmlns:a16="http://schemas.microsoft.com/office/drawing/2014/main" id="{FAEEAFC0-E8D0-441A-BFA3-C2FDA2734F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6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3514" name="Picture@5C\QPendientes@" descr="@5C\QPendientes@">
          <a:extLst>
            <a:ext uri="{FF2B5EF4-FFF2-40B4-BE49-F238E27FC236}">
              <a16:creationId xmlns:a16="http://schemas.microsoft.com/office/drawing/2014/main" id="{A9301C6B-7275-4A28-A702-B25FDB515A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8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3515" name="Picture@5C\QPendientes@" descr="@5C\QPendientes@">
          <a:extLst>
            <a:ext uri="{FF2B5EF4-FFF2-40B4-BE49-F238E27FC236}">
              <a16:creationId xmlns:a16="http://schemas.microsoft.com/office/drawing/2014/main" id="{979CDFDB-BADD-4494-9B83-475A15AF4A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0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3516" name="Picture@5C\QPendientes@" descr="@5C\QPendientes@">
          <a:extLst>
            <a:ext uri="{FF2B5EF4-FFF2-40B4-BE49-F238E27FC236}">
              <a16:creationId xmlns:a16="http://schemas.microsoft.com/office/drawing/2014/main" id="{BAC6E6A1-FB2D-40CB-A0CB-E93CD44675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2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3517" name="Picture@5C\QPendientes@" descr="@5C\QPendientes@">
          <a:extLst>
            <a:ext uri="{FF2B5EF4-FFF2-40B4-BE49-F238E27FC236}">
              <a16:creationId xmlns:a16="http://schemas.microsoft.com/office/drawing/2014/main" id="{3599723D-EE7F-4596-9ADB-1610509D76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3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3518" name="Picture@5C\QPendientes@" descr="@5C\QPendientes@">
          <a:extLst>
            <a:ext uri="{FF2B5EF4-FFF2-40B4-BE49-F238E27FC236}">
              <a16:creationId xmlns:a16="http://schemas.microsoft.com/office/drawing/2014/main" id="{2E778BB4-2F52-48AD-82D0-4F8707FD3F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5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3519" name="Picture@5C\QPendientes@" descr="@5C\QPendientes@">
          <a:extLst>
            <a:ext uri="{FF2B5EF4-FFF2-40B4-BE49-F238E27FC236}">
              <a16:creationId xmlns:a16="http://schemas.microsoft.com/office/drawing/2014/main" id="{C188D62E-668E-4DD7-9D4F-CC824A747D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3520" name="Picture@5C\QPendientes@" descr="@5C\QPendientes@">
          <a:extLst>
            <a:ext uri="{FF2B5EF4-FFF2-40B4-BE49-F238E27FC236}">
              <a16:creationId xmlns:a16="http://schemas.microsoft.com/office/drawing/2014/main" id="{02C3A412-C4AF-4C8A-B7DA-D626271A49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9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3521" name="Picture@5C\QPendientes@" descr="@5C\QPendientes@">
          <a:extLst>
            <a:ext uri="{FF2B5EF4-FFF2-40B4-BE49-F238E27FC236}">
              <a16:creationId xmlns:a16="http://schemas.microsoft.com/office/drawing/2014/main" id="{614E5467-AF56-45CA-8DAD-77ACD64047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1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3522" name="Picture@5C\QPendientes@" descr="@5C\QPendientes@">
          <a:extLst>
            <a:ext uri="{FF2B5EF4-FFF2-40B4-BE49-F238E27FC236}">
              <a16:creationId xmlns:a16="http://schemas.microsoft.com/office/drawing/2014/main" id="{4221CAC6-006B-47E9-B77C-BA9CA98DC2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3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3523" name="Picture@5C\QPendientes@" descr="@5C\QPendientes@">
          <a:extLst>
            <a:ext uri="{FF2B5EF4-FFF2-40B4-BE49-F238E27FC236}">
              <a16:creationId xmlns:a16="http://schemas.microsoft.com/office/drawing/2014/main" id="{EC8E508C-6DD6-4D53-8F11-14C8390E2C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4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3524" name="Picture@5C\QPendientes@" descr="@5C\QPendientes@">
          <a:extLst>
            <a:ext uri="{FF2B5EF4-FFF2-40B4-BE49-F238E27FC236}">
              <a16:creationId xmlns:a16="http://schemas.microsoft.com/office/drawing/2014/main" id="{0E505F8C-B82D-40A8-B340-E0DD142F40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6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3525" name="Picture@5C\QPendientes@" descr="@5C\QPendientes@">
          <a:extLst>
            <a:ext uri="{FF2B5EF4-FFF2-40B4-BE49-F238E27FC236}">
              <a16:creationId xmlns:a16="http://schemas.microsoft.com/office/drawing/2014/main" id="{6AD020E2-B61B-4C34-8F87-C8BBC5AFEC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8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3526" name="Picture@5C\QPendientes@" descr="@5C\QPendientes@">
          <a:extLst>
            <a:ext uri="{FF2B5EF4-FFF2-40B4-BE49-F238E27FC236}">
              <a16:creationId xmlns:a16="http://schemas.microsoft.com/office/drawing/2014/main" id="{712AB3F2-A264-4347-8A3B-95284FD621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0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3527" name="Picture@5C\QPendientes@" descr="@5C\QPendientes@">
          <a:extLst>
            <a:ext uri="{FF2B5EF4-FFF2-40B4-BE49-F238E27FC236}">
              <a16:creationId xmlns:a16="http://schemas.microsoft.com/office/drawing/2014/main" id="{B7834D7F-EC7F-4922-B051-3929F1C7D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2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3528" name="Picture@5C\QPendientes@" descr="@5C\QPendientes@">
          <a:extLst>
            <a:ext uri="{FF2B5EF4-FFF2-40B4-BE49-F238E27FC236}">
              <a16:creationId xmlns:a16="http://schemas.microsoft.com/office/drawing/2014/main" id="{0E131C21-5367-4AB3-9C95-FBE7ED5F63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4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3529" name="Picture@5C\QPendientes@" descr="@5C\QPendientes@">
          <a:extLst>
            <a:ext uri="{FF2B5EF4-FFF2-40B4-BE49-F238E27FC236}">
              <a16:creationId xmlns:a16="http://schemas.microsoft.com/office/drawing/2014/main" id="{0F08406C-0785-44DF-9BC2-0AD7816BDC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3530" name="Picture@5C\QPendientes@" descr="@5C\QPendientes@">
          <a:extLst>
            <a:ext uri="{FF2B5EF4-FFF2-40B4-BE49-F238E27FC236}">
              <a16:creationId xmlns:a16="http://schemas.microsoft.com/office/drawing/2014/main" id="{575001EF-0736-4884-9456-BED1175D36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7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3531" name="Picture@5C\QPendientes@" descr="@5C\QPendientes@">
          <a:extLst>
            <a:ext uri="{FF2B5EF4-FFF2-40B4-BE49-F238E27FC236}">
              <a16:creationId xmlns:a16="http://schemas.microsoft.com/office/drawing/2014/main" id="{FE90CFFC-3359-4BE6-8F5B-B02C1ED2A0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9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3532" name="Picture@5C\QPendientes@" descr="@5C\QPendientes@">
          <a:extLst>
            <a:ext uri="{FF2B5EF4-FFF2-40B4-BE49-F238E27FC236}">
              <a16:creationId xmlns:a16="http://schemas.microsoft.com/office/drawing/2014/main" id="{6C189212-E8FD-492D-ACB1-41E77DCD32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1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3533" name="Picture@5C\QPendientes@" descr="@5C\QPendientes@">
          <a:extLst>
            <a:ext uri="{FF2B5EF4-FFF2-40B4-BE49-F238E27FC236}">
              <a16:creationId xmlns:a16="http://schemas.microsoft.com/office/drawing/2014/main" id="{35A1BC8C-C121-43CB-84F4-F28BBE2796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3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3534" name="Picture@5C\QPendientes@" descr="@5C\QPendientes@">
          <a:extLst>
            <a:ext uri="{FF2B5EF4-FFF2-40B4-BE49-F238E27FC236}">
              <a16:creationId xmlns:a16="http://schemas.microsoft.com/office/drawing/2014/main" id="{58145B72-D099-414D-B966-2E9060EB4E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4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3535" name="Picture@5C\QPendientes@" descr="@5C\QPendientes@">
          <a:extLst>
            <a:ext uri="{FF2B5EF4-FFF2-40B4-BE49-F238E27FC236}">
              <a16:creationId xmlns:a16="http://schemas.microsoft.com/office/drawing/2014/main" id="{E8BFBEBC-EE3E-4047-B4C7-64AC726A41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6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3536" name="Picture@5C\QPendientes@" descr="@5C\QPendientes@">
          <a:extLst>
            <a:ext uri="{FF2B5EF4-FFF2-40B4-BE49-F238E27FC236}">
              <a16:creationId xmlns:a16="http://schemas.microsoft.com/office/drawing/2014/main" id="{CD73AF5E-B9D4-4EA5-84BF-2516FC7D1D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8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3537" name="Picture@5C\QPendientes@" descr="@5C\QPendientes@">
          <a:extLst>
            <a:ext uri="{FF2B5EF4-FFF2-40B4-BE49-F238E27FC236}">
              <a16:creationId xmlns:a16="http://schemas.microsoft.com/office/drawing/2014/main" id="{4D7ACE42-3E8F-4127-A6EB-33875EBC88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0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3538" name="Picture@5C\QPendientes@" descr="@5C\QPendientes@">
          <a:extLst>
            <a:ext uri="{FF2B5EF4-FFF2-40B4-BE49-F238E27FC236}">
              <a16:creationId xmlns:a16="http://schemas.microsoft.com/office/drawing/2014/main" id="{87C47935-75C4-498E-A750-8F74107CA8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2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3539" name="Picture@5C\QPendientes@" descr="@5C\QPendientes@">
          <a:extLst>
            <a:ext uri="{FF2B5EF4-FFF2-40B4-BE49-F238E27FC236}">
              <a16:creationId xmlns:a16="http://schemas.microsoft.com/office/drawing/2014/main" id="{E2EDD03C-84FC-4B5E-8837-0EC36A1FB2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3540" name="Picture@5C\QPendientes@" descr="@5C\QPendientes@">
          <a:extLst>
            <a:ext uri="{FF2B5EF4-FFF2-40B4-BE49-F238E27FC236}">
              <a16:creationId xmlns:a16="http://schemas.microsoft.com/office/drawing/2014/main" id="{6875D712-862F-463E-A53B-6281F60E3A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5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3541" name="Picture@5C\QPendientes@" descr="@5C\QPendientes@">
          <a:extLst>
            <a:ext uri="{FF2B5EF4-FFF2-40B4-BE49-F238E27FC236}">
              <a16:creationId xmlns:a16="http://schemas.microsoft.com/office/drawing/2014/main" id="{27382545-D86B-4F11-8A2C-A84EC90D45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77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3542" name="Picture@5C\QPendientes@" descr="@5C\QPendientes@">
          <a:extLst>
            <a:ext uri="{FF2B5EF4-FFF2-40B4-BE49-F238E27FC236}">
              <a16:creationId xmlns:a16="http://schemas.microsoft.com/office/drawing/2014/main" id="{593E1CF8-12F3-4A1A-869D-DE5DB812EC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96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3543" name="Picture@5C\QPendientes@" descr="@5C\QPendientes@">
          <a:extLst>
            <a:ext uri="{FF2B5EF4-FFF2-40B4-BE49-F238E27FC236}">
              <a16:creationId xmlns:a16="http://schemas.microsoft.com/office/drawing/2014/main" id="{B0F14326-04C3-48B1-9CAF-4ED6E1FF7E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14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3544" name="Picture@5C\QPendientes@" descr="@5C\QPendientes@">
          <a:extLst>
            <a:ext uri="{FF2B5EF4-FFF2-40B4-BE49-F238E27FC236}">
              <a16:creationId xmlns:a16="http://schemas.microsoft.com/office/drawing/2014/main" id="{C294A41B-191F-4E94-899A-C5D7926B4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32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3545" name="Picture@5C\QPendientes@" descr="@5C\QPendientes@">
          <a:extLst>
            <a:ext uri="{FF2B5EF4-FFF2-40B4-BE49-F238E27FC236}">
              <a16:creationId xmlns:a16="http://schemas.microsoft.com/office/drawing/2014/main" id="{A2FAC901-FFAE-404D-B0D2-D112046C6F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51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3546" name="Picture@5C\QPendientes@" descr="@5C\QPendientes@">
          <a:extLst>
            <a:ext uri="{FF2B5EF4-FFF2-40B4-BE49-F238E27FC236}">
              <a16:creationId xmlns:a16="http://schemas.microsoft.com/office/drawing/2014/main" id="{4BD84F56-1EA8-4777-B407-439A86F322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69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3547" name="Picture@5C\QPendientes@" descr="@5C\QPendientes@">
          <a:extLst>
            <a:ext uri="{FF2B5EF4-FFF2-40B4-BE49-F238E27FC236}">
              <a16:creationId xmlns:a16="http://schemas.microsoft.com/office/drawing/2014/main" id="{E759AA05-BE4B-4E41-A131-F46274C66C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87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3548" name="Picture@5C\QPendientes@" descr="@5C\QPendientes@">
          <a:extLst>
            <a:ext uri="{FF2B5EF4-FFF2-40B4-BE49-F238E27FC236}">
              <a16:creationId xmlns:a16="http://schemas.microsoft.com/office/drawing/2014/main" id="{446DFF63-1962-419C-970A-BAFD862D1E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05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3549" name="Picture@5C\QPendientes@" descr="@5C\QPendientes@">
          <a:extLst>
            <a:ext uri="{FF2B5EF4-FFF2-40B4-BE49-F238E27FC236}">
              <a16:creationId xmlns:a16="http://schemas.microsoft.com/office/drawing/2014/main" id="{0ADC68FA-C2FE-415F-9101-D83C3BCCB1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3550" name="Picture@5C\QPendientes@" descr="@5C\QPendientes@">
          <a:extLst>
            <a:ext uri="{FF2B5EF4-FFF2-40B4-BE49-F238E27FC236}">
              <a16:creationId xmlns:a16="http://schemas.microsoft.com/office/drawing/2014/main" id="{AD0C5BDC-7FCB-4F42-969C-6350E16E31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42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3551" name="Picture@5C\QPendientes@" descr="@5C\QPendientes@">
          <a:extLst>
            <a:ext uri="{FF2B5EF4-FFF2-40B4-BE49-F238E27FC236}">
              <a16:creationId xmlns:a16="http://schemas.microsoft.com/office/drawing/2014/main" id="{FA6F2641-65C1-4C01-B75F-73FFCB1B00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60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3552" name="Picture@5C\QPendientes@" descr="@5C\QPendientes@">
          <a:extLst>
            <a:ext uri="{FF2B5EF4-FFF2-40B4-BE49-F238E27FC236}">
              <a16:creationId xmlns:a16="http://schemas.microsoft.com/office/drawing/2014/main" id="{6A2FBC5F-F4D7-4FFF-84D1-05B8917565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79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3553" name="Picture@5C\QPendientes@" descr="@5C\QPendientes@">
          <a:extLst>
            <a:ext uri="{FF2B5EF4-FFF2-40B4-BE49-F238E27FC236}">
              <a16:creationId xmlns:a16="http://schemas.microsoft.com/office/drawing/2014/main" id="{A4D967C8-121B-403C-B95D-AC4FE047B9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97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3554" name="Picture@5C\QPendientes@" descr="@5C\QPendientes@">
          <a:extLst>
            <a:ext uri="{FF2B5EF4-FFF2-40B4-BE49-F238E27FC236}">
              <a16:creationId xmlns:a16="http://schemas.microsoft.com/office/drawing/2014/main" id="{12B7C7BA-099B-47A5-B58D-9FE21B5F03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1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3555" name="Picture@5C\QPendientes@" descr="@5C\QPendientes@">
          <a:extLst>
            <a:ext uri="{FF2B5EF4-FFF2-40B4-BE49-F238E27FC236}">
              <a16:creationId xmlns:a16="http://schemas.microsoft.com/office/drawing/2014/main" id="{DE3C206B-C661-4E0C-94E2-42DC66869C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33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3556" name="Picture@5C\QPendientes@" descr="@5C\QPendientes@">
          <a:extLst>
            <a:ext uri="{FF2B5EF4-FFF2-40B4-BE49-F238E27FC236}">
              <a16:creationId xmlns:a16="http://schemas.microsoft.com/office/drawing/2014/main" id="{8B9E17F5-7698-4A61-9FF6-DC9D4FCECF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52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3557" name="Picture@5C\QPendientes@" descr="@5C\QPendientes@">
          <a:extLst>
            <a:ext uri="{FF2B5EF4-FFF2-40B4-BE49-F238E27FC236}">
              <a16:creationId xmlns:a16="http://schemas.microsoft.com/office/drawing/2014/main" id="{0D1DDBD2-A653-491C-845B-9CD0E86DF6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70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3558" name="Picture@5C\QPendientes@" descr="@5C\QPendientes@">
          <a:extLst>
            <a:ext uri="{FF2B5EF4-FFF2-40B4-BE49-F238E27FC236}">
              <a16:creationId xmlns:a16="http://schemas.microsoft.com/office/drawing/2014/main" id="{5D355C9C-CA71-41ED-9534-BD77CE43B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88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3559" name="Picture@5C\QPendientes@" descr="@5C\QPendientes@">
          <a:extLst>
            <a:ext uri="{FF2B5EF4-FFF2-40B4-BE49-F238E27FC236}">
              <a16:creationId xmlns:a16="http://schemas.microsoft.com/office/drawing/2014/main" id="{D6362D30-FAAE-4555-A744-B3AE294690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3560" name="Picture@5C\QPendientes@" descr="@5C\QPendientes@">
          <a:extLst>
            <a:ext uri="{FF2B5EF4-FFF2-40B4-BE49-F238E27FC236}">
              <a16:creationId xmlns:a16="http://schemas.microsoft.com/office/drawing/2014/main" id="{F242B855-5B18-41DD-B9D0-6684769505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25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3561" name="Picture@5C\QPendientes@" descr="@5C\QPendientes@">
          <a:extLst>
            <a:ext uri="{FF2B5EF4-FFF2-40B4-BE49-F238E27FC236}">
              <a16:creationId xmlns:a16="http://schemas.microsoft.com/office/drawing/2014/main" id="{15F6079B-7E45-42A1-9BA4-751226199B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43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3562" name="Picture@5C\QPendientes@" descr="@5C\QPendientes@">
          <a:extLst>
            <a:ext uri="{FF2B5EF4-FFF2-40B4-BE49-F238E27FC236}">
              <a16:creationId xmlns:a16="http://schemas.microsoft.com/office/drawing/2014/main" id="{4EB0DEA8-9FA7-4D15-96B1-2225E9425F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61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3563" name="Picture@5C\QPendientes@" descr="@5C\QPendientes@">
          <a:extLst>
            <a:ext uri="{FF2B5EF4-FFF2-40B4-BE49-F238E27FC236}">
              <a16:creationId xmlns:a16="http://schemas.microsoft.com/office/drawing/2014/main" id="{E629ED85-D3F0-4F4A-B1F7-15DF321E2C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80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3564" name="Picture@5C\QPendientes@" descr="@5C\QPendientes@">
          <a:extLst>
            <a:ext uri="{FF2B5EF4-FFF2-40B4-BE49-F238E27FC236}">
              <a16:creationId xmlns:a16="http://schemas.microsoft.com/office/drawing/2014/main" id="{FBD1CF29-57D4-4919-8E78-D8072336BC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98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3565" name="Picture@5C\QPendientes@" descr="@5C\QPendientes@">
          <a:extLst>
            <a:ext uri="{FF2B5EF4-FFF2-40B4-BE49-F238E27FC236}">
              <a16:creationId xmlns:a16="http://schemas.microsoft.com/office/drawing/2014/main" id="{A0D7BDE4-3BCD-4300-8AA0-B799879600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16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3566" name="Picture@5C\QPendientes@" descr="@5C\QPendientes@">
          <a:extLst>
            <a:ext uri="{FF2B5EF4-FFF2-40B4-BE49-F238E27FC236}">
              <a16:creationId xmlns:a16="http://schemas.microsoft.com/office/drawing/2014/main" id="{640F31BC-F358-41EB-9DF0-1F81D1BDB9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35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3567" name="Picture@5C\QPendientes@" descr="@5C\QPendientes@">
          <a:extLst>
            <a:ext uri="{FF2B5EF4-FFF2-40B4-BE49-F238E27FC236}">
              <a16:creationId xmlns:a16="http://schemas.microsoft.com/office/drawing/2014/main" id="{D0310A98-F4DA-4613-B343-E6E759CA4C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53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3568" name="Picture@5C\QPendientes@" descr="@5C\QPendientes@">
          <a:extLst>
            <a:ext uri="{FF2B5EF4-FFF2-40B4-BE49-F238E27FC236}">
              <a16:creationId xmlns:a16="http://schemas.microsoft.com/office/drawing/2014/main" id="{62772CD5-DF8B-4D63-9BFA-DC9631B5CD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71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3569" name="Picture@5C\QPendientes@" descr="@5C\QPendientes@">
          <a:extLst>
            <a:ext uri="{FF2B5EF4-FFF2-40B4-BE49-F238E27FC236}">
              <a16:creationId xmlns:a16="http://schemas.microsoft.com/office/drawing/2014/main" id="{265FBB3D-B4B5-412F-BD17-290FBF137B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3570" name="Picture@5C\QPendientes@" descr="@5C\QPendientes@">
          <a:extLst>
            <a:ext uri="{FF2B5EF4-FFF2-40B4-BE49-F238E27FC236}">
              <a16:creationId xmlns:a16="http://schemas.microsoft.com/office/drawing/2014/main" id="{00005B28-22CC-4D5C-9647-666918B347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08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3571" name="Picture@5C\QPendientes@" descr="@5C\QPendientes@">
          <a:extLst>
            <a:ext uri="{FF2B5EF4-FFF2-40B4-BE49-F238E27FC236}">
              <a16:creationId xmlns:a16="http://schemas.microsoft.com/office/drawing/2014/main" id="{619755F2-D828-41B4-BDF5-171D16C2E1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26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3572" name="Picture@5C\QPendientes@" descr="@5C\QPendientes@">
          <a:extLst>
            <a:ext uri="{FF2B5EF4-FFF2-40B4-BE49-F238E27FC236}">
              <a16:creationId xmlns:a16="http://schemas.microsoft.com/office/drawing/2014/main" id="{05030B62-191E-4325-A60F-7D26BE5653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44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3573" name="Picture@5C\QPendientes@" descr="@5C\QPendientes@">
          <a:extLst>
            <a:ext uri="{FF2B5EF4-FFF2-40B4-BE49-F238E27FC236}">
              <a16:creationId xmlns:a16="http://schemas.microsoft.com/office/drawing/2014/main" id="{4F6C5E66-EA3C-4EFA-91D3-EE63777150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63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3574" name="Picture@5C\QPendientes@" descr="@5C\QPendientes@">
          <a:extLst>
            <a:ext uri="{FF2B5EF4-FFF2-40B4-BE49-F238E27FC236}">
              <a16:creationId xmlns:a16="http://schemas.microsoft.com/office/drawing/2014/main" id="{6CFFAEDE-9059-4749-B146-29E844FF1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81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3575" name="Picture@5C\QPendientes@" descr="@5C\QPendientes@">
          <a:extLst>
            <a:ext uri="{FF2B5EF4-FFF2-40B4-BE49-F238E27FC236}">
              <a16:creationId xmlns:a16="http://schemas.microsoft.com/office/drawing/2014/main" id="{5D0DF1E4-5F46-4D35-AF3F-CE29DF41C0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99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3576" name="Picture@5C\QPendientes@" descr="@5C\QPendientes@">
          <a:extLst>
            <a:ext uri="{FF2B5EF4-FFF2-40B4-BE49-F238E27FC236}">
              <a16:creationId xmlns:a16="http://schemas.microsoft.com/office/drawing/2014/main" id="{CC97155E-2DE2-4C07-B6F6-A64266724A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17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3577" name="Picture@5C\QPendientes@" descr="@5C\QPendientes@">
          <a:extLst>
            <a:ext uri="{FF2B5EF4-FFF2-40B4-BE49-F238E27FC236}">
              <a16:creationId xmlns:a16="http://schemas.microsoft.com/office/drawing/2014/main" id="{75B0DC5C-0228-499E-BA68-3196A7AD7E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36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3578" name="Picture@5C\QPendientes@" descr="@5C\QPendientes@">
          <a:extLst>
            <a:ext uri="{FF2B5EF4-FFF2-40B4-BE49-F238E27FC236}">
              <a16:creationId xmlns:a16="http://schemas.microsoft.com/office/drawing/2014/main" id="{E73D2541-3F34-4972-A87C-A9F7B6F44D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54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3579" name="Picture@5C\QPendientes@" descr="@5C\QPendientes@">
          <a:extLst>
            <a:ext uri="{FF2B5EF4-FFF2-40B4-BE49-F238E27FC236}">
              <a16:creationId xmlns:a16="http://schemas.microsoft.com/office/drawing/2014/main" id="{7E69A08F-477C-48CA-A7BC-18C829C557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3580" name="Picture@5C\QPendientes@" descr="@5C\QPendientes@">
          <a:extLst>
            <a:ext uri="{FF2B5EF4-FFF2-40B4-BE49-F238E27FC236}">
              <a16:creationId xmlns:a16="http://schemas.microsoft.com/office/drawing/2014/main" id="{EB5687D8-1742-4243-AB7A-396587C0E6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91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3581" name="Picture@5C\QPendientes@" descr="@5C\QPendientes@">
          <a:extLst>
            <a:ext uri="{FF2B5EF4-FFF2-40B4-BE49-F238E27FC236}">
              <a16:creationId xmlns:a16="http://schemas.microsoft.com/office/drawing/2014/main" id="{8110221A-13C2-4450-BF78-BD8373DB75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09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3582" name="Picture@5C\QPendientes@" descr="@5C\QPendientes@">
          <a:extLst>
            <a:ext uri="{FF2B5EF4-FFF2-40B4-BE49-F238E27FC236}">
              <a16:creationId xmlns:a16="http://schemas.microsoft.com/office/drawing/2014/main" id="{0B48B199-F991-4E3D-B7D8-396E5D2F15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27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3583" name="Picture@5C\QPendientes@" descr="@5C\QPendientes@">
          <a:extLst>
            <a:ext uri="{FF2B5EF4-FFF2-40B4-BE49-F238E27FC236}">
              <a16:creationId xmlns:a16="http://schemas.microsoft.com/office/drawing/2014/main" id="{4E87364C-934C-4C1D-AEB3-3D1F4AB008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45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3584" name="Picture@5C\QPendientes@" descr="@5C\QPendientes@">
          <a:extLst>
            <a:ext uri="{FF2B5EF4-FFF2-40B4-BE49-F238E27FC236}">
              <a16:creationId xmlns:a16="http://schemas.microsoft.com/office/drawing/2014/main" id="{ED7E0B15-E870-43AC-B52B-334BD726A8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64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3585" name="Picture@5C\QPendientes@" descr="@5C\QPendientes@">
          <a:extLst>
            <a:ext uri="{FF2B5EF4-FFF2-40B4-BE49-F238E27FC236}">
              <a16:creationId xmlns:a16="http://schemas.microsoft.com/office/drawing/2014/main" id="{73D4CCC3-787D-4883-A90A-C89AB775B0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82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3586" name="Picture@5C\QPendientes@" descr="@5C\QPendientes@">
          <a:extLst>
            <a:ext uri="{FF2B5EF4-FFF2-40B4-BE49-F238E27FC236}">
              <a16:creationId xmlns:a16="http://schemas.microsoft.com/office/drawing/2014/main" id="{5427B1EB-BCBF-473B-83A6-188D47A196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00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3587" name="Picture@5C\QPendientes@" descr="@5C\QPendientes@">
          <a:extLst>
            <a:ext uri="{FF2B5EF4-FFF2-40B4-BE49-F238E27FC236}">
              <a16:creationId xmlns:a16="http://schemas.microsoft.com/office/drawing/2014/main" id="{7F966735-91A2-4EA4-96B8-A0822AC3D9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19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3588" name="Picture@5C\QPendientes@" descr="@5C\QPendientes@">
          <a:extLst>
            <a:ext uri="{FF2B5EF4-FFF2-40B4-BE49-F238E27FC236}">
              <a16:creationId xmlns:a16="http://schemas.microsoft.com/office/drawing/2014/main" id="{8C2C0037-BDF1-4ECA-8752-08F98888BD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37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3589" name="Picture@5C\QPendientes@" descr="@5C\QPendientes@">
          <a:extLst>
            <a:ext uri="{FF2B5EF4-FFF2-40B4-BE49-F238E27FC236}">
              <a16:creationId xmlns:a16="http://schemas.microsoft.com/office/drawing/2014/main" id="{4D8AE238-909A-4021-8683-ED29C45619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3590" name="Picture@5C\QPendientes@" descr="@5C\QPendientes@">
          <a:extLst>
            <a:ext uri="{FF2B5EF4-FFF2-40B4-BE49-F238E27FC236}">
              <a16:creationId xmlns:a16="http://schemas.microsoft.com/office/drawing/2014/main" id="{5A0EE0AA-2E2C-4CB6-BA9B-1B3F1DD40E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73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3591" name="Picture@5C\QPendientes@" descr="@5C\QPendientes@">
          <a:extLst>
            <a:ext uri="{FF2B5EF4-FFF2-40B4-BE49-F238E27FC236}">
              <a16:creationId xmlns:a16="http://schemas.microsoft.com/office/drawing/2014/main" id="{4E8A324E-C0FA-44A1-AB45-A2E5BEC4A7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92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3592" name="Picture@5C\QPendientes@" descr="@5C\QPendientes@">
          <a:extLst>
            <a:ext uri="{FF2B5EF4-FFF2-40B4-BE49-F238E27FC236}">
              <a16:creationId xmlns:a16="http://schemas.microsoft.com/office/drawing/2014/main" id="{5A88773E-EDCA-4BB1-90E8-AA84B9EF21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10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3593" name="Picture@5C\QPendientes@" descr="@5C\QPendientes@">
          <a:extLst>
            <a:ext uri="{FF2B5EF4-FFF2-40B4-BE49-F238E27FC236}">
              <a16:creationId xmlns:a16="http://schemas.microsoft.com/office/drawing/2014/main" id="{1530133F-8307-4F9A-818E-CA0D5D219D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28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3594" name="Picture@5C\QPendientes@" descr="@5C\QPendientes@">
          <a:extLst>
            <a:ext uri="{FF2B5EF4-FFF2-40B4-BE49-F238E27FC236}">
              <a16:creationId xmlns:a16="http://schemas.microsoft.com/office/drawing/2014/main" id="{0B4D0083-73BB-481D-83B5-C2AB346C9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47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3595" name="Picture@5C\QPendientes@" descr="@5C\QPendientes@">
          <a:extLst>
            <a:ext uri="{FF2B5EF4-FFF2-40B4-BE49-F238E27FC236}">
              <a16:creationId xmlns:a16="http://schemas.microsoft.com/office/drawing/2014/main" id="{7789CCCE-D803-41E1-A2A5-B8881C5ED6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65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3596" name="Picture@5C\QPendientes@" descr="@5C\QPendientes@">
          <a:extLst>
            <a:ext uri="{FF2B5EF4-FFF2-40B4-BE49-F238E27FC236}">
              <a16:creationId xmlns:a16="http://schemas.microsoft.com/office/drawing/2014/main" id="{55E9FB1F-7470-4874-9BA3-F1FC55FD56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83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3597" name="Picture@5C\QPendientes@" descr="@5C\QPendientes@">
          <a:extLst>
            <a:ext uri="{FF2B5EF4-FFF2-40B4-BE49-F238E27FC236}">
              <a16:creationId xmlns:a16="http://schemas.microsoft.com/office/drawing/2014/main" id="{FB8B4300-7185-48C3-8C37-56AECA9D45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01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3598" name="Picture@5C\QPendientes@" descr="@5C\QPendientes@">
          <a:extLst>
            <a:ext uri="{FF2B5EF4-FFF2-40B4-BE49-F238E27FC236}">
              <a16:creationId xmlns:a16="http://schemas.microsoft.com/office/drawing/2014/main" id="{3970A890-E607-4BAD-85E2-2E494C809D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20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3599" name="Picture@5C\QPendientes@" descr="@5C\QPendientes@">
          <a:extLst>
            <a:ext uri="{FF2B5EF4-FFF2-40B4-BE49-F238E27FC236}">
              <a16:creationId xmlns:a16="http://schemas.microsoft.com/office/drawing/2014/main" id="{B1BA20F9-DD14-47E1-A10C-EEF45FE00D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3600" name="Picture@5C\QPendientes@" descr="@5C\QPendientes@">
          <a:extLst>
            <a:ext uri="{FF2B5EF4-FFF2-40B4-BE49-F238E27FC236}">
              <a16:creationId xmlns:a16="http://schemas.microsoft.com/office/drawing/2014/main" id="{1D3C8432-581F-471C-B402-E4C6436554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56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3601" name="Picture@5C\QPendientes@" descr="@5C\QPendientes@">
          <a:extLst>
            <a:ext uri="{FF2B5EF4-FFF2-40B4-BE49-F238E27FC236}">
              <a16:creationId xmlns:a16="http://schemas.microsoft.com/office/drawing/2014/main" id="{6B36C6C0-4936-4CE0-967B-86CCDA683B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75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3602" name="Picture@5C\QPendientes@" descr="@5C\QPendientes@">
          <a:extLst>
            <a:ext uri="{FF2B5EF4-FFF2-40B4-BE49-F238E27FC236}">
              <a16:creationId xmlns:a16="http://schemas.microsoft.com/office/drawing/2014/main" id="{507C0DFC-E2CF-4124-B1D0-E7E998123F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93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3603" name="Picture@5C\QPendientes@" descr="@5C\QPendientes@">
          <a:extLst>
            <a:ext uri="{FF2B5EF4-FFF2-40B4-BE49-F238E27FC236}">
              <a16:creationId xmlns:a16="http://schemas.microsoft.com/office/drawing/2014/main" id="{35D74125-C38C-4EB4-A6F5-CEAFA0524F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11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3604" name="Picture@5C\QPendientes@" descr="@5C\QPendientes@">
          <a:extLst>
            <a:ext uri="{FF2B5EF4-FFF2-40B4-BE49-F238E27FC236}">
              <a16:creationId xmlns:a16="http://schemas.microsoft.com/office/drawing/2014/main" id="{F7A53179-C9C4-484E-9254-08CE778641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30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3605" name="Picture@5C\QPendientes@" descr="@5C\QPendientes@">
          <a:extLst>
            <a:ext uri="{FF2B5EF4-FFF2-40B4-BE49-F238E27FC236}">
              <a16:creationId xmlns:a16="http://schemas.microsoft.com/office/drawing/2014/main" id="{1FD21E99-8F62-4F43-B1FE-DBDB62CF31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4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3606" name="Picture@5C\QPendientes@" descr="@5C\QPendientes@">
          <a:extLst>
            <a:ext uri="{FF2B5EF4-FFF2-40B4-BE49-F238E27FC236}">
              <a16:creationId xmlns:a16="http://schemas.microsoft.com/office/drawing/2014/main" id="{703464E5-CBEF-4406-9A5B-3B273F00C8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6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3607" name="Picture@5C\QPendientes@" descr="@5C\QPendientes@">
          <a:extLst>
            <a:ext uri="{FF2B5EF4-FFF2-40B4-BE49-F238E27FC236}">
              <a16:creationId xmlns:a16="http://schemas.microsoft.com/office/drawing/2014/main" id="{335A22C1-DA1A-4A63-9198-32E2251A7E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8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3608" name="Picture@5C\QPendientes@" descr="@5C\QPendientes@">
          <a:extLst>
            <a:ext uri="{FF2B5EF4-FFF2-40B4-BE49-F238E27FC236}">
              <a16:creationId xmlns:a16="http://schemas.microsoft.com/office/drawing/2014/main" id="{715CBCE3-3B8A-40DB-8ABC-0A01DE8325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0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3609" name="Picture@5C\QPendientes@" descr="@5C\QPendientes@">
          <a:extLst>
            <a:ext uri="{FF2B5EF4-FFF2-40B4-BE49-F238E27FC236}">
              <a16:creationId xmlns:a16="http://schemas.microsoft.com/office/drawing/2014/main" id="{CEACE402-B912-461D-8202-C1E161C7D4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3610" name="Picture@5C\QPendientes@" descr="@5C\QPendientes@">
          <a:extLst>
            <a:ext uri="{FF2B5EF4-FFF2-40B4-BE49-F238E27FC236}">
              <a16:creationId xmlns:a16="http://schemas.microsoft.com/office/drawing/2014/main" id="{D871DA76-F4E8-4F0F-BF03-78250DCE5C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3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3611" name="Picture@5C\QPendientes@" descr="@5C\QPendientes@">
          <a:extLst>
            <a:ext uri="{FF2B5EF4-FFF2-40B4-BE49-F238E27FC236}">
              <a16:creationId xmlns:a16="http://schemas.microsoft.com/office/drawing/2014/main" id="{B0A9BD9F-4502-4CB3-872E-8E21E8D9A8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5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3612" name="Picture@5C\QPendientes@" descr="@5C\QPendientes@">
          <a:extLst>
            <a:ext uri="{FF2B5EF4-FFF2-40B4-BE49-F238E27FC236}">
              <a16:creationId xmlns:a16="http://schemas.microsoft.com/office/drawing/2014/main" id="{CEE9E5C2-3F84-4DE1-BD85-E9EE022BB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7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3613" name="Picture@5C\QPendientes@" descr="@5C\QPendientes@">
          <a:extLst>
            <a:ext uri="{FF2B5EF4-FFF2-40B4-BE49-F238E27FC236}">
              <a16:creationId xmlns:a16="http://schemas.microsoft.com/office/drawing/2014/main" id="{379BC382-5AD3-41FC-8317-21F7B9201B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9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3614" name="Picture@5C\QPendientes@" descr="@5C\QPendientes@">
          <a:extLst>
            <a:ext uri="{FF2B5EF4-FFF2-40B4-BE49-F238E27FC236}">
              <a16:creationId xmlns:a16="http://schemas.microsoft.com/office/drawing/2014/main" id="{DD5C527E-0F8F-4804-9399-D68EAE5A36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1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3615" name="Picture@5C\QPendientes@" descr="@5C\QPendientes@">
          <a:extLst>
            <a:ext uri="{FF2B5EF4-FFF2-40B4-BE49-F238E27FC236}">
              <a16:creationId xmlns:a16="http://schemas.microsoft.com/office/drawing/2014/main" id="{6A0F76AF-9137-4DB2-B523-362B6B93B9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3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3616" name="Picture@5C\QPendientes@" descr="@5C\QPendientes@">
          <a:extLst>
            <a:ext uri="{FF2B5EF4-FFF2-40B4-BE49-F238E27FC236}">
              <a16:creationId xmlns:a16="http://schemas.microsoft.com/office/drawing/2014/main" id="{8280B283-F66E-4658-BEDE-7F9293B20E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4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3617" name="Picture@5C\QPendientes@" descr="@5C\QPendientes@">
          <a:extLst>
            <a:ext uri="{FF2B5EF4-FFF2-40B4-BE49-F238E27FC236}">
              <a16:creationId xmlns:a16="http://schemas.microsoft.com/office/drawing/2014/main" id="{F7F8B251-78EA-4AAD-9A1F-5E316417F0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6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3618" name="Picture@5C\QPendientes@" descr="@5C\QPendientes@">
          <a:extLst>
            <a:ext uri="{FF2B5EF4-FFF2-40B4-BE49-F238E27FC236}">
              <a16:creationId xmlns:a16="http://schemas.microsoft.com/office/drawing/2014/main" id="{A61FF955-9C5C-4D00-A5D6-3E9FB2236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8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3619" name="Picture@5C\QPendientes@" descr="@5C\QPendientes@">
          <a:extLst>
            <a:ext uri="{FF2B5EF4-FFF2-40B4-BE49-F238E27FC236}">
              <a16:creationId xmlns:a16="http://schemas.microsoft.com/office/drawing/2014/main" id="{085B751B-7AB8-4EA6-A25B-F507B1EA64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3620" name="Picture@5C\QPendientes@" descr="@5C\QPendientes@">
          <a:extLst>
            <a:ext uri="{FF2B5EF4-FFF2-40B4-BE49-F238E27FC236}">
              <a16:creationId xmlns:a16="http://schemas.microsoft.com/office/drawing/2014/main" id="{9B1FB258-E200-4660-962B-BB8954691E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2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3621" name="Picture@5C\QPendientes@" descr="@5C\QPendientes@">
          <a:extLst>
            <a:ext uri="{FF2B5EF4-FFF2-40B4-BE49-F238E27FC236}">
              <a16:creationId xmlns:a16="http://schemas.microsoft.com/office/drawing/2014/main" id="{5FD22A66-CBA9-4C85-A981-BAE0F58FC0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4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3622" name="Picture@5C\QPendientes@" descr="@5C\QPendientes@">
          <a:extLst>
            <a:ext uri="{FF2B5EF4-FFF2-40B4-BE49-F238E27FC236}">
              <a16:creationId xmlns:a16="http://schemas.microsoft.com/office/drawing/2014/main" id="{9D2DD0F1-796F-433C-ACDD-CDA386E1F1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5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3623" name="Picture@5C\QPendientes@" descr="@5C\QPendientes@">
          <a:extLst>
            <a:ext uri="{FF2B5EF4-FFF2-40B4-BE49-F238E27FC236}">
              <a16:creationId xmlns:a16="http://schemas.microsoft.com/office/drawing/2014/main" id="{0EFCDD49-4659-4D95-981F-794136C32A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7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3624" name="Picture@5C\QPendientes@" descr="@5C\QPendientes@">
          <a:extLst>
            <a:ext uri="{FF2B5EF4-FFF2-40B4-BE49-F238E27FC236}">
              <a16:creationId xmlns:a16="http://schemas.microsoft.com/office/drawing/2014/main" id="{C58EAF54-3A9A-42FA-A27E-9DF4D356F4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9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3625" name="Picture@5C\QPendientes@" descr="@5C\QPendientes@">
          <a:extLst>
            <a:ext uri="{FF2B5EF4-FFF2-40B4-BE49-F238E27FC236}">
              <a16:creationId xmlns:a16="http://schemas.microsoft.com/office/drawing/2014/main" id="{A353AC46-8588-4BA6-B7D4-E48FE0AF86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1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3626" name="Picture@5C\QPendientes@" descr="@5C\QPendientes@">
          <a:extLst>
            <a:ext uri="{FF2B5EF4-FFF2-40B4-BE49-F238E27FC236}">
              <a16:creationId xmlns:a16="http://schemas.microsoft.com/office/drawing/2014/main" id="{5A371DF2-E2CA-48B5-9048-1D9319CC97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3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3627" name="Picture@5C\QPendientes@" descr="@5C\QPendientes@">
          <a:extLst>
            <a:ext uri="{FF2B5EF4-FFF2-40B4-BE49-F238E27FC236}">
              <a16:creationId xmlns:a16="http://schemas.microsoft.com/office/drawing/2014/main" id="{16054B23-4C4D-4287-AD9F-53E4D524AA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5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3628" name="Picture@5C\QPendientes@" descr="@5C\QPendientes@">
          <a:extLst>
            <a:ext uri="{FF2B5EF4-FFF2-40B4-BE49-F238E27FC236}">
              <a16:creationId xmlns:a16="http://schemas.microsoft.com/office/drawing/2014/main" id="{44DCFC52-D6B4-498C-9723-D0F821A2AC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6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3629" name="Picture@5C\QPendientes@" descr="@5C\QPendientes@">
          <a:extLst>
            <a:ext uri="{FF2B5EF4-FFF2-40B4-BE49-F238E27FC236}">
              <a16:creationId xmlns:a16="http://schemas.microsoft.com/office/drawing/2014/main" id="{F5FE0728-E7D5-4DBD-A78B-FA7F3334A0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3630" name="Picture@5C\QPendientes@" descr="@5C\QPendientes@">
          <a:extLst>
            <a:ext uri="{FF2B5EF4-FFF2-40B4-BE49-F238E27FC236}">
              <a16:creationId xmlns:a16="http://schemas.microsoft.com/office/drawing/2014/main" id="{5F1CB75D-D71E-47CE-80C5-B7A78DE1D9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0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3631" name="Picture@5C\QPendientes@" descr="@5C\QPendientes@">
          <a:extLst>
            <a:ext uri="{FF2B5EF4-FFF2-40B4-BE49-F238E27FC236}">
              <a16:creationId xmlns:a16="http://schemas.microsoft.com/office/drawing/2014/main" id="{C488241E-A6EA-44E5-BD0D-7F323BC125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2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3632" name="Picture@5C\QPendientes@" descr="@5C\QPendientes@">
          <a:extLst>
            <a:ext uri="{FF2B5EF4-FFF2-40B4-BE49-F238E27FC236}">
              <a16:creationId xmlns:a16="http://schemas.microsoft.com/office/drawing/2014/main" id="{E8FA648A-A4CB-49DE-B133-BE28BC13D4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4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3633" name="Picture@5C\QPendientes@" descr="@5C\QPendientes@">
          <a:extLst>
            <a:ext uri="{FF2B5EF4-FFF2-40B4-BE49-F238E27FC236}">
              <a16:creationId xmlns:a16="http://schemas.microsoft.com/office/drawing/2014/main" id="{A555B77F-F04E-42AD-ABC0-D6A0BB17BD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6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3634" name="Picture@5C\QPendientes@" descr="@5C\QPendientes@">
          <a:extLst>
            <a:ext uri="{FF2B5EF4-FFF2-40B4-BE49-F238E27FC236}">
              <a16:creationId xmlns:a16="http://schemas.microsoft.com/office/drawing/2014/main" id="{3EA2CC3F-6BB2-4ADE-B0BD-A7E0926498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7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3635" name="Picture@5C\QPendientes@" descr="@5C\QPendientes@">
          <a:extLst>
            <a:ext uri="{FF2B5EF4-FFF2-40B4-BE49-F238E27FC236}">
              <a16:creationId xmlns:a16="http://schemas.microsoft.com/office/drawing/2014/main" id="{5C5A27E0-14F3-4362-8226-D396EE0325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9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3636" name="Picture@5C\QPendientes@" descr="@5C\QPendientes@">
          <a:extLst>
            <a:ext uri="{FF2B5EF4-FFF2-40B4-BE49-F238E27FC236}">
              <a16:creationId xmlns:a16="http://schemas.microsoft.com/office/drawing/2014/main" id="{8A882EA9-CA06-492A-AE1E-11B675B0EF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1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3637" name="Picture@5C\QPendientes@" descr="@5C\QPendientes@">
          <a:extLst>
            <a:ext uri="{FF2B5EF4-FFF2-40B4-BE49-F238E27FC236}">
              <a16:creationId xmlns:a16="http://schemas.microsoft.com/office/drawing/2014/main" id="{35B31DCF-3EE0-48F4-8D01-2344667093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3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3638" name="Picture@5C\QPendientes@" descr="@5C\QPendientes@">
          <a:extLst>
            <a:ext uri="{FF2B5EF4-FFF2-40B4-BE49-F238E27FC236}">
              <a16:creationId xmlns:a16="http://schemas.microsoft.com/office/drawing/2014/main" id="{6E0AABE5-3171-425F-8DF5-44B445DFCF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5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3639" name="Picture@5C\QPendientes@" descr="@5C\QPendientes@">
          <a:extLst>
            <a:ext uri="{FF2B5EF4-FFF2-40B4-BE49-F238E27FC236}">
              <a16:creationId xmlns:a16="http://schemas.microsoft.com/office/drawing/2014/main" id="{7CB963C3-4FBD-4EE5-B542-95C9298CB7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3640" name="Picture@5C\QPendientes@" descr="@5C\QPendientes@">
          <a:extLst>
            <a:ext uri="{FF2B5EF4-FFF2-40B4-BE49-F238E27FC236}">
              <a16:creationId xmlns:a16="http://schemas.microsoft.com/office/drawing/2014/main" id="{4EA4BAE7-A31F-467A-801C-E2A4839908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8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3641" name="Picture@5C\QPendientes@" descr="@5C\QPendientes@">
          <a:extLst>
            <a:ext uri="{FF2B5EF4-FFF2-40B4-BE49-F238E27FC236}">
              <a16:creationId xmlns:a16="http://schemas.microsoft.com/office/drawing/2014/main" id="{6D5A86BD-494F-4E23-834E-7C20A35992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0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3642" name="Picture@5C\QPendientes@" descr="@5C\QPendientes@">
          <a:extLst>
            <a:ext uri="{FF2B5EF4-FFF2-40B4-BE49-F238E27FC236}">
              <a16:creationId xmlns:a16="http://schemas.microsoft.com/office/drawing/2014/main" id="{81349E32-7440-4E62-B007-ECC75B4B6C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2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3643" name="Picture@5C\QPendientes@" descr="@5C\QPendientes@">
          <a:extLst>
            <a:ext uri="{FF2B5EF4-FFF2-40B4-BE49-F238E27FC236}">
              <a16:creationId xmlns:a16="http://schemas.microsoft.com/office/drawing/2014/main" id="{DBCA6DCB-5592-4A6A-BC9D-F448097BA6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4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3644" name="Picture@5C\QPendientes@" descr="@5C\QPendientes@">
          <a:extLst>
            <a:ext uri="{FF2B5EF4-FFF2-40B4-BE49-F238E27FC236}">
              <a16:creationId xmlns:a16="http://schemas.microsoft.com/office/drawing/2014/main" id="{07701B85-C1A4-47AF-A649-685EA765E8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6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3645" name="Picture@5C\QPendientes@" descr="@5C\QPendientes@">
          <a:extLst>
            <a:ext uri="{FF2B5EF4-FFF2-40B4-BE49-F238E27FC236}">
              <a16:creationId xmlns:a16="http://schemas.microsoft.com/office/drawing/2014/main" id="{A7005ED6-0871-4F4C-8458-0BA23B203B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7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3646" name="Picture@5C\QPendientes@" descr="@5C\QPendientes@">
          <a:extLst>
            <a:ext uri="{FF2B5EF4-FFF2-40B4-BE49-F238E27FC236}">
              <a16:creationId xmlns:a16="http://schemas.microsoft.com/office/drawing/2014/main" id="{B3062A4C-9B79-490E-B5A7-B4F89630B4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9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3647" name="Picture@5C\QPendientes@" descr="@5C\QPendientes@">
          <a:extLst>
            <a:ext uri="{FF2B5EF4-FFF2-40B4-BE49-F238E27FC236}">
              <a16:creationId xmlns:a16="http://schemas.microsoft.com/office/drawing/2014/main" id="{F2F5537A-43C4-410C-A41A-07F85A4E09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1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3648" name="Picture@5C\QPendientes@" descr="@5C\QPendientes@">
          <a:extLst>
            <a:ext uri="{FF2B5EF4-FFF2-40B4-BE49-F238E27FC236}">
              <a16:creationId xmlns:a16="http://schemas.microsoft.com/office/drawing/2014/main" id="{429C8083-8B9E-402F-917A-781D38C21B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3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3649" name="Picture@5C\QPendientes@" descr="@5C\QPendientes@">
          <a:extLst>
            <a:ext uri="{FF2B5EF4-FFF2-40B4-BE49-F238E27FC236}">
              <a16:creationId xmlns:a16="http://schemas.microsoft.com/office/drawing/2014/main" id="{D9D543F8-E0DB-4161-881A-C734C1858D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3650" name="Picture@5C\QPendientes@" descr="@5C\QPendientes@">
          <a:extLst>
            <a:ext uri="{FF2B5EF4-FFF2-40B4-BE49-F238E27FC236}">
              <a16:creationId xmlns:a16="http://schemas.microsoft.com/office/drawing/2014/main" id="{5BBE8C08-F8E5-401A-90B0-05E2491B51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7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3651" name="Picture@5C\QPendientes@" descr="@5C\QPendientes@">
          <a:extLst>
            <a:ext uri="{FF2B5EF4-FFF2-40B4-BE49-F238E27FC236}">
              <a16:creationId xmlns:a16="http://schemas.microsoft.com/office/drawing/2014/main" id="{EF730AED-BC63-4C24-B230-7C25065A4B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8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3652" name="Picture@5C\QPendientes@" descr="@5C\QPendientes@">
          <a:extLst>
            <a:ext uri="{FF2B5EF4-FFF2-40B4-BE49-F238E27FC236}">
              <a16:creationId xmlns:a16="http://schemas.microsoft.com/office/drawing/2014/main" id="{9987780B-D7A3-48E0-A4AA-40C4E6F2CC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0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3653" name="Picture@5C\QPendientes@" descr="@5C\QPendientes@">
          <a:extLst>
            <a:ext uri="{FF2B5EF4-FFF2-40B4-BE49-F238E27FC236}">
              <a16:creationId xmlns:a16="http://schemas.microsoft.com/office/drawing/2014/main" id="{4615441D-30E5-4B8B-89E0-C2954793FF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2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3654" name="Picture@5C\QPendientes@" descr="@5C\QPendientes@">
          <a:extLst>
            <a:ext uri="{FF2B5EF4-FFF2-40B4-BE49-F238E27FC236}">
              <a16:creationId xmlns:a16="http://schemas.microsoft.com/office/drawing/2014/main" id="{3EDED1A1-DE9B-4C5C-A5B1-781B5C67CF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4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3655" name="Picture@5C\QPendientes@" descr="@5C\QPendientes@">
          <a:extLst>
            <a:ext uri="{FF2B5EF4-FFF2-40B4-BE49-F238E27FC236}">
              <a16:creationId xmlns:a16="http://schemas.microsoft.com/office/drawing/2014/main" id="{11394F1D-4F08-4BFC-90C5-5EE08182B8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6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3656" name="Picture@5C\QPendientes@" descr="@5C\QPendientes@">
          <a:extLst>
            <a:ext uri="{FF2B5EF4-FFF2-40B4-BE49-F238E27FC236}">
              <a16:creationId xmlns:a16="http://schemas.microsoft.com/office/drawing/2014/main" id="{CEC76457-178D-4790-996D-2898A34219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8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3657" name="Picture@5C\QPendientes@" descr="@5C\QPendientes@">
          <a:extLst>
            <a:ext uri="{FF2B5EF4-FFF2-40B4-BE49-F238E27FC236}">
              <a16:creationId xmlns:a16="http://schemas.microsoft.com/office/drawing/2014/main" id="{BFCF0E45-5761-4557-99C4-DD904D6E67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9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3658" name="Picture@5C\QPendientes@" descr="@5C\QPendientes@">
          <a:extLst>
            <a:ext uri="{FF2B5EF4-FFF2-40B4-BE49-F238E27FC236}">
              <a16:creationId xmlns:a16="http://schemas.microsoft.com/office/drawing/2014/main" id="{C8D88359-BE28-4E76-947C-93CF090042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1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3659" name="Picture@5C\QPendientes@" descr="@5C\QPendientes@">
          <a:extLst>
            <a:ext uri="{FF2B5EF4-FFF2-40B4-BE49-F238E27FC236}">
              <a16:creationId xmlns:a16="http://schemas.microsoft.com/office/drawing/2014/main" id="{B7AF51FC-B6A0-459B-B2C4-B2DE1EAF06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3660" name="Picture@5C\QPendientes@" descr="@5C\QPendientes@">
          <a:extLst>
            <a:ext uri="{FF2B5EF4-FFF2-40B4-BE49-F238E27FC236}">
              <a16:creationId xmlns:a16="http://schemas.microsoft.com/office/drawing/2014/main" id="{B1B72082-9F8A-4BFB-B4B7-21B5F36123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5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3661" name="Picture@5C\QPendientes@" descr="@5C\QPendientes@">
          <a:extLst>
            <a:ext uri="{FF2B5EF4-FFF2-40B4-BE49-F238E27FC236}">
              <a16:creationId xmlns:a16="http://schemas.microsoft.com/office/drawing/2014/main" id="{7B76FDB7-60A4-4423-ACF0-9554122FC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7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3662" name="Picture@5C\QPendientes@" descr="@5C\QPendientes@">
          <a:extLst>
            <a:ext uri="{FF2B5EF4-FFF2-40B4-BE49-F238E27FC236}">
              <a16:creationId xmlns:a16="http://schemas.microsoft.com/office/drawing/2014/main" id="{ABEA8A12-8749-43DA-8356-8707F4E801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9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3663" name="Picture@5C\QPendientes@" descr="@5C\QPendientes@">
          <a:extLst>
            <a:ext uri="{FF2B5EF4-FFF2-40B4-BE49-F238E27FC236}">
              <a16:creationId xmlns:a16="http://schemas.microsoft.com/office/drawing/2014/main" id="{7A1F8275-8A6E-4AF3-8D35-89C1834120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0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3664" name="Picture@5C\QPendientes@" descr="@5C\QPendientes@">
          <a:extLst>
            <a:ext uri="{FF2B5EF4-FFF2-40B4-BE49-F238E27FC236}">
              <a16:creationId xmlns:a16="http://schemas.microsoft.com/office/drawing/2014/main" id="{268612D4-FE75-4B41-B0A1-88DEC2CA22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2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3665" name="Picture@5C\QPendientes@" descr="@5C\QPendientes@">
          <a:extLst>
            <a:ext uri="{FF2B5EF4-FFF2-40B4-BE49-F238E27FC236}">
              <a16:creationId xmlns:a16="http://schemas.microsoft.com/office/drawing/2014/main" id="{FE08007B-8A13-4E09-92A9-97C0944F3B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4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3666" name="Picture@5C\QPendientes@" descr="@5C\QPendientes@">
          <a:extLst>
            <a:ext uri="{FF2B5EF4-FFF2-40B4-BE49-F238E27FC236}">
              <a16:creationId xmlns:a16="http://schemas.microsoft.com/office/drawing/2014/main" id="{631EC09F-5896-40E8-98BD-E2CD916494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6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3667" name="Picture@5C\QPendientes@" descr="@5C\QPendientes@">
          <a:extLst>
            <a:ext uri="{FF2B5EF4-FFF2-40B4-BE49-F238E27FC236}">
              <a16:creationId xmlns:a16="http://schemas.microsoft.com/office/drawing/2014/main" id="{47E8D31A-611C-487B-87BC-26A606D653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8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3668" name="Picture@5C\QPendientes@" descr="@5C\QPendientes@">
          <a:extLst>
            <a:ext uri="{FF2B5EF4-FFF2-40B4-BE49-F238E27FC236}">
              <a16:creationId xmlns:a16="http://schemas.microsoft.com/office/drawing/2014/main" id="{4396F423-4914-4766-9952-D588E86F1C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0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3669" name="Picture@5C\QPendientes@" descr="@5C\QPendientes@">
          <a:extLst>
            <a:ext uri="{FF2B5EF4-FFF2-40B4-BE49-F238E27FC236}">
              <a16:creationId xmlns:a16="http://schemas.microsoft.com/office/drawing/2014/main" id="{B79BC519-DA9F-47E9-9A70-C3AE93F06A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3670" name="Picture@5C\QPendientes@" descr="@5C\QPendientes@">
          <a:extLst>
            <a:ext uri="{FF2B5EF4-FFF2-40B4-BE49-F238E27FC236}">
              <a16:creationId xmlns:a16="http://schemas.microsoft.com/office/drawing/2014/main" id="{85A1D8FF-CCB7-47EF-A736-00BF642BE0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3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3671" name="Picture@5C\QPendientes@" descr="@5C\QPendientes@">
          <a:extLst>
            <a:ext uri="{FF2B5EF4-FFF2-40B4-BE49-F238E27FC236}">
              <a16:creationId xmlns:a16="http://schemas.microsoft.com/office/drawing/2014/main" id="{7F2D8BD0-26B3-4F10-A96D-90ACA802DD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5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4118" name="Picture@5C\QPendientes@" descr="@5C\QPendientes@">
          <a:extLst>
            <a:ext uri="{FF2B5EF4-FFF2-40B4-BE49-F238E27FC236}">
              <a16:creationId xmlns:a16="http://schemas.microsoft.com/office/drawing/2014/main" id="{ABDC70D6-703E-4AA4-9C2D-2945D1D27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4119" name="Picture@5C\QPendientes@" descr="@5C\QPendientes@">
          <a:extLst>
            <a:ext uri="{FF2B5EF4-FFF2-40B4-BE49-F238E27FC236}">
              <a16:creationId xmlns:a16="http://schemas.microsoft.com/office/drawing/2014/main" id="{34A5CEAE-B927-4B3A-83DE-E285A6A49B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4120" name="Picture@5C\QPendientes@" descr="@5C\QPendientes@">
          <a:extLst>
            <a:ext uri="{FF2B5EF4-FFF2-40B4-BE49-F238E27FC236}">
              <a16:creationId xmlns:a16="http://schemas.microsoft.com/office/drawing/2014/main" id="{2BAC4B2B-7563-4C4B-A222-1122DA712B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4121" name="Picture@5C\QPendientes@" descr="@5C\QPendientes@">
          <a:extLst>
            <a:ext uri="{FF2B5EF4-FFF2-40B4-BE49-F238E27FC236}">
              <a16:creationId xmlns:a16="http://schemas.microsoft.com/office/drawing/2014/main" id="{ADBBE7ED-BBC1-417E-B700-90F7BFD948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4122" name="Picture@5C\QPendientes@" descr="@5C\QPendientes@">
          <a:extLst>
            <a:ext uri="{FF2B5EF4-FFF2-40B4-BE49-F238E27FC236}">
              <a16:creationId xmlns:a16="http://schemas.microsoft.com/office/drawing/2014/main" id="{71C98E08-4003-4166-AB6B-C4F368E35C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4123" name="Picture@5C\QPendientes@" descr="@5C\QPendientes@">
          <a:extLst>
            <a:ext uri="{FF2B5EF4-FFF2-40B4-BE49-F238E27FC236}">
              <a16:creationId xmlns:a16="http://schemas.microsoft.com/office/drawing/2014/main" id="{EFDF33D6-6071-43DF-AC13-29CB098965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4124" name="Picture@5C\QPendientes@" descr="@5C\QPendientes@">
          <a:extLst>
            <a:ext uri="{FF2B5EF4-FFF2-40B4-BE49-F238E27FC236}">
              <a16:creationId xmlns:a16="http://schemas.microsoft.com/office/drawing/2014/main" id="{E32D8633-8978-4FAB-8A94-88562A6526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4125" name="Picture@5C\QPendientes@" descr="@5C\QPendientes@">
          <a:extLst>
            <a:ext uri="{FF2B5EF4-FFF2-40B4-BE49-F238E27FC236}">
              <a16:creationId xmlns:a16="http://schemas.microsoft.com/office/drawing/2014/main" id="{E3E0CE01-43B2-4EC4-A606-3E3986741E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4126" name="Picture@5C\QPendientes@" descr="@5C\QPendientes@">
          <a:extLst>
            <a:ext uri="{FF2B5EF4-FFF2-40B4-BE49-F238E27FC236}">
              <a16:creationId xmlns:a16="http://schemas.microsoft.com/office/drawing/2014/main" id="{34972AD1-87B3-41E3-8C69-D2F27981C8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4127" name="Picture@5C\QPendientes@" descr="@5C\QPendientes@">
          <a:extLst>
            <a:ext uri="{FF2B5EF4-FFF2-40B4-BE49-F238E27FC236}">
              <a16:creationId xmlns:a16="http://schemas.microsoft.com/office/drawing/2014/main" id="{7A5B980F-6F5A-44A9-95A0-CD37B9464D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4128" name="Picture@5C\QPendientes@" descr="@5C\QPendientes@">
          <a:extLst>
            <a:ext uri="{FF2B5EF4-FFF2-40B4-BE49-F238E27FC236}">
              <a16:creationId xmlns:a16="http://schemas.microsoft.com/office/drawing/2014/main" id="{D263E32E-390B-40F5-8803-E5D119F322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4129" name="Picture@5C\QPendientes@" descr="@5C\QPendientes@">
          <a:extLst>
            <a:ext uri="{FF2B5EF4-FFF2-40B4-BE49-F238E27FC236}">
              <a16:creationId xmlns:a16="http://schemas.microsoft.com/office/drawing/2014/main" id="{2476F307-DDD8-4755-B8DB-76EAE7A201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4130" name="Picture@5C\QPendientes@" descr="@5C\QPendientes@">
          <a:extLst>
            <a:ext uri="{FF2B5EF4-FFF2-40B4-BE49-F238E27FC236}">
              <a16:creationId xmlns:a16="http://schemas.microsoft.com/office/drawing/2014/main" id="{F87961E9-E166-43E6-A690-BF0785A038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4131" name="Picture@5C\QPendientes@" descr="@5C\QPendientes@">
          <a:extLst>
            <a:ext uri="{FF2B5EF4-FFF2-40B4-BE49-F238E27FC236}">
              <a16:creationId xmlns:a16="http://schemas.microsoft.com/office/drawing/2014/main" id="{2E8397B4-125E-40D0-B40E-8C865B8F5A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4132" name="Picture@5C\QPendientes@" descr="@5C\QPendientes@">
          <a:extLst>
            <a:ext uri="{FF2B5EF4-FFF2-40B4-BE49-F238E27FC236}">
              <a16:creationId xmlns:a16="http://schemas.microsoft.com/office/drawing/2014/main" id="{9158F7CF-0DC9-4720-95D7-2036BCDF7F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4133" name="Picture@5C\QPendientes@" descr="@5C\QPendientes@">
          <a:extLst>
            <a:ext uri="{FF2B5EF4-FFF2-40B4-BE49-F238E27FC236}">
              <a16:creationId xmlns:a16="http://schemas.microsoft.com/office/drawing/2014/main" id="{08FBCC4A-5CA2-452B-8565-BCC0E4468B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4134" name="Picture@5C\QPendientes@" descr="@5C\QPendientes@">
          <a:extLst>
            <a:ext uri="{FF2B5EF4-FFF2-40B4-BE49-F238E27FC236}">
              <a16:creationId xmlns:a16="http://schemas.microsoft.com/office/drawing/2014/main" id="{B5A80B9D-3B28-4E61-BFF9-54A455666F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4135" name="Picture@5C\QPendientes@" descr="@5C\QPendientes@">
          <a:extLst>
            <a:ext uri="{FF2B5EF4-FFF2-40B4-BE49-F238E27FC236}">
              <a16:creationId xmlns:a16="http://schemas.microsoft.com/office/drawing/2014/main" id="{9D841A56-0B94-49B7-A7DA-8FDD1E0097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4136" name="Picture@5C\QPendientes@" descr="@5C\QPendientes@">
          <a:extLst>
            <a:ext uri="{FF2B5EF4-FFF2-40B4-BE49-F238E27FC236}">
              <a16:creationId xmlns:a16="http://schemas.microsoft.com/office/drawing/2014/main" id="{4E9FC8CD-542C-4DF1-AB37-250FEEF493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4137" name="Picture@5C\QPendientes@" descr="@5C\QPendientes@">
          <a:extLst>
            <a:ext uri="{FF2B5EF4-FFF2-40B4-BE49-F238E27FC236}">
              <a16:creationId xmlns:a16="http://schemas.microsoft.com/office/drawing/2014/main" id="{CC764982-872B-47E3-A96F-00C07AF6CC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4138" name="Picture@5C\QPendientes@" descr="@5C\QPendientes@">
          <a:extLst>
            <a:ext uri="{FF2B5EF4-FFF2-40B4-BE49-F238E27FC236}">
              <a16:creationId xmlns:a16="http://schemas.microsoft.com/office/drawing/2014/main" id="{AA771C43-CFCA-4913-B920-744C442408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4139" name="Picture@5C\QPendientes@" descr="@5C\QPendientes@">
          <a:extLst>
            <a:ext uri="{FF2B5EF4-FFF2-40B4-BE49-F238E27FC236}">
              <a16:creationId xmlns:a16="http://schemas.microsoft.com/office/drawing/2014/main" id="{1D663803-167A-43F2-827E-7C72EE716A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4140" name="Picture@5C\QPendientes@" descr="@5C\QPendientes@">
          <a:extLst>
            <a:ext uri="{FF2B5EF4-FFF2-40B4-BE49-F238E27FC236}">
              <a16:creationId xmlns:a16="http://schemas.microsoft.com/office/drawing/2014/main" id="{57DDDFBE-E49B-48DE-8F04-40B37AB1D9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4141" name="Picture@5C\QPendientes@" descr="@5C\QPendientes@">
          <a:extLst>
            <a:ext uri="{FF2B5EF4-FFF2-40B4-BE49-F238E27FC236}">
              <a16:creationId xmlns:a16="http://schemas.microsoft.com/office/drawing/2014/main" id="{DD77640E-252D-4AD9-AFF4-A98DC7154F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4142" name="Picture@5C\QPendientes@" descr="@5C\QPendientes@">
          <a:extLst>
            <a:ext uri="{FF2B5EF4-FFF2-40B4-BE49-F238E27FC236}">
              <a16:creationId xmlns:a16="http://schemas.microsoft.com/office/drawing/2014/main" id="{D2BFCD70-FDEA-48C0-89DA-94390516C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4143" name="Picture@5C\QPendientes@" descr="@5C\QPendientes@">
          <a:extLst>
            <a:ext uri="{FF2B5EF4-FFF2-40B4-BE49-F238E27FC236}">
              <a16:creationId xmlns:a16="http://schemas.microsoft.com/office/drawing/2014/main" id="{E581EACE-B1C6-4651-9C12-40AE9C3F6C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4144" name="Picture@5C\QPendientes@" descr="@5C\QPendientes@">
          <a:extLst>
            <a:ext uri="{FF2B5EF4-FFF2-40B4-BE49-F238E27FC236}">
              <a16:creationId xmlns:a16="http://schemas.microsoft.com/office/drawing/2014/main" id="{71F0D189-C888-46BC-BC61-A54EEDB4F2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4145" name="Picture@5C\QPendientes@" descr="@5C\QPendientes@">
          <a:extLst>
            <a:ext uri="{FF2B5EF4-FFF2-40B4-BE49-F238E27FC236}">
              <a16:creationId xmlns:a16="http://schemas.microsoft.com/office/drawing/2014/main" id="{5C3467E9-C675-4D3B-ABD9-2FCF074967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4146" name="Picture@5C\QPendientes@" descr="@5C\QPendientes@">
          <a:extLst>
            <a:ext uri="{FF2B5EF4-FFF2-40B4-BE49-F238E27FC236}">
              <a16:creationId xmlns:a16="http://schemas.microsoft.com/office/drawing/2014/main" id="{426815FF-FE54-4B66-BBFC-5F8DE92E02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4147" name="Picture@5C\QPendientes@" descr="@5C\QPendientes@">
          <a:extLst>
            <a:ext uri="{FF2B5EF4-FFF2-40B4-BE49-F238E27FC236}">
              <a16:creationId xmlns:a16="http://schemas.microsoft.com/office/drawing/2014/main" id="{815FC277-B411-46AC-ABF8-63D9C73C5D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4148" name="Picture@5C\QPendientes@" descr="@5C\QPendientes@">
          <a:extLst>
            <a:ext uri="{FF2B5EF4-FFF2-40B4-BE49-F238E27FC236}">
              <a16:creationId xmlns:a16="http://schemas.microsoft.com/office/drawing/2014/main" id="{21A0A0A9-C4CA-4E91-A6C4-C92C8442AB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4149" name="Picture@5C\QPendientes@" descr="@5C\QPendientes@">
          <a:extLst>
            <a:ext uri="{FF2B5EF4-FFF2-40B4-BE49-F238E27FC236}">
              <a16:creationId xmlns:a16="http://schemas.microsoft.com/office/drawing/2014/main" id="{7AA4B01C-308C-46C8-AF65-F84A982417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4150" name="Picture@5C\QPendientes@" descr="@5C\QPendientes@">
          <a:extLst>
            <a:ext uri="{FF2B5EF4-FFF2-40B4-BE49-F238E27FC236}">
              <a16:creationId xmlns:a16="http://schemas.microsoft.com/office/drawing/2014/main" id="{E475BF1B-D1C1-4B96-970C-451F7448CF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4151" name="Picture@5C\QPendientes@" descr="@5C\QPendientes@">
          <a:extLst>
            <a:ext uri="{FF2B5EF4-FFF2-40B4-BE49-F238E27FC236}">
              <a16:creationId xmlns:a16="http://schemas.microsoft.com/office/drawing/2014/main" id="{1F8C4625-5D94-464E-89F8-DDD0C1DB78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4152" name="Picture@5C\QPendientes@" descr="@5C\QPendientes@">
          <a:extLst>
            <a:ext uri="{FF2B5EF4-FFF2-40B4-BE49-F238E27FC236}">
              <a16:creationId xmlns:a16="http://schemas.microsoft.com/office/drawing/2014/main" id="{A4CFBD4F-B134-46D5-B1BA-059467CCF8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4153" name="Picture@5C\QPendientes@" descr="@5C\QPendientes@">
          <a:extLst>
            <a:ext uri="{FF2B5EF4-FFF2-40B4-BE49-F238E27FC236}">
              <a16:creationId xmlns:a16="http://schemas.microsoft.com/office/drawing/2014/main" id="{F37404C1-E1C2-4537-92A8-05CF6572E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4154" name="Picture@5C\QPendientes@" descr="@5C\QPendientes@">
          <a:extLst>
            <a:ext uri="{FF2B5EF4-FFF2-40B4-BE49-F238E27FC236}">
              <a16:creationId xmlns:a16="http://schemas.microsoft.com/office/drawing/2014/main" id="{77973963-CB1C-4498-B448-2E62E04DD9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4155" name="Picture@5C\QPendientes@" descr="@5C\QPendientes@">
          <a:extLst>
            <a:ext uri="{FF2B5EF4-FFF2-40B4-BE49-F238E27FC236}">
              <a16:creationId xmlns:a16="http://schemas.microsoft.com/office/drawing/2014/main" id="{986CB381-94C5-4E9A-BEA6-0340B1D46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4156" name="Picture@5C\QPendientes@" descr="@5C\QPendientes@">
          <a:extLst>
            <a:ext uri="{FF2B5EF4-FFF2-40B4-BE49-F238E27FC236}">
              <a16:creationId xmlns:a16="http://schemas.microsoft.com/office/drawing/2014/main" id="{2E675B4A-A5D5-45BE-8E13-39BD66EF6D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4157" name="Picture@5C\QPendientes@" descr="@5C\QPendientes@">
          <a:extLst>
            <a:ext uri="{FF2B5EF4-FFF2-40B4-BE49-F238E27FC236}">
              <a16:creationId xmlns:a16="http://schemas.microsoft.com/office/drawing/2014/main" id="{EC37867E-C075-46B3-89AD-B55EBF1B6A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4158" name="Picture@5C\QPendientes@" descr="@5C\QPendientes@">
          <a:extLst>
            <a:ext uri="{FF2B5EF4-FFF2-40B4-BE49-F238E27FC236}">
              <a16:creationId xmlns:a16="http://schemas.microsoft.com/office/drawing/2014/main" id="{334041DC-3D29-43E1-BDF2-54DB6A1B4D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4159" name="Picture@5C\QPendientes@" descr="@5C\QPendientes@">
          <a:extLst>
            <a:ext uri="{FF2B5EF4-FFF2-40B4-BE49-F238E27FC236}">
              <a16:creationId xmlns:a16="http://schemas.microsoft.com/office/drawing/2014/main" id="{1FE81ABF-4AD1-4458-8E4F-91A7050074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4160" name="Picture@5C\QPendientes@" descr="@5C\QPendientes@">
          <a:extLst>
            <a:ext uri="{FF2B5EF4-FFF2-40B4-BE49-F238E27FC236}">
              <a16:creationId xmlns:a16="http://schemas.microsoft.com/office/drawing/2014/main" id="{FD17C7EA-BB28-4E81-B668-13CFD098FD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4161" name="Picture@5C\QPendientes@" descr="@5C\QPendientes@">
          <a:extLst>
            <a:ext uri="{FF2B5EF4-FFF2-40B4-BE49-F238E27FC236}">
              <a16:creationId xmlns:a16="http://schemas.microsoft.com/office/drawing/2014/main" id="{2054AA98-DD6A-4FFB-BF67-80F8905359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4162" name="Picture@5C\QPendientes@" descr="@5C\QPendientes@">
          <a:extLst>
            <a:ext uri="{FF2B5EF4-FFF2-40B4-BE49-F238E27FC236}">
              <a16:creationId xmlns:a16="http://schemas.microsoft.com/office/drawing/2014/main" id="{CB9F47C6-3E17-461C-BC84-5C73190ECA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4163" name="Picture@5C\QPendientes@" descr="@5C\QPendientes@">
          <a:extLst>
            <a:ext uri="{FF2B5EF4-FFF2-40B4-BE49-F238E27FC236}">
              <a16:creationId xmlns:a16="http://schemas.microsoft.com/office/drawing/2014/main" id="{DB97490E-CABC-4761-AEB9-190B245D76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4164" name="Picture@5C\QPendientes@" descr="@5C\QPendientes@">
          <a:extLst>
            <a:ext uri="{FF2B5EF4-FFF2-40B4-BE49-F238E27FC236}">
              <a16:creationId xmlns:a16="http://schemas.microsoft.com/office/drawing/2014/main" id="{DD35F65A-2CA4-4DCE-A084-A1E1E427B7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4165" name="Picture@5C\QPendientes@" descr="@5C\QPendientes@">
          <a:extLst>
            <a:ext uri="{FF2B5EF4-FFF2-40B4-BE49-F238E27FC236}">
              <a16:creationId xmlns:a16="http://schemas.microsoft.com/office/drawing/2014/main" id="{6F361061-BEF5-45B6-AAFC-C98AB6EAE5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4166" name="Picture@5C\QPendientes@" descr="@5C\QPendientes@">
          <a:extLst>
            <a:ext uri="{FF2B5EF4-FFF2-40B4-BE49-F238E27FC236}">
              <a16:creationId xmlns:a16="http://schemas.microsoft.com/office/drawing/2014/main" id="{1EE6D7F2-9F92-497F-9F9E-7DE3F0DC27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4167" name="Picture@5C\QPendientes@" descr="@5C\QPendientes@">
          <a:extLst>
            <a:ext uri="{FF2B5EF4-FFF2-40B4-BE49-F238E27FC236}">
              <a16:creationId xmlns:a16="http://schemas.microsoft.com/office/drawing/2014/main" id="{2C43FA74-9614-417F-9AF4-3822A121BB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4168" name="Picture@5C\QPendientes@" descr="@5C\QPendientes@">
          <a:extLst>
            <a:ext uri="{FF2B5EF4-FFF2-40B4-BE49-F238E27FC236}">
              <a16:creationId xmlns:a16="http://schemas.microsoft.com/office/drawing/2014/main" id="{B9B69F63-3329-4079-A773-7E5E7B5C4E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4169" name="Picture@5C\QPendientes@" descr="@5C\QPendientes@">
          <a:extLst>
            <a:ext uri="{FF2B5EF4-FFF2-40B4-BE49-F238E27FC236}">
              <a16:creationId xmlns:a16="http://schemas.microsoft.com/office/drawing/2014/main" id="{F359B8FF-A8C1-411F-BC2C-CF5640207E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4170" name="Picture@5C\QPendientes@" descr="@5C\QPendientes@">
          <a:extLst>
            <a:ext uri="{FF2B5EF4-FFF2-40B4-BE49-F238E27FC236}">
              <a16:creationId xmlns:a16="http://schemas.microsoft.com/office/drawing/2014/main" id="{744B80C4-3747-4B55-BFAE-9733CA08BB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4171" name="Picture@5C\QPendientes@" descr="@5C\QPendientes@">
          <a:extLst>
            <a:ext uri="{FF2B5EF4-FFF2-40B4-BE49-F238E27FC236}">
              <a16:creationId xmlns:a16="http://schemas.microsoft.com/office/drawing/2014/main" id="{E70189AA-093B-4E25-8B7D-7D0B7C81F0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4172" name="Picture@5C\QPendientes@" descr="@5C\QPendientes@">
          <a:extLst>
            <a:ext uri="{FF2B5EF4-FFF2-40B4-BE49-F238E27FC236}">
              <a16:creationId xmlns:a16="http://schemas.microsoft.com/office/drawing/2014/main" id="{0FD78133-03B1-44D5-AAC4-25843BB5B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4173" name="Picture@5C\QPendientes@" descr="@5C\QPendientes@">
          <a:extLst>
            <a:ext uri="{FF2B5EF4-FFF2-40B4-BE49-F238E27FC236}">
              <a16:creationId xmlns:a16="http://schemas.microsoft.com/office/drawing/2014/main" id="{97645FE9-653B-49ED-8975-FC61C64FC3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4174" name="Picture@5C\QPendientes@" descr="@5C\QPendientes@">
          <a:extLst>
            <a:ext uri="{FF2B5EF4-FFF2-40B4-BE49-F238E27FC236}">
              <a16:creationId xmlns:a16="http://schemas.microsoft.com/office/drawing/2014/main" id="{3A2576C1-927B-4F98-8E77-45B28AD172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4175" name="Picture@5C\QPendientes@" descr="@5C\QPendientes@">
          <a:extLst>
            <a:ext uri="{FF2B5EF4-FFF2-40B4-BE49-F238E27FC236}">
              <a16:creationId xmlns:a16="http://schemas.microsoft.com/office/drawing/2014/main" id="{4ABEF7F2-2727-4A5B-AF81-FBFEC6030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4176" name="Picture@5C\QPendientes@" descr="@5C\QPendientes@">
          <a:extLst>
            <a:ext uri="{FF2B5EF4-FFF2-40B4-BE49-F238E27FC236}">
              <a16:creationId xmlns:a16="http://schemas.microsoft.com/office/drawing/2014/main" id="{70A93ADA-6587-40E9-B616-DA0CF17CCE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4177" name="Picture@5C\QPendientes@" descr="@5C\QPendientes@">
          <a:extLst>
            <a:ext uri="{FF2B5EF4-FFF2-40B4-BE49-F238E27FC236}">
              <a16:creationId xmlns:a16="http://schemas.microsoft.com/office/drawing/2014/main" id="{88CD2B60-8DDD-459F-A2E7-C610B97071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4178" name="Picture@5C\QPendientes@" descr="@5C\QPendientes@">
          <a:extLst>
            <a:ext uri="{FF2B5EF4-FFF2-40B4-BE49-F238E27FC236}">
              <a16:creationId xmlns:a16="http://schemas.microsoft.com/office/drawing/2014/main" id="{1472FC51-F9B4-4167-A8FF-B4830C6E2C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4179" name="Picture@5C\QPendientes@" descr="@5C\QPendientes@">
          <a:extLst>
            <a:ext uri="{FF2B5EF4-FFF2-40B4-BE49-F238E27FC236}">
              <a16:creationId xmlns:a16="http://schemas.microsoft.com/office/drawing/2014/main" id="{AAC8C304-8691-4010-87D8-D0DD9CFDEA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4180" name="Picture@5C\QPendientes@" descr="@5C\QPendientes@">
          <a:extLst>
            <a:ext uri="{FF2B5EF4-FFF2-40B4-BE49-F238E27FC236}">
              <a16:creationId xmlns:a16="http://schemas.microsoft.com/office/drawing/2014/main" id="{25ACEEA4-5627-4A95-BB70-FC07D9D45A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4181" name="Picture@5C\QPendientes@" descr="@5C\QPendientes@">
          <a:extLst>
            <a:ext uri="{FF2B5EF4-FFF2-40B4-BE49-F238E27FC236}">
              <a16:creationId xmlns:a16="http://schemas.microsoft.com/office/drawing/2014/main" id="{F58B2417-C1A8-45CE-BB30-E0919E07B1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4182" name="Picture@5C\QPendientes@" descr="@5C\QPendientes@">
          <a:extLst>
            <a:ext uri="{FF2B5EF4-FFF2-40B4-BE49-F238E27FC236}">
              <a16:creationId xmlns:a16="http://schemas.microsoft.com/office/drawing/2014/main" id="{9E4E6899-6778-4943-ABF6-C497C0FE8A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4183" name="Picture@5C\QPendientes@" descr="@5C\QPendientes@">
          <a:extLst>
            <a:ext uri="{FF2B5EF4-FFF2-40B4-BE49-F238E27FC236}">
              <a16:creationId xmlns:a16="http://schemas.microsoft.com/office/drawing/2014/main" id="{BC851CDC-F656-4796-B75E-BDE260E27B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4184" name="Picture@5C\QPendientes@" descr="@5C\QPendientes@">
          <a:extLst>
            <a:ext uri="{FF2B5EF4-FFF2-40B4-BE49-F238E27FC236}">
              <a16:creationId xmlns:a16="http://schemas.microsoft.com/office/drawing/2014/main" id="{1E5E9DC0-89E6-4ADC-99BE-FCECB71D94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4185" name="Picture@5C\QPendientes@" descr="@5C\QPendientes@">
          <a:extLst>
            <a:ext uri="{FF2B5EF4-FFF2-40B4-BE49-F238E27FC236}">
              <a16:creationId xmlns:a16="http://schemas.microsoft.com/office/drawing/2014/main" id="{EC5B1914-6DC2-4837-99D7-F00F19BBA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4186" name="Picture@5C\QPendientes@" descr="@5C\QPendientes@">
          <a:extLst>
            <a:ext uri="{FF2B5EF4-FFF2-40B4-BE49-F238E27FC236}">
              <a16:creationId xmlns:a16="http://schemas.microsoft.com/office/drawing/2014/main" id="{09B9554B-B1B4-4FF6-ACFF-6C6EDFF0FB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4187" name="Picture@5C\QPendientes@" descr="@5C\QPendientes@">
          <a:extLst>
            <a:ext uri="{FF2B5EF4-FFF2-40B4-BE49-F238E27FC236}">
              <a16:creationId xmlns:a16="http://schemas.microsoft.com/office/drawing/2014/main" id="{A49C63E4-928F-4AB6-A05F-414C304C71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4188" name="Picture@5C\QPendientes@" descr="@5C\QPendientes@">
          <a:extLst>
            <a:ext uri="{FF2B5EF4-FFF2-40B4-BE49-F238E27FC236}">
              <a16:creationId xmlns:a16="http://schemas.microsoft.com/office/drawing/2014/main" id="{4D82ED75-969E-46E6-A8C3-79855A8DC6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4189" name="Picture@5C\QPendientes@" descr="@5C\QPendientes@">
          <a:extLst>
            <a:ext uri="{FF2B5EF4-FFF2-40B4-BE49-F238E27FC236}">
              <a16:creationId xmlns:a16="http://schemas.microsoft.com/office/drawing/2014/main" id="{93FF9B49-80E0-435C-912D-336655896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4190" name="Picture@5C\QPendientes@" descr="@5C\QPendientes@">
          <a:extLst>
            <a:ext uri="{FF2B5EF4-FFF2-40B4-BE49-F238E27FC236}">
              <a16:creationId xmlns:a16="http://schemas.microsoft.com/office/drawing/2014/main" id="{3D8F6D87-3836-4232-8EEB-63A7908E94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4191" name="Picture@5C\QPendientes@" descr="@5C\QPendientes@">
          <a:extLst>
            <a:ext uri="{FF2B5EF4-FFF2-40B4-BE49-F238E27FC236}">
              <a16:creationId xmlns:a16="http://schemas.microsoft.com/office/drawing/2014/main" id="{F07CB62A-0611-434B-B76A-F2D4E19FA3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4192" name="Picture@5C\QPendientes@" descr="@5C\QPendientes@">
          <a:extLst>
            <a:ext uri="{FF2B5EF4-FFF2-40B4-BE49-F238E27FC236}">
              <a16:creationId xmlns:a16="http://schemas.microsoft.com/office/drawing/2014/main" id="{D7C048DF-083B-4457-8281-39996017CD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4193" name="Picture@5C\QPendientes@" descr="@5C\QPendientes@">
          <a:extLst>
            <a:ext uri="{FF2B5EF4-FFF2-40B4-BE49-F238E27FC236}">
              <a16:creationId xmlns:a16="http://schemas.microsoft.com/office/drawing/2014/main" id="{08B0C933-B3CB-4AF4-9EC0-2F5911C388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4194" name="Picture@5C\QPendientes@" descr="@5C\QPendientes@">
          <a:extLst>
            <a:ext uri="{FF2B5EF4-FFF2-40B4-BE49-F238E27FC236}">
              <a16:creationId xmlns:a16="http://schemas.microsoft.com/office/drawing/2014/main" id="{D5883938-5701-41CC-B2BA-8710A830EB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4195" name="Picture@5C\QPendientes@" descr="@5C\QPendientes@">
          <a:extLst>
            <a:ext uri="{FF2B5EF4-FFF2-40B4-BE49-F238E27FC236}">
              <a16:creationId xmlns:a16="http://schemas.microsoft.com/office/drawing/2014/main" id="{592CC2E7-7AC0-4780-8E1A-6403D4AB8E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4196" name="Picture@5C\QPendientes@" descr="@5C\QPendientes@">
          <a:extLst>
            <a:ext uri="{FF2B5EF4-FFF2-40B4-BE49-F238E27FC236}">
              <a16:creationId xmlns:a16="http://schemas.microsoft.com/office/drawing/2014/main" id="{2624EA6F-A4DB-4E8F-BD26-8B933F1D9A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4197" name="Picture@5C\QPendientes@" descr="@5C\QPendientes@">
          <a:extLst>
            <a:ext uri="{FF2B5EF4-FFF2-40B4-BE49-F238E27FC236}">
              <a16:creationId xmlns:a16="http://schemas.microsoft.com/office/drawing/2014/main" id="{1F1CAC69-9483-4862-A328-A9E3358E59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4198" name="Picture@5C\QPendientes@" descr="@5C\QPendientes@">
          <a:extLst>
            <a:ext uri="{FF2B5EF4-FFF2-40B4-BE49-F238E27FC236}">
              <a16:creationId xmlns:a16="http://schemas.microsoft.com/office/drawing/2014/main" id="{E5FD3A96-6BE1-40D7-A0E6-6A862EB672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4199" name="Picture@5C\QPendientes@" descr="@5C\QPendientes@">
          <a:extLst>
            <a:ext uri="{FF2B5EF4-FFF2-40B4-BE49-F238E27FC236}">
              <a16:creationId xmlns:a16="http://schemas.microsoft.com/office/drawing/2014/main" id="{5DF0DDE8-BEF2-46CB-90DC-4D9148BBF9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4200" name="Picture@5C\QPendientes@" descr="@5C\QPendientes@">
          <a:extLst>
            <a:ext uri="{FF2B5EF4-FFF2-40B4-BE49-F238E27FC236}">
              <a16:creationId xmlns:a16="http://schemas.microsoft.com/office/drawing/2014/main" id="{8A086779-3F51-498B-A706-4694CEA5D5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4201" name="Picture@5C\QPendientes@" descr="@5C\QPendientes@">
          <a:extLst>
            <a:ext uri="{FF2B5EF4-FFF2-40B4-BE49-F238E27FC236}">
              <a16:creationId xmlns:a16="http://schemas.microsoft.com/office/drawing/2014/main" id="{9D7EB111-D720-4C4F-959E-38193140B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4202" name="Picture@5C\QPendientes@" descr="@5C\QPendientes@">
          <a:extLst>
            <a:ext uri="{FF2B5EF4-FFF2-40B4-BE49-F238E27FC236}">
              <a16:creationId xmlns:a16="http://schemas.microsoft.com/office/drawing/2014/main" id="{7797CA53-A811-494C-A1F6-59257F4EB8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4203" name="Picture@5C\QPendientes@" descr="@5C\QPendientes@">
          <a:extLst>
            <a:ext uri="{FF2B5EF4-FFF2-40B4-BE49-F238E27FC236}">
              <a16:creationId xmlns:a16="http://schemas.microsoft.com/office/drawing/2014/main" id="{7A8F9B04-C5F7-4BB0-B5F0-C26B5D3298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4204" name="Picture@5C\QPendientes@" descr="@5C\QPendientes@">
          <a:extLst>
            <a:ext uri="{FF2B5EF4-FFF2-40B4-BE49-F238E27FC236}">
              <a16:creationId xmlns:a16="http://schemas.microsoft.com/office/drawing/2014/main" id="{1FDC0F28-91BA-4ADD-9B68-6659062585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4205" name="Picture@5C\QPendientes@" descr="@5C\QPendientes@">
          <a:extLst>
            <a:ext uri="{FF2B5EF4-FFF2-40B4-BE49-F238E27FC236}">
              <a16:creationId xmlns:a16="http://schemas.microsoft.com/office/drawing/2014/main" id="{30C8CB46-A6D8-4C7F-BC70-40EBC3B069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4206" name="Picture@5C\QPendientes@" descr="@5C\QPendientes@">
          <a:extLst>
            <a:ext uri="{FF2B5EF4-FFF2-40B4-BE49-F238E27FC236}">
              <a16:creationId xmlns:a16="http://schemas.microsoft.com/office/drawing/2014/main" id="{2303B8B2-3BE8-48B3-927B-07AED628AF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4207" name="Picture@5C\QPendientes@" descr="@5C\QPendientes@">
          <a:extLst>
            <a:ext uri="{FF2B5EF4-FFF2-40B4-BE49-F238E27FC236}">
              <a16:creationId xmlns:a16="http://schemas.microsoft.com/office/drawing/2014/main" id="{686740E9-62B5-45CE-9036-60B41DBE59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4208" name="Picture@5C\QPendientes@" descr="@5C\QPendientes@">
          <a:extLst>
            <a:ext uri="{FF2B5EF4-FFF2-40B4-BE49-F238E27FC236}">
              <a16:creationId xmlns:a16="http://schemas.microsoft.com/office/drawing/2014/main" id="{7AB8DB89-08FC-416A-B840-800A07A59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4209" name="Picture@5C\QPendientes@" descr="@5C\QPendientes@">
          <a:extLst>
            <a:ext uri="{FF2B5EF4-FFF2-40B4-BE49-F238E27FC236}">
              <a16:creationId xmlns:a16="http://schemas.microsoft.com/office/drawing/2014/main" id="{4BCD6EE8-B906-426E-A112-D6B774F5C6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4210" name="Picture@5C\QPendientes@" descr="@5C\QPendientes@">
          <a:extLst>
            <a:ext uri="{FF2B5EF4-FFF2-40B4-BE49-F238E27FC236}">
              <a16:creationId xmlns:a16="http://schemas.microsoft.com/office/drawing/2014/main" id="{BB638855-5629-44AB-BF82-C452ACA36D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4211" name="Picture@5C\QPendientes@" descr="@5C\QPendientes@">
          <a:extLst>
            <a:ext uri="{FF2B5EF4-FFF2-40B4-BE49-F238E27FC236}">
              <a16:creationId xmlns:a16="http://schemas.microsoft.com/office/drawing/2014/main" id="{7BA1083C-A1BE-4C59-B35B-8247E816E3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4212" name="Picture@5C\QPendientes@" descr="@5C\QPendientes@">
          <a:extLst>
            <a:ext uri="{FF2B5EF4-FFF2-40B4-BE49-F238E27FC236}">
              <a16:creationId xmlns:a16="http://schemas.microsoft.com/office/drawing/2014/main" id="{F18C1356-7C5F-45EC-8882-83AD1E5687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4213" name="Picture@5C\QPendientes@" descr="@5C\QPendientes@">
          <a:extLst>
            <a:ext uri="{FF2B5EF4-FFF2-40B4-BE49-F238E27FC236}">
              <a16:creationId xmlns:a16="http://schemas.microsoft.com/office/drawing/2014/main" id="{A96B0277-8C26-4EC4-8D36-7092DEBC62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4214" name="Picture@5C\QPendientes@" descr="@5C\QPendientes@">
          <a:extLst>
            <a:ext uri="{FF2B5EF4-FFF2-40B4-BE49-F238E27FC236}">
              <a16:creationId xmlns:a16="http://schemas.microsoft.com/office/drawing/2014/main" id="{6A6AEF02-0043-41C8-B2B1-DE783A6581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4215" name="Picture@5C\QPendientes@" descr="@5C\QPendientes@">
          <a:extLst>
            <a:ext uri="{FF2B5EF4-FFF2-40B4-BE49-F238E27FC236}">
              <a16:creationId xmlns:a16="http://schemas.microsoft.com/office/drawing/2014/main" id="{8A97E9C7-D056-4993-BE6E-713EEB7A09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4216" name="Picture@5C\QPendientes@" descr="@5C\QPendientes@">
          <a:extLst>
            <a:ext uri="{FF2B5EF4-FFF2-40B4-BE49-F238E27FC236}">
              <a16:creationId xmlns:a16="http://schemas.microsoft.com/office/drawing/2014/main" id="{ECDE4EC8-C7B6-4F4B-9665-A37DA8C358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4217" name="Picture@5C\QPendientes@" descr="@5C\QPendientes@">
          <a:extLst>
            <a:ext uri="{FF2B5EF4-FFF2-40B4-BE49-F238E27FC236}">
              <a16:creationId xmlns:a16="http://schemas.microsoft.com/office/drawing/2014/main" id="{0B0BAE9F-0258-4F2F-B119-728867941F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4218" name="Picture@5C\QPendientes@" descr="@5C\QPendientes@">
          <a:extLst>
            <a:ext uri="{FF2B5EF4-FFF2-40B4-BE49-F238E27FC236}">
              <a16:creationId xmlns:a16="http://schemas.microsoft.com/office/drawing/2014/main" id="{4EDC1BC2-9C8F-43DA-8A01-68A116F0F5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4219" name="Picture@5C\QPendientes@" descr="@5C\QPendientes@">
          <a:extLst>
            <a:ext uri="{FF2B5EF4-FFF2-40B4-BE49-F238E27FC236}">
              <a16:creationId xmlns:a16="http://schemas.microsoft.com/office/drawing/2014/main" id="{96E3C5C5-164E-43E6-9B04-E7C8D19154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4220" name="Picture@5C\QPendientes@" descr="@5C\QPendientes@">
          <a:extLst>
            <a:ext uri="{FF2B5EF4-FFF2-40B4-BE49-F238E27FC236}">
              <a16:creationId xmlns:a16="http://schemas.microsoft.com/office/drawing/2014/main" id="{53251FB6-2E07-4C1A-94F6-2E6E9C08D3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4221" name="Picture@5C\QPendientes@" descr="@5C\QPendientes@">
          <a:extLst>
            <a:ext uri="{FF2B5EF4-FFF2-40B4-BE49-F238E27FC236}">
              <a16:creationId xmlns:a16="http://schemas.microsoft.com/office/drawing/2014/main" id="{8806B0D3-E6B4-4458-9D40-247A388983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4222" name="Picture@5C\QPendientes@" descr="@5C\QPendientes@">
          <a:extLst>
            <a:ext uri="{FF2B5EF4-FFF2-40B4-BE49-F238E27FC236}">
              <a16:creationId xmlns:a16="http://schemas.microsoft.com/office/drawing/2014/main" id="{E49FE9EE-750B-4197-95F2-F25F9F6055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4223" name="Picture@5C\QPendientes@" descr="@5C\QPendientes@">
          <a:extLst>
            <a:ext uri="{FF2B5EF4-FFF2-40B4-BE49-F238E27FC236}">
              <a16:creationId xmlns:a16="http://schemas.microsoft.com/office/drawing/2014/main" id="{5EC70D7B-299A-4CB2-A4EF-8344E6FB48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4224" name="Picture@5C\QPendientes@" descr="@5C\QPendientes@">
          <a:extLst>
            <a:ext uri="{FF2B5EF4-FFF2-40B4-BE49-F238E27FC236}">
              <a16:creationId xmlns:a16="http://schemas.microsoft.com/office/drawing/2014/main" id="{8AC45D68-50C0-4695-BE8A-C5BFD6531B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4225" name="Picture@5C\QPendientes@" descr="@5C\QPendientes@">
          <a:extLst>
            <a:ext uri="{FF2B5EF4-FFF2-40B4-BE49-F238E27FC236}">
              <a16:creationId xmlns:a16="http://schemas.microsoft.com/office/drawing/2014/main" id="{664815AD-D31F-43C8-990A-FA1EEB8D1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4226" name="Picture@5C\QPendientes@" descr="@5C\QPendientes@">
          <a:extLst>
            <a:ext uri="{FF2B5EF4-FFF2-40B4-BE49-F238E27FC236}">
              <a16:creationId xmlns:a16="http://schemas.microsoft.com/office/drawing/2014/main" id="{3EAC1457-7B11-498E-BA3E-C63F284631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4227" name="Picture@5C\QPendientes@" descr="@5C\QPendientes@">
          <a:extLst>
            <a:ext uri="{FF2B5EF4-FFF2-40B4-BE49-F238E27FC236}">
              <a16:creationId xmlns:a16="http://schemas.microsoft.com/office/drawing/2014/main" id="{ACDF3F48-872E-48B7-9513-5CEDE4CD01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4228" name="Picture@5C\QPendientes@" descr="@5C\QPendientes@">
          <a:extLst>
            <a:ext uri="{FF2B5EF4-FFF2-40B4-BE49-F238E27FC236}">
              <a16:creationId xmlns:a16="http://schemas.microsoft.com/office/drawing/2014/main" id="{81966B8C-D61B-4CE4-8F8C-D68829495B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4229" name="Picture@5C\QPendientes@" descr="@5C\QPendientes@">
          <a:extLst>
            <a:ext uri="{FF2B5EF4-FFF2-40B4-BE49-F238E27FC236}">
              <a16:creationId xmlns:a16="http://schemas.microsoft.com/office/drawing/2014/main" id="{CF716A7A-FDFA-4095-80AB-099CC64006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4230" name="Picture@5C\QPendientes@" descr="@5C\QPendientes@">
          <a:extLst>
            <a:ext uri="{FF2B5EF4-FFF2-40B4-BE49-F238E27FC236}">
              <a16:creationId xmlns:a16="http://schemas.microsoft.com/office/drawing/2014/main" id="{67ED28DD-7D2D-47C8-8FF9-647ADFEC41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4231" name="Picture@5C\QPendientes@" descr="@5C\QPendientes@">
          <a:extLst>
            <a:ext uri="{FF2B5EF4-FFF2-40B4-BE49-F238E27FC236}">
              <a16:creationId xmlns:a16="http://schemas.microsoft.com/office/drawing/2014/main" id="{6F7AF07A-7971-4654-9CBA-5C6792D63A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4232" name="Picture@5C\QPendientes@" descr="@5C\QPendientes@">
          <a:extLst>
            <a:ext uri="{FF2B5EF4-FFF2-40B4-BE49-F238E27FC236}">
              <a16:creationId xmlns:a16="http://schemas.microsoft.com/office/drawing/2014/main" id="{48B24DAE-4011-4D15-A457-B6833BE7E2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4233" name="Picture@5C\QPendientes@" descr="@5C\QPendientes@">
          <a:extLst>
            <a:ext uri="{FF2B5EF4-FFF2-40B4-BE49-F238E27FC236}">
              <a16:creationId xmlns:a16="http://schemas.microsoft.com/office/drawing/2014/main" id="{9B335B87-BBE4-411B-8F76-E533CB59CE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4234" name="Picture@5C\QPendientes@" descr="@5C\QPendientes@">
          <a:extLst>
            <a:ext uri="{FF2B5EF4-FFF2-40B4-BE49-F238E27FC236}">
              <a16:creationId xmlns:a16="http://schemas.microsoft.com/office/drawing/2014/main" id="{071AA790-6B77-4A7F-B9D4-DA3B9A54E1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4235" name="Picture@5C\QPendientes@" descr="@5C\QPendientes@">
          <a:extLst>
            <a:ext uri="{FF2B5EF4-FFF2-40B4-BE49-F238E27FC236}">
              <a16:creationId xmlns:a16="http://schemas.microsoft.com/office/drawing/2014/main" id="{BB8D5757-A56C-4E64-ABC9-51185DE36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4236" name="Picture@5C\QPendientes@" descr="@5C\QPendientes@">
          <a:extLst>
            <a:ext uri="{FF2B5EF4-FFF2-40B4-BE49-F238E27FC236}">
              <a16:creationId xmlns:a16="http://schemas.microsoft.com/office/drawing/2014/main" id="{63D7D5FF-DCDD-404B-87E4-837D574CCB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4237" name="Picture@5C\QPendientes@" descr="@5C\QPendientes@">
          <a:extLst>
            <a:ext uri="{FF2B5EF4-FFF2-40B4-BE49-F238E27FC236}">
              <a16:creationId xmlns:a16="http://schemas.microsoft.com/office/drawing/2014/main" id="{1C988046-C18A-4B1F-8C76-A17608D067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4238" name="Picture@5C\QPendientes@" descr="@5C\QPendientes@">
          <a:extLst>
            <a:ext uri="{FF2B5EF4-FFF2-40B4-BE49-F238E27FC236}">
              <a16:creationId xmlns:a16="http://schemas.microsoft.com/office/drawing/2014/main" id="{D1494293-EAE8-435E-939D-58C597B4B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4239" name="Picture@5C\QPendientes@" descr="@5C\QPendientes@">
          <a:extLst>
            <a:ext uri="{FF2B5EF4-FFF2-40B4-BE49-F238E27FC236}">
              <a16:creationId xmlns:a16="http://schemas.microsoft.com/office/drawing/2014/main" id="{49E9BD68-312F-40F3-A304-011768966C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4240" name="Picture@5C\QPendientes@" descr="@5C\QPendientes@">
          <a:extLst>
            <a:ext uri="{FF2B5EF4-FFF2-40B4-BE49-F238E27FC236}">
              <a16:creationId xmlns:a16="http://schemas.microsoft.com/office/drawing/2014/main" id="{49E90EA3-8657-4F12-B071-56E7B0AC84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4241" name="Picture@5C\QPendientes@" descr="@5C\QPendientes@">
          <a:extLst>
            <a:ext uri="{FF2B5EF4-FFF2-40B4-BE49-F238E27FC236}">
              <a16:creationId xmlns:a16="http://schemas.microsoft.com/office/drawing/2014/main" id="{3B910B9E-EA45-4800-9BCC-A3F41824D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4242" name="Picture@5C\QPendientes@" descr="@5C\QPendientes@">
          <a:extLst>
            <a:ext uri="{FF2B5EF4-FFF2-40B4-BE49-F238E27FC236}">
              <a16:creationId xmlns:a16="http://schemas.microsoft.com/office/drawing/2014/main" id="{05A4EFE4-C33C-4655-A7E5-64D9C90E4D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4243" name="Picture@5C\QPendientes@" descr="@5C\QPendientes@">
          <a:extLst>
            <a:ext uri="{FF2B5EF4-FFF2-40B4-BE49-F238E27FC236}">
              <a16:creationId xmlns:a16="http://schemas.microsoft.com/office/drawing/2014/main" id="{3C81FA16-F6CA-46A7-9AEE-BA97946863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4244" name="Picture@5C\QPendientes@" descr="@5C\QPendientes@">
          <a:extLst>
            <a:ext uri="{FF2B5EF4-FFF2-40B4-BE49-F238E27FC236}">
              <a16:creationId xmlns:a16="http://schemas.microsoft.com/office/drawing/2014/main" id="{14848265-C366-4939-AB4B-1E3D2BC0C3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4245" name="Picture@5C\QPendientes@" descr="@5C\QPendientes@">
          <a:extLst>
            <a:ext uri="{FF2B5EF4-FFF2-40B4-BE49-F238E27FC236}">
              <a16:creationId xmlns:a16="http://schemas.microsoft.com/office/drawing/2014/main" id="{A258758C-58B2-4897-87B6-76C9D90B06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4246" name="Picture@5C\QPendientes@" descr="@5C\QPendientes@">
          <a:extLst>
            <a:ext uri="{FF2B5EF4-FFF2-40B4-BE49-F238E27FC236}">
              <a16:creationId xmlns:a16="http://schemas.microsoft.com/office/drawing/2014/main" id="{4C2D0C46-CA5C-4AA7-9A71-3FBE97A5B7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4247" name="Picture@5C\QPendientes@" descr="@5C\QPendientes@">
          <a:extLst>
            <a:ext uri="{FF2B5EF4-FFF2-40B4-BE49-F238E27FC236}">
              <a16:creationId xmlns:a16="http://schemas.microsoft.com/office/drawing/2014/main" id="{CF92F679-20EE-4953-A4DC-7CB02A8B05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4248" name="Picture@5C\QPendientes@" descr="@5C\QPendientes@">
          <a:extLst>
            <a:ext uri="{FF2B5EF4-FFF2-40B4-BE49-F238E27FC236}">
              <a16:creationId xmlns:a16="http://schemas.microsoft.com/office/drawing/2014/main" id="{D4D66F58-357C-4B9E-B598-A3172A5E16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4249" name="Picture@5C\QPendientes@" descr="@5C\QPendientes@">
          <a:extLst>
            <a:ext uri="{FF2B5EF4-FFF2-40B4-BE49-F238E27FC236}">
              <a16:creationId xmlns:a16="http://schemas.microsoft.com/office/drawing/2014/main" id="{FA910F07-7716-4C0B-BD65-33E48B83C5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4250" name="Picture@5C\QPendientes@" descr="@5C\QPendientes@">
          <a:extLst>
            <a:ext uri="{FF2B5EF4-FFF2-40B4-BE49-F238E27FC236}">
              <a16:creationId xmlns:a16="http://schemas.microsoft.com/office/drawing/2014/main" id="{689E9EC5-7F92-4D92-B49D-36CA5C29F7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4251" name="Picture@5C\QPendientes@" descr="@5C\QPendientes@">
          <a:extLst>
            <a:ext uri="{FF2B5EF4-FFF2-40B4-BE49-F238E27FC236}">
              <a16:creationId xmlns:a16="http://schemas.microsoft.com/office/drawing/2014/main" id="{24B4434D-C060-4B6E-9ED6-B8E9EFDF3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4252" name="Picture@5C\QPendientes@" descr="@5C\QPendientes@">
          <a:extLst>
            <a:ext uri="{FF2B5EF4-FFF2-40B4-BE49-F238E27FC236}">
              <a16:creationId xmlns:a16="http://schemas.microsoft.com/office/drawing/2014/main" id="{0151AB17-99F6-4CDE-8345-0ADD9DE80B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4253" name="Picture@5C\QPendientes@" descr="@5C\QPendientes@">
          <a:extLst>
            <a:ext uri="{FF2B5EF4-FFF2-40B4-BE49-F238E27FC236}">
              <a16:creationId xmlns:a16="http://schemas.microsoft.com/office/drawing/2014/main" id="{8CECA1C0-0F8B-47FD-97EB-5196E3AD43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4254" name="Picture@5C\QPendientes@" descr="@5C\QPendientes@">
          <a:extLst>
            <a:ext uri="{FF2B5EF4-FFF2-40B4-BE49-F238E27FC236}">
              <a16:creationId xmlns:a16="http://schemas.microsoft.com/office/drawing/2014/main" id="{D4092814-80E3-4065-8776-4A6ABBE742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4255" name="Picture@5C\QPendientes@" descr="@5C\QPendientes@">
          <a:extLst>
            <a:ext uri="{FF2B5EF4-FFF2-40B4-BE49-F238E27FC236}">
              <a16:creationId xmlns:a16="http://schemas.microsoft.com/office/drawing/2014/main" id="{09C0EA7C-4F42-46BD-8158-B85A402EC8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4256" name="Picture@5C\QPendientes@" descr="@5C\QPendientes@">
          <a:extLst>
            <a:ext uri="{FF2B5EF4-FFF2-40B4-BE49-F238E27FC236}">
              <a16:creationId xmlns:a16="http://schemas.microsoft.com/office/drawing/2014/main" id="{FC53DE8A-02A9-4E65-8084-DB6B919F97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4257" name="Picture@5C\QPendientes@" descr="@5C\QPendientes@">
          <a:extLst>
            <a:ext uri="{FF2B5EF4-FFF2-40B4-BE49-F238E27FC236}">
              <a16:creationId xmlns:a16="http://schemas.microsoft.com/office/drawing/2014/main" id="{C1B8073B-0F62-4185-8C7F-DD5C1F1EDF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4258" name="Picture@5C\QPendientes@" descr="@5C\QPendientes@">
          <a:extLst>
            <a:ext uri="{FF2B5EF4-FFF2-40B4-BE49-F238E27FC236}">
              <a16:creationId xmlns:a16="http://schemas.microsoft.com/office/drawing/2014/main" id="{BE242FB1-C842-4A61-9658-22AEB5DC82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4259" name="Picture@5C\QPendientes@" descr="@5C\QPendientes@">
          <a:extLst>
            <a:ext uri="{FF2B5EF4-FFF2-40B4-BE49-F238E27FC236}">
              <a16:creationId xmlns:a16="http://schemas.microsoft.com/office/drawing/2014/main" id="{9CBBEF73-8C2C-4C69-9C00-C1D61D97FC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4260" name="Picture@5C\QPendientes@" descr="@5C\QPendientes@">
          <a:extLst>
            <a:ext uri="{FF2B5EF4-FFF2-40B4-BE49-F238E27FC236}">
              <a16:creationId xmlns:a16="http://schemas.microsoft.com/office/drawing/2014/main" id="{0BB730E9-E76C-4320-8E93-DA1FC2BA12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4261" name="Picture@5C\QPendientes@" descr="@5C\QPendientes@">
          <a:extLst>
            <a:ext uri="{FF2B5EF4-FFF2-40B4-BE49-F238E27FC236}">
              <a16:creationId xmlns:a16="http://schemas.microsoft.com/office/drawing/2014/main" id="{2D9D339D-B4F9-4573-B3E2-9904C4A238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4262" name="Picture@5C\QPendientes@" descr="@5C\QPendientes@">
          <a:extLst>
            <a:ext uri="{FF2B5EF4-FFF2-40B4-BE49-F238E27FC236}">
              <a16:creationId xmlns:a16="http://schemas.microsoft.com/office/drawing/2014/main" id="{347334B9-5ED6-4D7F-9211-E39C54CA4F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4263" name="Picture@5C\QPendientes@" descr="@5C\QPendientes@">
          <a:extLst>
            <a:ext uri="{FF2B5EF4-FFF2-40B4-BE49-F238E27FC236}">
              <a16:creationId xmlns:a16="http://schemas.microsoft.com/office/drawing/2014/main" id="{DDFCD438-0B84-4DD0-A6EF-B16990D6F8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4264" name="Picture@5C\QPendientes@" descr="@5C\QPendientes@">
          <a:extLst>
            <a:ext uri="{FF2B5EF4-FFF2-40B4-BE49-F238E27FC236}">
              <a16:creationId xmlns:a16="http://schemas.microsoft.com/office/drawing/2014/main" id="{EBEDC1FE-E00B-4985-8674-3C144D7DA8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4265" name="Picture@5C\QPendientes@" descr="@5C\QPendientes@">
          <a:extLst>
            <a:ext uri="{FF2B5EF4-FFF2-40B4-BE49-F238E27FC236}">
              <a16:creationId xmlns:a16="http://schemas.microsoft.com/office/drawing/2014/main" id="{1C52117D-7627-4CBF-89FE-C53865CFCA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4266" name="Picture@5C\QPendientes@" descr="@5C\QPendientes@">
          <a:extLst>
            <a:ext uri="{FF2B5EF4-FFF2-40B4-BE49-F238E27FC236}">
              <a16:creationId xmlns:a16="http://schemas.microsoft.com/office/drawing/2014/main" id="{D24C7A63-1863-435B-83B0-D6A0747B3D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4267" name="Picture@5C\QPendientes@" descr="@5C\QPendientes@">
          <a:extLst>
            <a:ext uri="{FF2B5EF4-FFF2-40B4-BE49-F238E27FC236}">
              <a16:creationId xmlns:a16="http://schemas.microsoft.com/office/drawing/2014/main" id="{2197540E-DA73-4B2D-9C9F-CD61921F7C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4268" name="Picture@5C\QPendientes@" descr="@5C\QPendientes@">
          <a:extLst>
            <a:ext uri="{FF2B5EF4-FFF2-40B4-BE49-F238E27FC236}">
              <a16:creationId xmlns:a16="http://schemas.microsoft.com/office/drawing/2014/main" id="{20CA2B30-7F14-4177-9C8B-2CD39A4C31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4269" name="Picture@5C\QPendientes@" descr="@5C\QPendientes@">
          <a:extLst>
            <a:ext uri="{FF2B5EF4-FFF2-40B4-BE49-F238E27FC236}">
              <a16:creationId xmlns:a16="http://schemas.microsoft.com/office/drawing/2014/main" id="{693DB8AF-B79C-4D3B-9B60-8697FC0D8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4270" name="Picture@5C\QPendientes@" descr="@5C\QPendientes@">
          <a:extLst>
            <a:ext uri="{FF2B5EF4-FFF2-40B4-BE49-F238E27FC236}">
              <a16:creationId xmlns:a16="http://schemas.microsoft.com/office/drawing/2014/main" id="{15736CCB-A553-45B0-9FFB-3182F112F7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4271" name="Picture@5C\QPendientes@" descr="@5C\QPendientes@">
          <a:extLst>
            <a:ext uri="{FF2B5EF4-FFF2-40B4-BE49-F238E27FC236}">
              <a16:creationId xmlns:a16="http://schemas.microsoft.com/office/drawing/2014/main" id="{B4003711-2A1C-4C5F-85A7-B8707C25BA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4272" name="Picture@5C\QPendientes@" descr="@5C\QPendientes@">
          <a:extLst>
            <a:ext uri="{FF2B5EF4-FFF2-40B4-BE49-F238E27FC236}">
              <a16:creationId xmlns:a16="http://schemas.microsoft.com/office/drawing/2014/main" id="{351A45EC-FE2A-483B-800F-EF7AA0F39C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4273" name="Picture@5C\QPendientes@" descr="@5C\QPendientes@">
          <a:extLst>
            <a:ext uri="{FF2B5EF4-FFF2-40B4-BE49-F238E27FC236}">
              <a16:creationId xmlns:a16="http://schemas.microsoft.com/office/drawing/2014/main" id="{8DC1DE1B-C6AA-4A89-BEFB-D83716498A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4274" name="Picture@5C\QPendientes@" descr="@5C\QPendientes@">
          <a:extLst>
            <a:ext uri="{FF2B5EF4-FFF2-40B4-BE49-F238E27FC236}">
              <a16:creationId xmlns:a16="http://schemas.microsoft.com/office/drawing/2014/main" id="{D43D5FDC-824D-462F-83F8-E8AC8F9E49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4275" name="Picture@5C\QPendientes@" descr="@5C\QPendientes@">
          <a:extLst>
            <a:ext uri="{FF2B5EF4-FFF2-40B4-BE49-F238E27FC236}">
              <a16:creationId xmlns:a16="http://schemas.microsoft.com/office/drawing/2014/main" id="{BE986A0F-8CFA-405C-918C-B0EF42159F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4276" name="Picture@5C\QPendientes@" descr="@5C\QPendientes@">
          <a:extLst>
            <a:ext uri="{FF2B5EF4-FFF2-40B4-BE49-F238E27FC236}">
              <a16:creationId xmlns:a16="http://schemas.microsoft.com/office/drawing/2014/main" id="{5C2DD518-C068-47A4-B4BA-37568C381C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4277" name="Picture@5C\QPendientes@" descr="@5C\QPendientes@">
          <a:extLst>
            <a:ext uri="{FF2B5EF4-FFF2-40B4-BE49-F238E27FC236}">
              <a16:creationId xmlns:a16="http://schemas.microsoft.com/office/drawing/2014/main" id="{1287413D-C8A4-47D0-A4A3-D813BA84C8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4278" name="Picture@5C\QPendientes@" descr="@5C\QPendientes@">
          <a:extLst>
            <a:ext uri="{FF2B5EF4-FFF2-40B4-BE49-F238E27FC236}">
              <a16:creationId xmlns:a16="http://schemas.microsoft.com/office/drawing/2014/main" id="{D7B8CD4E-7E26-41E5-B7D6-FFCD36E665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4279" name="Picture@5C\QPendientes@" descr="@5C\QPendientes@">
          <a:extLst>
            <a:ext uri="{FF2B5EF4-FFF2-40B4-BE49-F238E27FC236}">
              <a16:creationId xmlns:a16="http://schemas.microsoft.com/office/drawing/2014/main" id="{C30A7583-4D31-4D9E-BC46-7D6C538D3C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4280" name="Picture@5C\QPendientes@" descr="@5C\QPendientes@">
          <a:extLst>
            <a:ext uri="{FF2B5EF4-FFF2-40B4-BE49-F238E27FC236}">
              <a16:creationId xmlns:a16="http://schemas.microsoft.com/office/drawing/2014/main" id="{BF588ED5-7F25-4692-AA0E-B937436662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4281" name="Picture@5C\QPendientes@" descr="@5C\QPendientes@">
          <a:extLst>
            <a:ext uri="{FF2B5EF4-FFF2-40B4-BE49-F238E27FC236}">
              <a16:creationId xmlns:a16="http://schemas.microsoft.com/office/drawing/2014/main" id="{659C4444-D740-441A-9053-88A88B35AD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4282" name="Picture@5C\QPendientes@" descr="@5C\QPendientes@">
          <a:extLst>
            <a:ext uri="{FF2B5EF4-FFF2-40B4-BE49-F238E27FC236}">
              <a16:creationId xmlns:a16="http://schemas.microsoft.com/office/drawing/2014/main" id="{9CB8DA89-B71A-4E81-AA69-331483560D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4283" name="Picture@5C\QPendientes@" descr="@5C\QPendientes@">
          <a:extLst>
            <a:ext uri="{FF2B5EF4-FFF2-40B4-BE49-F238E27FC236}">
              <a16:creationId xmlns:a16="http://schemas.microsoft.com/office/drawing/2014/main" id="{6376F883-AE37-4E3A-9337-6F1C985F8C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4284" name="Picture@5C\QPendientes@" descr="@5C\QPendientes@">
          <a:extLst>
            <a:ext uri="{FF2B5EF4-FFF2-40B4-BE49-F238E27FC236}">
              <a16:creationId xmlns:a16="http://schemas.microsoft.com/office/drawing/2014/main" id="{7E085927-2B6B-45A5-8EEB-316AAFE44D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4285" name="Picture@5C\QPendientes@" descr="@5C\QPendientes@">
          <a:extLst>
            <a:ext uri="{FF2B5EF4-FFF2-40B4-BE49-F238E27FC236}">
              <a16:creationId xmlns:a16="http://schemas.microsoft.com/office/drawing/2014/main" id="{1BA33A3A-8F09-4085-9C42-0578B94A03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4286" name="Picture@5C\QPendientes@" descr="@5C\QPendientes@">
          <a:extLst>
            <a:ext uri="{FF2B5EF4-FFF2-40B4-BE49-F238E27FC236}">
              <a16:creationId xmlns:a16="http://schemas.microsoft.com/office/drawing/2014/main" id="{1195F607-CEFB-4ECA-8519-36FBAFD754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4287" name="Picture@5C\QPendientes@" descr="@5C\QPendientes@">
          <a:extLst>
            <a:ext uri="{FF2B5EF4-FFF2-40B4-BE49-F238E27FC236}">
              <a16:creationId xmlns:a16="http://schemas.microsoft.com/office/drawing/2014/main" id="{8FBA50AC-2DFB-4B29-A109-A21DC010A3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4288" name="Picture@5C\QPendientes@" descr="@5C\QPendientes@">
          <a:extLst>
            <a:ext uri="{FF2B5EF4-FFF2-40B4-BE49-F238E27FC236}">
              <a16:creationId xmlns:a16="http://schemas.microsoft.com/office/drawing/2014/main" id="{6EB10B6C-7F59-4015-AB15-27483401D3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4289" name="Picture@5C\QPendientes@" descr="@5C\QPendientes@">
          <a:extLst>
            <a:ext uri="{FF2B5EF4-FFF2-40B4-BE49-F238E27FC236}">
              <a16:creationId xmlns:a16="http://schemas.microsoft.com/office/drawing/2014/main" id="{C8C4083D-E753-4B8D-A442-01729B07CE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4290" name="Picture@5C\QPendientes@" descr="@5C\QPendientes@">
          <a:extLst>
            <a:ext uri="{FF2B5EF4-FFF2-40B4-BE49-F238E27FC236}">
              <a16:creationId xmlns:a16="http://schemas.microsoft.com/office/drawing/2014/main" id="{62C95721-116A-4890-A46F-38DDFEA10F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4291" name="Picture@5C\QPendientes@" descr="@5C\QPendientes@">
          <a:extLst>
            <a:ext uri="{FF2B5EF4-FFF2-40B4-BE49-F238E27FC236}">
              <a16:creationId xmlns:a16="http://schemas.microsoft.com/office/drawing/2014/main" id="{AFE8BAA6-C6AD-4D3B-8059-F7DB70E771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4292" name="Picture@5C\QPendientes@" descr="@5C\QPendientes@">
          <a:extLst>
            <a:ext uri="{FF2B5EF4-FFF2-40B4-BE49-F238E27FC236}">
              <a16:creationId xmlns:a16="http://schemas.microsoft.com/office/drawing/2014/main" id="{3043D693-BEAC-4ACD-928D-76E447AE6D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4293" name="Picture@5C\QPendientes@" descr="@5C\QPendientes@">
          <a:extLst>
            <a:ext uri="{FF2B5EF4-FFF2-40B4-BE49-F238E27FC236}">
              <a16:creationId xmlns:a16="http://schemas.microsoft.com/office/drawing/2014/main" id="{2C757689-B8B9-4FFA-A759-3EFC9B0E62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4294" name="Picture@5C\QPendientes@" descr="@5C\QPendientes@">
          <a:extLst>
            <a:ext uri="{FF2B5EF4-FFF2-40B4-BE49-F238E27FC236}">
              <a16:creationId xmlns:a16="http://schemas.microsoft.com/office/drawing/2014/main" id="{7637B8F6-AC65-4F20-A792-FF40649ABE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4295" name="Picture@5C\QPendientes@" descr="@5C\QPendientes@">
          <a:extLst>
            <a:ext uri="{FF2B5EF4-FFF2-40B4-BE49-F238E27FC236}">
              <a16:creationId xmlns:a16="http://schemas.microsoft.com/office/drawing/2014/main" id="{9286DF20-7136-41AF-83A4-236F2CE256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4296" name="Picture@5C\QPendientes@" descr="@5C\QPendientes@">
          <a:extLst>
            <a:ext uri="{FF2B5EF4-FFF2-40B4-BE49-F238E27FC236}">
              <a16:creationId xmlns:a16="http://schemas.microsoft.com/office/drawing/2014/main" id="{CC4B98CA-E5DF-4411-93F6-614A12AF0E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4297" name="Picture@5C\QPendientes@" descr="@5C\QPendientes@">
          <a:extLst>
            <a:ext uri="{FF2B5EF4-FFF2-40B4-BE49-F238E27FC236}">
              <a16:creationId xmlns:a16="http://schemas.microsoft.com/office/drawing/2014/main" id="{8766FA88-D161-44F1-BBA0-F55DC05377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4298" name="Picture@5C\QPendientes@" descr="@5C\QPendientes@">
          <a:extLst>
            <a:ext uri="{FF2B5EF4-FFF2-40B4-BE49-F238E27FC236}">
              <a16:creationId xmlns:a16="http://schemas.microsoft.com/office/drawing/2014/main" id="{A1E6F69A-8D2C-4430-B20C-326CE28198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4299" name="Picture@5C\QPendientes@" descr="@5C\QPendientes@">
          <a:extLst>
            <a:ext uri="{FF2B5EF4-FFF2-40B4-BE49-F238E27FC236}">
              <a16:creationId xmlns:a16="http://schemas.microsoft.com/office/drawing/2014/main" id="{0A069425-9FD3-41A6-BB71-7EFA435D59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4300" name="Picture@5C\QPendientes@" descr="@5C\QPendientes@">
          <a:extLst>
            <a:ext uri="{FF2B5EF4-FFF2-40B4-BE49-F238E27FC236}">
              <a16:creationId xmlns:a16="http://schemas.microsoft.com/office/drawing/2014/main" id="{396ABFE5-BDEA-46CD-9CB4-E66DC0CA46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4301" name="Picture@5C\QPendientes@" descr="@5C\QPendientes@">
          <a:extLst>
            <a:ext uri="{FF2B5EF4-FFF2-40B4-BE49-F238E27FC236}">
              <a16:creationId xmlns:a16="http://schemas.microsoft.com/office/drawing/2014/main" id="{1BC5D84D-B77B-4D8D-80EF-2D2C50FFEA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4302" name="Picture@5C\QPendientes@" descr="@5C\QPendientes@">
          <a:extLst>
            <a:ext uri="{FF2B5EF4-FFF2-40B4-BE49-F238E27FC236}">
              <a16:creationId xmlns:a16="http://schemas.microsoft.com/office/drawing/2014/main" id="{68BFB843-9753-4EDD-B9B6-D1798B86BB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4303" name="Picture@5C\QPendientes@" descr="@5C\QPendientes@">
          <a:extLst>
            <a:ext uri="{FF2B5EF4-FFF2-40B4-BE49-F238E27FC236}">
              <a16:creationId xmlns:a16="http://schemas.microsoft.com/office/drawing/2014/main" id="{59F594B3-5F4C-46CC-A52B-8892AA8AC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4304" name="Picture@5C\QPendientes@" descr="@5C\QPendientes@">
          <a:extLst>
            <a:ext uri="{FF2B5EF4-FFF2-40B4-BE49-F238E27FC236}">
              <a16:creationId xmlns:a16="http://schemas.microsoft.com/office/drawing/2014/main" id="{4D494DD5-AF87-4692-823F-59F145F8B6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4305" name="Picture@5C\QPendientes@" descr="@5C\QPendientes@">
          <a:extLst>
            <a:ext uri="{FF2B5EF4-FFF2-40B4-BE49-F238E27FC236}">
              <a16:creationId xmlns:a16="http://schemas.microsoft.com/office/drawing/2014/main" id="{65EEB35B-05F2-4675-B346-A35EDB2C77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4306" name="Picture@5C\QPendientes@" descr="@5C\QPendientes@">
          <a:extLst>
            <a:ext uri="{FF2B5EF4-FFF2-40B4-BE49-F238E27FC236}">
              <a16:creationId xmlns:a16="http://schemas.microsoft.com/office/drawing/2014/main" id="{A9011F61-5FBC-4DC2-9A11-7B7797953B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4307" name="Picture@5C\QPendientes@" descr="@5C\QPendientes@">
          <a:extLst>
            <a:ext uri="{FF2B5EF4-FFF2-40B4-BE49-F238E27FC236}">
              <a16:creationId xmlns:a16="http://schemas.microsoft.com/office/drawing/2014/main" id="{ED0C8DE1-94AD-436A-B622-A53BCF150E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4308" name="Picture@5C\QPendientes@" descr="@5C\QPendientes@">
          <a:extLst>
            <a:ext uri="{FF2B5EF4-FFF2-40B4-BE49-F238E27FC236}">
              <a16:creationId xmlns:a16="http://schemas.microsoft.com/office/drawing/2014/main" id="{AF2141DC-7514-4CC8-A2D2-90E5707644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4309" name="Picture@5C\QPendientes@" descr="@5C\QPendientes@">
          <a:extLst>
            <a:ext uri="{FF2B5EF4-FFF2-40B4-BE49-F238E27FC236}">
              <a16:creationId xmlns:a16="http://schemas.microsoft.com/office/drawing/2014/main" id="{1AD599F8-EF1A-465D-A699-F64E6CF38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4310" name="Picture@5C\QPendientes@" descr="@5C\QPendientes@">
          <a:extLst>
            <a:ext uri="{FF2B5EF4-FFF2-40B4-BE49-F238E27FC236}">
              <a16:creationId xmlns:a16="http://schemas.microsoft.com/office/drawing/2014/main" id="{E46E6F64-BEC0-46CF-98E3-638C2F5012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4311" name="Picture@5C\QPendientes@" descr="@5C\QPendientes@">
          <a:extLst>
            <a:ext uri="{FF2B5EF4-FFF2-40B4-BE49-F238E27FC236}">
              <a16:creationId xmlns:a16="http://schemas.microsoft.com/office/drawing/2014/main" id="{632EF377-33A7-49CB-9987-553F4A207E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4312" name="Picture@5C\QPendientes@" descr="@5C\QPendientes@">
          <a:extLst>
            <a:ext uri="{FF2B5EF4-FFF2-40B4-BE49-F238E27FC236}">
              <a16:creationId xmlns:a16="http://schemas.microsoft.com/office/drawing/2014/main" id="{0E44C3DB-3A73-4C99-870C-8628B9AFF6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4313" name="Picture@5C\QPendientes@" descr="@5C\QPendientes@">
          <a:extLst>
            <a:ext uri="{FF2B5EF4-FFF2-40B4-BE49-F238E27FC236}">
              <a16:creationId xmlns:a16="http://schemas.microsoft.com/office/drawing/2014/main" id="{EFD4395F-B4D1-4786-9A77-E994BB9197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4314" name="Picture@5C\QPendientes@" descr="@5C\QPendientes@">
          <a:extLst>
            <a:ext uri="{FF2B5EF4-FFF2-40B4-BE49-F238E27FC236}">
              <a16:creationId xmlns:a16="http://schemas.microsoft.com/office/drawing/2014/main" id="{5411168B-3E3E-4150-BF93-81B811AB8F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4315" name="Picture@5C\QPendientes@" descr="@5C\QPendientes@">
          <a:extLst>
            <a:ext uri="{FF2B5EF4-FFF2-40B4-BE49-F238E27FC236}">
              <a16:creationId xmlns:a16="http://schemas.microsoft.com/office/drawing/2014/main" id="{CB475A62-D451-4256-B19C-F4DC9095EF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4316" name="Picture@5C\QPendientes@" descr="@5C\QPendientes@">
          <a:extLst>
            <a:ext uri="{FF2B5EF4-FFF2-40B4-BE49-F238E27FC236}">
              <a16:creationId xmlns:a16="http://schemas.microsoft.com/office/drawing/2014/main" id="{1E3460AB-D599-4C4C-ABD3-4F38886DE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4317" name="Picture@5C\QPendientes@" descr="@5C\QPendientes@">
          <a:extLst>
            <a:ext uri="{FF2B5EF4-FFF2-40B4-BE49-F238E27FC236}">
              <a16:creationId xmlns:a16="http://schemas.microsoft.com/office/drawing/2014/main" id="{1F744B7D-8EDA-453B-B9F7-822587C1CB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4318" name="Picture@5C\QPendientes@" descr="@5C\QPendientes@">
          <a:extLst>
            <a:ext uri="{FF2B5EF4-FFF2-40B4-BE49-F238E27FC236}">
              <a16:creationId xmlns:a16="http://schemas.microsoft.com/office/drawing/2014/main" id="{FB04C8C8-92E8-4D9B-B841-A4726A614E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4319" name="Picture@5C\QPendientes@" descr="@5C\QPendientes@">
          <a:extLst>
            <a:ext uri="{FF2B5EF4-FFF2-40B4-BE49-F238E27FC236}">
              <a16:creationId xmlns:a16="http://schemas.microsoft.com/office/drawing/2014/main" id="{DA3C0155-5742-4AEC-88CA-E36C3C5550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4320" name="Picture@5C\QPendientes@" descr="@5C\QPendientes@">
          <a:extLst>
            <a:ext uri="{FF2B5EF4-FFF2-40B4-BE49-F238E27FC236}">
              <a16:creationId xmlns:a16="http://schemas.microsoft.com/office/drawing/2014/main" id="{72AA1587-E90E-47CB-B646-BB0327E961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4321" name="Picture@5C\QPendientes@" descr="@5C\QPendientes@">
          <a:extLst>
            <a:ext uri="{FF2B5EF4-FFF2-40B4-BE49-F238E27FC236}">
              <a16:creationId xmlns:a16="http://schemas.microsoft.com/office/drawing/2014/main" id="{0F25A965-F2BE-461D-BF33-A84FD66AD5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4322" name="Picture@5C\QPendientes@" descr="@5C\QPendientes@">
          <a:extLst>
            <a:ext uri="{FF2B5EF4-FFF2-40B4-BE49-F238E27FC236}">
              <a16:creationId xmlns:a16="http://schemas.microsoft.com/office/drawing/2014/main" id="{D7E7609F-742A-41D5-B312-F5254AFDB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4323" name="Picture@5C\QPendientes@" descr="@5C\QPendientes@">
          <a:extLst>
            <a:ext uri="{FF2B5EF4-FFF2-40B4-BE49-F238E27FC236}">
              <a16:creationId xmlns:a16="http://schemas.microsoft.com/office/drawing/2014/main" id="{598FE2BC-6135-4512-8A7C-2F76080FBA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4324" name="Picture@5C\QPendientes@" descr="@5C\QPendientes@">
          <a:extLst>
            <a:ext uri="{FF2B5EF4-FFF2-40B4-BE49-F238E27FC236}">
              <a16:creationId xmlns:a16="http://schemas.microsoft.com/office/drawing/2014/main" id="{551EF7C3-486F-426F-B4E9-F10DCF0549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4325" name="Picture@5C\QPendientes@" descr="@5C\QPendientes@">
          <a:extLst>
            <a:ext uri="{FF2B5EF4-FFF2-40B4-BE49-F238E27FC236}">
              <a16:creationId xmlns:a16="http://schemas.microsoft.com/office/drawing/2014/main" id="{67329033-4182-444A-8F1E-EB43C50B63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4326" name="Picture@5C\QPendientes@" descr="@5C\QPendientes@">
          <a:extLst>
            <a:ext uri="{FF2B5EF4-FFF2-40B4-BE49-F238E27FC236}">
              <a16:creationId xmlns:a16="http://schemas.microsoft.com/office/drawing/2014/main" id="{7192B15C-E0DB-40B3-A6E1-AB85C6527D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4327" name="Picture@5C\QPendientes@" descr="@5C\QPendientes@">
          <a:extLst>
            <a:ext uri="{FF2B5EF4-FFF2-40B4-BE49-F238E27FC236}">
              <a16:creationId xmlns:a16="http://schemas.microsoft.com/office/drawing/2014/main" id="{A4F142E9-3859-4862-86FF-95624310F6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4328" name="Picture@5C\QPendientes@" descr="@5C\QPendientes@">
          <a:extLst>
            <a:ext uri="{FF2B5EF4-FFF2-40B4-BE49-F238E27FC236}">
              <a16:creationId xmlns:a16="http://schemas.microsoft.com/office/drawing/2014/main" id="{5DBC142E-0AEC-4B6C-9D41-49382F426E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4329" name="Picture@5C\QPendientes@" descr="@5C\QPendientes@">
          <a:extLst>
            <a:ext uri="{FF2B5EF4-FFF2-40B4-BE49-F238E27FC236}">
              <a16:creationId xmlns:a16="http://schemas.microsoft.com/office/drawing/2014/main" id="{285C6B1D-DEAC-40F5-80BF-01565FA559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4330" name="Picture@5C\QPendientes@" descr="@5C\QPendientes@">
          <a:extLst>
            <a:ext uri="{FF2B5EF4-FFF2-40B4-BE49-F238E27FC236}">
              <a16:creationId xmlns:a16="http://schemas.microsoft.com/office/drawing/2014/main" id="{2A4E0D82-748C-46CB-9A94-F5FE448DB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4331" name="Picture@5C\QPendientes@" descr="@5C\QPendientes@">
          <a:extLst>
            <a:ext uri="{FF2B5EF4-FFF2-40B4-BE49-F238E27FC236}">
              <a16:creationId xmlns:a16="http://schemas.microsoft.com/office/drawing/2014/main" id="{EED27F8A-FA69-4B03-ABFE-F4CFC67E2A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4332" name="Picture@5C\QPendientes@" descr="@5C\QPendientes@">
          <a:extLst>
            <a:ext uri="{FF2B5EF4-FFF2-40B4-BE49-F238E27FC236}">
              <a16:creationId xmlns:a16="http://schemas.microsoft.com/office/drawing/2014/main" id="{B0E971A6-4E11-4964-BC61-FE4A2B5474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4333" name="Picture@5C\QPendientes@" descr="@5C\QPendientes@">
          <a:extLst>
            <a:ext uri="{FF2B5EF4-FFF2-40B4-BE49-F238E27FC236}">
              <a16:creationId xmlns:a16="http://schemas.microsoft.com/office/drawing/2014/main" id="{69F3F4BE-5562-4025-958F-7E25C74DCD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4334" name="Picture@5C\QPendientes@" descr="@5C\QPendientes@">
          <a:extLst>
            <a:ext uri="{FF2B5EF4-FFF2-40B4-BE49-F238E27FC236}">
              <a16:creationId xmlns:a16="http://schemas.microsoft.com/office/drawing/2014/main" id="{85699A3E-5CEE-4CFD-B590-53933ADF84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4335" name="Picture@5C\QPendientes@" descr="@5C\QPendientes@">
          <a:extLst>
            <a:ext uri="{FF2B5EF4-FFF2-40B4-BE49-F238E27FC236}">
              <a16:creationId xmlns:a16="http://schemas.microsoft.com/office/drawing/2014/main" id="{9B0EF88E-4A95-45B9-9394-9881D82793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4336" name="Picture@5C\QPendientes@" descr="@5C\QPendientes@">
          <a:extLst>
            <a:ext uri="{FF2B5EF4-FFF2-40B4-BE49-F238E27FC236}">
              <a16:creationId xmlns:a16="http://schemas.microsoft.com/office/drawing/2014/main" id="{96979B7B-87FB-475B-8CFF-E3B4C0FB5F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4337" name="Picture@5C\QPendientes@" descr="@5C\QPendientes@">
          <a:extLst>
            <a:ext uri="{FF2B5EF4-FFF2-40B4-BE49-F238E27FC236}">
              <a16:creationId xmlns:a16="http://schemas.microsoft.com/office/drawing/2014/main" id="{B25171AA-B188-430F-B284-D08AD844DE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4338" name="Picture@5C\QPendientes@" descr="@5C\QPendientes@">
          <a:extLst>
            <a:ext uri="{FF2B5EF4-FFF2-40B4-BE49-F238E27FC236}">
              <a16:creationId xmlns:a16="http://schemas.microsoft.com/office/drawing/2014/main" id="{88278286-4BD8-46D0-8543-41B91DF0C5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4339" name="Picture@5C\QPendientes@" descr="@5C\QPendientes@">
          <a:extLst>
            <a:ext uri="{FF2B5EF4-FFF2-40B4-BE49-F238E27FC236}">
              <a16:creationId xmlns:a16="http://schemas.microsoft.com/office/drawing/2014/main" id="{E5EB8BE8-986A-47B1-BA84-1F70F9670D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4340" name="Picture@5C\QPendientes@" descr="@5C\QPendientes@">
          <a:extLst>
            <a:ext uri="{FF2B5EF4-FFF2-40B4-BE49-F238E27FC236}">
              <a16:creationId xmlns:a16="http://schemas.microsoft.com/office/drawing/2014/main" id="{44E91E11-062E-4B30-9883-FF68514AF1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4341" name="Picture@5C\QPendientes@" descr="@5C\QPendientes@">
          <a:extLst>
            <a:ext uri="{FF2B5EF4-FFF2-40B4-BE49-F238E27FC236}">
              <a16:creationId xmlns:a16="http://schemas.microsoft.com/office/drawing/2014/main" id="{83AA026A-2991-461B-BF1C-0BD7A44231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4342" name="Picture@5C\QPendientes@" descr="@5C\QPendientes@">
          <a:extLst>
            <a:ext uri="{FF2B5EF4-FFF2-40B4-BE49-F238E27FC236}">
              <a16:creationId xmlns:a16="http://schemas.microsoft.com/office/drawing/2014/main" id="{305D3659-5853-4FDE-9FFA-DB66B3C101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4343" name="Picture@5C\QPendientes@" descr="@5C\QPendientes@">
          <a:extLst>
            <a:ext uri="{FF2B5EF4-FFF2-40B4-BE49-F238E27FC236}">
              <a16:creationId xmlns:a16="http://schemas.microsoft.com/office/drawing/2014/main" id="{08DBFE17-4D4D-4E7F-94DA-CDBEBE5CE7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4344" name="Picture@5C\QPendientes@" descr="@5C\QPendientes@">
          <a:extLst>
            <a:ext uri="{FF2B5EF4-FFF2-40B4-BE49-F238E27FC236}">
              <a16:creationId xmlns:a16="http://schemas.microsoft.com/office/drawing/2014/main" id="{C2A1D5B1-236B-42F1-A340-BFC87C3AE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4345" name="Picture@5C\QPendientes@" descr="@5C\QPendientes@">
          <a:extLst>
            <a:ext uri="{FF2B5EF4-FFF2-40B4-BE49-F238E27FC236}">
              <a16:creationId xmlns:a16="http://schemas.microsoft.com/office/drawing/2014/main" id="{57821C10-D2AC-47E8-8096-7D5F914321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4346" name="Picture@5C\QPendientes@" descr="@5C\QPendientes@">
          <a:extLst>
            <a:ext uri="{FF2B5EF4-FFF2-40B4-BE49-F238E27FC236}">
              <a16:creationId xmlns:a16="http://schemas.microsoft.com/office/drawing/2014/main" id="{5B161FEA-7433-4C4B-AEA8-0BBC65F166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4347" name="Picture@5C\QPendientes@" descr="@5C\QPendientes@">
          <a:extLst>
            <a:ext uri="{FF2B5EF4-FFF2-40B4-BE49-F238E27FC236}">
              <a16:creationId xmlns:a16="http://schemas.microsoft.com/office/drawing/2014/main" id="{A5AC58A2-FFCF-4B28-B4E6-C5CE209D43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4348" name="Picture@5C\QPendientes@" descr="@5C\QPendientes@">
          <a:extLst>
            <a:ext uri="{FF2B5EF4-FFF2-40B4-BE49-F238E27FC236}">
              <a16:creationId xmlns:a16="http://schemas.microsoft.com/office/drawing/2014/main" id="{EB713384-2AA5-48A0-A9A0-4DE167FC5D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4349" name="Picture@5C\QPendientes@" descr="@5C\QPendientes@">
          <a:extLst>
            <a:ext uri="{FF2B5EF4-FFF2-40B4-BE49-F238E27FC236}">
              <a16:creationId xmlns:a16="http://schemas.microsoft.com/office/drawing/2014/main" id="{F57AE8FA-89DC-4D93-A921-46F18B764E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4350" name="Picture@5C\QPendientes@" descr="@5C\QPendientes@">
          <a:extLst>
            <a:ext uri="{FF2B5EF4-FFF2-40B4-BE49-F238E27FC236}">
              <a16:creationId xmlns:a16="http://schemas.microsoft.com/office/drawing/2014/main" id="{29DB8492-375A-473B-9A50-120EFD808F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4351" name="Picture@5C\QPendientes@" descr="@5C\QPendientes@">
          <a:extLst>
            <a:ext uri="{FF2B5EF4-FFF2-40B4-BE49-F238E27FC236}">
              <a16:creationId xmlns:a16="http://schemas.microsoft.com/office/drawing/2014/main" id="{1869539F-8010-45C2-BF89-E71BD30163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4352" name="Picture@5C\QPendientes@" descr="@5C\QPendientes@">
          <a:extLst>
            <a:ext uri="{FF2B5EF4-FFF2-40B4-BE49-F238E27FC236}">
              <a16:creationId xmlns:a16="http://schemas.microsoft.com/office/drawing/2014/main" id="{8FADAB93-2800-460E-9410-745EBDFEBE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4353" name="Picture@5C\QPendientes@" descr="@5C\QPendientes@">
          <a:extLst>
            <a:ext uri="{FF2B5EF4-FFF2-40B4-BE49-F238E27FC236}">
              <a16:creationId xmlns:a16="http://schemas.microsoft.com/office/drawing/2014/main" id="{637CC4C9-3DB6-4BC5-B71C-670D9CB768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4354" name="Picture@5C\QPendientes@" descr="@5C\QPendientes@">
          <a:extLst>
            <a:ext uri="{FF2B5EF4-FFF2-40B4-BE49-F238E27FC236}">
              <a16:creationId xmlns:a16="http://schemas.microsoft.com/office/drawing/2014/main" id="{EFD13370-CB2F-4B88-8DA3-7842FEFB77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4355" name="Picture@5C\QPendientes@" descr="@5C\QPendientes@">
          <a:extLst>
            <a:ext uri="{FF2B5EF4-FFF2-40B4-BE49-F238E27FC236}">
              <a16:creationId xmlns:a16="http://schemas.microsoft.com/office/drawing/2014/main" id="{7B4CA7EB-8AFE-4189-B071-77BAC6ADEE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4356" name="Picture@5C\QPendientes@" descr="@5C\QPendientes@">
          <a:extLst>
            <a:ext uri="{FF2B5EF4-FFF2-40B4-BE49-F238E27FC236}">
              <a16:creationId xmlns:a16="http://schemas.microsoft.com/office/drawing/2014/main" id="{8B29EADD-D790-4FF2-84E6-CF639B939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4357" name="Picture@5C\QPendientes@" descr="@5C\QPendientes@">
          <a:extLst>
            <a:ext uri="{FF2B5EF4-FFF2-40B4-BE49-F238E27FC236}">
              <a16:creationId xmlns:a16="http://schemas.microsoft.com/office/drawing/2014/main" id="{CD583D8B-BD0B-46CC-931C-B04B1DA17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4358" name="Picture@5C\QPendientes@" descr="@5C\QPendientes@">
          <a:extLst>
            <a:ext uri="{FF2B5EF4-FFF2-40B4-BE49-F238E27FC236}">
              <a16:creationId xmlns:a16="http://schemas.microsoft.com/office/drawing/2014/main" id="{7B91CED1-34ED-4B1C-B246-E0FE221591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4359" name="Picture@5C\QPendientes@" descr="@5C\QPendientes@">
          <a:extLst>
            <a:ext uri="{FF2B5EF4-FFF2-40B4-BE49-F238E27FC236}">
              <a16:creationId xmlns:a16="http://schemas.microsoft.com/office/drawing/2014/main" id="{8F207DA5-DD64-4FF6-BA46-7E6CE69F01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4360" name="Picture@5C\QPendientes@" descr="@5C\QPendientes@">
          <a:extLst>
            <a:ext uri="{FF2B5EF4-FFF2-40B4-BE49-F238E27FC236}">
              <a16:creationId xmlns:a16="http://schemas.microsoft.com/office/drawing/2014/main" id="{BCCD0D48-F669-4428-BAAB-D7D79ED736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4361" name="Picture@5C\QPendientes@" descr="@5C\QPendientes@">
          <a:extLst>
            <a:ext uri="{FF2B5EF4-FFF2-40B4-BE49-F238E27FC236}">
              <a16:creationId xmlns:a16="http://schemas.microsoft.com/office/drawing/2014/main" id="{4A2E69E6-2E73-417D-AD71-A04B8D119E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4362" name="Picture@5C\QPendientes@" descr="@5C\QPendientes@">
          <a:extLst>
            <a:ext uri="{FF2B5EF4-FFF2-40B4-BE49-F238E27FC236}">
              <a16:creationId xmlns:a16="http://schemas.microsoft.com/office/drawing/2014/main" id="{54D859C8-3D49-4EBD-A92A-88AB912B49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4363" name="Picture@5C\QPendientes@" descr="@5C\QPendientes@">
          <a:extLst>
            <a:ext uri="{FF2B5EF4-FFF2-40B4-BE49-F238E27FC236}">
              <a16:creationId xmlns:a16="http://schemas.microsoft.com/office/drawing/2014/main" id="{66FD791F-6C52-4BA1-8A10-25D32C3922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4364" name="Picture@5C\QPendientes@" descr="@5C\QPendientes@">
          <a:extLst>
            <a:ext uri="{FF2B5EF4-FFF2-40B4-BE49-F238E27FC236}">
              <a16:creationId xmlns:a16="http://schemas.microsoft.com/office/drawing/2014/main" id="{6CC05A55-D465-44AE-BBB2-1E0FAA2DD9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4365" name="Picture@5C\QPendientes@" descr="@5C\QPendientes@">
          <a:extLst>
            <a:ext uri="{FF2B5EF4-FFF2-40B4-BE49-F238E27FC236}">
              <a16:creationId xmlns:a16="http://schemas.microsoft.com/office/drawing/2014/main" id="{4F02143C-5836-4DDE-8C9E-40E0A05B79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4366" name="Picture@5C\QPendientes@" descr="@5C\QPendientes@">
          <a:extLst>
            <a:ext uri="{FF2B5EF4-FFF2-40B4-BE49-F238E27FC236}">
              <a16:creationId xmlns:a16="http://schemas.microsoft.com/office/drawing/2014/main" id="{128E4D4A-4106-476E-AAD3-B7505C3303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4367" name="Picture@5C\QPendientes@" descr="@5C\QPendientes@">
          <a:extLst>
            <a:ext uri="{FF2B5EF4-FFF2-40B4-BE49-F238E27FC236}">
              <a16:creationId xmlns:a16="http://schemas.microsoft.com/office/drawing/2014/main" id="{86746A93-1B55-4219-AD9E-93B8B88596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4368" name="Picture@5C\QPendientes@" descr="@5C\QPendientes@">
          <a:extLst>
            <a:ext uri="{FF2B5EF4-FFF2-40B4-BE49-F238E27FC236}">
              <a16:creationId xmlns:a16="http://schemas.microsoft.com/office/drawing/2014/main" id="{19E05102-A93A-482A-A2C4-410439CBC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4369" name="Picture@5C\QPendientes@" descr="@5C\QPendientes@">
          <a:extLst>
            <a:ext uri="{FF2B5EF4-FFF2-40B4-BE49-F238E27FC236}">
              <a16:creationId xmlns:a16="http://schemas.microsoft.com/office/drawing/2014/main" id="{D351F366-8F51-4307-BA39-9F0889A777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4370" name="Picture@5C\QPendientes@" descr="@5C\QPendientes@">
          <a:extLst>
            <a:ext uri="{FF2B5EF4-FFF2-40B4-BE49-F238E27FC236}">
              <a16:creationId xmlns:a16="http://schemas.microsoft.com/office/drawing/2014/main" id="{E1332CFB-E9BA-4450-A1D1-8CD6A26B00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2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4371" name="Picture@5C\QPendientes@" descr="@5C\QPendientes@">
          <a:extLst>
            <a:ext uri="{FF2B5EF4-FFF2-40B4-BE49-F238E27FC236}">
              <a16:creationId xmlns:a16="http://schemas.microsoft.com/office/drawing/2014/main" id="{F17BE05E-13F4-457A-8BE3-1BC315E769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4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4372" name="Picture@5C\QPendientes@" descr="@5C\QPendientes@">
          <a:extLst>
            <a:ext uri="{FF2B5EF4-FFF2-40B4-BE49-F238E27FC236}">
              <a16:creationId xmlns:a16="http://schemas.microsoft.com/office/drawing/2014/main" id="{72890F36-90C3-4636-B020-8FAF8E9EC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4373" name="Picture@5C\QPendientes@" descr="@5C\QPendientes@">
          <a:extLst>
            <a:ext uri="{FF2B5EF4-FFF2-40B4-BE49-F238E27FC236}">
              <a16:creationId xmlns:a16="http://schemas.microsoft.com/office/drawing/2014/main" id="{DC9248DF-0F4B-45A0-AAF8-E5A1E9570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4374" name="Picture@5C\QPendientes@" descr="@5C\QPendientes@">
          <a:extLst>
            <a:ext uri="{FF2B5EF4-FFF2-40B4-BE49-F238E27FC236}">
              <a16:creationId xmlns:a16="http://schemas.microsoft.com/office/drawing/2014/main" id="{867A720D-FFAE-4111-B1F7-F0E0790849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4375" name="Picture@5C\QPendientes@" descr="@5C\QPendientes@">
          <a:extLst>
            <a:ext uri="{FF2B5EF4-FFF2-40B4-BE49-F238E27FC236}">
              <a16:creationId xmlns:a16="http://schemas.microsoft.com/office/drawing/2014/main" id="{A115B70E-7BB5-4DF4-8A21-F8A9AE6A11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1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4376" name="Picture@5C\QPendientes@" descr="@5C\QPendientes@">
          <a:extLst>
            <a:ext uri="{FF2B5EF4-FFF2-40B4-BE49-F238E27FC236}">
              <a16:creationId xmlns:a16="http://schemas.microsoft.com/office/drawing/2014/main" id="{7686F7E9-41F5-451C-A9A3-2EFA058A1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3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4377" name="Picture@5C\QPendientes@" descr="@5C\QPendientes@">
          <a:extLst>
            <a:ext uri="{FF2B5EF4-FFF2-40B4-BE49-F238E27FC236}">
              <a16:creationId xmlns:a16="http://schemas.microsoft.com/office/drawing/2014/main" id="{0CCC61A9-3375-4A54-9A6E-B214ECF67C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4378" name="Picture@5C\QPendientes@" descr="@5C\QPendientes@">
          <a:extLst>
            <a:ext uri="{FF2B5EF4-FFF2-40B4-BE49-F238E27FC236}">
              <a16:creationId xmlns:a16="http://schemas.microsoft.com/office/drawing/2014/main" id="{DF6EDAB1-7475-4D8F-9EE1-8B9A984E89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4379" name="Picture@5C\QPendientes@" descr="@5C\QPendientes@">
          <a:extLst>
            <a:ext uri="{FF2B5EF4-FFF2-40B4-BE49-F238E27FC236}">
              <a16:creationId xmlns:a16="http://schemas.microsoft.com/office/drawing/2014/main" id="{DE5867F6-AFAC-4C02-8CDC-909042709F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4380" name="Picture@5C\QPendientes@" descr="@5C\QPendientes@">
          <a:extLst>
            <a:ext uri="{FF2B5EF4-FFF2-40B4-BE49-F238E27FC236}">
              <a16:creationId xmlns:a16="http://schemas.microsoft.com/office/drawing/2014/main" id="{C33194C4-264D-41D8-BD7C-0ED3D38177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4381" name="Picture@5C\QPendientes@" descr="@5C\QPendientes@">
          <a:extLst>
            <a:ext uri="{FF2B5EF4-FFF2-40B4-BE49-F238E27FC236}">
              <a16:creationId xmlns:a16="http://schemas.microsoft.com/office/drawing/2014/main" id="{01AB10BD-FA59-48B7-BFA8-2FBB6B76B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4382" name="Picture@5C\QPendientes@" descr="@5C\QPendientes@">
          <a:extLst>
            <a:ext uri="{FF2B5EF4-FFF2-40B4-BE49-F238E27FC236}">
              <a16:creationId xmlns:a16="http://schemas.microsoft.com/office/drawing/2014/main" id="{A2F676BD-EB7F-4CFF-9CA3-549FD8445C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4383" name="Picture@5C\QPendientes@" descr="@5C\QPendientes@">
          <a:extLst>
            <a:ext uri="{FF2B5EF4-FFF2-40B4-BE49-F238E27FC236}">
              <a16:creationId xmlns:a16="http://schemas.microsoft.com/office/drawing/2014/main" id="{F0310EB2-6389-436D-84EF-029E648B20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4384" name="Picture@5C\QPendientes@" descr="@5C\QPendientes@">
          <a:extLst>
            <a:ext uri="{FF2B5EF4-FFF2-40B4-BE49-F238E27FC236}">
              <a16:creationId xmlns:a16="http://schemas.microsoft.com/office/drawing/2014/main" id="{F6356FAB-9CE8-4E50-9ED1-F86C9F6C52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4385" name="Picture@5C\QPendientes@" descr="@5C\QPendientes@">
          <a:extLst>
            <a:ext uri="{FF2B5EF4-FFF2-40B4-BE49-F238E27FC236}">
              <a16:creationId xmlns:a16="http://schemas.microsoft.com/office/drawing/2014/main" id="{A44E1C95-ED41-45FF-A324-02D3911AF3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4386" name="Picture@5C\QPendientes@" descr="@5C\QPendientes@">
          <a:extLst>
            <a:ext uri="{FF2B5EF4-FFF2-40B4-BE49-F238E27FC236}">
              <a16:creationId xmlns:a16="http://schemas.microsoft.com/office/drawing/2014/main" id="{D80437EB-D1AB-41B3-B014-0AC169BB70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4387" name="Picture@5C\QPendientes@" descr="@5C\QPendientes@">
          <a:extLst>
            <a:ext uri="{FF2B5EF4-FFF2-40B4-BE49-F238E27FC236}">
              <a16:creationId xmlns:a16="http://schemas.microsoft.com/office/drawing/2014/main" id="{7A9319D7-64CD-4CE0-81D4-35B73437F5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4388" name="Picture@5C\QPendientes@" descr="@5C\QPendientes@">
          <a:extLst>
            <a:ext uri="{FF2B5EF4-FFF2-40B4-BE49-F238E27FC236}">
              <a16:creationId xmlns:a16="http://schemas.microsoft.com/office/drawing/2014/main" id="{88728C7B-9ED1-4458-B602-794F42FBCC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4389" name="Picture@5C\QPendientes@" descr="@5C\QPendientes@">
          <a:extLst>
            <a:ext uri="{FF2B5EF4-FFF2-40B4-BE49-F238E27FC236}">
              <a16:creationId xmlns:a16="http://schemas.microsoft.com/office/drawing/2014/main" id="{4B0C47BD-3D81-4C5D-9D40-676223F7B1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4390" name="Picture@5C\QPendientes@" descr="@5C\QPendientes@">
          <a:extLst>
            <a:ext uri="{FF2B5EF4-FFF2-40B4-BE49-F238E27FC236}">
              <a16:creationId xmlns:a16="http://schemas.microsoft.com/office/drawing/2014/main" id="{F82F0DA8-A4E5-4232-AE1B-42B9B62565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4391" name="Picture@5C\QPendientes@" descr="@5C\QPendientes@">
          <a:extLst>
            <a:ext uri="{FF2B5EF4-FFF2-40B4-BE49-F238E27FC236}">
              <a16:creationId xmlns:a16="http://schemas.microsoft.com/office/drawing/2014/main" id="{0B7C301E-5515-4F32-B36A-8D5597E2B2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1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4392" name="Picture@5C\QPendientes@" descr="@5C\QPendientes@">
          <a:extLst>
            <a:ext uri="{FF2B5EF4-FFF2-40B4-BE49-F238E27FC236}">
              <a16:creationId xmlns:a16="http://schemas.microsoft.com/office/drawing/2014/main" id="{0EADB308-22FE-4BDD-AA0E-EE9BF21F0A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4393" name="Picture@5C\QPendientes@" descr="@5C\QPendientes@">
          <a:extLst>
            <a:ext uri="{FF2B5EF4-FFF2-40B4-BE49-F238E27FC236}">
              <a16:creationId xmlns:a16="http://schemas.microsoft.com/office/drawing/2014/main" id="{A743E572-F08F-4C42-8661-DD8634E20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4394" name="Picture@5C\QPendientes@" descr="@5C\QPendientes@">
          <a:extLst>
            <a:ext uri="{FF2B5EF4-FFF2-40B4-BE49-F238E27FC236}">
              <a16:creationId xmlns:a16="http://schemas.microsoft.com/office/drawing/2014/main" id="{655B6500-0980-4C80-B4B6-0A7F7B6289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4395" name="Picture@5C\QPendientes@" descr="@5C\QPendientes@">
          <a:extLst>
            <a:ext uri="{FF2B5EF4-FFF2-40B4-BE49-F238E27FC236}">
              <a16:creationId xmlns:a16="http://schemas.microsoft.com/office/drawing/2014/main" id="{5D26003C-28AF-45FF-BFFA-C7C6FE290E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4396" name="Picture@5C\QPendientes@" descr="@5C\QPendientes@">
          <a:extLst>
            <a:ext uri="{FF2B5EF4-FFF2-40B4-BE49-F238E27FC236}">
              <a16:creationId xmlns:a16="http://schemas.microsoft.com/office/drawing/2014/main" id="{890F2194-840A-4B87-9C5C-12A6938FB2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4397" name="Picture@5C\QPendientes@" descr="@5C\QPendientes@">
          <a:extLst>
            <a:ext uri="{FF2B5EF4-FFF2-40B4-BE49-F238E27FC236}">
              <a16:creationId xmlns:a16="http://schemas.microsoft.com/office/drawing/2014/main" id="{1F7AA535-7CFE-4E65-8D02-A10CACEED0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4398" name="Picture@5C\QPendientes@" descr="@5C\QPendientes@">
          <a:extLst>
            <a:ext uri="{FF2B5EF4-FFF2-40B4-BE49-F238E27FC236}">
              <a16:creationId xmlns:a16="http://schemas.microsoft.com/office/drawing/2014/main" id="{6B129B3C-EFA7-4C31-B96E-22C80F2FF9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3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4399" name="Picture@5C\QPendientes@" descr="@5C\QPendientes@">
          <a:extLst>
            <a:ext uri="{FF2B5EF4-FFF2-40B4-BE49-F238E27FC236}">
              <a16:creationId xmlns:a16="http://schemas.microsoft.com/office/drawing/2014/main" id="{7EAB0866-2F69-4DFE-A90C-D789478EF7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5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4400" name="Picture@5C\QPendientes@" descr="@5C\QPendientes@">
          <a:extLst>
            <a:ext uri="{FF2B5EF4-FFF2-40B4-BE49-F238E27FC236}">
              <a16:creationId xmlns:a16="http://schemas.microsoft.com/office/drawing/2014/main" id="{A21E743A-ED02-45F4-917F-88AB435C19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4401" name="Picture@5C\QPendientes@" descr="@5C\QPendientes@">
          <a:extLst>
            <a:ext uri="{FF2B5EF4-FFF2-40B4-BE49-F238E27FC236}">
              <a16:creationId xmlns:a16="http://schemas.microsoft.com/office/drawing/2014/main" id="{5C5D92F4-68AC-424C-B803-B7C971397E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4402" name="Picture@5C\QPendientes@" descr="@5C\QPendientes@">
          <a:extLst>
            <a:ext uri="{FF2B5EF4-FFF2-40B4-BE49-F238E27FC236}">
              <a16:creationId xmlns:a16="http://schemas.microsoft.com/office/drawing/2014/main" id="{C676C609-7267-43FA-B21B-EBC28687FE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4403" name="Picture@5C\QPendientes@" descr="@5C\QPendientes@">
          <a:extLst>
            <a:ext uri="{FF2B5EF4-FFF2-40B4-BE49-F238E27FC236}">
              <a16:creationId xmlns:a16="http://schemas.microsoft.com/office/drawing/2014/main" id="{721DEA85-12F8-494E-8433-F9380E102D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4404" name="Picture@5C\QPendientes@" descr="@5C\QPendientes@">
          <a:extLst>
            <a:ext uri="{FF2B5EF4-FFF2-40B4-BE49-F238E27FC236}">
              <a16:creationId xmlns:a16="http://schemas.microsoft.com/office/drawing/2014/main" id="{E3FEB2C5-FA39-4CAE-B9A2-81E5E2D0D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4405" name="Picture@5C\QPendientes@" descr="@5C\QPendientes@">
          <a:extLst>
            <a:ext uri="{FF2B5EF4-FFF2-40B4-BE49-F238E27FC236}">
              <a16:creationId xmlns:a16="http://schemas.microsoft.com/office/drawing/2014/main" id="{8EDEC730-13CA-4BC0-A9F0-F57277B14D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4406" name="Picture@5C\QPendientes@" descr="@5C\QPendientes@">
          <a:extLst>
            <a:ext uri="{FF2B5EF4-FFF2-40B4-BE49-F238E27FC236}">
              <a16:creationId xmlns:a16="http://schemas.microsoft.com/office/drawing/2014/main" id="{569721AD-B3B3-44AA-91AB-53AD1A505C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8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4407" name="Picture@5C\QPendientes@" descr="@5C\QPendientes@">
          <a:extLst>
            <a:ext uri="{FF2B5EF4-FFF2-40B4-BE49-F238E27FC236}">
              <a16:creationId xmlns:a16="http://schemas.microsoft.com/office/drawing/2014/main" id="{6AD617B1-9539-4AFA-847B-874E0D5189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4408" name="Picture@5C\QPendientes@" descr="@5C\QPendientes@">
          <a:extLst>
            <a:ext uri="{FF2B5EF4-FFF2-40B4-BE49-F238E27FC236}">
              <a16:creationId xmlns:a16="http://schemas.microsoft.com/office/drawing/2014/main" id="{FC19E8A7-EC0F-4458-8F57-E8EF2B5D4D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2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4409" name="Picture@5C\QPendientes@" descr="@5C\QPendientes@">
          <a:extLst>
            <a:ext uri="{FF2B5EF4-FFF2-40B4-BE49-F238E27FC236}">
              <a16:creationId xmlns:a16="http://schemas.microsoft.com/office/drawing/2014/main" id="{4B85370E-4812-4814-96DF-B0EDA5C542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4410" name="Picture@5C\QPendientes@" descr="@5C\QPendientes@">
          <a:extLst>
            <a:ext uri="{FF2B5EF4-FFF2-40B4-BE49-F238E27FC236}">
              <a16:creationId xmlns:a16="http://schemas.microsoft.com/office/drawing/2014/main" id="{97D48CBE-AD1F-402A-90A6-69BE64CC8D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5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4411" name="Picture@5C\QPendientes@" descr="@5C\QPendientes@">
          <a:extLst>
            <a:ext uri="{FF2B5EF4-FFF2-40B4-BE49-F238E27FC236}">
              <a16:creationId xmlns:a16="http://schemas.microsoft.com/office/drawing/2014/main" id="{02E1A3C4-58FA-400A-93A7-84F1420310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7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4412" name="Picture@5C\QPendientes@" descr="@5C\QPendientes@">
          <a:extLst>
            <a:ext uri="{FF2B5EF4-FFF2-40B4-BE49-F238E27FC236}">
              <a16:creationId xmlns:a16="http://schemas.microsoft.com/office/drawing/2014/main" id="{0C63DEB5-54E9-4CFA-A57D-BCB347ED02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9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4413" name="Picture@5C\QPendientes@" descr="@5C\QPendientes@">
          <a:extLst>
            <a:ext uri="{FF2B5EF4-FFF2-40B4-BE49-F238E27FC236}">
              <a16:creationId xmlns:a16="http://schemas.microsoft.com/office/drawing/2014/main" id="{954F4C06-037D-42B3-A4B5-6E98853BB7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1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4414" name="Picture@5C\QPendientes@" descr="@5C\QPendientes@">
          <a:extLst>
            <a:ext uri="{FF2B5EF4-FFF2-40B4-BE49-F238E27FC236}">
              <a16:creationId xmlns:a16="http://schemas.microsoft.com/office/drawing/2014/main" id="{BB1620A4-B6FF-4F57-9D1D-AA02C02AB5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3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4415" name="Picture@5C\QPendientes@" descr="@5C\QPendientes@">
          <a:extLst>
            <a:ext uri="{FF2B5EF4-FFF2-40B4-BE49-F238E27FC236}">
              <a16:creationId xmlns:a16="http://schemas.microsoft.com/office/drawing/2014/main" id="{56424CEB-293E-4B7E-AE95-39387BA7C2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4416" name="Picture@5C\QPendientes@" descr="@5C\QPendientes@">
          <a:extLst>
            <a:ext uri="{FF2B5EF4-FFF2-40B4-BE49-F238E27FC236}">
              <a16:creationId xmlns:a16="http://schemas.microsoft.com/office/drawing/2014/main" id="{A002F459-A52D-4A41-B40D-80E64BB57C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4417" name="Picture@5C\QPendientes@" descr="@5C\QPendientes@">
          <a:extLst>
            <a:ext uri="{FF2B5EF4-FFF2-40B4-BE49-F238E27FC236}">
              <a16:creationId xmlns:a16="http://schemas.microsoft.com/office/drawing/2014/main" id="{87D8E672-9D07-4DFF-B7C3-170BF210A4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4418" name="Picture@5C\QPendientes@" descr="@5C\QPendientes@">
          <a:extLst>
            <a:ext uri="{FF2B5EF4-FFF2-40B4-BE49-F238E27FC236}">
              <a16:creationId xmlns:a16="http://schemas.microsoft.com/office/drawing/2014/main" id="{7E964A1D-DE8F-40A0-8DCE-C8C4F279A6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0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4419" name="Picture@5C\QPendientes@" descr="@5C\QPendientes@">
          <a:extLst>
            <a:ext uri="{FF2B5EF4-FFF2-40B4-BE49-F238E27FC236}">
              <a16:creationId xmlns:a16="http://schemas.microsoft.com/office/drawing/2014/main" id="{F0EF65E4-4F95-4170-89C1-ECE743D958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2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4420" name="Picture@5C\QPendientes@" descr="@5C\QPendientes@">
          <a:extLst>
            <a:ext uri="{FF2B5EF4-FFF2-40B4-BE49-F238E27FC236}">
              <a16:creationId xmlns:a16="http://schemas.microsoft.com/office/drawing/2014/main" id="{5B4F5BD2-F153-499A-B0E3-014A00A935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4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4421" name="Picture@5C\QPendientes@" descr="@5C\QPendientes@">
          <a:extLst>
            <a:ext uri="{FF2B5EF4-FFF2-40B4-BE49-F238E27FC236}">
              <a16:creationId xmlns:a16="http://schemas.microsoft.com/office/drawing/2014/main" id="{B4670C0A-3EE8-4D9F-A8C0-08EEF8B593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4422" name="Picture@5C\QPendientes@" descr="@5C\QPendientes@">
          <a:extLst>
            <a:ext uri="{FF2B5EF4-FFF2-40B4-BE49-F238E27FC236}">
              <a16:creationId xmlns:a16="http://schemas.microsoft.com/office/drawing/2014/main" id="{BB812D6F-3C74-4EE9-ADB1-9672EB6618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7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4423" name="Picture@5C\QPendientes@" descr="@5C\QPendientes@">
          <a:extLst>
            <a:ext uri="{FF2B5EF4-FFF2-40B4-BE49-F238E27FC236}">
              <a16:creationId xmlns:a16="http://schemas.microsoft.com/office/drawing/2014/main" id="{7B28DAD7-7C29-4CCC-B14D-CC5198833B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9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4424" name="Picture@5C\QPendientes@" descr="@5C\QPendientes@">
          <a:extLst>
            <a:ext uri="{FF2B5EF4-FFF2-40B4-BE49-F238E27FC236}">
              <a16:creationId xmlns:a16="http://schemas.microsoft.com/office/drawing/2014/main" id="{CE7B912B-D294-425E-99E2-B382920EA7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1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4425" name="Picture@5C\QPendientes@" descr="@5C\QPendientes@">
          <a:extLst>
            <a:ext uri="{FF2B5EF4-FFF2-40B4-BE49-F238E27FC236}">
              <a16:creationId xmlns:a16="http://schemas.microsoft.com/office/drawing/2014/main" id="{3CD9DACF-08EE-4E96-8768-877DD21839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3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4426" name="Picture@5C\QPendientes@" descr="@5C\QPendientes@">
          <a:extLst>
            <a:ext uri="{FF2B5EF4-FFF2-40B4-BE49-F238E27FC236}">
              <a16:creationId xmlns:a16="http://schemas.microsoft.com/office/drawing/2014/main" id="{7DB41E4A-C243-47E3-B7D9-98B8BC4E99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5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4427" name="Picture@5C\QPendientes@" descr="@5C\QPendientes@">
          <a:extLst>
            <a:ext uri="{FF2B5EF4-FFF2-40B4-BE49-F238E27FC236}">
              <a16:creationId xmlns:a16="http://schemas.microsoft.com/office/drawing/2014/main" id="{C1A5602C-51E8-4D41-A5E9-C94C78F86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4428" name="Picture@5C\QPendientes@" descr="@5C\QPendientes@">
          <a:extLst>
            <a:ext uri="{FF2B5EF4-FFF2-40B4-BE49-F238E27FC236}">
              <a16:creationId xmlns:a16="http://schemas.microsoft.com/office/drawing/2014/main" id="{30885A63-9E4E-4C39-8E65-4DB8FC1D6E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8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4429" name="Picture@5C\QPendientes@" descr="@5C\QPendientes@">
          <a:extLst>
            <a:ext uri="{FF2B5EF4-FFF2-40B4-BE49-F238E27FC236}">
              <a16:creationId xmlns:a16="http://schemas.microsoft.com/office/drawing/2014/main" id="{EFEEE997-6E27-4CA6-99B5-F42E284EBB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0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4430" name="Picture@5C\QPendientes@" descr="@5C\QPendientes@">
          <a:extLst>
            <a:ext uri="{FF2B5EF4-FFF2-40B4-BE49-F238E27FC236}">
              <a16:creationId xmlns:a16="http://schemas.microsoft.com/office/drawing/2014/main" id="{4DE37434-513F-4A72-A226-F4E5CB9E49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2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4431" name="Picture@5C\QPendientes@" descr="@5C\QPendientes@">
          <a:extLst>
            <a:ext uri="{FF2B5EF4-FFF2-40B4-BE49-F238E27FC236}">
              <a16:creationId xmlns:a16="http://schemas.microsoft.com/office/drawing/2014/main" id="{0F577AE8-2772-4D33-90E7-BB0BED7F5C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4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4432" name="Picture@5C\QPendientes@" descr="@5C\QPendientes@">
          <a:extLst>
            <a:ext uri="{FF2B5EF4-FFF2-40B4-BE49-F238E27FC236}">
              <a16:creationId xmlns:a16="http://schemas.microsoft.com/office/drawing/2014/main" id="{67B970E1-60DF-4C21-9779-2E98D10449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6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4433" name="Picture@5C\QPendientes@" descr="@5C\QPendientes@">
          <a:extLst>
            <a:ext uri="{FF2B5EF4-FFF2-40B4-BE49-F238E27FC236}">
              <a16:creationId xmlns:a16="http://schemas.microsoft.com/office/drawing/2014/main" id="{A8B9B7F2-33B1-4EEE-81B3-F0971B07E7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7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4434" name="Picture@5C\QPendientes@" descr="@5C\QPendientes@">
          <a:extLst>
            <a:ext uri="{FF2B5EF4-FFF2-40B4-BE49-F238E27FC236}">
              <a16:creationId xmlns:a16="http://schemas.microsoft.com/office/drawing/2014/main" id="{A15BDCB4-BB79-4CE0-8249-A62CC3EF3C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9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4435" name="Picture@5C\QPendientes@" descr="@5C\QPendientes@">
          <a:extLst>
            <a:ext uri="{FF2B5EF4-FFF2-40B4-BE49-F238E27FC236}">
              <a16:creationId xmlns:a16="http://schemas.microsoft.com/office/drawing/2014/main" id="{6E458782-1335-4E97-BFDB-9BF826CE6E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1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4436" name="Picture@5C\QPendientes@" descr="@5C\QPendientes@">
          <a:extLst>
            <a:ext uri="{FF2B5EF4-FFF2-40B4-BE49-F238E27FC236}">
              <a16:creationId xmlns:a16="http://schemas.microsoft.com/office/drawing/2014/main" id="{7E9F38EC-C716-413D-8CD5-2B8CE8EBC6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3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4437" name="Picture@5C\QPendientes@" descr="@5C\QPendientes@">
          <a:extLst>
            <a:ext uri="{FF2B5EF4-FFF2-40B4-BE49-F238E27FC236}">
              <a16:creationId xmlns:a16="http://schemas.microsoft.com/office/drawing/2014/main" id="{82910CCC-E362-44CD-8BC9-A6FA452A36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4438" name="Picture@5C\QPendientes@" descr="@5C\QPendientes@">
          <a:extLst>
            <a:ext uri="{FF2B5EF4-FFF2-40B4-BE49-F238E27FC236}">
              <a16:creationId xmlns:a16="http://schemas.microsoft.com/office/drawing/2014/main" id="{46C42C8E-80C1-4C53-B87C-4A04AE7CF2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7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4439" name="Picture@5C\QPendientes@" descr="@5C\QPendientes@">
          <a:extLst>
            <a:ext uri="{FF2B5EF4-FFF2-40B4-BE49-F238E27FC236}">
              <a16:creationId xmlns:a16="http://schemas.microsoft.com/office/drawing/2014/main" id="{4BA3F047-7CAF-4D27-A668-1374A135F1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8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4440" name="Picture@5C\QPendientes@" descr="@5C\QPendientes@">
          <a:extLst>
            <a:ext uri="{FF2B5EF4-FFF2-40B4-BE49-F238E27FC236}">
              <a16:creationId xmlns:a16="http://schemas.microsoft.com/office/drawing/2014/main" id="{A8FBB94D-D8B3-4027-B49A-603F7E791B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0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4441" name="Picture@5C\QPendientes@" descr="@5C\QPendientes@">
          <a:extLst>
            <a:ext uri="{FF2B5EF4-FFF2-40B4-BE49-F238E27FC236}">
              <a16:creationId xmlns:a16="http://schemas.microsoft.com/office/drawing/2014/main" id="{D15B2C73-D331-4CA7-84B2-93AF8F724A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2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4442" name="Picture@5C\QPendientes@" descr="@5C\QPendientes@">
          <a:extLst>
            <a:ext uri="{FF2B5EF4-FFF2-40B4-BE49-F238E27FC236}">
              <a16:creationId xmlns:a16="http://schemas.microsoft.com/office/drawing/2014/main" id="{7B0787DF-E561-42EB-897D-7934B97550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4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4443" name="Picture@5C\QPendientes@" descr="@5C\QPendientes@">
          <a:extLst>
            <a:ext uri="{FF2B5EF4-FFF2-40B4-BE49-F238E27FC236}">
              <a16:creationId xmlns:a16="http://schemas.microsoft.com/office/drawing/2014/main" id="{793693FC-C24F-472D-A54D-A143855240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6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4444" name="Picture@5C\QPendientes@" descr="@5C\QPendientes@">
          <a:extLst>
            <a:ext uri="{FF2B5EF4-FFF2-40B4-BE49-F238E27FC236}">
              <a16:creationId xmlns:a16="http://schemas.microsoft.com/office/drawing/2014/main" id="{96973112-E73D-48D3-B230-89CAAB9DC5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8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4445" name="Picture@5C\QPendientes@" descr="@5C\QPendientes@">
          <a:extLst>
            <a:ext uri="{FF2B5EF4-FFF2-40B4-BE49-F238E27FC236}">
              <a16:creationId xmlns:a16="http://schemas.microsoft.com/office/drawing/2014/main" id="{03F001BA-F121-4F33-9818-371A253925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9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4446" name="Picture@5C\QPendientes@" descr="@5C\QPendientes@">
          <a:extLst>
            <a:ext uri="{FF2B5EF4-FFF2-40B4-BE49-F238E27FC236}">
              <a16:creationId xmlns:a16="http://schemas.microsoft.com/office/drawing/2014/main" id="{7021CF7F-09E8-4EED-A004-A4A1A41A09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1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4447" name="Picture@5C\QPendientes@" descr="@5C\QPendientes@">
          <a:extLst>
            <a:ext uri="{FF2B5EF4-FFF2-40B4-BE49-F238E27FC236}">
              <a16:creationId xmlns:a16="http://schemas.microsoft.com/office/drawing/2014/main" id="{CC59CD01-79C5-4DC3-AE0A-C44229D62E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4448" name="Picture@5C\QPendientes@" descr="@5C\QPendientes@">
          <a:extLst>
            <a:ext uri="{FF2B5EF4-FFF2-40B4-BE49-F238E27FC236}">
              <a16:creationId xmlns:a16="http://schemas.microsoft.com/office/drawing/2014/main" id="{0FD98A9C-79A6-407D-9E50-75B6CEBF6A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5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4449" name="Picture@5C\QPendientes@" descr="@5C\QPendientes@">
          <a:extLst>
            <a:ext uri="{FF2B5EF4-FFF2-40B4-BE49-F238E27FC236}">
              <a16:creationId xmlns:a16="http://schemas.microsoft.com/office/drawing/2014/main" id="{46F8822A-4CF0-4F43-8157-8683ECF6A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7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4450" name="Picture@5C\QPendientes@" descr="@5C\QPendientes@">
          <a:extLst>
            <a:ext uri="{FF2B5EF4-FFF2-40B4-BE49-F238E27FC236}">
              <a16:creationId xmlns:a16="http://schemas.microsoft.com/office/drawing/2014/main" id="{7F3F210F-BA13-4622-9FED-A54845DD4C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8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4451" name="Picture@5C\QPendientes@" descr="@5C\QPendientes@">
          <a:extLst>
            <a:ext uri="{FF2B5EF4-FFF2-40B4-BE49-F238E27FC236}">
              <a16:creationId xmlns:a16="http://schemas.microsoft.com/office/drawing/2014/main" id="{A3FA7A6E-38F8-45AE-863D-D36085AF43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0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4452" name="Picture@5C\QPendientes@" descr="@5C\QPendientes@">
          <a:extLst>
            <a:ext uri="{FF2B5EF4-FFF2-40B4-BE49-F238E27FC236}">
              <a16:creationId xmlns:a16="http://schemas.microsoft.com/office/drawing/2014/main" id="{E08D2F69-CD34-4457-8BB5-30BA408953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2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4453" name="Picture@5C\QPendientes@" descr="@5C\QPendientes@">
          <a:extLst>
            <a:ext uri="{FF2B5EF4-FFF2-40B4-BE49-F238E27FC236}">
              <a16:creationId xmlns:a16="http://schemas.microsoft.com/office/drawing/2014/main" id="{479F26AE-CC89-4214-98A1-F80F2FCED8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4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4454" name="Picture@5C\QPendientes@" descr="@5C\QPendientes@">
          <a:extLst>
            <a:ext uri="{FF2B5EF4-FFF2-40B4-BE49-F238E27FC236}">
              <a16:creationId xmlns:a16="http://schemas.microsoft.com/office/drawing/2014/main" id="{EECE083E-DFD4-47FD-9303-9EF84D5EBC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6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4455" name="Picture@5C\QPendientes@" descr="@5C\QPendientes@">
          <a:extLst>
            <a:ext uri="{FF2B5EF4-FFF2-40B4-BE49-F238E27FC236}">
              <a16:creationId xmlns:a16="http://schemas.microsoft.com/office/drawing/2014/main" id="{4B305B2C-9071-4572-A2F7-021B6CBFB3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8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4456" name="Picture@5C\QPendientes@" descr="@5C\QPendientes@">
          <a:extLst>
            <a:ext uri="{FF2B5EF4-FFF2-40B4-BE49-F238E27FC236}">
              <a16:creationId xmlns:a16="http://schemas.microsoft.com/office/drawing/2014/main" id="{23A403D7-A004-4D2C-B95E-76E5DDC93F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9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4457" name="Picture@5C\QPendientes@" descr="@5C\QPendientes@">
          <a:extLst>
            <a:ext uri="{FF2B5EF4-FFF2-40B4-BE49-F238E27FC236}">
              <a16:creationId xmlns:a16="http://schemas.microsoft.com/office/drawing/2014/main" id="{F120652D-7964-4866-B014-0873C2F69E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4458" name="Picture@5C\QPendientes@" descr="@5C\QPendientes@">
          <a:extLst>
            <a:ext uri="{FF2B5EF4-FFF2-40B4-BE49-F238E27FC236}">
              <a16:creationId xmlns:a16="http://schemas.microsoft.com/office/drawing/2014/main" id="{341D939B-0CAE-4D5F-8CF3-EBEA786EA9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3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4459" name="Picture@5C\QPendientes@" descr="@5C\QPendientes@">
          <a:extLst>
            <a:ext uri="{FF2B5EF4-FFF2-40B4-BE49-F238E27FC236}">
              <a16:creationId xmlns:a16="http://schemas.microsoft.com/office/drawing/2014/main" id="{5FC4F15D-4DFE-4AE1-B935-0EC212233D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5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4460" name="Picture@5C\QPendientes@" descr="@5C\QPendientes@">
          <a:extLst>
            <a:ext uri="{FF2B5EF4-FFF2-40B4-BE49-F238E27FC236}">
              <a16:creationId xmlns:a16="http://schemas.microsoft.com/office/drawing/2014/main" id="{F2115B9E-D4FC-43F4-BFDF-059327292B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7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4461" name="Picture@5C\QPendientes@" descr="@5C\QPendientes@">
          <a:extLst>
            <a:ext uri="{FF2B5EF4-FFF2-40B4-BE49-F238E27FC236}">
              <a16:creationId xmlns:a16="http://schemas.microsoft.com/office/drawing/2014/main" id="{32BB65B1-2811-4D3A-9B3F-FAA383E27C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9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4462" name="Picture@5C\QPendientes@" descr="@5C\QPendientes@">
          <a:extLst>
            <a:ext uri="{FF2B5EF4-FFF2-40B4-BE49-F238E27FC236}">
              <a16:creationId xmlns:a16="http://schemas.microsoft.com/office/drawing/2014/main" id="{8EAC6A67-A2CE-42A1-B947-77F5B34369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0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4463" name="Picture@5C\QPendientes@" descr="@5C\QPendientes@">
          <a:extLst>
            <a:ext uri="{FF2B5EF4-FFF2-40B4-BE49-F238E27FC236}">
              <a16:creationId xmlns:a16="http://schemas.microsoft.com/office/drawing/2014/main" id="{1CA2ACE0-9847-4E25-AF48-082E71B048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2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4464" name="Picture@5C\QPendientes@" descr="@5C\QPendientes@">
          <a:extLst>
            <a:ext uri="{FF2B5EF4-FFF2-40B4-BE49-F238E27FC236}">
              <a16:creationId xmlns:a16="http://schemas.microsoft.com/office/drawing/2014/main" id="{02F90F00-3AC6-4DD5-9F23-D2DF58F832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4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4465" name="Picture@5C\QPendientes@" descr="@5C\QPendientes@">
          <a:extLst>
            <a:ext uri="{FF2B5EF4-FFF2-40B4-BE49-F238E27FC236}">
              <a16:creationId xmlns:a16="http://schemas.microsoft.com/office/drawing/2014/main" id="{0D72964E-5645-4557-92DB-E4F6ABE89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6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4466" name="Picture@5C\QPendientes@" descr="@5C\QPendientes@">
          <a:extLst>
            <a:ext uri="{FF2B5EF4-FFF2-40B4-BE49-F238E27FC236}">
              <a16:creationId xmlns:a16="http://schemas.microsoft.com/office/drawing/2014/main" id="{9098C8B8-1E62-4F5C-8385-F0F2E74AE5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8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4467" name="Picture@5C\QPendientes@" descr="@5C\QPendientes@">
          <a:extLst>
            <a:ext uri="{FF2B5EF4-FFF2-40B4-BE49-F238E27FC236}">
              <a16:creationId xmlns:a16="http://schemas.microsoft.com/office/drawing/2014/main" id="{471ABD9A-4F20-45AF-84BE-9AA7A7CC62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4468" name="Picture@5C\QPendientes@" descr="@5C\QPendientes@">
          <a:extLst>
            <a:ext uri="{FF2B5EF4-FFF2-40B4-BE49-F238E27FC236}">
              <a16:creationId xmlns:a16="http://schemas.microsoft.com/office/drawing/2014/main" id="{4645252C-3CA9-4724-B4F5-CD087D970D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1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4469" name="Picture@5C\QPendientes@" descr="@5C\QPendientes@">
          <a:extLst>
            <a:ext uri="{FF2B5EF4-FFF2-40B4-BE49-F238E27FC236}">
              <a16:creationId xmlns:a16="http://schemas.microsoft.com/office/drawing/2014/main" id="{64610B8E-A9A4-40B5-9795-949349865E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3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4470" name="Picture@5C\QPendientes@" descr="@5C\QPendientes@">
          <a:extLst>
            <a:ext uri="{FF2B5EF4-FFF2-40B4-BE49-F238E27FC236}">
              <a16:creationId xmlns:a16="http://schemas.microsoft.com/office/drawing/2014/main" id="{322B8EBA-F9AA-4FCD-8281-2C643A38B2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5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4471" name="Picture@5C\QPendientes@" descr="@5C\QPendientes@">
          <a:extLst>
            <a:ext uri="{FF2B5EF4-FFF2-40B4-BE49-F238E27FC236}">
              <a16:creationId xmlns:a16="http://schemas.microsoft.com/office/drawing/2014/main" id="{8270D676-DB79-49CD-90A2-5BF5B27EB7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7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4472" name="Picture@5C\QPendientes@" descr="@5C\QPendientes@">
          <a:extLst>
            <a:ext uri="{FF2B5EF4-FFF2-40B4-BE49-F238E27FC236}">
              <a16:creationId xmlns:a16="http://schemas.microsoft.com/office/drawing/2014/main" id="{1928EA35-F107-4F0C-A56D-E611315AEB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9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4473" name="Picture@5C\QPendientes@" descr="@5C\QPendientes@">
          <a:extLst>
            <a:ext uri="{FF2B5EF4-FFF2-40B4-BE49-F238E27FC236}">
              <a16:creationId xmlns:a16="http://schemas.microsoft.com/office/drawing/2014/main" id="{8BE26A0F-134E-4F4A-9A2A-152C983C7E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1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4474" name="Picture@5C\QPendientes@" descr="@5C\QPendientes@">
          <a:extLst>
            <a:ext uri="{FF2B5EF4-FFF2-40B4-BE49-F238E27FC236}">
              <a16:creationId xmlns:a16="http://schemas.microsoft.com/office/drawing/2014/main" id="{AF42D26C-C28E-49BF-A008-FD39EA65F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2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4475" name="Picture@5C\QPendientes@" descr="@5C\QPendientes@">
          <a:extLst>
            <a:ext uri="{FF2B5EF4-FFF2-40B4-BE49-F238E27FC236}">
              <a16:creationId xmlns:a16="http://schemas.microsoft.com/office/drawing/2014/main" id="{DB58E235-FA42-4F3E-8CD9-E86F521FC8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4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4476" name="Picture@5C\QPendientes@" descr="@5C\QPendientes@">
          <a:extLst>
            <a:ext uri="{FF2B5EF4-FFF2-40B4-BE49-F238E27FC236}">
              <a16:creationId xmlns:a16="http://schemas.microsoft.com/office/drawing/2014/main" id="{752FA827-4DA9-46BB-9650-13858B6824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6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4477" name="Picture@5C\QPendientes@" descr="@5C\QPendientes@">
          <a:extLst>
            <a:ext uri="{FF2B5EF4-FFF2-40B4-BE49-F238E27FC236}">
              <a16:creationId xmlns:a16="http://schemas.microsoft.com/office/drawing/2014/main" id="{966B4702-F8DF-4E6D-8CEE-4CF196BFE8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4478" name="Picture@5C\QPendientes@" descr="@5C\QPendientes@">
          <a:extLst>
            <a:ext uri="{FF2B5EF4-FFF2-40B4-BE49-F238E27FC236}">
              <a16:creationId xmlns:a16="http://schemas.microsoft.com/office/drawing/2014/main" id="{83A3CCEF-19AD-4588-8F89-FDE1031BB5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0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4479" name="Picture@5C\QPendientes@" descr="@5C\QPendientes@">
          <a:extLst>
            <a:ext uri="{FF2B5EF4-FFF2-40B4-BE49-F238E27FC236}">
              <a16:creationId xmlns:a16="http://schemas.microsoft.com/office/drawing/2014/main" id="{7EAB0475-5122-461B-A7DA-95A6D0A5F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2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4480" name="Picture@5C\QPendientes@" descr="@5C\QPendientes@">
          <a:extLst>
            <a:ext uri="{FF2B5EF4-FFF2-40B4-BE49-F238E27FC236}">
              <a16:creationId xmlns:a16="http://schemas.microsoft.com/office/drawing/2014/main" id="{A929E761-3998-4E39-A329-88D06C8EF9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3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4481" name="Picture@5C\QPendientes@" descr="@5C\QPendientes@">
          <a:extLst>
            <a:ext uri="{FF2B5EF4-FFF2-40B4-BE49-F238E27FC236}">
              <a16:creationId xmlns:a16="http://schemas.microsoft.com/office/drawing/2014/main" id="{67DD4DC5-90B6-4635-8CD5-8907CCFD9A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5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4482" name="Picture@5C\QPendientes@" descr="@5C\QPendientes@">
          <a:extLst>
            <a:ext uri="{FF2B5EF4-FFF2-40B4-BE49-F238E27FC236}">
              <a16:creationId xmlns:a16="http://schemas.microsoft.com/office/drawing/2014/main" id="{4C5DD944-D1E7-4890-A663-1CA94E64F3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7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4483" name="Picture@5C\QPendientes@" descr="@5C\QPendientes@">
          <a:extLst>
            <a:ext uri="{FF2B5EF4-FFF2-40B4-BE49-F238E27FC236}">
              <a16:creationId xmlns:a16="http://schemas.microsoft.com/office/drawing/2014/main" id="{0499CB41-C07D-45CA-A20C-44591C0BFE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9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4484" name="Picture@5C\QPendientes@" descr="@5C\QPendientes@">
          <a:extLst>
            <a:ext uri="{FF2B5EF4-FFF2-40B4-BE49-F238E27FC236}">
              <a16:creationId xmlns:a16="http://schemas.microsoft.com/office/drawing/2014/main" id="{844398A4-361C-4BBE-9D1E-C99C73F99D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4485" name="Picture@5C\QPendientes@" descr="@5C\QPendientes@">
          <a:extLst>
            <a:ext uri="{FF2B5EF4-FFF2-40B4-BE49-F238E27FC236}">
              <a16:creationId xmlns:a16="http://schemas.microsoft.com/office/drawing/2014/main" id="{36A00675-9A0F-4C16-90CE-D04F395D1E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2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4486" name="Picture@5C\QPendientes@" descr="@5C\QPendientes@">
          <a:extLst>
            <a:ext uri="{FF2B5EF4-FFF2-40B4-BE49-F238E27FC236}">
              <a16:creationId xmlns:a16="http://schemas.microsoft.com/office/drawing/2014/main" id="{9AE4613A-C607-45CC-94B9-37CFA07EED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4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4487" name="Picture@5C\QPendientes@" descr="@5C\QPendientes@">
          <a:extLst>
            <a:ext uri="{FF2B5EF4-FFF2-40B4-BE49-F238E27FC236}">
              <a16:creationId xmlns:a16="http://schemas.microsoft.com/office/drawing/2014/main" id="{1C96966B-B5CF-49F5-8521-B6C4FAF406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4488" name="Picture@5C\QPendientes@" descr="@5C\QPendientes@">
          <a:extLst>
            <a:ext uri="{FF2B5EF4-FFF2-40B4-BE49-F238E27FC236}">
              <a16:creationId xmlns:a16="http://schemas.microsoft.com/office/drawing/2014/main" id="{A63C2C81-8BA8-4070-91C9-30016E7A5F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8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4489" name="Picture@5C\QPendientes@" descr="@5C\QPendientes@">
          <a:extLst>
            <a:ext uri="{FF2B5EF4-FFF2-40B4-BE49-F238E27FC236}">
              <a16:creationId xmlns:a16="http://schemas.microsoft.com/office/drawing/2014/main" id="{7C1AFE2D-00EC-41E0-A121-8F79451986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0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4490" name="Picture@5C\QPendientes@" descr="@5C\QPendientes@">
          <a:extLst>
            <a:ext uri="{FF2B5EF4-FFF2-40B4-BE49-F238E27FC236}">
              <a16:creationId xmlns:a16="http://schemas.microsoft.com/office/drawing/2014/main" id="{81ABBB44-0F4D-4A49-83EE-FE39BC737B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2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4491" name="Picture@5C\QPendientes@" descr="@5C\QPendientes@">
          <a:extLst>
            <a:ext uri="{FF2B5EF4-FFF2-40B4-BE49-F238E27FC236}">
              <a16:creationId xmlns:a16="http://schemas.microsoft.com/office/drawing/2014/main" id="{DBB5CB44-1CBA-458A-9D0F-D943AAA9C2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3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4492" name="Picture@5C\QPendientes@" descr="@5C\QPendientes@">
          <a:extLst>
            <a:ext uri="{FF2B5EF4-FFF2-40B4-BE49-F238E27FC236}">
              <a16:creationId xmlns:a16="http://schemas.microsoft.com/office/drawing/2014/main" id="{EFE47016-2C41-4BBD-AD8D-595F88556D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5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4493" name="Picture@5C\QPendientes@" descr="@5C\QPendientes@">
          <a:extLst>
            <a:ext uri="{FF2B5EF4-FFF2-40B4-BE49-F238E27FC236}">
              <a16:creationId xmlns:a16="http://schemas.microsoft.com/office/drawing/2014/main" id="{89843C81-40FE-413D-9243-68371FC7B6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7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4494" name="Picture@5C\QPendientes@" descr="@5C\QPendientes@">
          <a:extLst>
            <a:ext uri="{FF2B5EF4-FFF2-40B4-BE49-F238E27FC236}">
              <a16:creationId xmlns:a16="http://schemas.microsoft.com/office/drawing/2014/main" id="{A81EC63A-BEA3-4D82-A83A-2BEF188290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9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4495" name="Picture@5C\QPendientes@" descr="@5C\QPendientes@">
          <a:extLst>
            <a:ext uri="{FF2B5EF4-FFF2-40B4-BE49-F238E27FC236}">
              <a16:creationId xmlns:a16="http://schemas.microsoft.com/office/drawing/2014/main" id="{184F9670-700D-49EE-866B-CC7A9E3B2F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1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4496" name="Picture@5C\QPendientes@" descr="@5C\QPendientes@">
          <a:extLst>
            <a:ext uri="{FF2B5EF4-FFF2-40B4-BE49-F238E27FC236}">
              <a16:creationId xmlns:a16="http://schemas.microsoft.com/office/drawing/2014/main" id="{E8038189-3508-4B1D-811F-919F7C20A8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3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4497" name="Picture@5C\QPendientes@" descr="@5C\QPendientes@">
          <a:extLst>
            <a:ext uri="{FF2B5EF4-FFF2-40B4-BE49-F238E27FC236}">
              <a16:creationId xmlns:a16="http://schemas.microsoft.com/office/drawing/2014/main" id="{16A7FEBC-3812-442D-8DBE-6A9366A9A6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4498" name="Picture@5C\QPendientes@" descr="@5C\QPendientes@">
          <a:extLst>
            <a:ext uri="{FF2B5EF4-FFF2-40B4-BE49-F238E27FC236}">
              <a16:creationId xmlns:a16="http://schemas.microsoft.com/office/drawing/2014/main" id="{C3DDC537-17AE-4F9D-8BB4-1A79C5253C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6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4499" name="Picture@5C\QPendientes@" descr="@5C\QPendientes@">
          <a:extLst>
            <a:ext uri="{FF2B5EF4-FFF2-40B4-BE49-F238E27FC236}">
              <a16:creationId xmlns:a16="http://schemas.microsoft.com/office/drawing/2014/main" id="{66DF76D0-AE45-4510-92F0-B7F6A03663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8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4500" name="Picture@5C\QPendientes@" descr="@5C\QPendientes@">
          <a:extLst>
            <a:ext uri="{FF2B5EF4-FFF2-40B4-BE49-F238E27FC236}">
              <a16:creationId xmlns:a16="http://schemas.microsoft.com/office/drawing/2014/main" id="{43E8DBE3-06A5-4770-A8E9-BECC208E1C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0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4501" name="Picture@5C\QPendientes@" descr="@5C\QPendientes@">
          <a:extLst>
            <a:ext uri="{FF2B5EF4-FFF2-40B4-BE49-F238E27FC236}">
              <a16:creationId xmlns:a16="http://schemas.microsoft.com/office/drawing/2014/main" id="{D20A4F5B-6E64-4A14-8145-0A6EFC3A78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2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4502" name="Picture@5C\QPendientes@" descr="@5C\QPendientes@">
          <a:extLst>
            <a:ext uri="{FF2B5EF4-FFF2-40B4-BE49-F238E27FC236}">
              <a16:creationId xmlns:a16="http://schemas.microsoft.com/office/drawing/2014/main" id="{47BFD24E-40B6-4D1A-9A73-AF1C81D085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4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4503" name="Picture@5C\QPendientes@" descr="@5C\QPendientes@">
          <a:extLst>
            <a:ext uri="{FF2B5EF4-FFF2-40B4-BE49-F238E27FC236}">
              <a16:creationId xmlns:a16="http://schemas.microsoft.com/office/drawing/2014/main" id="{B6240266-2A4E-45F4-9B0F-CC2D14FCE1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5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4504" name="Picture@5C\QPendientes@" descr="@5C\QPendientes@">
          <a:extLst>
            <a:ext uri="{FF2B5EF4-FFF2-40B4-BE49-F238E27FC236}">
              <a16:creationId xmlns:a16="http://schemas.microsoft.com/office/drawing/2014/main" id="{E3804D3D-2112-474C-8BFC-14F12220D0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7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4505" name="Picture@5C\QPendientes@" descr="@5C\QPendientes@">
          <a:extLst>
            <a:ext uri="{FF2B5EF4-FFF2-40B4-BE49-F238E27FC236}">
              <a16:creationId xmlns:a16="http://schemas.microsoft.com/office/drawing/2014/main" id="{69E17E26-5987-4D38-AEE4-82DF52989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9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4506" name="Picture@5C\QPendientes@" descr="@5C\QPendientes@">
          <a:extLst>
            <a:ext uri="{FF2B5EF4-FFF2-40B4-BE49-F238E27FC236}">
              <a16:creationId xmlns:a16="http://schemas.microsoft.com/office/drawing/2014/main" id="{E7A8BEDF-1BC8-4400-A64F-EF28CE00A2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1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4507" name="Picture@5C\QPendientes@" descr="@5C\QPendientes@">
          <a:extLst>
            <a:ext uri="{FF2B5EF4-FFF2-40B4-BE49-F238E27FC236}">
              <a16:creationId xmlns:a16="http://schemas.microsoft.com/office/drawing/2014/main" id="{BB802CC1-A839-406E-AEF9-71A74DCD6E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4508" name="Picture@5C\QPendientes@" descr="@5C\QPendientes@">
          <a:extLst>
            <a:ext uri="{FF2B5EF4-FFF2-40B4-BE49-F238E27FC236}">
              <a16:creationId xmlns:a16="http://schemas.microsoft.com/office/drawing/2014/main" id="{6E4A452C-1AF8-495A-8991-95FCADBC2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5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4509" name="Picture@5C\QPendientes@" descr="@5C\QPendientes@">
          <a:extLst>
            <a:ext uri="{FF2B5EF4-FFF2-40B4-BE49-F238E27FC236}">
              <a16:creationId xmlns:a16="http://schemas.microsoft.com/office/drawing/2014/main" id="{C56286F2-39CB-4540-BA4A-82370146EA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6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4510" name="Picture@5C\QPendientes@" descr="@5C\QPendientes@">
          <a:extLst>
            <a:ext uri="{FF2B5EF4-FFF2-40B4-BE49-F238E27FC236}">
              <a16:creationId xmlns:a16="http://schemas.microsoft.com/office/drawing/2014/main" id="{389926D2-490E-4A55-A449-3A3ADC81D2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8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4511" name="Picture@5C\QPendientes@" descr="@5C\QPendientes@">
          <a:extLst>
            <a:ext uri="{FF2B5EF4-FFF2-40B4-BE49-F238E27FC236}">
              <a16:creationId xmlns:a16="http://schemas.microsoft.com/office/drawing/2014/main" id="{67EA8844-02B7-460C-807B-395B9622AF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0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4512" name="Picture@5C\QPendientes@" descr="@5C\QPendientes@">
          <a:extLst>
            <a:ext uri="{FF2B5EF4-FFF2-40B4-BE49-F238E27FC236}">
              <a16:creationId xmlns:a16="http://schemas.microsoft.com/office/drawing/2014/main" id="{5C64F340-852A-4EBD-9C72-F7386F705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2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4513" name="Picture@5C\QPendientes@" descr="@5C\QPendientes@">
          <a:extLst>
            <a:ext uri="{FF2B5EF4-FFF2-40B4-BE49-F238E27FC236}">
              <a16:creationId xmlns:a16="http://schemas.microsoft.com/office/drawing/2014/main" id="{29B37B21-1389-4EDF-B960-F4F91195A7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4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4514" name="Picture@5C\QPendientes@" descr="@5C\QPendientes@">
          <a:extLst>
            <a:ext uri="{FF2B5EF4-FFF2-40B4-BE49-F238E27FC236}">
              <a16:creationId xmlns:a16="http://schemas.microsoft.com/office/drawing/2014/main" id="{411BC23A-8DA7-4617-BAC1-8067A7C2F3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6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4515" name="Picture@5C\QPendientes@" descr="@5C\QPendientes@">
          <a:extLst>
            <a:ext uri="{FF2B5EF4-FFF2-40B4-BE49-F238E27FC236}">
              <a16:creationId xmlns:a16="http://schemas.microsoft.com/office/drawing/2014/main" id="{8E470AC1-118E-4879-85EA-63B2D71017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7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4516" name="Picture@5C\QPendientes@" descr="@5C\QPendientes@">
          <a:extLst>
            <a:ext uri="{FF2B5EF4-FFF2-40B4-BE49-F238E27FC236}">
              <a16:creationId xmlns:a16="http://schemas.microsoft.com/office/drawing/2014/main" id="{396ADAB9-AC65-4BCA-9D23-7092BAD74B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9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4517" name="Picture@5C\QPendientes@" descr="@5C\QPendientes@">
          <a:extLst>
            <a:ext uri="{FF2B5EF4-FFF2-40B4-BE49-F238E27FC236}">
              <a16:creationId xmlns:a16="http://schemas.microsoft.com/office/drawing/2014/main" id="{2AC5F05B-7726-4723-BA80-C30747BFD0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4518" name="Picture@5C\QPendientes@" descr="@5C\QPendientes@">
          <a:extLst>
            <a:ext uri="{FF2B5EF4-FFF2-40B4-BE49-F238E27FC236}">
              <a16:creationId xmlns:a16="http://schemas.microsoft.com/office/drawing/2014/main" id="{E581BE7B-C638-47CD-B1FB-D61786E407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3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4519" name="Picture@5C\QPendientes@" descr="@5C\QPendientes@">
          <a:extLst>
            <a:ext uri="{FF2B5EF4-FFF2-40B4-BE49-F238E27FC236}">
              <a16:creationId xmlns:a16="http://schemas.microsoft.com/office/drawing/2014/main" id="{A69D36FC-F568-4D0E-98A8-588E935A5F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5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4520" name="Picture@5C\QPendientes@" descr="@5C\QPendientes@">
          <a:extLst>
            <a:ext uri="{FF2B5EF4-FFF2-40B4-BE49-F238E27FC236}">
              <a16:creationId xmlns:a16="http://schemas.microsoft.com/office/drawing/2014/main" id="{9BD6E69E-C3E3-40E8-8B3A-FD8595C953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7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4521" name="Picture@5C\QPendientes@" descr="@5C\QPendientes@">
          <a:extLst>
            <a:ext uri="{FF2B5EF4-FFF2-40B4-BE49-F238E27FC236}">
              <a16:creationId xmlns:a16="http://schemas.microsoft.com/office/drawing/2014/main" id="{3388901C-52A5-448B-B702-2B952F087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8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4522" name="Picture@5C\QPendientes@" descr="@5C\QPendientes@">
          <a:extLst>
            <a:ext uri="{FF2B5EF4-FFF2-40B4-BE49-F238E27FC236}">
              <a16:creationId xmlns:a16="http://schemas.microsoft.com/office/drawing/2014/main" id="{31C3B6D3-0E8E-41A2-B288-619A037CC7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0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4523" name="Picture@5C\QPendientes@" descr="@5C\QPendientes@">
          <a:extLst>
            <a:ext uri="{FF2B5EF4-FFF2-40B4-BE49-F238E27FC236}">
              <a16:creationId xmlns:a16="http://schemas.microsoft.com/office/drawing/2014/main" id="{EEDC380A-9814-465D-A236-662713D910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2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4524" name="Picture@5C\QPendientes@" descr="@5C\QPendientes@">
          <a:extLst>
            <a:ext uri="{FF2B5EF4-FFF2-40B4-BE49-F238E27FC236}">
              <a16:creationId xmlns:a16="http://schemas.microsoft.com/office/drawing/2014/main" id="{DA703E87-C6D4-4B52-842A-5A1C1189C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4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4525" name="Picture@5C\QPendientes@" descr="@5C\QPendientes@">
          <a:extLst>
            <a:ext uri="{FF2B5EF4-FFF2-40B4-BE49-F238E27FC236}">
              <a16:creationId xmlns:a16="http://schemas.microsoft.com/office/drawing/2014/main" id="{C99D950B-6C54-49D2-AD20-DBD2E97B53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6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4526" name="Picture@5C\QPendientes@" descr="@5C\QPendientes@">
          <a:extLst>
            <a:ext uri="{FF2B5EF4-FFF2-40B4-BE49-F238E27FC236}">
              <a16:creationId xmlns:a16="http://schemas.microsoft.com/office/drawing/2014/main" id="{3DD1E689-C24A-49DD-B33C-4B87B5DD8B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7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4527" name="Picture@5C\QPendientes@" descr="@5C\QPendientes@">
          <a:extLst>
            <a:ext uri="{FF2B5EF4-FFF2-40B4-BE49-F238E27FC236}">
              <a16:creationId xmlns:a16="http://schemas.microsoft.com/office/drawing/2014/main" id="{3B92999B-AADD-4698-9F20-9A8ED879CD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4528" name="Picture@5C\QPendientes@" descr="@5C\QPendientes@">
          <a:extLst>
            <a:ext uri="{FF2B5EF4-FFF2-40B4-BE49-F238E27FC236}">
              <a16:creationId xmlns:a16="http://schemas.microsoft.com/office/drawing/2014/main" id="{3C337D89-2E44-4C70-A2D9-7D7F8EAA27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1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4529" name="Picture@5C\QPendientes@" descr="@5C\QPendientes@">
          <a:extLst>
            <a:ext uri="{FF2B5EF4-FFF2-40B4-BE49-F238E27FC236}">
              <a16:creationId xmlns:a16="http://schemas.microsoft.com/office/drawing/2014/main" id="{C1401C2C-F8A6-44E5-8112-D484806C73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3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4530" name="Picture@5C\QPendientes@" descr="@5C\QPendientes@">
          <a:extLst>
            <a:ext uri="{FF2B5EF4-FFF2-40B4-BE49-F238E27FC236}">
              <a16:creationId xmlns:a16="http://schemas.microsoft.com/office/drawing/2014/main" id="{FFFACE59-2A12-4371-89BD-A81940AF0D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5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4531" name="Picture@5C\QPendientes@" descr="@5C\QPendientes@">
          <a:extLst>
            <a:ext uri="{FF2B5EF4-FFF2-40B4-BE49-F238E27FC236}">
              <a16:creationId xmlns:a16="http://schemas.microsoft.com/office/drawing/2014/main" id="{568E4E93-64AB-44DB-BAE0-586D6612C0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7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4532" name="Picture@5C\QPendientes@" descr="@5C\QPendientes@">
          <a:extLst>
            <a:ext uri="{FF2B5EF4-FFF2-40B4-BE49-F238E27FC236}">
              <a16:creationId xmlns:a16="http://schemas.microsoft.com/office/drawing/2014/main" id="{E96D95F0-406A-4768-BAE3-A2FEA80771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8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4533" name="Picture@5C\QPendientes@" descr="@5C\QPendientes@">
          <a:extLst>
            <a:ext uri="{FF2B5EF4-FFF2-40B4-BE49-F238E27FC236}">
              <a16:creationId xmlns:a16="http://schemas.microsoft.com/office/drawing/2014/main" id="{2024DFDB-7836-489D-AA1B-80B4116C71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0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4534" name="Picture@5C\QPendientes@" descr="@5C\QPendientes@">
          <a:extLst>
            <a:ext uri="{FF2B5EF4-FFF2-40B4-BE49-F238E27FC236}">
              <a16:creationId xmlns:a16="http://schemas.microsoft.com/office/drawing/2014/main" id="{D05B6AD5-C074-4EB5-AA93-0726B937B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2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4535" name="Picture@5C\QPendientes@" descr="@5C\QPendientes@">
          <a:extLst>
            <a:ext uri="{FF2B5EF4-FFF2-40B4-BE49-F238E27FC236}">
              <a16:creationId xmlns:a16="http://schemas.microsoft.com/office/drawing/2014/main" id="{58574DCD-5E65-492B-9F0F-6D54A1B851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4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4536" name="Picture@5C\QPendientes@" descr="@5C\QPendientes@">
          <a:extLst>
            <a:ext uri="{FF2B5EF4-FFF2-40B4-BE49-F238E27FC236}">
              <a16:creationId xmlns:a16="http://schemas.microsoft.com/office/drawing/2014/main" id="{F65F8C26-E41B-4D2C-91A5-3301A91489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6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4537" name="Picture@5C\QPendientes@" descr="@5C\QPendientes@">
          <a:extLst>
            <a:ext uri="{FF2B5EF4-FFF2-40B4-BE49-F238E27FC236}">
              <a16:creationId xmlns:a16="http://schemas.microsoft.com/office/drawing/2014/main" id="{2A7BDE84-C5E1-4C39-882C-5BD6BEB6DE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4538" name="Picture@5C\QPendientes@" descr="@5C\QPendientes@">
          <a:extLst>
            <a:ext uri="{FF2B5EF4-FFF2-40B4-BE49-F238E27FC236}">
              <a16:creationId xmlns:a16="http://schemas.microsoft.com/office/drawing/2014/main" id="{ABDCD191-2BD4-45BD-B1E8-B7890F1A04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9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4539" name="Picture@5C\QPendientes@" descr="@5C\QPendientes@">
          <a:extLst>
            <a:ext uri="{FF2B5EF4-FFF2-40B4-BE49-F238E27FC236}">
              <a16:creationId xmlns:a16="http://schemas.microsoft.com/office/drawing/2014/main" id="{EDFD1E8C-4D52-4A4F-8CBE-95CBC48458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1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4540" name="Picture@5C\QPendientes@" descr="@5C\QPendientes@">
          <a:extLst>
            <a:ext uri="{FF2B5EF4-FFF2-40B4-BE49-F238E27FC236}">
              <a16:creationId xmlns:a16="http://schemas.microsoft.com/office/drawing/2014/main" id="{22FA6E6C-BD91-4E99-ADAB-8DF0496277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3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4541" name="Picture@5C\QPendientes@" descr="@5C\QPendientes@">
          <a:extLst>
            <a:ext uri="{FF2B5EF4-FFF2-40B4-BE49-F238E27FC236}">
              <a16:creationId xmlns:a16="http://schemas.microsoft.com/office/drawing/2014/main" id="{12D4FA92-6AD2-41A8-A72F-51D54C7BB4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5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4542" name="Picture@5C\QPendientes@" descr="@5C\QPendientes@">
          <a:extLst>
            <a:ext uri="{FF2B5EF4-FFF2-40B4-BE49-F238E27FC236}">
              <a16:creationId xmlns:a16="http://schemas.microsoft.com/office/drawing/2014/main" id="{B48D22B8-E182-4522-814B-85620E4E5A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7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4543" name="Picture@5C\QPendientes@" descr="@5C\QPendientes@">
          <a:extLst>
            <a:ext uri="{FF2B5EF4-FFF2-40B4-BE49-F238E27FC236}">
              <a16:creationId xmlns:a16="http://schemas.microsoft.com/office/drawing/2014/main" id="{2B4E0C69-D7BE-4382-888E-A0D87E6566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9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4544" name="Picture@5C\QPendientes@" descr="@5C\QPendientes@">
          <a:extLst>
            <a:ext uri="{FF2B5EF4-FFF2-40B4-BE49-F238E27FC236}">
              <a16:creationId xmlns:a16="http://schemas.microsoft.com/office/drawing/2014/main" id="{BC17907C-80C1-4D86-AE09-2111FF09A1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0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4545" name="Picture@5C\QPendientes@" descr="@5C\QPendientes@">
          <a:extLst>
            <a:ext uri="{FF2B5EF4-FFF2-40B4-BE49-F238E27FC236}">
              <a16:creationId xmlns:a16="http://schemas.microsoft.com/office/drawing/2014/main" id="{D75EE1B9-3015-435F-B1C1-608B06ACFE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2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4546" name="Picture@5C\QPendientes@" descr="@5C\QPendientes@">
          <a:extLst>
            <a:ext uri="{FF2B5EF4-FFF2-40B4-BE49-F238E27FC236}">
              <a16:creationId xmlns:a16="http://schemas.microsoft.com/office/drawing/2014/main" id="{826DDECE-F036-4324-852B-B9E0B112BB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4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4547" name="Picture@5C\QPendientes@" descr="@5C\QPendientes@">
          <a:extLst>
            <a:ext uri="{FF2B5EF4-FFF2-40B4-BE49-F238E27FC236}">
              <a16:creationId xmlns:a16="http://schemas.microsoft.com/office/drawing/2014/main" id="{3C19C396-3C5D-4884-8BCB-A62614B0A2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4548" name="Picture@5C\QPendientes@" descr="@5C\QPendientes@">
          <a:extLst>
            <a:ext uri="{FF2B5EF4-FFF2-40B4-BE49-F238E27FC236}">
              <a16:creationId xmlns:a16="http://schemas.microsoft.com/office/drawing/2014/main" id="{DF7BF203-477A-4C9E-A4FD-71D6B49FC8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8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4549" name="Picture@5C\QPendientes@" descr="@5C\QPendientes@">
          <a:extLst>
            <a:ext uri="{FF2B5EF4-FFF2-40B4-BE49-F238E27FC236}">
              <a16:creationId xmlns:a16="http://schemas.microsoft.com/office/drawing/2014/main" id="{9DE91012-8DC7-49ED-A3C2-D6D93E926E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0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4550" name="Picture@5C\QPendientes@" descr="@5C\QPendientes@">
          <a:extLst>
            <a:ext uri="{FF2B5EF4-FFF2-40B4-BE49-F238E27FC236}">
              <a16:creationId xmlns:a16="http://schemas.microsoft.com/office/drawing/2014/main" id="{EB6E19C8-6608-4910-A7EB-C2B9708E63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1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4551" name="Picture@5C\QPendientes@" descr="@5C\QPendientes@">
          <a:extLst>
            <a:ext uri="{FF2B5EF4-FFF2-40B4-BE49-F238E27FC236}">
              <a16:creationId xmlns:a16="http://schemas.microsoft.com/office/drawing/2014/main" id="{1F039152-DAA5-4E5F-8002-87BD562186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3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4552" name="Picture@5C\QPendientes@" descr="@5C\QPendientes@">
          <a:extLst>
            <a:ext uri="{FF2B5EF4-FFF2-40B4-BE49-F238E27FC236}">
              <a16:creationId xmlns:a16="http://schemas.microsoft.com/office/drawing/2014/main" id="{B5B37786-3818-45ED-AFF9-AD8B490DB9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5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4553" name="Picture@5C\QPendientes@" descr="@5C\QPendientes@">
          <a:extLst>
            <a:ext uri="{FF2B5EF4-FFF2-40B4-BE49-F238E27FC236}">
              <a16:creationId xmlns:a16="http://schemas.microsoft.com/office/drawing/2014/main" id="{9C04D500-78F4-4954-AF4E-328431F434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7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4554" name="Picture@5C\QPendientes@" descr="@5C\QPendientes@">
          <a:extLst>
            <a:ext uri="{FF2B5EF4-FFF2-40B4-BE49-F238E27FC236}">
              <a16:creationId xmlns:a16="http://schemas.microsoft.com/office/drawing/2014/main" id="{FEE61612-78F6-4E40-B4BE-BF9270CB91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9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4555" name="Picture@5C\QPendientes@" descr="@5C\QPendientes@">
          <a:extLst>
            <a:ext uri="{FF2B5EF4-FFF2-40B4-BE49-F238E27FC236}">
              <a16:creationId xmlns:a16="http://schemas.microsoft.com/office/drawing/2014/main" id="{770C3882-19B0-4540-819A-4AE84CFD9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1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4556" name="Picture@5C\QPendientes@" descr="@5C\QPendientes@">
          <a:extLst>
            <a:ext uri="{FF2B5EF4-FFF2-40B4-BE49-F238E27FC236}">
              <a16:creationId xmlns:a16="http://schemas.microsoft.com/office/drawing/2014/main" id="{97FE1F30-85D2-487F-9D1C-EB5BFF8873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2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4557" name="Picture@5C\QPendientes@" descr="@5C\QPendientes@">
          <a:extLst>
            <a:ext uri="{FF2B5EF4-FFF2-40B4-BE49-F238E27FC236}">
              <a16:creationId xmlns:a16="http://schemas.microsoft.com/office/drawing/2014/main" id="{82BA8EBB-1CB6-4046-8589-B4B58A8631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4558" name="Picture@5C\QPendientes@" descr="@5C\QPendientes@">
          <a:extLst>
            <a:ext uri="{FF2B5EF4-FFF2-40B4-BE49-F238E27FC236}">
              <a16:creationId xmlns:a16="http://schemas.microsoft.com/office/drawing/2014/main" id="{BE54AD69-AE3A-4759-B2D4-BA883A47D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6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4559" name="Picture@5C\QPendientes@" descr="@5C\QPendientes@">
          <a:extLst>
            <a:ext uri="{FF2B5EF4-FFF2-40B4-BE49-F238E27FC236}">
              <a16:creationId xmlns:a16="http://schemas.microsoft.com/office/drawing/2014/main" id="{9762237C-58A6-493A-9038-001932B2F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8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4560" name="Picture@5C\QPendientes@" descr="@5C\QPendientes@">
          <a:extLst>
            <a:ext uri="{FF2B5EF4-FFF2-40B4-BE49-F238E27FC236}">
              <a16:creationId xmlns:a16="http://schemas.microsoft.com/office/drawing/2014/main" id="{9D12674D-9247-47B9-B912-B62F4AF7FC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0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4561" name="Picture@5C\QPendientes@" descr="@5C\QPendientes@">
          <a:extLst>
            <a:ext uri="{FF2B5EF4-FFF2-40B4-BE49-F238E27FC236}">
              <a16:creationId xmlns:a16="http://schemas.microsoft.com/office/drawing/2014/main" id="{89292658-5E2A-4FF0-B576-B534A927BB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1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4562" name="Picture@5C\QPendientes@" descr="@5C\QPendientes@">
          <a:extLst>
            <a:ext uri="{FF2B5EF4-FFF2-40B4-BE49-F238E27FC236}">
              <a16:creationId xmlns:a16="http://schemas.microsoft.com/office/drawing/2014/main" id="{FDFED518-2D52-4EF9-9F67-D269A48678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3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4563" name="Picture@5C\QPendientes@" descr="@5C\QPendientes@">
          <a:extLst>
            <a:ext uri="{FF2B5EF4-FFF2-40B4-BE49-F238E27FC236}">
              <a16:creationId xmlns:a16="http://schemas.microsoft.com/office/drawing/2014/main" id="{51895CF3-69D8-4C31-9B90-9DED98FF1A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5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4564" name="Picture@5C\QPendientes@" descr="@5C\QPendientes@">
          <a:extLst>
            <a:ext uri="{FF2B5EF4-FFF2-40B4-BE49-F238E27FC236}">
              <a16:creationId xmlns:a16="http://schemas.microsoft.com/office/drawing/2014/main" id="{0A832579-486C-4318-BEC8-E454E2BF14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7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4565" name="Picture@5C\QPendientes@" descr="@5C\QPendientes@">
          <a:extLst>
            <a:ext uri="{FF2B5EF4-FFF2-40B4-BE49-F238E27FC236}">
              <a16:creationId xmlns:a16="http://schemas.microsoft.com/office/drawing/2014/main" id="{455348E9-F574-46DC-902E-CCFE1244F7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9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4566" name="Picture@5C\QPendientes@" descr="@5C\QPendientes@">
          <a:extLst>
            <a:ext uri="{FF2B5EF4-FFF2-40B4-BE49-F238E27FC236}">
              <a16:creationId xmlns:a16="http://schemas.microsoft.com/office/drawing/2014/main" id="{B5F03F02-0ED4-49A4-AFE7-AD5D43FD61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1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4567" name="Picture@5C\QPendientes@" descr="@5C\QPendientes@">
          <a:extLst>
            <a:ext uri="{FF2B5EF4-FFF2-40B4-BE49-F238E27FC236}">
              <a16:creationId xmlns:a16="http://schemas.microsoft.com/office/drawing/2014/main" id="{8B463E0B-A1EB-48B5-B598-08D57B959B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4568" name="Picture@5C\QPendientes@" descr="@5C\QPendientes@">
          <a:extLst>
            <a:ext uri="{FF2B5EF4-FFF2-40B4-BE49-F238E27FC236}">
              <a16:creationId xmlns:a16="http://schemas.microsoft.com/office/drawing/2014/main" id="{3E46C0CA-4853-49C8-9720-CFCAB2DA50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4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4569" name="Picture@5C\QPendientes@" descr="@5C\QPendientes@">
          <a:extLst>
            <a:ext uri="{FF2B5EF4-FFF2-40B4-BE49-F238E27FC236}">
              <a16:creationId xmlns:a16="http://schemas.microsoft.com/office/drawing/2014/main" id="{0041414C-ABD9-4D95-B3C0-AAE1D21B01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6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4570" name="Picture@5C\QPendientes@" descr="@5C\QPendientes@">
          <a:extLst>
            <a:ext uri="{FF2B5EF4-FFF2-40B4-BE49-F238E27FC236}">
              <a16:creationId xmlns:a16="http://schemas.microsoft.com/office/drawing/2014/main" id="{7FCD2B5D-60DF-48C2-B76E-AE59C7A681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8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4571" name="Picture@5C\QPendientes@" descr="@5C\QPendientes@">
          <a:extLst>
            <a:ext uri="{FF2B5EF4-FFF2-40B4-BE49-F238E27FC236}">
              <a16:creationId xmlns:a16="http://schemas.microsoft.com/office/drawing/2014/main" id="{A92432B0-F2E8-4560-80DC-39FC7BE3E2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0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4572" name="Picture@5C\QPendientes@" descr="@5C\QPendientes@">
          <a:extLst>
            <a:ext uri="{FF2B5EF4-FFF2-40B4-BE49-F238E27FC236}">
              <a16:creationId xmlns:a16="http://schemas.microsoft.com/office/drawing/2014/main" id="{71A89290-6BB0-4634-8817-C290E47929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2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4573" name="Picture@5C\QPendientes@" descr="@5C\QPendientes@">
          <a:extLst>
            <a:ext uri="{FF2B5EF4-FFF2-40B4-BE49-F238E27FC236}">
              <a16:creationId xmlns:a16="http://schemas.microsoft.com/office/drawing/2014/main" id="{9808E6D8-308E-47C3-BE4E-9868C779CC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3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4574" name="Picture@5C\QPendientes@" descr="@5C\QPendientes@">
          <a:extLst>
            <a:ext uri="{FF2B5EF4-FFF2-40B4-BE49-F238E27FC236}">
              <a16:creationId xmlns:a16="http://schemas.microsoft.com/office/drawing/2014/main" id="{0D6C0DFF-795E-42BA-94A6-9510C1958B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5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4575" name="Picture@5C\QPendientes@" descr="@5C\QPendientes@">
          <a:extLst>
            <a:ext uri="{FF2B5EF4-FFF2-40B4-BE49-F238E27FC236}">
              <a16:creationId xmlns:a16="http://schemas.microsoft.com/office/drawing/2014/main" id="{C0C7C108-6429-4AFB-9565-1E77434CA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7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4576" name="Picture@5C\QPendientes@" descr="@5C\QPendientes@">
          <a:extLst>
            <a:ext uri="{FF2B5EF4-FFF2-40B4-BE49-F238E27FC236}">
              <a16:creationId xmlns:a16="http://schemas.microsoft.com/office/drawing/2014/main" id="{A4EF593B-C3EA-4EDC-87E0-82D0C065B3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9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4577" name="Picture@5C\QPendientes@" descr="@5C\QPendientes@">
          <a:extLst>
            <a:ext uri="{FF2B5EF4-FFF2-40B4-BE49-F238E27FC236}">
              <a16:creationId xmlns:a16="http://schemas.microsoft.com/office/drawing/2014/main" id="{657C355C-C1C2-4682-AD7E-695C460C2A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4578" name="Picture@5C\QPendientes@" descr="@5C\QPendientes@">
          <a:extLst>
            <a:ext uri="{FF2B5EF4-FFF2-40B4-BE49-F238E27FC236}">
              <a16:creationId xmlns:a16="http://schemas.microsoft.com/office/drawing/2014/main" id="{CE68A019-60A1-477C-A80F-2AFE1F4323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3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4579" name="Picture@5C\QPendientes@" descr="@5C\QPendientes@">
          <a:extLst>
            <a:ext uri="{FF2B5EF4-FFF2-40B4-BE49-F238E27FC236}">
              <a16:creationId xmlns:a16="http://schemas.microsoft.com/office/drawing/2014/main" id="{D5D646DA-C925-43A8-88B7-2B50CDF8C7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4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4580" name="Picture@5C\QPendientes@" descr="@5C\QPendientes@">
          <a:extLst>
            <a:ext uri="{FF2B5EF4-FFF2-40B4-BE49-F238E27FC236}">
              <a16:creationId xmlns:a16="http://schemas.microsoft.com/office/drawing/2014/main" id="{E4463A6A-F7E2-4AA8-A754-4E2563B5E1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6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4581" name="Picture@5C\QPendientes@" descr="@5C\QPendientes@">
          <a:extLst>
            <a:ext uri="{FF2B5EF4-FFF2-40B4-BE49-F238E27FC236}">
              <a16:creationId xmlns:a16="http://schemas.microsoft.com/office/drawing/2014/main" id="{C3A27EA0-F135-4777-85E5-DF385A0592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8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4582" name="Picture@5C\QPendientes@" descr="@5C\QPendientes@">
          <a:extLst>
            <a:ext uri="{FF2B5EF4-FFF2-40B4-BE49-F238E27FC236}">
              <a16:creationId xmlns:a16="http://schemas.microsoft.com/office/drawing/2014/main" id="{E52FB71B-0F3A-42AD-B39A-B6801AB500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0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4583" name="Picture@5C\QPendientes@" descr="@5C\QPendientes@">
          <a:extLst>
            <a:ext uri="{FF2B5EF4-FFF2-40B4-BE49-F238E27FC236}">
              <a16:creationId xmlns:a16="http://schemas.microsoft.com/office/drawing/2014/main" id="{55F19C4B-D30B-40B3-90CC-BFA28F36CB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2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4584" name="Picture@5C\QPendientes@" descr="@5C\QPendientes@">
          <a:extLst>
            <a:ext uri="{FF2B5EF4-FFF2-40B4-BE49-F238E27FC236}">
              <a16:creationId xmlns:a16="http://schemas.microsoft.com/office/drawing/2014/main" id="{1FA2B490-D452-4F14-A44C-DA960BB761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4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4585" name="Picture@5C\QPendientes@" descr="@5C\QPendientes@">
          <a:extLst>
            <a:ext uri="{FF2B5EF4-FFF2-40B4-BE49-F238E27FC236}">
              <a16:creationId xmlns:a16="http://schemas.microsoft.com/office/drawing/2014/main" id="{9C8F898A-D067-49BE-B3F8-A91034C7E2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5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4586" name="Picture@5C\QPendientes@" descr="@5C\QPendientes@">
          <a:extLst>
            <a:ext uri="{FF2B5EF4-FFF2-40B4-BE49-F238E27FC236}">
              <a16:creationId xmlns:a16="http://schemas.microsoft.com/office/drawing/2014/main" id="{A868675D-2CC2-4A90-A27B-A1F9161AB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7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4587" name="Picture@5C\QPendientes@" descr="@5C\QPendientes@">
          <a:extLst>
            <a:ext uri="{FF2B5EF4-FFF2-40B4-BE49-F238E27FC236}">
              <a16:creationId xmlns:a16="http://schemas.microsoft.com/office/drawing/2014/main" id="{A274683A-7DB3-4452-8F2B-8C002462A6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4588" name="Picture@5C\QPendientes@" descr="@5C\QPendientes@">
          <a:extLst>
            <a:ext uri="{FF2B5EF4-FFF2-40B4-BE49-F238E27FC236}">
              <a16:creationId xmlns:a16="http://schemas.microsoft.com/office/drawing/2014/main" id="{B452AE82-28A0-4C48-8FEB-A4DA744736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1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4589" name="Picture@5C\QPendientes@" descr="@5C\QPendientes@">
          <a:extLst>
            <a:ext uri="{FF2B5EF4-FFF2-40B4-BE49-F238E27FC236}">
              <a16:creationId xmlns:a16="http://schemas.microsoft.com/office/drawing/2014/main" id="{441D8520-43A7-4798-AF3F-70A9BEA015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3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4590" name="Picture@5C\QPendientes@" descr="@5C\QPendientes@">
          <a:extLst>
            <a:ext uri="{FF2B5EF4-FFF2-40B4-BE49-F238E27FC236}">
              <a16:creationId xmlns:a16="http://schemas.microsoft.com/office/drawing/2014/main" id="{1FFC8E92-A56A-442C-8BA4-09616668F2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5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4591" name="Picture@5C\QPendientes@" descr="@5C\QPendientes@">
          <a:extLst>
            <a:ext uri="{FF2B5EF4-FFF2-40B4-BE49-F238E27FC236}">
              <a16:creationId xmlns:a16="http://schemas.microsoft.com/office/drawing/2014/main" id="{AFCA1614-67EC-40E4-A6C7-A629EC3A32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6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4592" name="Picture@5C\QPendientes@" descr="@5C\QPendientes@">
          <a:extLst>
            <a:ext uri="{FF2B5EF4-FFF2-40B4-BE49-F238E27FC236}">
              <a16:creationId xmlns:a16="http://schemas.microsoft.com/office/drawing/2014/main" id="{123B6A7C-07B0-42E5-95C1-496EEAFC80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8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4593" name="Picture@5C\QPendientes@" descr="@5C\QPendientes@">
          <a:extLst>
            <a:ext uri="{FF2B5EF4-FFF2-40B4-BE49-F238E27FC236}">
              <a16:creationId xmlns:a16="http://schemas.microsoft.com/office/drawing/2014/main" id="{B9E42303-C391-4799-8623-26EE8A8B4D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0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4594" name="Picture@5C\QPendientes@" descr="@5C\QPendientes@">
          <a:extLst>
            <a:ext uri="{FF2B5EF4-FFF2-40B4-BE49-F238E27FC236}">
              <a16:creationId xmlns:a16="http://schemas.microsoft.com/office/drawing/2014/main" id="{0BDEF246-1902-42B4-9D72-C20AE3C68D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2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4595" name="Picture@5C\QPendientes@" descr="@5C\QPendientes@">
          <a:extLst>
            <a:ext uri="{FF2B5EF4-FFF2-40B4-BE49-F238E27FC236}">
              <a16:creationId xmlns:a16="http://schemas.microsoft.com/office/drawing/2014/main" id="{F9B00373-15BD-4EBC-BDD9-3B00F197F8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4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4596" name="Picture@5C\QPendientes@" descr="@5C\QPendientes@">
          <a:extLst>
            <a:ext uri="{FF2B5EF4-FFF2-40B4-BE49-F238E27FC236}">
              <a16:creationId xmlns:a16="http://schemas.microsoft.com/office/drawing/2014/main" id="{E6553F88-DA44-44B1-8321-6ACD9D519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5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4597" name="Picture@5C\QPendientes@" descr="@5C\QPendientes@">
          <a:extLst>
            <a:ext uri="{FF2B5EF4-FFF2-40B4-BE49-F238E27FC236}">
              <a16:creationId xmlns:a16="http://schemas.microsoft.com/office/drawing/2014/main" id="{021BED47-FAFE-4684-9074-BB22B593C1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4598" name="Picture@5C\QPendientes@" descr="@5C\QPendientes@">
          <a:extLst>
            <a:ext uri="{FF2B5EF4-FFF2-40B4-BE49-F238E27FC236}">
              <a16:creationId xmlns:a16="http://schemas.microsoft.com/office/drawing/2014/main" id="{A930C7B8-8774-4407-8AB2-556C5BC766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9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4599" name="Picture@5C\QPendientes@" descr="@5C\QPendientes@">
          <a:extLst>
            <a:ext uri="{FF2B5EF4-FFF2-40B4-BE49-F238E27FC236}">
              <a16:creationId xmlns:a16="http://schemas.microsoft.com/office/drawing/2014/main" id="{982495F7-D767-45D8-B515-74F82D5C7B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1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4600" name="Picture@5C\QPendientes@" descr="@5C\QPendientes@">
          <a:extLst>
            <a:ext uri="{FF2B5EF4-FFF2-40B4-BE49-F238E27FC236}">
              <a16:creationId xmlns:a16="http://schemas.microsoft.com/office/drawing/2014/main" id="{99812880-F619-40CB-B1AF-3E5BD4EA96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3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4601" name="Picture@5C\QPendientes@" descr="@5C\QPendientes@">
          <a:extLst>
            <a:ext uri="{FF2B5EF4-FFF2-40B4-BE49-F238E27FC236}">
              <a16:creationId xmlns:a16="http://schemas.microsoft.com/office/drawing/2014/main" id="{B2D6F24E-E3D5-4A1E-9573-6260099EC4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5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4602" name="Picture@5C\QPendientes@" descr="@5C\QPendientes@">
          <a:extLst>
            <a:ext uri="{FF2B5EF4-FFF2-40B4-BE49-F238E27FC236}">
              <a16:creationId xmlns:a16="http://schemas.microsoft.com/office/drawing/2014/main" id="{355E0A0B-B72B-4C7D-BBC0-473DAA790B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6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4603" name="Picture@5C\QPendientes@" descr="@5C\QPendientes@">
          <a:extLst>
            <a:ext uri="{FF2B5EF4-FFF2-40B4-BE49-F238E27FC236}">
              <a16:creationId xmlns:a16="http://schemas.microsoft.com/office/drawing/2014/main" id="{A94CFF2D-466E-4059-A3B3-CBA18CEF4F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8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4604" name="Picture@5C\QPendientes@" descr="@5C\QPendientes@">
          <a:extLst>
            <a:ext uri="{FF2B5EF4-FFF2-40B4-BE49-F238E27FC236}">
              <a16:creationId xmlns:a16="http://schemas.microsoft.com/office/drawing/2014/main" id="{7C640F48-D3B6-4826-9063-3811A8B426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0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4605" name="Picture@5C\QPendientes@" descr="@5C\QPendientes@">
          <a:extLst>
            <a:ext uri="{FF2B5EF4-FFF2-40B4-BE49-F238E27FC236}">
              <a16:creationId xmlns:a16="http://schemas.microsoft.com/office/drawing/2014/main" id="{C2082D02-BF8A-4465-B25B-1D9DCD9BA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2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4606" name="Picture@5C\QPendientes@" descr="@5C\QPendientes@">
          <a:extLst>
            <a:ext uri="{FF2B5EF4-FFF2-40B4-BE49-F238E27FC236}">
              <a16:creationId xmlns:a16="http://schemas.microsoft.com/office/drawing/2014/main" id="{D4EC1105-B4B6-4145-80BD-97215543B7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4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4607" name="Picture@5C\QPendientes@" descr="@5C\QPendientes@">
          <a:extLst>
            <a:ext uri="{FF2B5EF4-FFF2-40B4-BE49-F238E27FC236}">
              <a16:creationId xmlns:a16="http://schemas.microsoft.com/office/drawing/2014/main" id="{9898D74F-5A60-41B7-BADC-F390A6CEB0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4608" name="Picture@5C\QPendientes@" descr="@5C\QPendientes@">
          <a:extLst>
            <a:ext uri="{FF2B5EF4-FFF2-40B4-BE49-F238E27FC236}">
              <a16:creationId xmlns:a16="http://schemas.microsoft.com/office/drawing/2014/main" id="{440C43AD-D0F1-45B0-9041-ADCA617B79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7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4609" name="Picture@5C\QPendientes@" descr="@5C\QPendientes@">
          <a:extLst>
            <a:ext uri="{FF2B5EF4-FFF2-40B4-BE49-F238E27FC236}">
              <a16:creationId xmlns:a16="http://schemas.microsoft.com/office/drawing/2014/main" id="{3A772E40-4C7D-4270-848A-226E4DB000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9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4610" name="Picture@5C\QPendientes@" descr="@5C\QPendientes@">
          <a:extLst>
            <a:ext uri="{FF2B5EF4-FFF2-40B4-BE49-F238E27FC236}">
              <a16:creationId xmlns:a16="http://schemas.microsoft.com/office/drawing/2014/main" id="{B3635B6D-1C4F-438D-97E0-36E44F8D6A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1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4611" name="Picture@5C\QPendientes@" descr="@5C\QPendientes@">
          <a:extLst>
            <a:ext uri="{FF2B5EF4-FFF2-40B4-BE49-F238E27FC236}">
              <a16:creationId xmlns:a16="http://schemas.microsoft.com/office/drawing/2014/main" id="{C5B2759B-0CD2-4989-AB7C-E9B101A785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3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4612" name="Picture@5C\QPendientes@" descr="@5C\QPendientes@">
          <a:extLst>
            <a:ext uri="{FF2B5EF4-FFF2-40B4-BE49-F238E27FC236}">
              <a16:creationId xmlns:a16="http://schemas.microsoft.com/office/drawing/2014/main" id="{6BFF4FD5-88F5-4CAB-8F3F-8C480F2438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5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4613" name="Picture@5C\QPendientes@" descr="@5C\QPendientes@">
          <a:extLst>
            <a:ext uri="{FF2B5EF4-FFF2-40B4-BE49-F238E27FC236}">
              <a16:creationId xmlns:a16="http://schemas.microsoft.com/office/drawing/2014/main" id="{4A3072BF-91C5-47CD-9C2A-0E382B692C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7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4614" name="Picture@5C\QPendientes@" descr="@5C\QPendientes@">
          <a:extLst>
            <a:ext uri="{FF2B5EF4-FFF2-40B4-BE49-F238E27FC236}">
              <a16:creationId xmlns:a16="http://schemas.microsoft.com/office/drawing/2014/main" id="{4F1AC521-661B-4127-ADEB-A30F0DD084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8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4615" name="Picture@5C\QPendientes@" descr="@5C\QPendientes@">
          <a:extLst>
            <a:ext uri="{FF2B5EF4-FFF2-40B4-BE49-F238E27FC236}">
              <a16:creationId xmlns:a16="http://schemas.microsoft.com/office/drawing/2014/main" id="{781D9063-40DD-41E9-8C96-5F1FB5BAE3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0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4616" name="Picture@5C\QPendientes@" descr="@5C\QPendientes@">
          <a:extLst>
            <a:ext uri="{FF2B5EF4-FFF2-40B4-BE49-F238E27FC236}">
              <a16:creationId xmlns:a16="http://schemas.microsoft.com/office/drawing/2014/main" id="{30FD2627-3ED0-4080-9B51-8759E26330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2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4617" name="Picture@5C\QPendientes@" descr="@5C\QPendientes@">
          <a:extLst>
            <a:ext uri="{FF2B5EF4-FFF2-40B4-BE49-F238E27FC236}">
              <a16:creationId xmlns:a16="http://schemas.microsoft.com/office/drawing/2014/main" id="{9080633B-A185-4986-928C-4F0B29DA38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4618" name="Picture@5C\QPendientes@" descr="@5C\QPendientes@">
          <a:extLst>
            <a:ext uri="{FF2B5EF4-FFF2-40B4-BE49-F238E27FC236}">
              <a16:creationId xmlns:a16="http://schemas.microsoft.com/office/drawing/2014/main" id="{EB7A91DD-ECD8-467C-AC8C-830F749513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6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4619" name="Picture@5C\QPendientes@" descr="@5C\QPendientes@">
          <a:extLst>
            <a:ext uri="{FF2B5EF4-FFF2-40B4-BE49-F238E27FC236}">
              <a16:creationId xmlns:a16="http://schemas.microsoft.com/office/drawing/2014/main" id="{037A535F-EFAE-479D-A095-A53A937399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8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4620" name="Picture@5C\QPendientes@" descr="@5C\QPendientes@">
          <a:extLst>
            <a:ext uri="{FF2B5EF4-FFF2-40B4-BE49-F238E27FC236}">
              <a16:creationId xmlns:a16="http://schemas.microsoft.com/office/drawing/2014/main" id="{F6695909-5924-4DDF-B1A2-9C836594F3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9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4621" name="Picture@5C\QPendientes@" descr="@5C\QPendientes@">
          <a:extLst>
            <a:ext uri="{FF2B5EF4-FFF2-40B4-BE49-F238E27FC236}">
              <a16:creationId xmlns:a16="http://schemas.microsoft.com/office/drawing/2014/main" id="{F29CC1CA-B185-41E7-859F-F0E4716F3F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1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4622" name="Picture@5C\QPendientes@" descr="@5C\QPendientes@">
          <a:extLst>
            <a:ext uri="{FF2B5EF4-FFF2-40B4-BE49-F238E27FC236}">
              <a16:creationId xmlns:a16="http://schemas.microsoft.com/office/drawing/2014/main" id="{DEF32D1D-B175-4EE4-9D54-1A5F0D594B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3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4623" name="Picture@5C\QPendientes@" descr="@5C\QPendientes@">
          <a:extLst>
            <a:ext uri="{FF2B5EF4-FFF2-40B4-BE49-F238E27FC236}">
              <a16:creationId xmlns:a16="http://schemas.microsoft.com/office/drawing/2014/main" id="{C692758F-4D8D-464F-B1BB-AC3993E697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5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4624" name="Picture@5C\QPendientes@" descr="@5C\QPendientes@">
          <a:extLst>
            <a:ext uri="{FF2B5EF4-FFF2-40B4-BE49-F238E27FC236}">
              <a16:creationId xmlns:a16="http://schemas.microsoft.com/office/drawing/2014/main" id="{AE091A30-28DF-42C0-94FF-1CAE537E9D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7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4625" name="Picture@5C\QPendientes@" descr="@5C\QPendientes@">
          <a:extLst>
            <a:ext uri="{FF2B5EF4-FFF2-40B4-BE49-F238E27FC236}">
              <a16:creationId xmlns:a16="http://schemas.microsoft.com/office/drawing/2014/main" id="{BFA1A754-41D7-481E-AB26-83933E23A0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9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4626" name="Picture@5C\QPendientes@" descr="@5C\QPendientes@">
          <a:extLst>
            <a:ext uri="{FF2B5EF4-FFF2-40B4-BE49-F238E27FC236}">
              <a16:creationId xmlns:a16="http://schemas.microsoft.com/office/drawing/2014/main" id="{ED68DAF8-DEF9-4686-A334-1D1CA1AC5C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0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4627" name="Picture@5C\QPendientes@" descr="@5C\QPendientes@">
          <a:extLst>
            <a:ext uri="{FF2B5EF4-FFF2-40B4-BE49-F238E27FC236}">
              <a16:creationId xmlns:a16="http://schemas.microsoft.com/office/drawing/2014/main" id="{D2807B0C-B7BC-4550-9155-68111565FB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4628" name="Picture@5C\QPendientes@" descr="@5C\QPendientes@">
          <a:extLst>
            <a:ext uri="{FF2B5EF4-FFF2-40B4-BE49-F238E27FC236}">
              <a16:creationId xmlns:a16="http://schemas.microsoft.com/office/drawing/2014/main" id="{9BF632BD-76E7-4D4E-8001-D70A2C1E4F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4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4629" name="Picture@5C\QPendientes@" descr="@5C\QPendientes@">
          <a:extLst>
            <a:ext uri="{FF2B5EF4-FFF2-40B4-BE49-F238E27FC236}">
              <a16:creationId xmlns:a16="http://schemas.microsoft.com/office/drawing/2014/main" id="{8D79AB6C-A8ED-4A1C-8398-FA917B5DD3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6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4630" name="Picture@5C\QPendientes@" descr="@5C\QPendientes@">
          <a:extLst>
            <a:ext uri="{FF2B5EF4-FFF2-40B4-BE49-F238E27FC236}">
              <a16:creationId xmlns:a16="http://schemas.microsoft.com/office/drawing/2014/main" id="{12B9C48F-FC05-4B52-B7EB-81BC6BF73C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8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4631" name="Picture@5C\QPendientes@" descr="@5C\QPendientes@">
          <a:extLst>
            <a:ext uri="{FF2B5EF4-FFF2-40B4-BE49-F238E27FC236}">
              <a16:creationId xmlns:a16="http://schemas.microsoft.com/office/drawing/2014/main" id="{98BF2084-EA63-4D3E-AA4C-D665BD6A02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0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4632" name="Picture@5C\QPendientes@" descr="@5C\QPendientes@">
          <a:extLst>
            <a:ext uri="{FF2B5EF4-FFF2-40B4-BE49-F238E27FC236}">
              <a16:creationId xmlns:a16="http://schemas.microsoft.com/office/drawing/2014/main" id="{BE2E57AC-D450-40B2-A2F8-C6B6FC32AA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1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4633" name="Picture@5C\QPendientes@" descr="@5C\QPendientes@">
          <a:extLst>
            <a:ext uri="{FF2B5EF4-FFF2-40B4-BE49-F238E27FC236}">
              <a16:creationId xmlns:a16="http://schemas.microsoft.com/office/drawing/2014/main" id="{B032DB24-AE2A-498B-A8CF-F90507A23E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3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4634" name="Picture@5C\QPendientes@" descr="@5C\QPendientes@">
          <a:extLst>
            <a:ext uri="{FF2B5EF4-FFF2-40B4-BE49-F238E27FC236}">
              <a16:creationId xmlns:a16="http://schemas.microsoft.com/office/drawing/2014/main" id="{3B5B5102-60C8-4F36-890B-6100A99BB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5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4635" name="Picture@5C\QPendientes@" descr="@5C\QPendientes@">
          <a:extLst>
            <a:ext uri="{FF2B5EF4-FFF2-40B4-BE49-F238E27FC236}">
              <a16:creationId xmlns:a16="http://schemas.microsoft.com/office/drawing/2014/main" id="{3DA1085A-781F-4235-A0A0-14E51DA69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7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4636" name="Picture@5C\QPendientes@" descr="@5C\QPendientes@">
          <a:extLst>
            <a:ext uri="{FF2B5EF4-FFF2-40B4-BE49-F238E27FC236}">
              <a16:creationId xmlns:a16="http://schemas.microsoft.com/office/drawing/2014/main" id="{7870DE7B-BCF4-4882-8A41-6378212F4E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9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4637" name="Picture@5C\QPendientes@" descr="@5C\QPendientes@">
          <a:extLst>
            <a:ext uri="{FF2B5EF4-FFF2-40B4-BE49-F238E27FC236}">
              <a16:creationId xmlns:a16="http://schemas.microsoft.com/office/drawing/2014/main" id="{3286B663-D720-45EB-BD37-76FA5F27F2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4638" name="Picture@5C\QPendientes@" descr="@5C\QPendientes@">
          <a:extLst>
            <a:ext uri="{FF2B5EF4-FFF2-40B4-BE49-F238E27FC236}">
              <a16:creationId xmlns:a16="http://schemas.microsoft.com/office/drawing/2014/main" id="{62B2EB8A-7902-48AE-8B97-066B48E3D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2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4639" name="Picture@5C\QPendientes@" descr="@5C\QPendientes@">
          <a:extLst>
            <a:ext uri="{FF2B5EF4-FFF2-40B4-BE49-F238E27FC236}">
              <a16:creationId xmlns:a16="http://schemas.microsoft.com/office/drawing/2014/main" id="{675B98A2-65AE-498E-A682-3A46FEA67C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4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4640" name="Picture@5C\QPendientes@" descr="@5C\QPendientes@">
          <a:extLst>
            <a:ext uri="{FF2B5EF4-FFF2-40B4-BE49-F238E27FC236}">
              <a16:creationId xmlns:a16="http://schemas.microsoft.com/office/drawing/2014/main" id="{92414AD2-FA64-444D-BED2-A7F82C74DF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6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4641" name="Picture@5C\QPendientes@" descr="@5C\QPendientes@">
          <a:extLst>
            <a:ext uri="{FF2B5EF4-FFF2-40B4-BE49-F238E27FC236}">
              <a16:creationId xmlns:a16="http://schemas.microsoft.com/office/drawing/2014/main" id="{C1E0DB9A-EB29-4D0B-AEAA-F6554402AF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8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4642" name="Picture@5C\QPendientes@" descr="@5C\QPendientes@">
          <a:extLst>
            <a:ext uri="{FF2B5EF4-FFF2-40B4-BE49-F238E27FC236}">
              <a16:creationId xmlns:a16="http://schemas.microsoft.com/office/drawing/2014/main" id="{AAA5B0A6-366B-472B-A795-B0CE4E40C5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0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4643" name="Picture@5C\QPendientes@" descr="@5C\QPendientes@">
          <a:extLst>
            <a:ext uri="{FF2B5EF4-FFF2-40B4-BE49-F238E27FC236}">
              <a16:creationId xmlns:a16="http://schemas.microsoft.com/office/drawing/2014/main" id="{035DB961-7CB6-4544-A923-7C547839C7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1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4644" name="Picture@5C\QPendientes@" descr="@5C\QPendientes@">
          <a:extLst>
            <a:ext uri="{FF2B5EF4-FFF2-40B4-BE49-F238E27FC236}">
              <a16:creationId xmlns:a16="http://schemas.microsoft.com/office/drawing/2014/main" id="{41C251E1-F8E5-4167-A5FA-A6CF7FEE33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3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4645" name="Picture@5C\QPendientes@" descr="@5C\QPendientes@">
          <a:extLst>
            <a:ext uri="{FF2B5EF4-FFF2-40B4-BE49-F238E27FC236}">
              <a16:creationId xmlns:a16="http://schemas.microsoft.com/office/drawing/2014/main" id="{C06543E4-9454-4BB0-BEE0-8DD6C7002E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5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4646" name="Picture@5C\QPendientes@" descr="@5C\QPendientes@">
          <a:extLst>
            <a:ext uri="{FF2B5EF4-FFF2-40B4-BE49-F238E27FC236}">
              <a16:creationId xmlns:a16="http://schemas.microsoft.com/office/drawing/2014/main" id="{AF9E6F40-41F4-489A-9BA3-5CDDCD7DA5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7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4647" name="Picture@5C\QPendientes@" descr="@5C\QPendientes@">
          <a:extLst>
            <a:ext uri="{FF2B5EF4-FFF2-40B4-BE49-F238E27FC236}">
              <a16:creationId xmlns:a16="http://schemas.microsoft.com/office/drawing/2014/main" id="{41874A45-5A98-40B6-924F-7B2AA99527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4648" name="Picture@5C\QPendientes@" descr="@5C\QPendientes@">
          <a:extLst>
            <a:ext uri="{FF2B5EF4-FFF2-40B4-BE49-F238E27FC236}">
              <a16:creationId xmlns:a16="http://schemas.microsoft.com/office/drawing/2014/main" id="{8BD4DA5D-AA89-4EC2-99E6-63901B8039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1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4649" name="Picture@5C\QPendientes@" descr="@5C\QPendientes@">
          <a:extLst>
            <a:ext uri="{FF2B5EF4-FFF2-40B4-BE49-F238E27FC236}">
              <a16:creationId xmlns:a16="http://schemas.microsoft.com/office/drawing/2014/main" id="{BDEBCCF1-3F6D-424F-B86C-58693FA4C3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2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4650" name="Picture@5C\QPendientes@" descr="@5C\QPendientes@">
          <a:extLst>
            <a:ext uri="{FF2B5EF4-FFF2-40B4-BE49-F238E27FC236}">
              <a16:creationId xmlns:a16="http://schemas.microsoft.com/office/drawing/2014/main" id="{8FF6600F-69AB-4A23-A0FA-F5A6878328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4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4651" name="Picture@5C\QPendientes@" descr="@5C\QPendientes@">
          <a:extLst>
            <a:ext uri="{FF2B5EF4-FFF2-40B4-BE49-F238E27FC236}">
              <a16:creationId xmlns:a16="http://schemas.microsoft.com/office/drawing/2014/main" id="{55E35DB4-8398-4396-8DE4-CDEE877D5D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6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4652" name="Picture@5C\QPendientes@" descr="@5C\QPendientes@">
          <a:extLst>
            <a:ext uri="{FF2B5EF4-FFF2-40B4-BE49-F238E27FC236}">
              <a16:creationId xmlns:a16="http://schemas.microsoft.com/office/drawing/2014/main" id="{DA874B42-BF3C-45F8-81BB-CFDC92B199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8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4653" name="Picture@5C\QPendientes@" descr="@5C\QPendientes@">
          <a:extLst>
            <a:ext uri="{FF2B5EF4-FFF2-40B4-BE49-F238E27FC236}">
              <a16:creationId xmlns:a16="http://schemas.microsoft.com/office/drawing/2014/main" id="{713A9F76-B2EF-4109-9720-2A798645A8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0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4654" name="Picture@5C\QPendientes@" descr="@5C\QPendientes@">
          <a:extLst>
            <a:ext uri="{FF2B5EF4-FFF2-40B4-BE49-F238E27FC236}">
              <a16:creationId xmlns:a16="http://schemas.microsoft.com/office/drawing/2014/main" id="{6E2A6DA4-C919-433E-B87C-5A0AC21C70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2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4655" name="Picture@5C\QPendientes@" descr="@5C\QPendientes@">
          <a:extLst>
            <a:ext uri="{FF2B5EF4-FFF2-40B4-BE49-F238E27FC236}">
              <a16:creationId xmlns:a16="http://schemas.microsoft.com/office/drawing/2014/main" id="{D8B39A32-FB6A-4680-8017-6AF51D1C8F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3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4656" name="Picture@5C\QPendientes@" descr="@5C\QPendientes@">
          <a:extLst>
            <a:ext uri="{FF2B5EF4-FFF2-40B4-BE49-F238E27FC236}">
              <a16:creationId xmlns:a16="http://schemas.microsoft.com/office/drawing/2014/main" id="{1C9409CE-A9E9-47D0-8332-068C05601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5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4657" name="Picture@5C\QPendientes@" descr="@5C\QPendientes@">
          <a:extLst>
            <a:ext uri="{FF2B5EF4-FFF2-40B4-BE49-F238E27FC236}">
              <a16:creationId xmlns:a16="http://schemas.microsoft.com/office/drawing/2014/main" id="{E989D8C1-00D0-42CD-8A9D-A1791851F0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4658" name="Picture@5C\QPendientes@" descr="@5C\QPendientes@">
          <a:extLst>
            <a:ext uri="{FF2B5EF4-FFF2-40B4-BE49-F238E27FC236}">
              <a16:creationId xmlns:a16="http://schemas.microsoft.com/office/drawing/2014/main" id="{7FC3895D-A183-41D2-AB1F-A415DA1AAE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9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4659" name="Picture@5C\QPendientes@" descr="@5C\QPendientes@">
          <a:extLst>
            <a:ext uri="{FF2B5EF4-FFF2-40B4-BE49-F238E27FC236}">
              <a16:creationId xmlns:a16="http://schemas.microsoft.com/office/drawing/2014/main" id="{F0A40BBC-EEDB-44E2-B325-8D30E46E5E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1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4660" name="Picture@5C\QPendientes@" descr="@5C\QPendientes@">
          <a:extLst>
            <a:ext uri="{FF2B5EF4-FFF2-40B4-BE49-F238E27FC236}">
              <a16:creationId xmlns:a16="http://schemas.microsoft.com/office/drawing/2014/main" id="{6FBEE144-6660-472F-9BCB-9F35F2589D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3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4661" name="Picture@5C\QPendientes@" descr="@5C\QPendientes@">
          <a:extLst>
            <a:ext uri="{FF2B5EF4-FFF2-40B4-BE49-F238E27FC236}">
              <a16:creationId xmlns:a16="http://schemas.microsoft.com/office/drawing/2014/main" id="{D4C32022-6687-4666-824F-85ADF625CA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4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4662" name="Picture@5C\QPendientes@" descr="@5C\QPendientes@">
          <a:extLst>
            <a:ext uri="{FF2B5EF4-FFF2-40B4-BE49-F238E27FC236}">
              <a16:creationId xmlns:a16="http://schemas.microsoft.com/office/drawing/2014/main" id="{F69BB199-F265-4C51-9A2F-A268B4FC6F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6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4663" name="Picture@5C\QPendientes@" descr="@5C\QPendientes@">
          <a:extLst>
            <a:ext uri="{FF2B5EF4-FFF2-40B4-BE49-F238E27FC236}">
              <a16:creationId xmlns:a16="http://schemas.microsoft.com/office/drawing/2014/main" id="{D6EF85CD-2540-4265-BD93-29539AA199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8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4664" name="Picture@5C\QPendientes@" descr="@5C\QPendientes@">
          <a:extLst>
            <a:ext uri="{FF2B5EF4-FFF2-40B4-BE49-F238E27FC236}">
              <a16:creationId xmlns:a16="http://schemas.microsoft.com/office/drawing/2014/main" id="{BCFFBB42-D369-42DC-912F-0FDF3E6647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0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4665" name="Picture@5C\QPendientes@" descr="@5C\QPendientes@">
          <a:extLst>
            <a:ext uri="{FF2B5EF4-FFF2-40B4-BE49-F238E27FC236}">
              <a16:creationId xmlns:a16="http://schemas.microsoft.com/office/drawing/2014/main" id="{5F242121-6A36-4435-A741-FF4FBAF3B7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2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4666" name="Picture@5C\QPendientes@" descr="@5C\QPendientes@">
          <a:extLst>
            <a:ext uri="{FF2B5EF4-FFF2-40B4-BE49-F238E27FC236}">
              <a16:creationId xmlns:a16="http://schemas.microsoft.com/office/drawing/2014/main" id="{1269FB1D-9E38-4CFC-858D-69FB71DC49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4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4667" name="Picture@5C\QPendientes@" descr="@5C\QPendientes@">
          <a:extLst>
            <a:ext uri="{FF2B5EF4-FFF2-40B4-BE49-F238E27FC236}">
              <a16:creationId xmlns:a16="http://schemas.microsoft.com/office/drawing/2014/main" id="{8A5852AC-AECD-4A0E-A41F-F7BB2ED68D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4668" name="Picture@5C\QPendientes@" descr="@5C\QPendientes@">
          <a:extLst>
            <a:ext uri="{FF2B5EF4-FFF2-40B4-BE49-F238E27FC236}">
              <a16:creationId xmlns:a16="http://schemas.microsoft.com/office/drawing/2014/main" id="{44CF710C-5C33-49DF-BAB4-AB6A5A4B42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7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4669" name="Picture@5C\QPendientes@" descr="@5C\QPendientes@">
          <a:extLst>
            <a:ext uri="{FF2B5EF4-FFF2-40B4-BE49-F238E27FC236}">
              <a16:creationId xmlns:a16="http://schemas.microsoft.com/office/drawing/2014/main" id="{1F1D2862-9104-42F1-A3BA-832B7A86BD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9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4670" name="Picture@5C\QPendientes@" descr="@5C\QPendientes@">
          <a:extLst>
            <a:ext uri="{FF2B5EF4-FFF2-40B4-BE49-F238E27FC236}">
              <a16:creationId xmlns:a16="http://schemas.microsoft.com/office/drawing/2014/main" id="{19193093-D72A-4DC2-A19F-41B5625716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1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4671" name="Picture@5C\QPendientes@" descr="@5C\QPendientes@">
          <a:extLst>
            <a:ext uri="{FF2B5EF4-FFF2-40B4-BE49-F238E27FC236}">
              <a16:creationId xmlns:a16="http://schemas.microsoft.com/office/drawing/2014/main" id="{91EE38AB-AD73-4672-AFCF-610BB9FCC4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3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4672" name="Picture@5C\QPendientes@" descr="@5C\QPendientes@">
          <a:extLst>
            <a:ext uri="{FF2B5EF4-FFF2-40B4-BE49-F238E27FC236}">
              <a16:creationId xmlns:a16="http://schemas.microsoft.com/office/drawing/2014/main" id="{A776B9EA-7438-455F-ABD0-38B3CDD41E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4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4673" name="Picture@5C\QPendientes@" descr="@5C\QPendientes@">
          <a:extLst>
            <a:ext uri="{FF2B5EF4-FFF2-40B4-BE49-F238E27FC236}">
              <a16:creationId xmlns:a16="http://schemas.microsoft.com/office/drawing/2014/main" id="{96787587-DE37-4791-9E7D-D75A10EB05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6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4674" name="Picture@5C\QPendientes@" descr="@5C\QPendientes@">
          <a:extLst>
            <a:ext uri="{FF2B5EF4-FFF2-40B4-BE49-F238E27FC236}">
              <a16:creationId xmlns:a16="http://schemas.microsoft.com/office/drawing/2014/main" id="{586E1B91-3E71-4466-AC38-AD5A899E74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8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4675" name="Picture@5C\QPendientes@" descr="@5C\QPendientes@">
          <a:extLst>
            <a:ext uri="{FF2B5EF4-FFF2-40B4-BE49-F238E27FC236}">
              <a16:creationId xmlns:a16="http://schemas.microsoft.com/office/drawing/2014/main" id="{9033791D-EE35-411B-B394-F8C603F341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0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4676" name="Picture@5C\QPendientes@" descr="@5C\QPendientes@">
          <a:extLst>
            <a:ext uri="{FF2B5EF4-FFF2-40B4-BE49-F238E27FC236}">
              <a16:creationId xmlns:a16="http://schemas.microsoft.com/office/drawing/2014/main" id="{EA129662-BA0D-44B1-A150-75CE6D976D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2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4677" name="Picture@5C\QPendientes@" descr="@5C\QPendientes@">
          <a:extLst>
            <a:ext uri="{FF2B5EF4-FFF2-40B4-BE49-F238E27FC236}">
              <a16:creationId xmlns:a16="http://schemas.microsoft.com/office/drawing/2014/main" id="{470F6928-D003-4359-AF93-585F813BD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4678" name="Picture@5C\QPendientes@" descr="@5C\QPendientes@">
          <a:extLst>
            <a:ext uri="{FF2B5EF4-FFF2-40B4-BE49-F238E27FC236}">
              <a16:creationId xmlns:a16="http://schemas.microsoft.com/office/drawing/2014/main" id="{D9467FEE-BAFB-4DDD-B0DA-AA59716A29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5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4679" name="Picture@5C\QPendientes@" descr="@5C\QPendientes@">
          <a:extLst>
            <a:ext uri="{FF2B5EF4-FFF2-40B4-BE49-F238E27FC236}">
              <a16:creationId xmlns:a16="http://schemas.microsoft.com/office/drawing/2014/main" id="{D3DE0DD7-E427-468F-B941-64E715407E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77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4680" name="Picture@5C\QPendientes@" descr="@5C\QPendientes@">
          <a:extLst>
            <a:ext uri="{FF2B5EF4-FFF2-40B4-BE49-F238E27FC236}">
              <a16:creationId xmlns:a16="http://schemas.microsoft.com/office/drawing/2014/main" id="{FBD84A94-46F0-495E-B49A-E897778DDE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96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4681" name="Picture@5C\QPendientes@" descr="@5C\QPendientes@">
          <a:extLst>
            <a:ext uri="{FF2B5EF4-FFF2-40B4-BE49-F238E27FC236}">
              <a16:creationId xmlns:a16="http://schemas.microsoft.com/office/drawing/2014/main" id="{F748BD99-EC41-4160-94BF-342CA17C2D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14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4682" name="Picture@5C\QPendientes@" descr="@5C\QPendientes@">
          <a:extLst>
            <a:ext uri="{FF2B5EF4-FFF2-40B4-BE49-F238E27FC236}">
              <a16:creationId xmlns:a16="http://schemas.microsoft.com/office/drawing/2014/main" id="{E2CCB7C6-84EE-4632-B397-78716C966B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32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4683" name="Picture@5C\QPendientes@" descr="@5C\QPendientes@">
          <a:extLst>
            <a:ext uri="{FF2B5EF4-FFF2-40B4-BE49-F238E27FC236}">
              <a16:creationId xmlns:a16="http://schemas.microsoft.com/office/drawing/2014/main" id="{9388A670-79D6-4AF3-8AFA-267D95B463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51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4684" name="Picture@5C\QPendientes@" descr="@5C\QPendientes@">
          <a:extLst>
            <a:ext uri="{FF2B5EF4-FFF2-40B4-BE49-F238E27FC236}">
              <a16:creationId xmlns:a16="http://schemas.microsoft.com/office/drawing/2014/main" id="{D319E0DE-87A9-49B6-AD92-CBBCEC459A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69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4685" name="Picture@5C\QPendientes@" descr="@5C\QPendientes@">
          <a:extLst>
            <a:ext uri="{FF2B5EF4-FFF2-40B4-BE49-F238E27FC236}">
              <a16:creationId xmlns:a16="http://schemas.microsoft.com/office/drawing/2014/main" id="{EF2CB6E9-857D-4BC2-81D1-A3C43CBDED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87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4686" name="Picture@5C\QPendientes@" descr="@5C\QPendientes@">
          <a:extLst>
            <a:ext uri="{FF2B5EF4-FFF2-40B4-BE49-F238E27FC236}">
              <a16:creationId xmlns:a16="http://schemas.microsoft.com/office/drawing/2014/main" id="{1C1865E1-8752-4ACF-AAA1-E71C563C77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05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4687" name="Picture@5C\QPendientes@" descr="@5C\QPendientes@">
          <a:extLst>
            <a:ext uri="{FF2B5EF4-FFF2-40B4-BE49-F238E27FC236}">
              <a16:creationId xmlns:a16="http://schemas.microsoft.com/office/drawing/2014/main" id="{9B1A3569-4448-43CE-B95C-787D0A4B5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4688" name="Picture@5C\QPendientes@" descr="@5C\QPendientes@">
          <a:extLst>
            <a:ext uri="{FF2B5EF4-FFF2-40B4-BE49-F238E27FC236}">
              <a16:creationId xmlns:a16="http://schemas.microsoft.com/office/drawing/2014/main" id="{09ED5244-DBEB-4B08-A800-CC547D3C51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42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4689" name="Picture@5C\QPendientes@" descr="@5C\QPendientes@">
          <a:extLst>
            <a:ext uri="{FF2B5EF4-FFF2-40B4-BE49-F238E27FC236}">
              <a16:creationId xmlns:a16="http://schemas.microsoft.com/office/drawing/2014/main" id="{249E5B95-05E5-4DEC-8E26-611D95A01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60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4690" name="Picture@5C\QPendientes@" descr="@5C\QPendientes@">
          <a:extLst>
            <a:ext uri="{FF2B5EF4-FFF2-40B4-BE49-F238E27FC236}">
              <a16:creationId xmlns:a16="http://schemas.microsoft.com/office/drawing/2014/main" id="{D25A00FA-10DD-4573-BF00-527F250345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79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4691" name="Picture@5C\QPendientes@" descr="@5C\QPendientes@">
          <a:extLst>
            <a:ext uri="{FF2B5EF4-FFF2-40B4-BE49-F238E27FC236}">
              <a16:creationId xmlns:a16="http://schemas.microsoft.com/office/drawing/2014/main" id="{CC50C527-5B1F-4FBA-A659-6ED0B6699F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97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4692" name="Picture@5C\QPendientes@" descr="@5C\QPendientes@">
          <a:extLst>
            <a:ext uri="{FF2B5EF4-FFF2-40B4-BE49-F238E27FC236}">
              <a16:creationId xmlns:a16="http://schemas.microsoft.com/office/drawing/2014/main" id="{0EC0775F-31A0-4CA7-BE11-49BB1F227C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1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4693" name="Picture@5C\QPendientes@" descr="@5C\QPendientes@">
          <a:extLst>
            <a:ext uri="{FF2B5EF4-FFF2-40B4-BE49-F238E27FC236}">
              <a16:creationId xmlns:a16="http://schemas.microsoft.com/office/drawing/2014/main" id="{6987216E-37AA-4916-9812-2CAB6212FF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33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4694" name="Picture@5C\QPendientes@" descr="@5C\QPendientes@">
          <a:extLst>
            <a:ext uri="{FF2B5EF4-FFF2-40B4-BE49-F238E27FC236}">
              <a16:creationId xmlns:a16="http://schemas.microsoft.com/office/drawing/2014/main" id="{75DB25B7-23E0-4D04-B30E-74B1FCE18C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52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4695" name="Picture@5C\QPendientes@" descr="@5C\QPendientes@">
          <a:extLst>
            <a:ext uri="{FF2B5EF4-FFF2-40B4-BE49-F238E27FC236}">
              <a16:creationId xmlns:a16="http://schemas.microsoft.com/office/drawing/2014/main" id="{3A87FF32-29D5-45C1-99C7-595CF880FA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70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4696" name="Picture@5C\QPendientes@" descr="@5C\QPendientes@">
          <a:extLst>
            <a:ext uri="{FF2B5EF4-FFF2-40B4-BE49-F238E27FC236}">
              <a16:creationId xmlns:a16="http://schemas.microsoft.com/office/drawing/2014/main" id="{BA5B6B80-89E7-4635-A87A-C9F219DE4E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88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4697" name="Picture@5C\QPendientes@" descr="@5C\QPendientes@">
          <a:extLst>
            <a:ext uri="{FF2B5EF4-FFF2-40B4-BE49-F238E27FC236}">
              <a16:creationId xmlns:a16="http://schemas.microsoft.com/office/drawing/2014/main" id="{FCA0D756-EF4F-418B-87A0-C6546D61DC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4698" name="Picture@5C\QPendientes@" descr="@5C\QPendientes@">
          <a:extLst>
            <a:ext uri="{FF2B5EF4-FFF2-40B4-BE49-F238E27FC236}">
              <a16:creationId xmlns:a16="http://schemas.microsoft.com/office/drawing/2014/main" id="{42642286-731F-4B07-8A91-89AEAD2EC7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25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4699" name="Picture@5C\QPendientes@" descr="@5C\QPendientes@">
          <a:extLst>
            <a:ext uri="{FF2B5EF4-FFF2-40B4-BE49-F238E27FC236}">
              <a16:creationId xmlns:a16="http://schemas.microsoft.com/office/drawing/2014/main" id="{60E2AEEB-9C00-4F51-80DD-55F90C0480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43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4700" name="Picture@5C\QPendientes@" descr="@5C\QPendientes@">
          <a:extLst>
            <a:ext uri="{FF2B5EF4-FFF2-40B4-BE49-F238E27FC236}">
              <a16:creationId xmlns:a16="http://schemas.microsoft.com/office/drawing/2014/main" id="{8B46C7DE-D736-4099-BECC-66A988773A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61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4701" name="Picture@5C\QPendientes@" descr="@5C\QPendientes@">
          <a:extLst>
            <a:ext uri="{FF2B5EF4-FFF2-40B4-BE49-F238E27FC236}">
              <a16:creationId xmlns:a16="http://schemas.microsoft.com/office/drawing/2014/main" id="{364C4694-0E04-4DE8-8B91-5387879D9F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80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4702" name="Picture@5C\QPendientes@" descr="@5C\QPendientes@">
          <a:extLst>
            <a:ext uri="{FF2B5EF4-FFF2-40B4-BE49-F238E27FC236}">
              <a16:creationId xmlns:a16="http://schemas.microsoft.com/office/drawing/2014/main" id="{9069F82B-5EA3-4D40-B748-62D9C25468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98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4703" name="Picture@5C\QPendientes@" descr="@5C\QPendientes@">
          <a:extLst>
            <a:ext uri="{FF2B5EF4-FFF2-40B4-BE49-F238E27FC236}">
              <a16:creationId xmlns:a16="http://schemas.microsoft.com/office/drawing/2014/main" id="{1ED14B94-C31F-416D-9293-FA17E28768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16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4704" name="Picture@5C\QPendientes@" descr="@5C\QPendientes@">
          <a:extLst>
            <a:ext uri="{FF2B5EF4-FFF2-40B4-BE49-F238E27FC236}">
              <a16:creationId xmlns:a16="http://schemas.microsoft.com/office/drawing/2014/main" id="{E44796A4-3F77-48D3-B589-CF37C97CA3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35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4705" name="Picture@5C\QPendientes@" descr="@5C\QPendientes@">
          <a:extLst>
            <a:ext uri="{FF2B5EF4-FFF2-40B4-BE49-F238E27FC236}">
              <a16:creationId xmlns:a16="http://schemas.microsoft.com/office/drawing/2014/main" id="{32F62738-1B25-4B4C-BD41-58827952B2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53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4706" name="Picture@5C\QPendientes@" descr="@5C\QPendientes@">
          <a:extLst>
            <a:ext uri="{FF2B5EF4-FFF2-40B4-BE49-F238E27FC236}">
              <a16:creationId xmlns:a16="http://schemas.microsoft.com/office/drawing/2014/main" id="{5CB9BF9F-E5D8-4664-B277-A10B85E808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71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4707" name="Picture@5C\QPendientes@" descr="@5C\QPendientes@">
          <a:extLst>
            <a:ext uri="{FF2B5EF4-FFF2-40B4-BE49-F238E27FC236}">
              <a16:creationId xmlns:a16="http://schemas.microsoft.com/office/drawing/2014/main" id="{C287872D-2ED3-4F2B-80D3-C71A22AB1C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4708" name="Picture@5C\QPendientes@" descr="@5C\QPendientes@">
          <a:extLst>
            <a:ext uri="{FF2B5EF4-FFF2-40B4-BE49-F238E27FC236}">
              <a16:creationId xmlns:a16="http://schemas.microsoft.com/office/drawing/2014/main" id="{E85BF3A4-184B-451E-AAB4-C168578DB6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08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4709" name="Picture@5C\QPendientes@" descr="@5C\QPendientes@">
          <a:extLst>
            <a:ext uri="{FF2B5EF4-FFF2-40B4-BE49-F238E27FC236}">
              <a16:creationId xmlns:a16="http://schemas.microsoft.com/office/drawing/2014/main" id="{1DF80469-C11D-46E3-98F0-3B121A899B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26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4710" name="Picture@5C\QPendientes@" descr="@5C\QPendientes@">
          <a:extLst>
            <a:ext uri="{FF2B5EF4-FFF2-40B4-BE49-F238E27FC236}">
              <a16:creationId xmlns:a16="http://schemas.microsoft.com/office/drawing/2014/main" id="{07EE3C6B-29B9-4A85-BEDE-53C2CBC9F7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44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4711" name="Picture@5C\QPendientes@" descr="@5C\QPendientes@">
          <a:extLst>
            <a:ext uri="{FF2B5EF4-FFF2-40B4-BE49-F238E27FC236}">
              <a16:creationId xmlns:a16="http://schemas.microsoft.com/office/drawing/2014/main" id="{152A0FF5-ABC8-4AEC-A6F4-CCCA3E3327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63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4712" name="Picture@5C\QPendientes@" descr="@5C\QPendientes@">
          <a:extLst>
            <a:ext uri="{FF2B5EF4-FFF2-40B4-BE49-F238E27FC236}">
              <a16:creationId xmlns:a16="http://schemas.microsoft.com/office/drawing/2014/main" id="{4DBA7BC7-4481-4153-99BF-3B8F5924EC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81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4713" name="Picture@5C\QPendientes@" descr="@5C\QPendientes@">
          <a:extLst>
            <a:ext uri="{FF2B5EF4-FFF2-40B4-BE49-F238E27FC236}">
              <a16:creationId xmlns:a16="http://schemas.microsoft.com/office/drawing/2014/main" id="{17BBC1F3-D289-41FE-B729-B090C92108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99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4714" name="Picture@5C\QPendientes@" descr="@5C\QPendientes@">
          <a:extLst>
            <a:ext uri="{FF2B5EF4-FFF2-40B4-BE49-F238E27FC236}">
              <a16:creationId xmlns:a16="http://schemas.microsoft.com/office/drawing/2014/main" id="{ACFE0171-2AC0-4AF1-8B05-3DB31CA95D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17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4715" name="Picture@5C\QPendientes@" descr="@5C\QPendientes@">
          <a:extLst>
            <a:ext uri="{FF2B5EF4-FFF2-40B4-BE49-F238E27FC236}">
              <a16:creationId xmlns:a16="http://schemas.microsoft.com/office/drawing/2014/main" id="{CC2AB5E5-053D-421F-BBCD-B5822E05EA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36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4716" name="Picture@5C\QPendientes@" descr="@5C\QPendientes@">
          <a:extLst>
            <a:ext uri="{FF2B5EF4-FFF2-40B4-BE49-F238E27FC236}">
              <a16:creationId xmlns:a16="http://schemas.microsoft.com/office/drawing/2014/main" id="{B77DAFCC-4E32-423B-89A0-1516B36B35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54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4717" name="Picture@5C\QPendientes@" descr="@5C\QPendientes@">
          <a:extLst>
            <a:ext uri="{FF2B5EF4-FFF2-40B4-BE49-F238E27FC236}">
              <a16:creationId xmlns:a16="http://schemas.microsoft.com/office/drawing/2014/main" id="{D4E65AC5-74D2-42A2-A9F2-C3638B5C69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4718" name="Picture@5C\QPendientes@" descr="@5C\QPendientes@">
          <a:extLst>
            <a:ext uri="{FF2B5EF4-FFF2-40B4-BE49-F238E27FC236}">
              <a16:creationId xmlns:a16="http://schemas.microsoft.com/office/drawing/2014/main" id="{C46E9663-7189-4ADD-B752-32BBC6EF74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91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4719" name="Picture@5C\QPendientes@" descr="@5C\QPendientes@">
          <a:extLst>
            <a:ext uri="{FF2B5EF4-FFF2-40B4-BE49-F238E27FC236}">
              <a16:creationId xmlns:a16="http://schemas.microsoft.com/office/drawing/2014/main" id="{D27D4F04-5179-47C7-9242-09803CE426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09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4720" name="Picture@5C\QPendientes@" descr="@5C\QPendientes@">
          <a:extLst>
            <a:ext uri="{FF2B5EF4-FFF2-40B4-BE49-F238E27FC236}">
              <a16:creationId xmlns:a16="http://schemas.microsoft.com/office/drawing/2014/main" id="{934FE460-EEA0-4DDF-8489-361C58D695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27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4721" name="Picture@5C\QPendientes@" descr="@5C\QPendientes@">
          <a:extLst>
            <a:ext uri="{FF2B5EF4-FFF2-40B4-BE49-F238E27FC236}">
              <a16:creationId xmlns:a16="http://schemas.microsoft.com/office/drawing/2014/main" id="{0011519C-A1D7-4DB3-A551-D0B0D47B07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45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4722" name="Picture@5C\QPendientes@" descr="@5C\QPendientes@">
          <a:extLst>
            <a:ext uri="{FF2B5EF4-FFF2-40B4-BE49-F238E27FC236}">
              <a16:creationId xmlns:a16="http://schemas.microsoft.com/office/drawing/2014/main" id="{E50C6B5C-0D72-4F85-80C9-E4B1C8E6FC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64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4723" name="Picture@5C\QPendientes@" descr="@5C\QPendientes@">
          <a:extLst>
            <a:ext uri="{FF2B5EF4-FFF2-40B4-BE49-F238E27FC236}">
              <a16:creationId xmlns:a16="http://schemas.microsoft.com/office/drawing/2014/main" id="{56AA043E-402F-46D4-B064-D5B62637E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82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4724" name="Picture@5C\QPendientes@" descr="@5C\QPendientes@">
          <a:extLst>
            <a:ext uri="{FF2B5EF4-FFF2-40B4-BE49-F238E27FC236}">
              <a16:creationId xmlns:a16="http://schemas.microsoft.com/office/drawing/2014/main" id="{62BB145E-8E4B-4FF4-B6F9-9109258B73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00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4725" name="Picture@5C\QPendientes@" descr="@5C\QPendientes@">
          <a:extLst>
            <a:ext uri="{FF2B5EF4-FFF2-40B4-BE49-F238E27FC236}">
              <a16:creationId xmlns:a16="http://schemas.microsoft.com/office/drawing/2014/main" id="{B0102809-6612-490E-8954-607E7D5485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19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4726" name="Picture@5C\QPendientes@" descr="@5C\QPendientes@">
          <a:extLst>
            <a:ext uri="{FF2B5EF4-FFF2-40B4-BE49-F238E27FC236}">
              <a16:creationId xmlns:a16="http://schemas.microsoft.com/office/drawing/2014/main" id="{57C23415-8751-4415-9994-4441DDA769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37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4727" name="Picture@5C\QPendientes@" descr="@5C\QPendientes@">
          <a:extLst>
            <a:ext uri="{FF2B5EF4-FFF2-40B4-BE49-F238E27FC236}">
              <a16:creationId xmlns:a16="http://schemas.microsoft.com/office/drawing/2014/main" id="{45A6A1A8-A98A-46E9-9B2B-B60FF44C18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4728" name="Picture@5C\QPendientes@" descr="@5C\QPendientes@">
          <a:extLst>
            <a:ext uri="{FF2B5EF4-FFF2-40B4-BE49-F238E27FC236}">
              <a16:creationId xmlns:a16="http://schemas.microsoft.com/office/drawing/2014/main" id="{6B2CA320-6389-4B3F-87BB-BD748E03C8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73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4729" name="Picture@5C\QPendientes@" descr="@5C\QPendientes@">
          <a:extLst>
            <a:ext uri="{FF2B5EF4-FFF2-40B4-BE49-F238E27FC236}">
              <a16:creationId xmlns:a16="http://schemas.microsoft.com/office/drawing/2014/main" id="{9196C51B-8BFD-4CD1-A4F9-99A068ED0A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92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4730" name="Picture@5C\QPendientes@" descr="@5C\QPendientes@">
          <a:extLst>
            <a:ext uri="{FF2B5EF4-FFF2-40B4-BE49-F238E27FC236}">
              <a16:creationId xmlns:a16="http://schemas.microsoft.com/office/drawing/2014/main" id="{6AA79BD2-B65F-486D-96CC-BF076B5FC6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10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4731" name="Picture@5C\QPendientes@" descr="@5C\QPendientes@">
          <a:extLst>
            <a:ext uri="{FF2B5EF4-FFF2-40B4-BE49-F238E27FC236}">
              <a16:creationId xmlns:a16="http://schemas.microsoft.com/office/drawing/2014/main" id="{F65DCFDB-19ED-4551-8F5E-AAF41599E6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28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4732" name="Picture@5C\QPendientes@" descr="@5C\QPendientes@">
          <a:extLst>
            <a:ext uri="{FF2B5EF4-FFF2-40B4-BE49-F238E27FC236}">
              <a16:creationId xmlns:a16="http://schemas.microsoft.com/office/drawing/2014/main" id="{E1B9700D-F131-4502-A2B0-429EA6EDA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47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4733" name="Picture@5C\QPendientes@" descr="@5C\QPendientes@">
          <a:extLst>
            <a:ext uri="{FF2B5EF4-FFF2-40B4-BE49-F238E27FC236}">
              <a16:creationId xmlns:a16="http://schemas.microsoft.com/office/drawing/2014/main" id="{01B2A03E-EE46-4DA1-94FB-699791A27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65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4734" name="Picture@5C\QPendientes@" descr="@5C\QPendientes@">
          <a:extLst>
            <a:ext uri="{FF2B5EF4-FFF2-40B4-BE49-F238E27FC236}">
              <a16:creationId xmlns:a16="http://schemas.microsoft.com/office/drawing/2014/main" id="{6194A54D-7EB3-464B-A52C-A1B3440F25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83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4735" name="Picture@5C\QPendientes@" descr="@5C\QPendientes@">
          <a:extLst>
            <a:ext uri="{FF2B5EF4-FFF2-40B4-BE49-F238E27FC236}">
              <a16:creationId xmlns:a16="http://schemas.microsoft.com/office/drawing/2014/main" id="{1E23A8CD-32F9-432F-AD0E-D3167E07C0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01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4736" name="Picture@5C\QPendientes@" descr="@5C\QPendientes@">
          <a:extLst>
            <a:ext uri="{FF2B5EF4-FFF2-40B4-BE49-F238E27FC236}">
              <a16:creationId xmlns:a16="http://schemas.microsoft.com/office/drawing/2014/main" id="{5470FB3F-5354-4F08-A274-633206D64F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20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4737" name="Picture@5C\QPendientes@" descr="@5C\QPendientes@">
          <a:extLst>
            <a:ext uri="{FF2B5EF4-FFF2-40B4-BE49-F238E27FC236}">
              <a16:creationId xmlns:a16="http://schemas.microsoft.com/office/drawing/2014/main" id="{2A7BA8B9-517B-4DB7-B8A9-1B4313C8A2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4738" name="Picture@5C\QPendientes@" descr="@5C\QPendientes@">
          <a:extLst>
            <a:ext uri="{FF2B5EF4-FFF2-40B4-BE49-F238E27FC236}">
              <a16:creationId xmlns:a16="http://schemas.microsoft.com/office/drawing/2014/main" id="{D1C09743-5ED6-4A64-B7C0-08C430E012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56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4739" name="Picture@5C\QPendientes@" descr="@5C\QPendientes@">
          <a:extLst>
            <a:ext uri="{FF2B5EF4-FFF2-40B4-BE49-F238E27FC236}">
              <a16:creationId xmlns:a16="http://schemas.microsoft.com/office/drawing/2014/main" id="{91777619-A6F6-4002-9555-4C0B3B0C05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75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4740" name="Picture@5C\QPendientes@" descr="@5C\QPendientes@">
          <a:extLst>
            <a:ext uri="{FF2B5EF4-FFF2-40B4-BE49-F238E27FC236}">
              <a16:creationId xmlns:a16="http://schemas.microsoft.com/office/drawing/2014/main" id="{23EA1D9B-E659-40CD-8A54-31F5A6DEF5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93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4741" name="Picture@5C\QPendientes@" descr="@5C\QPendientes@">
          <a:extLst>
            <a:ext uri="{FF2B5EF4-FFF2-40B4-BE49-F238E27FC236}">
              <a16:creationId xmlns:a16="http://schemas.microsoft.com/office/drawing/2014/main" id="{76548E09-7DAB-48DA-B915-55BDC95530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11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4742" name="Picture@5C\QPendientes@" descr="@5C\QPendientes@">
          <a:extLst>
            <a:ext uri="{FF2B5EF4-FFF2-40B4-BE49-F238E27FC236}">
              <a16:creationId xmlns:a16="http://schemas.microsoft.com/office/drawing/2014/main" id="{DAC7E6DC-A1D6-4A97-A1E8-EDEDE172E5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30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4743" name="Picture@5C\QPendientes@" descr="@5C\QPendientes@">
          <a:extLst>
            <a:ext uri="{FF2B5EF4-FFF2-40B4-BE49-F238E27FC236}">
              <a16:creationId xmlns:a16="http://schemas.microsoft.com/office/drawing/2014/main" id="{3C587472-B8E7-4863-91EC-87E6AA73B7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4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4744" name="Picture@5C\QPendientes@" descr="@5C\QPendientes@">
          <a:extLst>
            <a:ext uri="{FF2B5EF4-FFF2-40B4-BE49-F238E27FC236}">
              <a16:creationId xmlns:a16="http://schemas.microsoft.com/office/drawing/2014/main" id="{2618C782-3677-4299-8DC3-7177E07A6F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6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4745" name="Picture@5C\QPendientes@" descr="@5C\QPendientes@">
          <a:extLst>
            <a:ext uri="{FF2B5EF4-FFF2-40B4-BE49-F238E27FC236}">
              <a16:creationId xmlns:a16="http://schemas.microsoft.com/office/drawing/2014/main" id="{56B132BF-CCCB-4A5F-9317-A17A133777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8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4746" name="Picture@5C\QPendientes@" descr="@5C\QPendientes@">
          <a:extLst>
            <a:ext uri="{FF2B5EF4-FFF2-40B4-BE49-F238E27FC236}">
              <a16:creationId xmlns:a16="http://schemas.microsoft.com/office/drawing/2014/main" id="{6713C2CE-B5D8-45FB-8182-EA3432C0E0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0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4747" name="Picture@5C\QPendientes@" descr="@5C\QPendientes@">
          <a:extLst>
            <a:ext uri="{FF2B5EF4-FFF2-40B4-BE49-F238E27FC236}">
              <a16:creationId xmlns:a16="http://schemas.microsoft.com/office/drawing/2014/main" id="{58149E58-CF46-415D-B1ED-6012F1F253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4748" name="Picture@5C\QPendientes@" descr="@5C\QPendientes@">
          <a:extLst>
            <a:ext uri="{FF2B5EF4-FFF2-40B4-BE49-F238E27FC236}">
              <a16:creationId xmlns:a16="http://schemas.microsoft.com/office/drawing/2014/main" id="{B4265510-7B0D-4F7D-BAA9-8FCAFF5B2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3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4749" name="Picture@5C\QPendientes@" descr="@5C\QPendientes@">
          <a:extLst>
            <a:ext uri="{FF2B5EF4-FFF2-40B4-BE49-F238E27FC236}">
              <a16:creationId xmlns:a16="http://schemas.microsoft.com/office/drawing/2014/main" id="{7FDFFBC6-25C3-4C88-95EE-AE1B05111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5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4750" name="Picture@5C\QPendientes@" descr="@5C\QPendientes@">
          <a:extLst>
            <a:ext uri="{FF2B5EF4-FFF2-40B4-BE49-F238E27FC236}">
              <a16:creationId xmlns:a16="http://schemas.microsoft.com/office/drawing/2014/main" id="{73DEB36A-830A-42AB-802E-24EE3C7DDD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7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4751" name="Picture@5C\QPendientes@" descr="@5C\QPendientes@">
          <a:extLst>
            <a:ext uri="{FF2B5EF4-FFF2-40B4-BE49-F238E27FC236}">
              <a16:creationId xmlns:a16="http://schemas.microsoft.com/office/drawing/2014/main" id="{AE99C768-C6E4-4E34-A222-956B9DE9AE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9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4752" name="Picture@5C\QPendientes@" descr="@5C\QPendientes@">
          <a:extLst>
            <a:ext uri="{FF2B5EF4-FFF2-40B4-BE49-F238E27FC236}">
              <a16:creationId xmlns:a16="http://schemas.microsoft.com/office/drawing/2014/main" id="{E0F3893C-9E9D-4311-B854-FFB0ECACF5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1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4753" name="Picture@5C\QPendientes@" descr="@5C\QPendientes@">
          <a:extLst>
            <a:ext uri="{FF2B5EF4-FFF2-40B4-BE49-F238E27FC236}">
              <a16:creationId xmlns:a16="http://schemas.microsoft.com/office/drawing/2014/main" id="{12DE0763-1633-49F3-895A-F220D4750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3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4754" name="Picture@5C\QPendientes@" descr="@5C\QPendientes@">
          <a:extLst>
            <a:ext uri="{FF2B5EF4-FFF2-40B4-BE49-F238E27FC236}">
              <a16:creationId xmlns:a16="http://schemas.microsoft.com/office/drawing/2014/main" id="{66E501A9-B282-4942-94E3-692D3DC53F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4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4755" name="Picture@5C\QPendientes@" descr="@5C\QPendientes@">
          <a:extLst>
            <a:ext uri="{FF2B5EF4-FFF2-40B4-BE49-F238E27FC236}">
              <a16:creationId xmlns:a16="http://schemas.microsoft.com/office/drawing/2014/main" id="{F26435EB-FC98-46BB-A707-8F8648B27E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6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4756" name="Picture@5C\QPendientes@" descr="@5C\QPendientes@">
          <a:extLst>
            <a:ext uri="{FF2B5EF4-FFF2-40B4-BE49-F238E27FC236}">
              <a16:creationId xmlns:a16="http://schemas.microsoft.com/office/drawing/2014/main" id="{A1FAD8B2-26EF-4463-8DEA-F9F02D114B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8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4757" name="Picture@5C\QPendientes@" descr="@5C\QPendientes@">
          <a:extLst>
            <a:ext uri="{FF2B5EF4-FFF2-40B4-BE49-F238E27FC236}">
              <a16:creationId xmlns:a16="http://schemas.microsoft.com/office/drawing/2014/main" id="{F00C6D9C-0EE1-44F7-900F-3C2C4B9009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4758" name="Picture@5C\QPendientes@" descr="@5C\QPendientes@">
          <a:extLst>
            <a:ext uri="{FF2B5EF4-FFF2-40B4-BE49-F238E27FC236}">
              <a16:creationId xmlns:a16="http://schemas.microsoft.com/office/drawing/2014/main" id="{995C8DA6-1CBC-4862-8C6E-4D8A4CFA78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2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4759" name="Picture@5C\QPendientes@" descr="@5C\QPendientes@">
          <a:extLst>
            <a:ext uri="{FF2B5EF4-FFF2-40B4-BE49-F238E27FC236}">
              <a16:creationId xmlns:a16="http://schemas.microsoft.com/office/drawing/2014/main" id="{DA4BCBBF-F7C6-46D8-82A8-2D5B7C2C14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4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4760" name="Picture@5C\QPendientes@" descr="@5C\QPendientes@">
          <a:extLst>
            <a:ext uri="{FF2B5EF4-FFF2-40B4-BE49-F238E27FC236}">
              <a16:creationId xmlns:a16="http://schemas.microsoft.com/office/drawing/2014/main" id="{22D2D30E-61FB-4281-BAD2-47C366053D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5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4761" name="Picture@5C\QPendientes@" descr="@5C\QPendientes@">
          <a:extLst>
            <a:ext uri="{FF2B5EF4-FFF2-40B4-BE49-F238E27FC236}">
              <a16:creationId xmlns:a16="http://schemas.microsoft.com/office/drawing/2014/main" id="{6AB81484-66BC-4428-A2B7-205AF9FAEC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7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4762" name="Picture@5C\QPendientes@" descr="@5C\QPendientes@">
          <a:extLst>
            <a:ext uri="{FF2B5EF4-FFF2-40B4-BE49-F238E27FC236}">
              <a16:creationId xmlns:a16="http://schemas.microsoft.com/office/drawing/2014/main" id="{A6237A4E-9D9C-4BC3-9A9F-B7414D5221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9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4763" name="Picture@5C\QPendientes@" descr="@5C\QPendientes@">
          <a:extLst>
            <a:ext uri="{FF2B5EF4-FFF2-40B4-BE49-F238E27FC236}">
              <a16:creationId xmlns:a16="http://schemas.microsoft.com/office/drawing/2014/main" id="{71E03CDD-DE4A-4B4B-8751-E664DCBBE6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1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4764" name="Picture@5C\QPendientes@" descr="@5C\QPendientes@">
          <a:extLst>
            <a:ext uri="{FF2B5EF4-FFF2-40B4-BE49-F238E27FC236}">
              <a16:creationId xmlns:a16="http://schemas.microsoft.com/office/drawing/2014/main" id="{17FAA336-FC0F-411F-86B0-6977C59CAA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3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4765" name="Picture@5C\QPendientes@" descr="@5C\QPendientes@">
          <a:extLst>
            <a:ext uri="{FF2B5EF4-FFF2-40B4-BE49-F238E27FC236}">
              <a16:creationId xmlns:a16="http://schemas.microsoft.com/office/drawing/2014/main" id="{46D36454-6019-42C0-B1FA-87283566FF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5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4766" name="Picture@5C\QPendientes@" descr="@5C\QPendientes@">
          <a:extLst>
            <a:ext uri="{FF2B5EF4-FFF2-40B4-BE49-F238E27FC236}">
              <a16:creationId xmlns:a16="http://schemas.microsoft.com/office/drawing/2014/main" id="{BE4C6E7E-02DB-4ABC-88CB-3CDE321E18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6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4767" name="Picture@5C\QPendientes@" descr="@5C\QPendientes@">
          <a:extLst>
            <a:ext uri="{FF2B5EF4-FFF2-40B4-BE49-F238E27FC236}">
              <a16:creationId xmlns:a16="http://schemas.microsoft.com/office/drawing/2014/main" id="{F21E8A32-81D6-496A-AA95-A225122F59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4768" name="Picture@5C\QPendientes@" descr="@5C\QPendientes@">
          <a:extLst>
            <a:ext uri="{FF2B5EF4-FFF2-40B4-BE49-F238E27FC236}">
              <a16:creationId xmlns:a16="http://schemas.microsoft.com/office/drawing/2014/main" id="{9DDEF410-5EEB-4DF1-A64A-0FB8E76612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0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4769" name="Picture@5C\QPendientes@" descr="@5C\QPendientes@">
          <a:extLst>
            <a:ext uri="{FF2B5EF4-FFF2-40B4-BE49-F238E27FC236}">
              <a16:creationId xmlns:a16="http://schemas.microsoft.com/office/drawing/2014/main" id="{FBF0C870-6A64-4424-BB43-A69112AE8C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2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4770" name="Picture@5C\QPendientes@" descr="@5C\QPendientes@">
          <a:extLst>
            <a:ext uri="{FF2B5EF4-FFF2-40B4-BE49-F238E27FC236}">
              <a16:creationId xmlns:a16="http://schemas.microsoft.com/office/drawing/2014/main" id="{6AB1EB03-A3C6-4EAA-86D3-F5401E81EB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4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4771" name="Picture@5C\QPendientes@" descr="@5C\QPendientes@">
          <a:extLst>
            <a:ext uri="{FF2B5EF4-FFF2-40B4-BE49-F238E27FC236}">
              <a16:creationId xmlns:a16="http://schemas.microsoft.com/office/drawing/2014/main" id="{82F993E3-8F3D-4BB4-91B5-73FE55009D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6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4772" name="Picture@5C\QPendientes@" descr="@5C\QPendientes@">
          <a:extLst>
            <a:ext uri="{FF2B5EF4-FFF2-40B4-BE49-F238E27FC236}">
              <a16:creationId xmlns:a16="http://schemas.microsoft.com/office/drawing/2014/main" id="{8653C59B-3DB6-45DB-98BF-18AD33F47F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7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4773" name="Picture@5C\QPendientes@" descr="@5C\QPendientes@">
          <a:extLst>
            <a:ext uri="{FF2B5EF4-FFF2-40B4-BE49-F238E27FC236}">
              <a16:creationId xmlns:a16="http://schemas.microsoft.com/office/drawing/2014/main" id="{6B66887D-42D6-428C-ABCB-C94CFB3013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9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4774" name="Picture@5C\QPendientes@" descr="@5C\QPendientes@">
          <a:extLst>
            <a:ext uri="{FF2B5EF4-FFF2-40B4-BE49-F238E27FC236}">
              <a16:creationId xmlns:a16="http://schemas.microsoft.com/office/drawing/2014/main" id="{49EDEAB0-1CCE-43ED-8569-EC9623F06D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1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4775" name="Picture@5C\QPendientes@" descr="@5C\QPendientes@">
          <a:extLst>
            <a:ext uri="{FF2B5EF4-FFF2-40B4-BE49-F238E27FC236}">
              <a16:creationId xmlns:a16="http://schemas.microsoft.com/office/drawing/2014/main" id="{297FC621-5A44-49BC-8C16-06E2FC1BF5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3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4776" name="Picture@5C\QPendientes@" descr="@5C\QPendientes@">
          <a:extLst>
            <a:ext uri="{FF2B5EF4-FFF2-40B4-BE49-F238E27FC236}">
              <a16:creationId xmlns:a16="http://schemas.microsoft.com/office/drawing/2014/main" id="{5A8D996B-FD7B-4A56-A5AB-9A9A84F32D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5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4777" name="Picture@5C\QPendientes@" descr="@5C\QPendientes@">
          <a:extLst>
            <a:ext uri="{FF2B5EF4-FFF2-40B4-BE49-F238E27FC236}">
              <a16:creationId xmlns:a16="http://schemas.microsoft.com/office/drawing/2014/main" id="{5FAAF3C2-71F7-4DDA-8C77-EE988EA893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4778" name="Picture@5C\QPendientes@" descr="@5C\QPendientes@">
          <a:extLst>
            <a:ext uri="{FF2B5EF4-FFF2-40B4-BE49-F238E27FC236}">
              <a16:creationId xmlns:a16="http://schemas.microsoft.com/office/drawing/2014/main" id="{5D0CFBAD-FA88-4B39-AE1C-3370BF3C32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8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4779" name="Picture@5C\QPendientes@" descr="@5C\QPendientes@">
          <a:extLst>
            <a:ext uri="{FF2B5EF4-FFF2-40B4-BE49-F238E27FC236}">
              <a16:creationId xmlns:a16="http://schemas.microsoft.com/office/drawing/2014/main" id="{FCB6C6D7-6103-460B-B74E-4A85172CE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0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4780" name="Picture@5C\QPendientes@" descr="@5C\QPendientes@">
          <a:extLst>
            <a:ext uri="{FF2B5EF4-FFF2-40B4-BE49-F238E27FC236}">
              <a16:creationId xmlns:a16="http://schemas.microsoft.com/office/drawing/2014/main" id="{72E0476F-A4FC-4E89-BF24-37CDC9DFE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2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4781" name="Picture@5C\QPendientes@" descr="@5C\QPendientes@">
          <a:extLst>
            <a:ext uri="{FF2B5EF4-FFF2-40B4-BE49-F238E27FC236}">
              <a16:creationId xmlns:a16="http://schemas.microsoft.com/office/drawing/2014/main" id="{4E048D46-E8AF-4F5C-8A3C-2049A32B62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4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4782" name="Picture@5C\QPendientes@" descr="@5C\QPendientes@">
          <a:extLst>
            <a:ext uri="{FF2B5EF4-FFF2-40B4-BE49-F238E27FC236}">
              <a16:creationId xmlns:a16="http://schemas.microsoft.com/office/drawing/2014/main" id="{1BE32C0D-3ABF-4CF1-A715-ED3F0755C2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6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4783" name="Picture@5C\QPendientes@" descr="@5C\QPendientes@">
          <a:extLst>
            <a:ext uri="{FF2B5EF4-FFF2-40B4-BE49-F238E27FC236}">
              <a16:creationId xmlns:a16="http://schemas.microsoft.com/office/drawing/2014/main" id="{B5C536BA-2183-431A-8396-C6D47D333E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7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4784" name="Picture@5C\QPendientes@" descr="@5C\QPendientes@">
          <a:extLst>
            <a:ext uri="{FF2B5EF4-FFF2-40B4-BE49-F238E27FC236}">
              <a16:creationId xmlns:a16="http://schemas.microsoft.com/office/drawing/2014/main" id="{A9C9C73B-5C7E-437D-AF72-449D2C674F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9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4785" name="Picture@5C\QPendientes@" descr="@5C\QPendientes@">
          <a:extLst>
            <a:ext uri="{FF2B5EF4-FFF2-40B4-BE49-F238E27FC236}">
              <a16:creationId xmlns:a16="http://schemas.microsoft.com/office/drawing/2014/main" id="{6CD5CE9D-4A3F-4E8A-8FFF-C97CC6B379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1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4786" name="Picture@5C\QPendientes@" descr="@5C\QPendientes@">
          <a:extLst>
            <a:ext uri="{FF2B5EF4-FFF2-40B4-BE49-F238E27FC236}">
              <a16:creationId xmlns:a16="http://schemas.microsoft.com/office/drawing/2014/main" id="{AD7BE37E-38D1-4FCB-BF92-83ABA047F1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3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4787" name="Picture@5C\QPendientes@" descr="@5C\QPendientes@">
          <a:extLst>
            <a:ext uri="{FF2B5EF4-FFF2-40B4-BE49-F238E27FC236}">
              <a16:creationId xmlns:a16="http://schemas.microsoft.com/office/drawing/2014/main" id="{FAF2BE95-8EE7-4260-9E61-D8E76F80E5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4788" name="Picture@5C\QPendientes@" descr="@5C\QPendientes@">
          <a:extLst>
            <a:ext uri="{FF2B5EF4-FFF2-40B4-BE49-F238E27FC236}">
              <a16:creationId xmlns:a16="http://schemas.microsoft.com/office/drawing/2014/main" id="{419FBFF9-680B-47F1-B169-1722683947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7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4789" name="Picture@5C\QPendientes@" descr="@5C\QPendientes@">
          <a:extLst>
            <a:ext uri="{FF2B5EF4-FFF2-40B4-BE49-F238E27FC236}">
              <a16:creationId xmlns:a16="http://schemas.microsoft.com/office/drawing/2014/main" id="{C3B91461-1151-4CDA-B35A-B552CE1D84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8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4790" name="Picture@5C\QPendientes@" descr="@5C\QPendientes@">
          <a:extLst>
            <a:ext uri="{FF2B5EF4-FFF2-40B4-BE49-F238E27FC236}">
              <a16:creationId xmlns:a16="http://schemas.microsoft.com/office/drawing/2014/main" id="{7223C89A-D312-430B-AACA-701783AB9D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0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4791" name="Picture@5C\QPendientes@" descr="@5C\QPendientes@">
          <a:extLst>
            <a:ext uri="{FF2B5EF4-FFF2-40B4-BE49-F238E27FC236}">
              <a16:creationId xmlns:a16="http://schemas.microsoft.com/office/drawing/2014/main" id="{9872E89F-FAFA-4EDF-9BB6-0182739109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2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4792" name="Picture@5C\QPendientes@" descr="@5C\QPendientes@">
          <a:extLst>
            <a:ext uri="{FF2B5EF4-FFF2-40B4-BE49-F238E27FC236}">
              <a16:creationId xmlns:a16="http://schemas.microsoft.com/office/drawing/2014/main" id="{D53C50F8-BAB0-46DB-B1CA-013E24ED5A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4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4793" name="Picture@5C\QPendientes@" descr="@5C\QPendientes@">
          <a:extLst>
            <a:ext uri="{FF2B5EF4-FFF2-40B4-BE49-F238E27FC236}">
              <a16:creationId xmlns:a16="http://schemas.microsoft.com/office/drawing/2014/main" id="{E6950C6C-2603-4F65-9903-BD77A0D5E7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6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4794" name="Picture@5C\QPendientes@" descr="@5C\QPendientes@">
          <a:extLst>
            <a:ext uri="{FF2B5EF4-FFF2-40B4-BE49-F238E27FC236}">
              <a16:creationId xmlns:a16="http://schemas.microsoft.com/office/drawing/2014/main" id="{74161D80-2FA3-400D-AFE5-018BDB32AF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8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4795" name="Picture@5C\QPendientes@" descr="@5C\QPendientes@">
          <a:extLst>
            <a:ext uri="{FF2B5EF4-FFF2-40B4-BE49-F238E27FC236}">
              <a16:creationId xmlns:a16="http://schemas.microsoft.com/office/drawing/2014/main" id="{C8B59506-7FD4-44FB-BC06-6B28B2DA12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9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4796" name="Picture@5C\QPendientes@" descr="@5C\QPendientes@">
          <a:extLst>
            <a:ext uri="{FF2B5EF4-FFF2-40B4-BE49-F238E27FC236}">
              <a16:creationId xmlns:a16="http://schemas.microsoft.com/office/drawing/2014/main" id="{4A34908F-B69B-436B-8290-94F0077377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1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4797" name="Picture@5C\QPendientes@" descr="@5C\QPendientes@">
          <a:extLst>
            <a:ext uri="{FF2B5EF4-FFF2-40B4-BE49-F238E27FC236}">
              <a16:creationId xmlns:a16="http://schemas.microsoft.com/office/drawing/2014/main" id="{D713C603-CF5B-4102-8F41-5A3282962C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4798" name="Picture@5C\QPendientes@" descr="@5C\QPendientes@">
          <a:extLst>
            <a:ext uri="{FF2B5EF4-FFF2-40B4-BE49-F238E27FC236}">
              <a16:creationId xmlns:a16="http://schemas.microsoft.com/office/drawing/2014/main" id="{8DAE0672-F1CE-4693-BFC8-090297734B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5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4799" name="Picture@5C\QPendientes@" descr="@5C\QPendientes@">
          <a:extLst>
            <a:ext uri="{FF2B5EF4-FFF2-40B4-BE49-F238E27FC236}">
              <a16:creationId xmlns:a16="http://schemas.microsoft.com/office/drawing/2014/main" id="{F915732C-3EF1-4DD5-8D85-0918441DF3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7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4800" name="Picture@5C\QPendientes@" descr="@5C\QPendientes@">
          <a:extLst>
            <a:ext uri="{FF2B5EF4-FFF2-40B4-BE49-F238E27FC236}">
              <a16:creationId xmlns:a16="http://schemas.microsoft.com/office/drawing/2014/main" id="{4EE0A161-AD55-4277-8323-2577944A12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9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4801" name="Picture@5C\QPendientes@" descr="@5C\QPendientes@">
          <a:extLst>
            <a:ext uri="{FF2B5EF4-FFF2-40B4-BE49-F238E27FC236}">
              <a16:creationId xmlns:a16="http://schemas.microsoft.com/office/drawing/2014/main" id="{F3E94D6C-1E68-49FC-96F3-4B835B4D44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0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4802" name="Picture@5C\QPendientes@" descr="@5C\QPendientes@">
          <a:extLst>
            <a:ext uri="{FF2B5EF4-FFF2-40B4-BE49-F238E27FC236}">
              <a16:creationId xmlns:a16="http://schemas.microsoft.com/office/drawing/2014/main" id="{E13CC3C8-D0C2-4E0B-84D9-42D7662F70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2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4803" name="Picture@5C\QPendientes@" descr="@5C\QPendientes@">
          <a:extLst>
            <a:ext uri="{FF2B5EF4-FFF2-40B4-BE49-F238E27FC236}">
              <a16:creationId xmlns:a16="http://schemas.microsoft.com/office/drawing/2014/main" id="{0F648200-100E-42BF-81F2-AF16AC5CB4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4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4804" name="Picture@5C\QPendientes@" descr="@5C\QPendientes@">
          <a:extLst>
            <a:ext uri="{FF2B5EF4-FFF2-40B4-BE49-F238E27FC236}">
              <a16:creationId xmlns:a16="http://schemas.microsoft.com/office/drawing/2014/main" id="{4AAA32E6-A22B-4618-AA3E-8D18D2C362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6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4805" name="Picture@5C\QPendientes@" descr="@5C\QPendientes@">
          <a:extLst>
            <a:ext uri="{FF2B5EF4-FFF2-40B4-BE49-F238E27FC236}">
              <a16:creationId xmlns:a16="http://schemas.microsoft.com/office/drawing/2014/main" id="{D72E265F-1506-41EF-8FEC-A854B6D87C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8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4806" name="Picture@5C\QPendientes@" descr="@5C\QPendientes@">
          <a:extLst>
            <a:ext uri="{FF2B5EF4-FFF2-40B4-BE49-F238E27FC236}">
              <a16:creationId xmlns:a16="http://schemas.microsoft.com/office/drawing/2014/main" id="{A9ABB90B-FA67-4832-B917-1945605F07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0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4807" name="Picture@5C\QPendientes@" descr="@5C\QPendientes@">
          <a:extLst>
            <a:ext uri="{FF2B5EF4-FFF2-40B4-BE49-F238E27FC236}">
              <a16:creationId xmlns:a16="http://schemas.microsoft.com/office/drawing/2014/main" id="{B65100F4-65A6-433E-A711-C074D952FD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4808" name="Picture@5C\QPendientes@" descr="@5C\QPendientes@">
          <a:extLst>
            <a:ext uri="{FF2B5EF4-FFF2-40B4-BE49-F238E27FC236}">
              <a16:creationId xmlns:a16="http://schemas.microsoft.com/office/drawing/2014/main" id="{5B564B2E-8057-49C5-9EF8-1A862FA1FA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3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4809" name="Picture@5C\QPendientes@" descr="@5C\QPendientes@">
          <a:extLst>
            <a:ext uri="{FF2B5EF4-FFF2-40B4-BE49-F238E27FC236}">
              <a16:creationId xmlns:a16="http://schemas.microsoft.com/office/drawing/2014/main" id="{34B32061-84EE-48B9-BFFF-B45DF8F3F9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5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4905" name="Picture@5C\QPendientes@" descr="@5C\QPendientes@">
          <a:extLst>
            <a:ext uri="{FF2B5EF4-FFF2-40B4-BE49-F238E27FC236}">
              <a16:creationId xmlns:a16="http://schemas.microsoft.com/office/drawing/2014/main" id="{6F08264B-7B29-43C8-B3EF-0D5A6765BD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4906" name="Picture@5C\QPendientes@" descr="@5C\QPendientes@">
          <a:extLst>
            <a:ext uri="{FF2B5EF4-FFF2-40B4-BE49-F238E27FC236}">
              <a16:creationId xmlns:a16="http://schemas.microsoft.com/office/drawing/2014/main" id="{299ED6B5-3FBB-45EB-8EA5-66BC7165CD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4907" name="Picture@5C\QPendientes@" descr="@5C\QPendientes@">
          <a:extLst>
            <a:ext uri="{FF2B5EF4-FFF2-40B4-BE49-F238E27FC236}">
              <a16:creationId xmlns:a16="http://schemas.microsoft.com/office/drawing/2014/main" id="{BEE4915A-841A-49BC-986B-BBD54F1E8E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4908" name="Picture@5C\QPendientes@" descr="@5C\QPendientes@">
          <a:extLst>
            <a:ext uri="{FF2B5EF4-FFF2-40B4-BE49-F238E27FC236}">
              <a16:creationId xmlns:a16="http://schemas.microsoft.com/office/drawing/2014/main" id="{2A3DFA15-04F6-4D64-AE66-453CD6105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4909" name="Picture@5C\QPendientes@" descr="@5C\QPendientes@">
          <a:extLst>
            <a:ext uri="{FF2B5EF4-FFF2-40B4-BE49-F238E27FC236}">
              <a16:creationId xmlns:a16="http://schemas.microsoft.com/office/drawing/2014/main" id="{F08EEFD2-93B1-489D-8C99-2E0913747D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4910" name="Picture@5C\QPendientes@" descr="@5C\QPendientes@">
          <a:extLst>
            <a:ext uri="{FF2B5EF4-FFF2-40B4-BE49-F238E27FC236}">
              <a16:creationId xmlns:a16="http://schemas.microsoft.com/office/drawing/2014/main" id="{0BA83C39-F868-47BB-9069-E4D5BDDCC4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4911" name="Picture@5C\QPendientes@" descr="@5C\QPendientes@">
          <a:extLst>
            <a:ext uri="{FF2B5EF4-FFF2-40B4-BE49-F238E27FC236}">
              <a16:creationId xmlns:a16="http://schemas.microsoft.com/office/drawing/2014/main" id="{7DA3F6B4-FFBD-4A4F-8C61-5F86FB1B56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4912" name="Picture@5C\QPendientes@" descr="@5C\QPendientes@">
          <a:extLst>
            <a:ext uri="{FF2B5EF4-FFF2-40B4-BE49-F238E27FC236}">
              <a16:creationId xmlns:a16="http://schemas.microsoft.com/office/drawing/2014/main" id="{67D9DB7B-2B44-4674-BB05-F9BC1EFECA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4913" name="Picture@5C\QPendientes@" descr="@5C\QPendientes@">
          <a:extLst>
            <a:ext uri="{FF2B5EF4-FFF2-40B4-BE49-F238E27FC236}">
              <a16:creationId xmlns:a16="http://schemas.microsoft.com/office/drawing/2014/main" id="{84F44446-250F-4244-987B-F59BD49570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4914" name="Picture@5C\QPendientes@" descr="@5C\QPendientes@">
          <a:extLst>
            <a:ext uri="{FF2B5EF4-FFF2-40B4-BE49-F238E27FC236}">
              <a16:creationId xmlns:a16="http://schemas.microsoft.com/office/drawing/2014/main" id="{761AE21C-279D-4301-A5EF-CD3F98B486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4915" name="Picture@5C\QPendientes@" descr="@5C\QPendientes@">
          <a:extLst>
            <a:ext uri="{FF2B5EF4-FFF2-40B4-BE49-F238E27FC236}">
              <a16:creationId xmlns:a16="http://schemas.microsoft.com/office/drawing/2014/main" id="{9E1B41B5-417B-40CE-B853-BA8BDD074B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4916" name="Picture@5C\QPendientes@" descr="@5C\QPendientes@">
          <a:extLst>
            <a:ext uri="{FF2B5EF4-FFF2-40B4-BE49-F238E27FC236}">
              <a16:creationId xmlns:a16="http://schemas.microsoft.com/office/drawing/2014/main" id="{EB5FF01B-2B48-4F02-95F0-8003FB6990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4917" name="Picture@5C\QPendientes@" descr="@5C\QPendientes@">
          <a:extLst>
            <a:ext uri="{FF2B5EF4-FFF2-40B4-BE49-F238E27FC236}">
              <a16:creationId xmlns:a16="http://schemas.microsoft.com/office/drawing/2014/main" id="{297A3901-8372-4C90-958C-1BDF9619D5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4918" name="Picture@5C\QPendientes@" descr="@5C\QPendientes@">
          <a:extLst>
            <a:ext uri="{FF2B5EF4-FFF2-40B4-BE49-F238E27FC236}">
              <a16:creationId xmlns:a16="http://schemas.microsoft.com/office/drawing/2014/main" id="{37C20520-DFD0-4D02-9150-20283410A3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4919" name="Picture@5C\QPendientes@" descr="@5C\QPendientes@">
          <a:extLst>
            <a:ext uri="{FF2B5EF4-FFF2-40B4-BE49-F238E27FC236}">
              <a16:creationId xmlns:a16="http://schemas.microsoft.com/office/drawing/2014/main" id="{171E0759-508D-409A-BE24-4A3F6F374F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4920" name="Picture@5C\QPendientes@" descr="@5C\QPendientes@">
          <a:extLst>
            <a:ext uri="{FF2B5EF4-FFF2-40B4-BE49-F238E27FC236}">
              <a16:creationId xmlns:a16="http://schemas.microsoft.com/office/drawing/2014/main" id="{38FB74BA-5488-48D7-8BD6-8D0C22843B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4921" name="Picture@5C\QPendientes@" descr="@5C\QPendientes@">
          <a:extLst>
            <a:ext uri="{FF2B5EF4-FFF2-40B4-BE49-F238E27FC236}">
              <a16:creationId xmlns:a16="http://schemas.microsoft.com/office/drawing/2014/main" id="{3CD29505-7FE9-4330-A530-1A7A4578AF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4922" name="Picture@5C\QPendientes@" descr="@5C\QPendientes@">
          <a:extLst>
            <a:ext uri="{FF2B5EF4-FFF2-40B4-BE49-F238E27FC236}">
              <a16:creationId xmlns:a16="http://schemas.microsoft.com/office/drawing/2014/main" id="{9E11ED8B-73A1-4DCF-BABC-8ACF3B8963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4923" name="Picture@5C\QPendientes@" descr="@5C\QPendientes@">
          <a:extLst>
            <a:ext uri="{FF2B5EF4-FFF2-40B4-BE49-F238E27FC236}">
              <a16:creationId xmlns:a16="http://schemas.microsoft.com/office/drawing/2014/main" id="{D9417551-B44F-45DC-AC01-AE03C54728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4924" name="Picture@5C\QPendientes@" descr="@5C\QPendientes@">
          <a:extLst>
            <a:ext uri="{FF2B5EF4-FFF2-40B4-BE49-F238E27FC236}">
              <a16:creationId xmlns:a16="http://schemas.microsoft.com/office/drawing/2014/main" id="{3224E816-3F00-4C9B-BD2D-09751372EE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4925" name="Picture@5C\QPendientes@" descr="@5C\QPendientes@">
          <a:extLst>
            <a:ext uri="{FF2B5EF4-FFF2-40B4-BE49-F238E27FC236}">
              <a16:creationId xmlns:a16="http://schemas.microsoft.com/office/drawing/2014/main" id="{56F0C479-FF54-4355-B5DF-454F203A16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4926" name="Picture@5C\QPendientes@" descr="@5C\QPendientes@">
          <a:extLst>
            <a:ext uri="{FF2B5EF4-FFF2-40B4-BE49-F238E27FC236}">
              <a16:creationId xmlns:a16="http://schemas.microsoft.com/office/drawing/2014/main" id="{1082374C-CDFA-4834-8C2A-4508731635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4927" name="Picture@5C\QPendientes@" descr="@5C\QPendientes@">
          <a:extLst>
            <a:ext uri="{FF2B5EF4-FFF2-40B4-BE49-F238E27FC236}">
              <a16:creationId xmlns:a16="http://schemas.microsoft.com/office/drawing/2014/main" id="{D44F870C-DBDA-4B12-B50F-703FA7B772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179" name="Picture@5C\QPendientes@" descr="@5C\QPendientes@">
          <a:extLst>
            <a:ext uri="{FF2B5EF4-FFF2-40B4-BE49-F238E27FC236}">
              <a16:creationId xmlns:a16="http://schemas.microsoft.com/office/drawing/2014/main" id="{9EAF611D-C5BA-4937-841B-7013B4B98D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180" name="Picture@5C\QPendientes@" descr="@5C\QPendientes@">
          <a:extLst>
            <a:ext uri="{FF2B5EF4-FFF2-40B4-BE49-F238E27FC236}">
              <a16:creationId xmlns:a16="http://schemas.microsoft.com/office/drawing/2014/main" id="{62FB6EF0-D84A-4674-BE5E-DF371FE3BE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181" name="Picture@5C\QPendientes@" descr="@5C\QPendientes@">
          <a:extLst>
            <a:ext uri="{FF2B5EF4-FFF2-40B4-BE49-F238E27FC236}">
              <a16:creationId xmlns:a16="http://schemas.microsoft.com/office/drawing/2014/main" id="{9A85401F-6E41-429A-AFF1-E17369609D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182" name="Picture@5C\QPendientes@" descr="@5C\QPendientes@">
          <a:extLst>
            <a:ext uri="{FF2B5EF4-FFF2-40B4-BE49-F238E27FC236}">
              <a16:creationId xmlns:a16="http://schemas.microsoft.com/office/drawing/2014/main" id="{719BDD34-C12A-44C5-89AF-3862536950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183" name="Picture@5C\QPendientes@" descr="@5C\QPendientes@">
          <a:extLst>
            <a:ext uri="{FF2B5EF4-FFF2-40B4-BE49-F238E27FC236}">
              <a16:creationId xmlns:a16="http://schemas.microsoft.com/office/drawing/2014/main" id="{DFF2872A-181A-411A-8FAC-5EAC727DEC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2184" name="Picture@5C\QPendientes@" descr="@5C\QPendientes@">
          <a:extLst>
            <a:ext uri="{FF2B5EF4-FFF2-40B4-BE49-F238E27FC236}">
              <a16:creationId xmlns:a16="http://schemas.microsoft.com/office/drawing/2014/main" id="{52140BB0-A071-47ED-A038-50C8DB3D5F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2185" name="Picture@5C\QPendientes@" descr="@5C\QPendientes@">
          <a:extLst>
            <a:ext uri="{FF2B5EF4-FFF2-40B4-BE49-F238E27FC236}">
              <a16:creationId xmlns:a16="http://schemas.microsoft.com/office/drawing/2014/main" id="{CA359297-D9FD-498E-A0AB-BDCCB404D8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3079" name="Picture@5C\QPendientes@" descr="@5C\QPendientes@">
          <a:extLst>
            <a:ext uri="{FF2B5EF4-FFF2-40B4-BE49-F238E27FC236}">
              <a16:creationId xmlns:a16="http://schemas.microsoft.com/office/drawing/2014/main" id="{30D16B02-6458-49A7-8757-A3ED80CC47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3080" name="Picture@5C\QPendientes@" descr="@5C\QPendientes@">
          <a:extLst>
            <a:ext uri="{FF2B5EF4-FFF2-40B4-BE49-F238E27FC236}">
              <a16:creationId xmlns:a16="http://schemas.microsoft.com/office/drawing/2014/main" id="{234A3DBB-EB20-4F01-AE73-EEE5751637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3081" name="Picture@5C\QPendientes@" descr="@5C\QPendientes@">
          <a:extLst>
            <a:ext uri="{FF2B5EF4-FFF2-40B4-BE49-F238E27FC236}">
              <a16:creationId xmlns:a16="http://schemas.microsoft.com/office/drawing/2014/main" id="{A2F98B4E-E140-42BB-835D-06C9DC0CC2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3082" name="Picture@5C\QPendientes@" descr="@5C\QPendientes@">
          <a:extLst>
            <a:ext uri="{FF2B5EF4-FFF2-40B4-BE49-F238E27FC236}">
              <a16:creationId xmlns:a16="http://schemas.microsoft.com/office/drawing/2014/main" id="{FD1646A4-3870-4C1A-B6BF-898B1F25F4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083" name="Picture@5C\QPendientes@" descr="@5C\QPendientes@">
          <a:extLst>
            <a:ext uri="{FF2B5EF4-FFF2-40B4-BE49-F238E27FC236}">
              <a16:creationId xmlns:a16="http://schemas.microsoft.com/office/drawing/2014/main" id="{4F09C813-2AD5-40D5-9C87-1E18B9E739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084" name="Picture@5C\QPendientes@" descr="@5C\QPendientes@">
          <a:extLst>
            <a:ext uri="{FF2B5EF4-FFF2-40B4-BE49-F238E27FC236}">
              <a16:creationId xmlns:a16="http://schemas.microsoft.com/office/drawing/2014/main" id="{4BBFA03E-FC8E-4725-B49A-C6AB144DCD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085" name="Picture@5C\QPendientes@" descr="@5C\QPendientes@">
          <a:extLst>
            <a:ext uri="{FF2B5EF4-FFF2-40B4-BE49-F238E27FC236}">
              <a16:creationId xmlns:a16="http://schemas.microsoft.com/office/drawing/2014/main" id="{3BE02466-D22D-43CB-802C-8FA62D96DF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767" name="Picture@5C\QPendientes@" descr="@5C\QPendientes@">
          <a:extLst>
            <a:ext uri="{FF2B5EF4-FFF2-40B4-BE49-F238E27FC236}">
              <a16:creationId xmlns:a16="http://schemas.microsoft.com/office/drawing/2014/main" id="{EB8BC30C-6781-408C-9A9D-D882E628E4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3768" name="Picture@5C\QPendientes@" descr="@5C\QPendientes@">
          <a:extLst>
            <a:ext uri="{FF2B5EF4-FFF2-40B4-BE49-F238E27FC236}">
              <a16:creationId xmlns:a16="http://schemas.microsoft.com/office/drawing/2014/main" id="{E43D18A5-993E-4A63-9C77-6C10E977DF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3769" name="Picture@5C\QPendientes@" descr="@5C\QPendientes@">
          <a:extLst>
            <a:ext uri="{FF2B5EF4-FFF2-40B4-BE49-F238E27FC236}">
              <a16:creationId xmlns:a16="http://schemas.microsoft.com/office/drawing/2014/main" id="{F54CFE53-0806-4B7A-A27B-E8D56A219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3770" name="Picture@5C\QPendientes@" descr="@5C\QPendientes@">
          <a:extLst>
            <a:ext uri="{FF2B5EF4-FFF2-40B4-BE49-F238E27FC236}">
              <a16:creationId xmlns:a16="http://schemas.microsoft.com/office/drawing/2014/main" id="{E2A3F22C-3EE4-4630-BE63-5362DE1EF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3771" name="Picture@5C\QPendientes@" descr="@5C\QPendientes@">
          <a:extLst>
            <a:ext uri="{FF2B5EF4-FFF2-40B4-BE49-F238E27FC236}">
              <a16:creationId xmlns:a16="http://schemas.microsoft.com/office/drawing/2014/main" id="{AE6AA1E5-F92C-478F-B893-D09E4BEEB6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3772" name="Picture@5C\QPendientes@" descr="@5C\QPendientes@">
          <a:extLst>
            <a:ext uri="{FF2B5EF4-FFF2-40B4-BE49-F238E27FC236}">
              <a16:creationId xmlns:a16="http://schemas.microsoft.com/office/drawing/2014/main" id="{BD9DA46B-ACCB-4191-BEAB-811718B643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3773" name="Picture@5C\QPendientes@" descr="@5C\QPendientes@">
          <a:extLst>
            <a:ext uri="{FF2B5EF4-FFF2-40B4-BE49-F238E27FC236}">
              <a16:creationId xmlns:a16="http://schemas.microsoft.com/office/drawing/2014/main" id="{7C93C1B9-AC0D-4B78-950D-C72A4A6F92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3774" name="Picture@5C\QPendientes@" descr="@5C\QPendientes@">
          <a:extLst>
            <a:ext uri="{FF2B5EF4-FFF2-40B4-BE49-F238E27FC236}">
              <a16:creationId xmlns:a16="http://schemas.microsoft.com/office/drawing/2014/main" id="{264FA557-DC9F-41DE-85E7-4FBB460E04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3775" name="Picture@5C\QPendientes@" descr="@5C\QPendientes@">
          <a:extLst>
            <a:ext uri="{FF2B5EF4-FFF2-40B4-BE49-F238E27FC236}">
              <a16:creationId xmlns:a16="http://schemas.microsoft.com/office/drawing/2014/main" id="{93750497-4144-416E-A414-20751F3F73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4096" name="Picture@5C\QPendientes@" descr="@5C\QPendientes@">
          <a:extLst>
            <a:ext uri="{FF2B5EF4-FFF2-40B4-BE49-F238E27FC236}">
              <a16:creationId xmlns:a16="http://schemas.microsoft.com/office/drawing/2014/main" id="{65FF3DEA-0A22-4D76-8628-7A1FF9DFFB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4097" name="Picture@5C\QPendientes@" descr="@5C\QPendientes@">
          <a:extLst>
            <a:ext uri="{FF2B5EF4-FFF2-40B4-BE49-F238E27FC236}">
              <a16:creationId xmlns:a16="http://schemas.microsoft.com/office/drawing/2014/main" id="{365BED2A-157B-44A2-B8B9-1619EF9C3C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4098" name="Picture@5C\QPendientes@" descr="@5C\QPendientes@">
          <a:extLst>
            <a:ext uri="{FF2B5EF4-FFF2-40B4-BE49-F238E27FC236}">
              <a16:creationId xmlns:a16="http://schemas.microsoft.com/office/drawing/2014/main" id="{2AF32F51-A6EE-45EC-A5F6-ED965C9CD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4099" name="Picture@5C\QPendientes@" descr="@5C\QPendientes@">
          <a:extLst>
            <a:ext uri="{FF2B5EF4-FFF2-40B4-BE49-F238E27FC236}">
              <a16:creationId xmlns:a16="http://schemas.microsoft.com/office/drawing/2014/main" id="{44B1E82A-3F2D-46BF-BBC0-B147E125C5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4100" name="Picture@5C\QPendientes@" descr="@5C\QPendientes@">
          <a:extLst>
            <a:ext uri="{FF2B5EF4-FFF2-40B4-BE49-F238E27FC236}">
              <a16:creationId xmlns:a16="http://schemas.microsoft.com/office/drawing/2014/main" id="{79C4930E-7B31-4B72-951E-9BD755E29E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4101" name="Picture@5C\QPendientes@" descr="@5C\QPendientes@">
          <a:extLst>
            <a:ext uri="{FF2B5EF4-FFF2-40B4-BE49-F238E27FC236}">
              <a16:creationId xmlns:a16="http://schemas.microsoft.com/office/drawing/2014/main" id="{92DA2298-C5E1-49D5-90FF-C280006527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4102" name="Picture@5C\QPendientes@" descr="@5C\QPendientes@">
          <a:extLst>
            <a:ext uri="{FF2B5EF4-FFF2-40B4-BE49-F238E27FC236}">
              <a16:creationId xmlns:a16="http://schemas.microsoft.com/office/drawing/2014/main" id="{ADD8F3BC-0E51-47DE-BE06-F2CC80B45E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4103" name="Picture@5C\QPendientes@" descr="@5C\QPendientes@">
          <a:extLst>
            <a:ext uri="{FF2B5EF4-FFF2-40B4-BE49-F238E27FC236}">
              <a16:creationId xmlns:a16="http://schemas.microsoft.com/office/drawing/2014/main" id="{D8ECDF51-AAA4-46C7-BC57-7EB5ECD4E8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4104" name="Picture@5C\QPendientes@" descr="@5C\QPendientes@">
          <a:extLst>
            <a:ext uri="{FF2B5EF4-FFF2-40B4-BE49-F238E27FC236}">
              <a16:creationId xmlns:a16="http://schemas.microsoft.com/office/drawing/2014/main" id="{E9ACAEC4-9FFC-470D-B981-6C3972EF7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4105" name="Picture@5C\QPendientes@" descr="@5C\QPendientes@">
          <a:extLst>
            <a:ext uri="{FF2B5EF4-FFF2-40B4-BE49-F238E27FC236}">
              <a16:creationId xmlns:a16="http://schemas.microsoft.com/office/drawing/2014/main" id="{8C029CF4-3EF4-4D5C-AFDC-C8B767BC0F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4106" name="Picture@5C\QPendientes@" descr="@5C\QPendientes@">
          <a:extLst>
            <a:ext uri="{FF2B5EF4-FFF2-40B4-BE49-F238E27FC236}">
              <a16:creationId xmlns:a16="http://schemas.microsoft.com/office/drawing/2014/main" id="{13079157-3824-4F6D-B815-DDE861B061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4107" name="Picture@5C\QPendientes@" descr="@5C\QPendientes@">
          <a:extLst>
            <a:ext uri="{FF2B5EF4-FFF2-40B4-BE49-F238E27FC236}">
              <a16:creationId xmlns:a16="http://schemas.microsoft.com/office/drawing/2014/main" id="{06AB7A46-F648-4E0D-B546-E425C0459A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4108" name="Picture@5C\QPendientes@" descr="@5C\QPendientes@">
          <a:extLst>
            <a:ext uri="{FF2B5EF4-FFF2-40B4-BE49-F238E27FC236}">
              <a16:creationId xmlns:a16="http://schemas.microsoft.com/office/drawing/2014/main" id="{4706E284-06A7-4EF8-9CA5-46A0D04E98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4109" name="Picture@5C\QPendientes@" descr="@5C\QPendientes@">
          <a:extLst>
            <a:ext uri="{FF2B5EF4-FFF2-40B4-BE49-F238E27FC236}">
              <a16:creationId xmlns:a16="http://schemas.microsoft.com/office/drawing/2014/main" id="{E1468FBD-44A7-4701-A6FB-C42464934C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4110" name="Picture@5C\QPendientes@" descr="@5C\QPendientes@">
          <a:extLst>
            <a:ext uri="{FF2B5EF4-FFF2-40B4-BE49-F238E27FC236}">
              <a16:creationId xmlns:a16="http://schemas.microsoft.com/office/drawing/2014/main" id="{246E1B88-C25A-487F-BE70-DBA8410442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4111" name="Picture@5C\QPendientes@" descr="@5C\QPendientes@">
          <a:extLst>
            <a:ext uri="{FF2B5EF4-FFF2-40B4-BE49-F238E27FC236}">
              <a16:creationId xmlns:a16="http://schemas.microsoft.com/office/drawing/2014/main" id="{81F33B76-53D7-4996-AFB0-CAE94EA90E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4112" name="Picture@5C\QPendientes@" descr="@5C\QPendientes@">
          <a:extLst>
            <a:ext uri="{FF2B5EF4-FFF2-40B4-BE49-F238E27FC236}">
              <a16:creationId xmlns:a16="http://schemas.microsoft.com/office/drawing/2014/main" id="{F50E14DC-A9B4-4774-A6AB-1931773D0A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4113" name="Picture@5C\QPendientes@" descr="@5C\QPendientes@">
          <a:extLst>
            <a:ext uri="{FF2B5EF4-FFF2-40B4-BE49-F238E27FC236}">
              <a16:creationId xmlns:a16="http://schemas.microsoft.com/office/drawing/2014/main" id="{83CCBC2A-C3CC-41FF-8151-01296D5C9E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4114" name="Picture@5C\QPendientes@" descr="@5C\QPendientes@">
          <a:extLst>
            <a:ext uri="{FF2B5EF4-FFF2-40B4-BE49-F238E27FC236}">
              <a16:creationId xmlns:a16="http://schemas.microsoft.com/office/drawing/2014/main" id="{ABB2F099-C37E-4D81-AF90-9BE2400EAB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4115" name="Picture@5C\QPendientes@" descr="@5C\QPendientes@">
          <a:extLst>
            <a:ext uri="{FF2B5EF4-FFF2-40B4-BE49-F238E27FC236}">
              <a16:creationId xmlns:a16="http://schemas.microsoft.com/office/drawing/2014/main" id="{CA27AF19-51CA-44DB-94CC-EE0A4EA8AA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4116" name="Picture@5C\QPendientes@" descr="@5C\QPendientes@">
          <a:extLst>
            <a:ext uri="{FF2B5EF4-FFF2-40B4-BE49-F238E27FC236}">
              <a16:creationId xmlns:a16="http://schemas.microsoft.com/office/drawing/2014/main" id="{927AB2C0-ADCA-4D67-A3B1-D25605B368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4117" name="Picture@5C\QPendientes@" descr="@5C\QPendientes@">
          <a:extLst>
            <a:ext uri="{FF2B5EF4-FFF2-40B4-BE49-F238E27FC236}">
              <a16:creationId xmlns:a16="http://schemas.microsoft.com/office/drawing/2014/main" id="{0DE046F1-4283-4C88-80E9-4D1893F5A4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4928" name="Picture@5C\QPendientes@" descr="@5C\QPendientes@">
          <a:extLst>
            <a:ext uri="{FF2B5EF4-FFF2-40B4-BE49-F238E27FC236}">
              <a16:creationId xmlns:a16="http://schemas.microsoft.com/office/drawing/2014/main" id="{99C47437-98FC-450F-BCB6-15D542F22A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4929" name="Picture@5C\QPendientes@" descr="@5C\QPendientes@">
          <a:extLst>
            <a:ext uri="{FF2B5EF4-FFF2-40B4-BE49-F238E27FC236}">
              <a16:creationId xmlns:a16="http://schemas.microsoft.com/office/drawing/2014/main" id="{962A7786-8F7D-4142-B42C-6BDDB603A4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0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4930" name="Picture@5C\QPendientes@" descr="@5C\QPendientes@">
          <a:extLst>
            <a:ext uri="{FF2B5EF4-FFF2-40B4-BE49-F238E27FC236}">
              <a16:creationId xmlns:a16="http://schemas.microsoft.com/office/drawing/2014/main" id="{5FE6E5BC-B0C7-4881-96BB-789B088DF5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98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4931" name="Picture@5C\QPendientes@" descr="@5C\QPendientes@">
          <a:extLst>
            <a:ext uri="{FF2B5EF4-FFF2-40B4-BE49-F238E27FC236}">
              <a16:creationId xmlns:a16="http://schemas.microsoft.com/office/drawing/2014/main" id="{1B7BFA11-CF28-4412-84C6-1F80777175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16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4932" name="Picture@5C\QPendientes@" descr="@5C\QPendientes@">
          <a:extLst>
            <a:ext uri="{FF2B5EF4-FFF2-40B4-BE49-F238E27FC236}">
              <a16:creationId xmlns:a16="http://schemas.microsoft.com/office/drawing/2014/main" id="{AFF54341-3239-4521-A86D-F1F24F49C7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5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4933" name="Picture@5C\QPendientes@" descr="@5C\QPendientes@">
          <a:extLst>
            <a:ext uri="{FF2B5EF4-FFF2-40B4-BE49-F238E27FC236}">
              <a16:creationId xmlns:a16="http://schemas.microsoft.com/office/drawing/2014/main" id="{38F27E56-6B4F-419D-B547-C08FDD52AF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3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4934" name="Picture@5C\QPendientes@" descr="@5C\QPendientes@">
          <a:extLst>
            <a:ext uri="{FF2B5EF4-FFF2-40B4-BE49-F238E27FC236}">
              <a16:creationId xmlns:a16="http://schemas.microsoft.com/office/drawing/2014/main" id="{7C0254B7-FF10-494E-B69D-D6140B6BE6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1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4935" name="Picture@5C\QPendientes@" descr="@5C\QPendientes@">
          <a:extLst>
            <a:ext uri="{FF2B5EF4-FFF2-40B4-BE49-F238E27FC236}">
              <a16:creationId xmlns:a16="http://schemas.microsoft.com/office/drawing/2014/main" id="{81D55713-0786-4347-BA51-CDA0C3A56A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89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4936" name="Picture@5C\QPendientes@" descr="@5C\QPendientes@">
          <a:extLst>
            <a:ext uri="{FF2B5EF4-FFF2-40B4-BE49-F238E27FC236}">
              <a16:creationId xmlns:a16="http://schemas.microsoft.com/office/drawing/2014/main" id="{64945374-B272-4EFF-8167-11E996081D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08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4937" name="Picture@5C\QPendientes@" descr="@5C\QPendientes@">
          <a:extLst>
            <a:ext uri="{FF2B5EF4-FFF2-40B4-BE49-F238E27FC236}">
              <a16:creationId xmlns:a16="http://schemas.microsoft.com/office/drawing/2014/main" id="{2A7ADA53-B7EC-4BD8-945D-D30E34D893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6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4938" name="Picture@5C\QPendientes@" descr="@5C\QPendientes@">
          <a:extLst>
            <a:ext uri="{FF2B5EF4-FFF2-40B4-BE49-F238E27FC236}">
              <a16:creationId xmlns:a16="http://schemas.microsoft.com/office/drawing/2014/main" id="{709B15F7-7D8D-4466-834C-0A92E43594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4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4939" name="Picture@5C\QPendientes@" descr="@5C\QPendientes@">
          <a:extLst>
            <a:ext uri="{FF2B5EF4-FFF2-40B4-BE49-F238E27FC236}">
              <a16:creationId xmlns:a16="http://schemas.microsoft.com/office/drawing/2014/main" id="{CF7ACACB-1F6E-4519-86E4-9CB66776FF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3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4940" name="Picture@5C\QPendientes@" descr="@5C\QPendientes@">
          <a:extLst>
            <a:ext uri="{FF2B5EF4-FFF2-40B4-BE49-F238E27FC236}">
              <a16:creationId xmlns:a16="http://schemas.microsoft.com/office/drawing/2014/main" id="{3B12B31F-ACE6-4D4A-B7D5-EEC8E01A2F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1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4941" name="Picture@5C\QPendientes@" descr="@5C\QPendientes@">
          <a:extLst>
            <a:ext uri="{FF2B5EF4-FFF2-40B4-BE49-F238E27FC236}">
              <a16:creationId xmlns:a16="http://schemas.microsoft.com/office/drawing/2014/main" id="{AAF98455-2298-46FA-AA37-AB430D94CB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99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4942" name="Picture@5C\QPendientes@" descr="@5C\QPendientes@">
          <a:extLst>
            <a:ext uri="{FF2B5EF4-FFF2-40B4-BE49-F238E27FC236}">
              <a16:creationId xmlns:a16="http://schemas.microsoft.com/office/drawing/2014/main" id="{6465BDE8-4E7A-4D9A-A1A0-1637631835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17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4943" name="Picture@5C\QPendientes@" descr="@5C\QPendientes@">
          <a:extLst>
            <a:ext uri="{FF2B5EF4-FFF2-40B4-BE49-F238E27FC236}">
              <a16:creationId xmlns:a16="http://schemas.microsoft.com/office/drawing/2014/main" id="{35D52FDC-4247-4B4E-8163-A532182D0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6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4944" name="Picture@5C\QPendientes@" descr="@5C\QPendientes@">
          <a:extLst>
            <a:ext uri="{FF2B5EF4-FFF2-40B4-BE49-F238E27FC236}">
              <a16:creationId xmlns:a16="http://schemas.microsoft.com/office/drawing/2014/main" id="{528B0AB5-00F5-4B4D-8605-8F803DD117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4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4945" name="Picture@5C\QPendientes@" descr="@5C\QPendientes@">
          <a:extLst>
            <a:ext uri="{FF2B5EF4-FFF2-40B4-BE49-F238E27FC236}">
              <a16:creationId xmlns:a16="http://schemas.microsoft.com/office/drawing/2014/main" id="{4D153B1E-8917-499D-8161-B110EAC6E9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2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4946" name="Picture@5C\QPendientes@" descr="@5C\QPendientes@">
          <a:extLst>
            <a:ext uri="{FF2B5EF4-FFF2-40B4-BE49-F238E27FC236}">
              <a16:creationId xmlns:a16="http://schemas.microsoft.com/office/drawing/2014/main" id="{589F1AD8-A158-4E6F-850E-B49692BAE0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1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4947" name="Picture@5C\QPendientes@" descr="@5C\QPendientes@">
          <a:extLst>
            <a:ext uri="{FF2B5EF4-FFF2-40B4-BE49-F238E27FC236}">
              <a16:creationId xmlns:a16="http://schemas.microsoft.com/office/drawing/2014/main" id="{21C20C40-80F9-4191-A094-1D9366FE9E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09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4948" name="Picture@5C\QPendientes@" descr="@5C\QPendientes@">
          <a:extLst>
            <a:ext uri="{FF2B5EF4-FFF2-40B4-BE49-F238E27FC236}">
              <a16:creationId xmlns:a16="http://schemas.microsoft.com/office/drawing/2014/main" id="{77D146A6-3AEC-428D-8D10-5E6F41A90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7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4949" name="Picture@5C\QPendientes@" descr="@5C\QPendientes@">
          <a:extLst>
            <a:ext uri="{FF2B5EF4-FFF2-40B4-BE49-F238E27FC236}">
              <a16:creationId xmlns:a16="http://schemas.microsoft.com/office/drawing/2014/main" id="{21B907AC-2C86-4AEC-9A51-8969CF580D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5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4950" name="Picture@5C\QPendientes@" descr="@5C\QPendientes@">
          <a:extLst>
            <a:ext uri="{FF2B5EF4-FFF2-40B4-BE49-F238E27FC236}">
              <a16:creationId xmlns:a16="http://schemas.microsoft.com/office/drawing/2014/main" id="{9A41E546-B490-4F93-91CE-EC7FE2EAF2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4951" name="Picture@5C\QPendientes@" descr="@5C\QPendientes@">
          <a:extLst>
            <a:ext uri="{FF2B5EF4-FFF2-40B4-BE49-F238E27FC236}">
              <a16:creationId xmlns:a16="http://schemas.microsoft.com/office/drawing/2014/main" id="{D99CE707-B6FC-4014-B6E2-FBBD44B3E1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2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4952" name="Picture@5C\QPendientes@" descr="@5C\QPendientes@">
          <a:extLst>
            <a:ext uri="{FF2B5EF4-FFF2-40B4-BE49-F238E27FC236}">
              <a16:creationId xmlns:a16="http://schemas.microsoft.com/office/drawing/2014/main" id="{FF61C9EA-7D40-4CD3-BD5C-ED63D3E0CD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0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4953" name="Picture@5C\QPendientes@" descr="@5C\QPendientes@">
          <a:extLst>
            <a:ext uri="{FF2B5EF4-FFF2-40B4-BE49-F238E27FC236}">
              <a16:creationId xmlns:a16="http://schemas.microsoft.com/office/drawing/2014/main" id="{06C7991F-5BBE-40EE-AD72-8F2BE1EEA9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4954" name="Picture@5C\QPendientes@" descr="@5C\QPendientes@">
          <a:extLst>
            <a:ext uri="{FF2B5EF4-FFF2-40B4-BE49-F238E27FC236}">
              <a16:creationId xmlns:a16="http://schemas.microsoft.com/office/drawing/2014/main" id="{2D99CBC3-F791-4CB9-A114-30927E4388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4955" name="Picture@5C\QPendientes@" descr="@5C\QPendientes@">
          <a:extLst>
            <a:ext uri="{FF2B5EF4-FFF2-40B4-BE49-F238E27FC236}">
              <a16:creationId xmlns:a16="http://schemas.microsoft.com/office/drawing/2014/main" id="{7C478798-C17B-451A-A6C4-691D70B962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4956" name="Picture@5C\QPendientes@" descr="@5C\QPendientes@">
          <a:extLst>
            <a:ext uri="{FF2B5EF4-FFF2-40B4-BE49-F238E27FC236}">
              <a16:creationId xmlns:a16="http://schemas.microsoft.com/office/drawing/2014/main" id="{314B3B73-CFFD-4327-B34F-5DCF77C944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4957" name="Picture@5C\QPendientes@" descr="@5C\QPendientes@">
          <a:extLst>
            <a:ext uri="{FF2B5EF4-FFF2-40B4-BE49-F238E27FC236}">
              <a16:creationId xmlns:a16="http://schemas.microsoft.com/office/drawing/2014/main" id="{5CEF7618-ED14-4C5D-AFF6-D2AECC68E3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2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4958" name="Picture@5C\QPendientes@" descr="@5C\QPendientes@">
          <a:extLst>
            <a:ext uri="{FF2B5EF4-FFF2-40B4-BE49-F238E27FC236}">
              <a16:creationId xmlns:a16="http://schemas.microsoft.com/office/drawing/2014/main" id="{F5E5B7C4-2DAA-4830-86AC-15A568873A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10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4959" name="Picture@5C\QPendientes@" descr="@5C\QPendientes@">
          <a:extLst>
            <a:ext uri="{FF2B5EF4-FFF2-40B4-BE49-F238E27FC236}">
              <a16:creationId xmlns:a16="http://schemas.microsoft.com/office/drawing/2014/main" id="{44E66D03-3D6C-4427-86FB-50A54139C8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4960" name="Picture@5C\QPendientes@" descr="@5C\QPendientes@">
          <a:extLst>
            <a:ext uri="{FF2B5EF4-FFF2-40B4-BE49-F238E27FC236}">
              <a16:creationId xmlns:a16="http://schemas.microsoft.com/office/drawing/2014/main" id="{6B34E2EB-325C-47CF-8228-718C8248FA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7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4961" name="Picture@5C\QPendientes@" descr="@5C\QPendientes@">
          <a:extLst>
            <a:ext uri="{FF2B5EF4-FFF2-40B4-BE49-F238E27FC236}">
              <a16:creationId xmlns:a16="http://schemas.microsoft.com/office/drawing/2014/main" id="{54857B35-D0EC-493A-92FE-994BBABBD0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5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4962" name="Picture@5C\QPendientes@" descr="@5C\QPendientes@">
          <a:extLst>
            <a:ext uri="{FF2B5EF4-FFF2-40B4-BE49-F238E27FC236}">
              <a16:creationId xmlns:a16="http://schemas.microsoft.com/office/drawing/2014/main" id="{AD50B5EA-F694-45C3-AC34-76F2AB3BB9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3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4963" name="Picture@5C\QPendientes@" descr="@5C\QPendientes@">
          <a:extLst>
            <a:ext uri="{FF2B5EF4-FFF2-40B4-BE49-F238E27FC236}">
              <a16:creationId xmlns:a16="http://schemas.microsoft.com/office/drawing/2014/main" id="{C1FB9C70-1B25-4400-92B2-79B885289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1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4964" name="Picture@5C\QPendientes@" descr="@5C\QPendientes@">
          <a:extLst>
            <a:ext uri="{FF2B5EF4-FFF2-40B4-BE49-F238E27FC236}">
              <a16:creationId xmlns:a16="http://schemas.microsoft.com/office/drawing/2014/main" id="{77F9A3B0-AF89-4EB1-9F26-8403B36024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20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4965" name="Picture@5C\QPendientes@" descr="@5C\QPendientes@">
          <a:extLst>
            <a:ext uri="{FF2B5EF4-FFF2-40B4-BE49-F238E27FC236}">
              <a16:creationId xmlns:a16="http://schemas.microsoft.com/office/drawing/2014/main" id="{386B3F20-59AD-4D2A-82AD-5CCAFDE400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8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4966" name="Picture@5C\QPendientes@" descr="@5C\QPendientes@">
          <a:extLst>
            <a:ext uri="{FF2B5EF4-FFF2-40B4-BE49-F238E27FC236}">
              <a16:creationId xmlns:a16="http://schemas.microsoft.com/office/drawing/2014/main" id="{DD736229-0D07-4556-8B51-88E99FE48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6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4967" name="Picture@5C\QPendientes@" descr="@5C\QPendientes@">
          <a:extLst>
            <a:ext uri="{FF2B5EF4-FFF2-40B4-BE49-F238E27FC236}">
              <a16:creationId xmlns:a16="http://schemas.microsoft.com/office/drawing/2014/main" id="{E5775EE1-DA3E-4190-974D-BEB13376B3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5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4968" name="Picture@5C\QPendientes@" descr="@5C\QPendientes@">
          <a:extLst>
            <a:ext uri="{FF2B5EF4-FFF2-40B4-BE49-F238E27FC236}">
              <a16:creationId xmlns:a16="http://schemas.microsoft.com/office/drawing/2014/main" id="{7C6E32DA-CFF2-43B8-8EF9-8838C8FCA2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3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4969" name="Picture@5C\QPendientes@" descr="@5C\QPendientes@">
          <a:extLst>
            <a:ext uri="{FF2B5EF4-FFF2-40B4-BE49-F238E27FC236}">
              <a16:creationId xmlns:a16="http://schemas.microsoft.com/office/drawing/2014/main" id="{61E85A01-5E1B-4E87-8FB7-F85C2FD8D5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11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4970" name="Picture@5C\QPendientes@" descr="@5C\QPendientes@">
          <a:extLst>
            <a:ext uri="{FF2B5EF4-FFF2-40B4-BE49-F238E27FC236}">
              <a16:creationId xmlns:a16="http://schemas.microsoft.com/office/drawing/2014/main" id="{2794104D-5B00-4872-9ABD-D9AE7B53CD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9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4971" name="Picture@5C\QPendientes@" descr="@5C\QPendientes@">
          <a:extLst>
            <a:ext uri="{FF2B5EF4-FFF2-40B4-BE49-F238E27FC236}">
              <a16:creationId xmlns:a16="http://schemas.microsoft.com/office/drawing/2014/main" id="{1A705E56-3D2F-438A-AD8D-3BF8CC7F40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8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4972" name="Picture@5C\QPendientes@" descr="@5C\QPendientes@">
          <a:extLst>
            <a:ext uri="{FF2B5EF4-FFF2-40B4-BE49-F238E27FC236}">
              <a16:creationId xmlns:a16="http://schemas.microsoft.com/office/drawing/2014/main" id="{810CA693-473B-4869-AC37-1907127912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6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4973" name="Picture@5C\QPendientes@" descr="@5C\QPendientes@">
          <a:extLst>
            <a:ext uri="{FF2B5EF4-FFF2-40B4-BE49-F238E27FC236}">
              <a16:creationId xmlns:a16="http://schemas.microsoft.com/office/drawing/2014/main" id="{DF42BCA2-E73A-47A2-8020-BF96DD3B1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4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4974" name="Picture@5C\QPendientes@" descr="@5C\QPendientes@">
          <a:extLst>
            <a:ext uri="{FF2B5EF4-FFF2-40B4-BE49-F238E27FC236}">
              <a16:creationId xmlns:a16="http://schemas.microsoft.com/office/drawing/2014/main" id="{BD9A2AC7-08BD-4F55-A68D-F125B8EE72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03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4975" name="Picture@5C\QPendientes@" descr="@5C\QPendientes@">
          <a:extLst>
            <a:ext uri="{FF2B5EF4-FFF2-40B4-BE49-F238E27FC236}">
              <a16:creationId xmlns:a16="http://schemas.microsoft.com/office/drawing/2014/main" id="{39652C03-7E8C-4A9C-A32E-A3F96BDDFF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21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4976" name="Picture@5C\QPendientes@" descr="@5C\QPendientes@">
          <a:extLst>
            <a:ext uri="{FF2B5EF4-FFF2-40B4-BE49-F238E27FC236}">
              <a16:creationId xmlns:a16="http://schemas.microsoft.com/office/drawing/2014/main" id="{6982E81F-3C04-46E5-B6FF-8B1F368F35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9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4977" name="Picture@5C\QPendientes@" descr="@5C\QPendientes@">
          <a:extLst>
            <a:ext uri="{FF2B5EF4-FFF2-40B4-BE49-F238E27FC236}">
              <a16:creationId xmlns:a16="http://schemas.microsoft.com/office/drawing/2014/main" id="{6FDED2BA-253E-460E-BD27-67138537CA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7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4978" name="Picture@5C\QPendientes@" descr="@5C\QPendientes@">
          <a:extLst>
            <a:ext uri="{FF2B5EF4-FFF2-40B4-BE49-F238E27FC236}">
              <a16:creationId xmlns:a16="http://schemas.microsoft.com/office/drawing/2014/main" id="{5F0DDCB3-299E-445D-B634-25F0065C49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6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4979" name="Picture@5C\QPendientes@" descr="@5C\QPendientes@">
          <a:extLst>
            <a:ext uri="{FF2B5EF4-FFF2-40B4-BE49-F238E27FC236}">
              <a16:creationId xmlns:a16="http://schemas.microsoft.com/office/drawing/2014/main" id="{B0E14B5D-3AD5-409B-BF4F-771896F3F5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4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4980" name="Picture@5C\QPendientes@" descr="@5C\QPendientes@">
          <a:extLst>
            <a:ext uri="{FF2B5EF4-FFF2-40B4-BE49-F238E27FC236}">
              <a16:creationId xmlns:a16="http://schemas.microsoft.com/office/drawing/2014/main" id="{934CF143-AD0F-4FB3-AF07-A86537A339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12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4981" name="Picture@5C\QPendientes@" descr="@5C\QPendientes@">
          <a:extLst>
            <a:ext uri="{FF2B5EF4-FFF2-40B4-BE49-F238E27FC236}">
              <a16:creationId xmlns:a16="http://schemas.microsoft.com/office/drawing/2014/main" id="{A42B7B78-C165-493C-9078-02BE5F317A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31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4982" name="Picture@5C\QPendientes@" descr="@5C\QPendientes@">
          <a:extLst>
            <a:ext uri="{FF2B5EF4-FFF2-40B4-BE49-F238E27FC236}">
              <a16:creationId xmlns:a16="http://schemas.microsoft.com/office/drawing/2014/main" id="{5E21BD48-CFAB-4E07-A16B-CE81C3BECF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9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4983" name="Picture@5C\QPendientes@" descr="@5C\QPendientes@">
          <a:extLst>
            <a:ext uri="{FF2B5EF4-FFF2-40B4-BE49-F238E27FC236}">
              <a16:creationId xmlns:a16="http://schemas.microsoft.com/office/drawing/2014/main" id="{2CFBD35F-9CB7-4A68-91F8-3A5E233B0A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7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4984" name="Picture@5C\QPendientes@" descr="@5C\QPendientes@">
          <a:extLst>
            <a:ext uri="{FF2B5EF4-FFF2-40B4-BE49-F238E27FC236}">
              <a16:creationId xmlns:a16="http://schemas.microsoft.com/office/drawing/2014/main" id="{5D190DF7-9E5A-4388-A397-D83D584327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6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4985" name="Picture@5C\QPendientes@" descr="@5C\QPendientes@">
          <a:extLst>
            <a:ext uri="{FF2B5EF4-FFF2-40B4-BE49-F238E27FC236}">
              <a16:creationId xmlns:a16="http://schemas.microsoft.com/office/drawing/2014/main" id="{AABF5A27-000F-47A9-8A4A-F8795DBA5F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04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4986" name="Picture@5C\QPendientes@" descr="@5C\QPendientes@">
          <a:extLst>
            <a:ext uri="{FF2B5EF4-FFF2-40B4-BE49-F238E27FC236}">
              <a16:creationId xmlns:a16="http://schemas.microsoft.com/office/drawing/2014/main" id="{5E20373A-1571-4293-9AF6-23A557576E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22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4987" name="Picture@5C\QPendientes@" descr="@5C\QPendientes@">
          <a:extLst>
            <a:ext uri="{FF2B5EF4-FFF2-40B4-BE49-F238E27FC236}">
              <a16:creationId xmlns:a16="http://schemas.microsoft.com/office/drawing/2014/main" id="{12840D25-25A1-49F1-B39E-F4CE078C32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40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4988" name="Picture@5C\QPendientes@" descr="@5C\QPendientes@">
          <a:extLst>
            <a:ext uri="{FF2B5EF4-FFF2-40B4-BE49-F238E27FC236}">
              <a16:creationId xmlns:a16="http://schemas.microsoft.com/office/drawing/2014/main" id="{ED1D0925-ACA4-44CE-8494-13D85AB5B9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9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4989" name="Picture@5C\QPendientes@" descr="@5C\QPendientes@">
          <a:extLst>
            <a:ext uri="{FF2B5EF4-FFF2-40B4-BE49-F238E27FC236}">
              <a16:creationId xmlns:a16="http://schemas.microsoft.com/office/drawing/2014/main" id="{13E7B7A3-0249-4263-9248-9BCA0D3FE4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7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4990" name="Picture@5C\QPendientes@" descr="@5C\QPendientes@">
          <a:extLst>
            <a:ext uri="{FF2B5EF4-FFF2-40B4-BE49-F238E27FC236}">
              <a16:creationId xmlns:a16="http://schemas.microsoft.com/office/drawing/2014/main" id="{25C4FECE-F7BE-4607-801C-2D14EF3FE5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95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4991" name="Picture@5C\QPendientes@" descr="@5C\QPendientes@">
          <a:extLst>
            <a:ext uri="{FF2B5EF4-FFF2-40B4-BE49-F238E27FC236}">
              <a16:creationId xmlns:a16="http://schemas.microsoft.com/office/drawing/2014/main" id="{FADC405B-5393-4A95-8175-E91F4D58F4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14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4992" name="Picture@5C\QPendientes@" descr="@5C\QPendientes@">
          <a:extLst>
            <a:ext uri="{FF2B5EF4-FFF2-40B4-BE49-F238E27FC236}">
              <a16:creationId xmlns:a16="http://schemas.microsoft.com/office/drawing/2014/main" id="{B92506CE-E2E7-4516-A01F-588F63CD0D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32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4993" name="Picture@5C\QPendientes@" descr="@5C\QPendientes@">
          <a:extLst>
            <a:ext uri="{FF2B5EF4-FFF2-40B4-BE49-F238E27FC236}">
              <a16:creationId xmlns:a16="http://schemas.microsoft.com/office/drawing/2014/main" id="{4EBF1C6C-0C37-4F4C-BFAB-211E6E3055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50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4994" name="Picture@5C\QPendientes@" descr="@5C\QPendientes@">
          <a:extLst>
            <a:ext uri="{FF2B5EF4-FFF2-40B4-BE49-F238E27FC236}">
              <a16:creationId xmlns:a16="http://schemas.microsoft.com/office/drawing/2014/main" id="{C286DDEB-D172-42CB-8501-476223E50D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8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4995" name="Picture@5C\QPendientes@" descr="@5C\QPendientes@">
          <a:extLst>
            <a:ext uri="{FF2B5EF4-FFF2-40B4-BE49-F238E27FC236}">
              <a16:creationId xmlns:a16="http://schemas.microsoft.com/office/drawing/2014/main" id="{C93472ED-FB55-4D29-8F17-73C905ECB6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87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4996" name="Picture@5C\QPendientes@" descr="@5C\QPendientes@">
          <a:extLst>
            <a:ext uri="{FF2B5EF4-FFF2-40B4-BE49-F238E27FC236}">
              <a16:creationId xmlns:a16="http://schemas.microsoft.com/office/drawing/2014/main" id="{424B8F78-346E-402A-A6ED-82E66A71D0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05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4997" name="Picture@5C\QPendientes@" descr="@5C\QPendientes@">
          <a:extLst>
            <a:ext uri="{FF2B5EF4-FFF2-40B4-BE49-F238E27FC236}">
              <a16:creationId xmlns:a16="http://schemas.microsoft.com/office/drawing/2014/main" id="{38F7F5A1-0500-4056-87D1-579672FC52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23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4998" name="Picture@5C\QPendientes@" descr="@5C\QPendientes@">
          <a:extLst>
            <a:ext uri="{FF2B5EF4-FFF2-40B4-BE49-F238E27FC236}">
              <a16:creationId xmlns:a16="http://schemas.microsoft.com/office/drawing/2014/main" id="{ADF6D01B-C490-4E8C-92B5-067241632F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42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4999" name="Picture@5C\QPendientes@" descr="@5C\QPendientes@">
          <a:extLst>
            <a:ext uri="{FF2B5EF4-FFF2-40B4-BE49-F238E27FC236}">
              <a16:creationId xmlns:a16="http://schemas.microsoft.com/office/drawing/2014/main" id="{196A2D05-A985-499B-B8D0-191945F9C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0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5000" name="Picture@5C\QPendientes@" descr="@5C\QPendientes@">
          <a:extLst>
            <a:ext uri="{FF2B5EF4-FFF2-40B4-BE49-F238E27FC236}">
              <a16:creationId xmlns:a16="http://schemas.microsoft.com/office/drawing/2014/main" id="{FBE52A03-2703-46CA-A500-78A82B2D78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78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5001" name="Picture@5C\QPendientes@" descr="@5C\QPendientes@">
          <a:extLst>
            <a:ext uri="{FF2B5EF4-FFF2-40B4-BE49-F238E27FC236}">
              <a16:creationId xmlns:a16="http://schemas.microsoft.com/office/drawing/2014/main" id="{48D3E60E-2052-46D9-9E80-58EA8BEB7B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96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5002" name="Picture@5C\QPendientes@" descr="@5C\QPendientes@">
          <a:extLst>
            <a:ext uri="{FF2B5EF4-FFF2-40B4-BE49-F238E27FC236}">
              <a16:creationId xmlns:a16="http://schemas.microsoft.com/office/drawing/2014/main" id="{AFC6FDCD-C8BA-4E58-B8EF-087165608A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15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5003" name="Picture@5C\QPendientes@" descr="@5C\QPendientes@">
          <a:extLst>
            <a:ext uri="{FF2B5EF4-FFF2-40B4-BE49-F238E27FC236}">
              <a16:creationId xmlns:a16="http://schemas.microsoft.com/office/drawing/2014/main" id="{4476F0C9-47B1-447E-8843-8345D96D75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33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5004" name="Picture@5C\QPendientes@" descr="@5C\QPendientes@">
          <a:extLst>
            <a:ext uri="{FF2B5EF4-FFF2-40B4-BE49-F238E27FC236}">
              <a16:creationId xmlns:a16="http://schemas.microsoft.com/office/drawing/2014/main" id="{5915AD98-10D4-4A2C-9394-3AF2C586CA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51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5005" name="Picture@5C\QPendientes@" descr="@5C\QPendientes@">
          <a:extLst>
            <a:ext uri="{FF2B5EF4-FFF2-40B4-BE49-F238E27FC236}">
              <a16:creationId xmlns:a16="http://schemas.microsoft.com/office/drawing/2014/main" id="{CD27F535-F7A0-4BF6-BA72-5956A5DC22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0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5006" name="Picture@5C\QPendientes@" descr="@5C\QPendientes@">
          <a:extLst>
            <a:ext uri="{FF2B5EF4-FFF2-40B4-BE49-F238E27FC236}">
              <a16:creationId xmlns:a16="http://schemas.microsoft.com/office/drawing/2014/main" id="{3BD808DD-4047-401E-96CC-BAA9EF46C6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88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5007" name="Picture@5C\QPendientes@" descr="@5C\QPendientes@">
          <a:extLst>
            <a:ext uri="{FF2B5EF4-FFF2-40B4-BE49-F238E27FC236}">
              <a16:creationId xmlns:a16="http://schemas.microsoft.com/office/drawing/2014/main" id="{D47EB6FB-D31B-4A89-B4AD-A1CB571B1B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06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5008" name="Picture@5C\QPendientes@" descr="@5C\QPendientes@">
          <a:extLst>
            <a:ext uri="{FF2B5EF4-FFF2-40B4-BE49-F238E27FC236}">
              <a16:creationId xmlns:a16="http://schemas.microsoft.com/office/drawing/2014/main" id="{FA5908DC-D7F9-4CC7-9153-BCF123D3B6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24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5009" name="Picture@5C\QPendientes@" descr="@5C\QPendientes@">
          <a:extLst>
            <a:ext uri="{FF2B5EF4-FFF2-40B4-BE49-F238E27FC236}">
              <a16:creationId xmlns:a16="http://schemas.microsoft.com/office/drawing/2014/main" id="{8FF7477B-E409-46AA-97A6-82083EB40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43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5010" name="Picture@5C\QPendientes@" descr="@5C\QPendientes@">
          <a:extLst>
            <a:ext uri="{FF2B5EF4-FFF2-40B4-BE49-F238E27FC236}">
              <a16:creationId xmlns:a16="http://schemas.microsoft.com/office/drawing/2014/main" id="{8FAE7694-4584-4A98-94C5-E593904817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1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5011" name="Picture@5C\QPendientes@" descr="@5C\QPendientes@">
          <a:extLst>
            <a:ext uri="{FF2B5EF4-FFF2-40B4-BE49-F238E27FC236}">
              <a16:creationId xmlns:a16="http://schemas.microsoft.com/office/drawing/2014/main" id="{4B594EB9-51D9-4024-A8B8-D9602262E0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79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5012" name="Picture@5C\QPendientes@" descr="@5C\QPendientes@">
          <a:extLst>
            <a:ext uri="{FF2B5EF4-FFF2-40B4-BE49-F238E27FC236}">
              <a16:creationId xmlns:a16="http://schemas.microsoft.com/office/drawing/2014/main" id="{0B4D50D9-1360-478D-BBB3-4B4F334A77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98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5013" name="Picture@5C\QPendientes@" descr="@5C\QPendientes@">
          <a:extLst>
            <a:ext uri="{FF2B5EF4-FFF2-40B4-BE49-F238E27FC236}">
              <a16:creationId xmlns:a16="http://schemas.microsoft.com/office/drawing/2014/main" id="{C5A4454B-811D-4E15-A835-138066E7D7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16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5014" name="Picture@5C\QPendientes@" descr="@5C\QPendientes@">
          <a:extLst>
            <a:ext uri="{FF2B5EF4-FFF2-40B4-BE49-F238E27FC236}">
              <a16:creationId xmlns:a16="http://schemas.microsoft.com/office/drawing/2014/main" id="{9B99E6D6-A2E9-4722-8B67-D90A2BCB67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34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5015" name="Picture@5C\QPendientes@" descr="@5C\QPendientes@">
          <a:extLst>
            <a:ext uri="{FF2B5EF4-FFF2-40B4-BE49-F238E27FC236}">
              <a16:creationId xmlns:a16="http://schemas.microsoft.com/office/drawing/2014/main" id="{6BFEE06E-D90C-4A45-BD00-199A0445D1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2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5016" name="Picture@5C\QPendientes@" descr="@5C\QPendientes@">
          <a:extLst>
            <a:ext uri="{FF2B5EF4-FFF2-40B4-BE49-F238E27FC236}">
              <a16:creationId xmlns:a16="http://schemas.microsoft.com/office/drawing/2014/main" id="{9747FC4B-BF70-4E34-A14A-6B077DBC1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1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5017" name="Picture@5C\QPendientes@" descr="@5C\QPendientes@">
          <a:extLst>
            <a:ext uri="{FF2B5EF4-FFF2-40B4-BE49-F238E27FC236}">
              <a16:creationId xmlns:a16="http://schemas.microsoft.com/office/drawing/2014/main" id="{E766D901-2DA9-4F3E-8007-780C594F2E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89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5018" name="Picture@5C\QPendientes@" descr="@5C\QPendientes@">
          <a:extLst>
            <a:ext uri="{FF2B5EF4-FFF2-40B4-BE49-F238E27FC236}">
              <a16:creationId xmlns:a16="http://schemas.microsoft.com/office/drawing/2014/main" id="{9D313035-3813-401F-8049-8DAF9A6036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07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5019" name="Picture@5C\QPendientes@" descr="@5C\QPendientes@">
          <a:extLst>
            <a:ext uri="{FF2B5EF4-FFF2-40B4-BE49-F238E27FC236}">
              <a16:creationId xmlns:a16="http://schemas.microsoft.com/office/drawing/2014/main" id="{B64AE827-FE75-43B4-B4FB-E1982DE63F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26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5020" name="Picture@5C\QPendientes@" descr="@5C\QPendientes@">
          <a:extLst>
            <a:ext uri="{FF2B5EF4-FFF2-40B4-BE49-F238E27FC236}">
              <a16:creationId xmlns:a16="http://schemas.microsoft.com/office/drawing/2014/main" id="{8705D73A-3980-4F03-9E3C-FDDF32A942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4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5021" name="Picture@5C\QPendientes@" descr="@5C\QPendientes@">
          <a:extLst>
            <a:ext uri="{FF2B5EF4-FFF2-40B4-BE49-F238E27FC236}">
              <a16:creationId xmlns:a16="http://schemas.microsoft.com/office/drawing/2014/main" id="{DEB5CC4F-FC2B-4F4D-B985-2A8168263D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2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5022" name="Picture@5C\QPendientes@" descr="@5C\QPendientes@">
          <a:extLst>
            <a:ext uri="{FF2B5EF4-FFF2-40B4-BE49-F238E27FC236}">
              <a16:creationId xmlns:a16="http://schemas.microsoft.com/office/drawing/2014/main" id="{4A8CDC4E-C701-4281-BD86-9CD3301A7F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0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5023" name="Picture@5C\QPendientes@" descr="@5C\QPendientes@">
          <a:extLst>
            <a:ext uri="{FF2B5EF4-FFF2-40B4-BE49-F238E27FC236}">
              <a16:creationId xmlns:a16="http://schemas.microsoft.com/office/drawing/2014/main" id="{550634EE-E2C3-49CB-ACF4-FCABB5FBC8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99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5024" name="Picture@5C\QPendientes@" descr="@5C\QPendientes@">
          <a:extLst>
            <a:ext uri="{FF2B5EF4-FFF2-40B4-BE49-F238E27FC236}">
              <a16:creationId xmlns:a16="http://schemas.microsoft.com/office/drawing/2014/main" id="{3525489A-33BC-401E-A496-F50D5B90BC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17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5025" name="Picture@5C\QPendientes@" descr="@5C\QPendientes@">
          <a:extLst>
            <a:ext uri="{FF2B5EF4-FFF2-40B4-BE49-F238E27FC236}">
              <a16:creationId xmlns:a16="http://schemas.microsoft.com/office/drawing/2014/main" id="{8B200FA1-33B2-499F-B667-5163BB89AC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35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5026" name="Picture@5C\QPendientes@" descr="@5C\QPendientes@">
          <a:extLst>
            <a:ext uri="{FF2B5EF4-FFF2-40B4-BE49-F238E27FC236}">
              <a16:creationId xmlns:a16="http://schemas.microsoft.com/office/drawing/2014/main" id="{6D7546B2-9F4E-4953-BF0B-49ABEE245A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4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5027" name="Picture@5C\QPendientes@" descr="@5C\QPendientes@">
          <a:extLst>
            <a:ext uri="{FF2B5EF4-FFF2-40B4-BE49-F238E27FC236}">
              <a16:creationId xmlns:a16="http://schemas.microsoft.com/office/drawing/2014/main" id="{3F1A222A-4E80-4650-9BDF-1FEF008BC0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2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5028" name="Picture@5C\QPendientes@" descr="@5C\QPendientes@">
          <a:extLst>
            <a:ext uri="{FF2B5EF4-FFF2-40B4-BE49-F238E27FC236}">
              <a16:creationId xmlns:a16="http://schemas.microsoft.com/office/drawing/2014/main" id="{17AE837A-97DD-4046-9CBF-486BC2E24B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0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5029" name="Picture@5C\QPendientes@" descr="@5C\QPendientes@">
          <a:extLst>
            <a:ext uri="{FF2B5EF4-FFF2-40B4-BE49-F238E27FC236}">
              <a16:creationId xmlns:a16="http://schemas.microsoft.com/office/drawing/2014/main" id="{CDAA8098-4E1E-4FA2-B41C-932F2031EB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08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5030" name="Picture@5C\QPendientes@" descr="@5C\QPendientes@">
          <a:extLst>
            <a:ext uri="{FF2B5EF4-FFF2-40B4-BE49-F238E27FC236}">
              <a16:creationId xmlns:a16="http://schemas.microsoft.com/office/drawing/2014/main" id="{C190FC78-59E3-4DB8-9CFB-D909FC261C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27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5031" name="Picture@5C\QPendientes@" descr="@5C\QPendientes@">
          <a:extLst>
            <a:ext uri="{FF2B5EF4-FFF2-40B4-BE49-F238E27FC236}">
              <a16:creationId xmlns:a16="http://schemas.microsoft.com/office/drawing/2014/main" id="{93B16D31-4408-48DC-A5B4-CE2022C3D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5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5032" name="Picture@5C\QPendientes@" descr="@5C\QPendientes@">
          <a:extLst>
            <a:ext uri="{FF2B5EF4-FFF2-40B4-BE49-F238E27FC236}">
              <a16:creationId xmlns:a16="http://schemas.microsoft.com/office/drawing/2014/main" id="{D055A79B-E659-430C-B959-599728FDB2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3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5033" name="Picture@5C\QPendientes@" descr="@5C\QPendientes@">
          <a:extLst>
            <a:ext uri="{FF2B5EF4-FFF2-40B4-BE49-F238E27FC236}">
              <a16:creationId xmlns:a16="http://schemas.microsoft.com/office/drawing/2014/main" id="{5FCF76BF-B55A-4D18-AC09-F670EC1E57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2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5034" name="Picture@5C\QPendientes@" descr="@5C\QPendientes@">
          <a:extLst>
            <a:ext uri="{FF2B5EF4-FFF2-40B4-BE49-F238E27FC236}">
              <a16:creationId xmlns:a16="http://schemas.microsoft.com/office/drawing/2014/main" id="{1F1ED0DD-7E98-46F1-82D1-4EDAC2E28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0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5035" name="Picture@5C\QPendientes@" descr="@5C\QPendientes@">
          <a:extLst>
            <a:ext uri="{FF2B5EF4-FFF2-40B4-BE49-F238E27FC236}">
              <a16:creationId xmlns:a16="http://schemas.microsoft.com/office/drawing/2014/main" id="{0168D94D-3DD4-42F7-9DBA-21D25552CE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18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5036" name="Picture@5C\QPendientes@" descr="@5C\QPendientes@">
          <a:extLst>
            <a:ext uri="{FF2B5EF4-FFF2-40B4-BE49-F238E27FC236}">
              <a16:creationId xmlns:a16="http://schemas.microsoft.com/office/drawing/2014/main" id="{F1ECD492-32E3-4B40-9F78-5F27822AD3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6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5037" name="Picture@5C\QPendientes@" descr="@5C\QPendientes@">
          <a:extLst>
            <a:ext uri="{FF2B5EF4-FFF2-40B4-BE49-F238E27FC236}">
              <a16:creationId xmlns:a16="http://schemas.microsoft.com/office/drawing/2014/main" id="{7D3066F7-6153-409A-A607-D0D9114B8A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5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5038" name="Picture@5C\QPendientes@" descr="@5C\QPendientes@">
          <a:extLst>
            <a:ext uri="{FF2B5EF4-FFF2-40B4-BE49-F238E27FC236}">
              <a16:creationId xmlns:a16="http://schemas.microsoft.com/office/drawing/2014/main" id="{1CF38228-50D4-4DBB-BC7B-0452C7E220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3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5039" name="Picture@5C\QPendientes@" descr="@5C\QPendientes@">
          <a:extLst>
            <a:ext uri="{FF2B5EF4-FFF2-40B4-BE49-F238E27FC236}">
              <a16:creationId xmlns:a16="http://schemas.microsoft.com/office/drawing/2014/main" id="{EE1A5D39-2D30-4C9C-8CEE-BC8442F897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1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5040" name="Picture@5C\QPendientes@" descr="@5C\QPendientes@">
          <a:extLst>
            <a:ext uri="{FF2B5EF4-FFF2-40B4-BE49-F238E27FC236}">
              <a16:creationId xmlns:a16="http://schemas.microsoft.com/office/drawing/2014/main" id="{21FC62D9-6D66-4C09-95B2-C48F554A7C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0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5041" name="Picture@5C\QPendientes@" descr="@5C\QPendientes@">
          <a:extLst>
            <a:ext uri="{FF2B5EF4-FFF2-40B4-BE49-F238E27FC236}">
              <a16:creationId xmlns:a16="http://schemas.microsoft.com/office/drawing/2014/main" id="{2ABC0767-B038-4967-ABBD-2CD0110AF6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8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5042" name="Picture@5C\QPendientes@" descr="@5C\QPendientes@">
          <a:extLst>
            <a:ext uri="{FF2B5EF4-FFF2-40B4-BE49-F238E27FC236}">
              <a16:creationId xmlns:a16="http://schemas.microsoft.com/office/drawing/2014/main" id="{824F7CEE-7E06-4922-AE88-9DD4E84894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6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5043" name="Picture@5C\QPendientes@" descr="@5C\QPendientes@">
          <a:extLst>
            <a:ext uri="{FF2B5EF4-FFF2-40B4-BE49-F238E27FC236}">
              <a16:creationId xmlns:a16="http://schemas.microsoft.com/office/drawing/2014/main" id="{6DD25C9B-14C3-41BF-B91F-D18D284957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4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5044" name="Picture@5C\QPendientes@" descr="@5C\QPendientes@">
          <a:extLst>
            <a:ext uri="{FF2B5EF4-FFF2-40B4-BE49-F238E27FC236}">
              <a16:creationId xmlns:a16="http://schemas.microsoft.com/office/drawing/2014/main" id="{47A7533A-8BE7-49A3-940A-DC2AA899DE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3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5045" name="Picture@5C\QPendientes@" descr="@5C\QPendientes@">
          <a:extLst>
            <a:ext uri="{FF2B5EF4-FFF2-40B4-BE49-F238E27FC236}">
              <a16:creationId xmlns:a16="http://schemas.microsoft.com/office/drawing/2014/main" id="{F7D0CA86-017F-4B62-BB55-7E4534B37F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1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5046" name="Picture@5C\QPendientes@" descr="@5C\QPendientes@">
          <a:extLst>
            <a:ext uri="{FF2B5EF4-FFF2-40B4-BE49-F238E27FC236}">
              <a16:creationId xmlns:a16="http://schemas.microsoft.com/office/drawing/2014/main" id="{19DCD993-4B62-46AA-AC1E-9F3C672B5E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19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5047" name="Picture@5C\QPendientes@" descr="@5C\QPendientes@">
          <a:extLst>
            <a:ext uri="{FF2B5EF4-FFF2-40B4-BE49-F238E27FC236}">
              <a16:creationId xmlns:a16="http://schemas.microsoft.com/office/drawing/2014/main" id="{56C95BF8-F9E4-455A-9B4E-D427A85EDD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5048" name="Picture@5C\QPendientes@" descr="@5C\QPendientes@">
          <a:extLst>
            <a:ext uri="{FF2B5EF4-FFF2-40B4-BE49-F238E27FC236}">
              <a16:creationId xmlns:a16="http://schemas.microsoft.com/office/drawing/2014/main" id="{70EDEB12-F009-4A42-8B73-081897D709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5049" name="Picture@5C\QPendientes@" descr="@5C\QPendientes@">
          <a:extLst>
            <a:ext uri="{FF2B5EF4-FFF2-40B4-BE49-F238E27FC236}">
              <a16:creationId xmlns:a16="http://schemas.microsoft.com/office/drawing/2014/main" id="{BED72950-ED9E-4259-BC30-3F166BB7D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5050" name="Picture@5C\QPendientes@" descr="@5C\QPendientes@">
          <a:extLst>
            <a:ext uri="{FF2B5EF4-FFF2-40B4-BE49-F238E27FC236}">
              <a16:creationId xmlns:a16="http://schemas.microsoft.com/office/drawing/2014/main" id="{D2C2FFE6-9DC7-4D01-8426-145142D764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3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5051" name="Picture@5C\QPendientes@" descr="@5C\QPendientes@">
          <a:extLst>
            <a:ext uri="{FF2B5EF4-FFF2-40B4-BE49-F238E27FC236}">
              <a16:creationId xmlns:a16="http://schemas.microsoft.com/office/drawing/2014/main" id="{A1C38E02-6C7A-4131-A7B6-5A7F191E5E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1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5052" name="Picture@5C\QPendientes@" descr="@5C\QPendientes@">
          <a:extLst>
            <a:ext uri="{FF2B5EF4-FFF2-40B4-BE49-F238E27FC236}">
              <a16:creationId xmlns:a16="http://schemas.microsoft.com/office/drawing/2014/main" id="{6D8D6EB2-176A-48EB-9CDC-CB42CE2A5B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5053" name="Picture@5C\QPendientes@" descr="@5C\QPendientes@">
          <a:extLst>
            <a:ext uri="{FF2B5EF4-FFF2-40B4-BE49-F238E27FC236}">
              <a16:creationId xmlns:a16="http://schemas.microsoft.com/office/drawing/2014/main" id="{94956EE8-F526-432C-AF5D-5ECD6F2AB2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5054" name="Picture@5C\QPendientes@" descr="@5C\QPendientes@">
          <a:extLst>
            <a:ext uri="{FF2B5EF4-FFF2-40B4-BE49-F238E27FC236}">
              <a16:creationId xmlns:a16="http://schemas.microsoft.com/office/drawing/2014/main" id="{ECC5C51B-B088-45BB-823C-3C5DAA16B5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6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5055" name="Picture@5C\QPendientes@" descr="@5C\QPendientes@">
          <a:extLst>
            <a:ext uri="{FF2B5EF4-FFF2-40B4-BE49-F238E27FC236}">
              <a16:creationId xmlns:a16="http://schemas.microsoft.com/office/drawing/2014/main" id="{F373097E-6D21-46D3-A4CE-EAF2398B20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4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5056" name="Picture@5C\QPendientes@" descr="@5C\QPendientes@">
          <a:extLst>
            <a:ext uri="{FF2B5EF4-FFF2-40B4-BE49-F238E27FC236}">
              <a16:creationId xmlns:a16="http://schemas.microsoft.com/office/drawing/2014/main" id="{B3CF2F70-4701-4B59-9CD0-18639284E7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2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5057" name="Picture@5C\QPendientes@" descr="@5C\QPendientes@">
          <a:extLst>
            <a:ext uri="{FF2B5EF4-FFF2-40B4-BE49-F238E27FC236}">
              <a16:creationId xmlns:a16="http://schemas.microsoft.com/office/drawing/2014/main" id="{3276E694-9A30-4801-B7A4-C8DE53D1E1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21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5058" name="Picture@5C\QPendientes@" descr="@5C\QPendientes@">
          <a:extLst>
            <a:ext uri="{FF2B5EF4-FFF2-40B4-BE49-F238E27FC236}">
              <a16:creationId xmlns:a16="http://schemas.microsoft.com/office/drawing/2014/main" id="{A73718E8-0481-42DF-8215-71B031D2DC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9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5059" name="Picture@5C\QPendientes@" descr="@5C\QPendientes@">
          <a:extLst>
            <a:ext uri="{FF2B5EF4-FFF2-40B4-BE49-F238E27FC236}">
              <a16:creationId xmlns:a16="http://schemas.microsoft.com/office/drawing/2014/main" id="{F060D626-8957-4695-AE15-DDE136E63B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7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5060" name="Picture@5C\QPendientes@" descr="@5C\QPendientes@">
          <a:extLst>
            <a:ext uri="{FF2B5EF4-FFF2-40B4-BE49-F238E27FC236}">
              <a16:creationId xmlns:a16="http://schemas.microsoft.com/office/drawing/2014/main" id="{452D662A-E04F-4808-9C86-CD77867D5C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5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5061" name="Picture@5C\QPendientes@" descr="@5C\QPendientes@">
          <a:extLst>
            <a:ext uri="{FF2B5EF4-FFF2-40B4-BE49-F238E27FC236}">
              <a16:creationId xmlns:a16="http://schemas.microsoft.com/office/drawing/2014/main" id="{AD84C146-671B-4478-91AE-3A0EE4F5E2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4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5062" name="Picture@5C\QPendientes@" descr="@5C\QPendientes@">
          <a:extLst>
            <a:ext uri="{FF2B5EF4-FFF2-40B4-BE49-F238E27FC236}">
              <a16:creationId xmlns:a16="http://schemas.microsoft.com/office/drawing/2014/main" id="{C7FCE69A-FBFD-4829-A9A9-357AE012F0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12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5063" name="Picture@5C\QPendientes@" descr="@5C\QPendientes@">
          <a:extLst>
            <a:ext uri="{FF2B5EF4-FFF2-40B4-BE49-F238E27FC236}">
              <a16:creationId xmlns:a16="http://schemas.microsoft.com/office/drawing/2014/main" id="{DBC64C21-C408-46B4-AA0A-3BBEAE74E2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30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5064" name="Picture@5C\QPendientes@" descr="@5C\QPendientes@">
          <a:extLst>
            <a:ext uri="{FF2B5EF4-FFF2-40B4-BE49-F238E27FC236}">
              <a16:creationId xmlns:a16="http://schemas.microsoft.com/office/drawing/2014/main" id="{02B2B85F-8B94-464D-96D2-1A7847FBAD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9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5065" name="Picture@5C\QPendientes@" descr="@5C\QPendientes@">
          <a:extLst>
            <a:ext uri="{FF2B5EF4-FFF2-40B4-BE49-F238E27FC236}">
              <a16:creationId xmlns:a16="http://schemas.microsoft.com/office/drawing/2014/main" id="{B3F5BF83-0086-4CB5-A002-E50D87692C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7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5066" name="Picture@5C\QPendientes@" descr="@5C\QPendientes@">
          <a:extLst>
            <a:ext uri="{FF2B5EF4-FFF2-40B4-BE49-F238E27FC236}">
              <a16:creationId xmlns:a16="http://schemas.microsoft.com/office/drawing/2014/main" id="{1DCFD196-DD82-4D7C-B004-3AD2A13ECB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5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5067" name="Picture@5C\QPendientes@" descr="@5C\QPendientes@">
          <a:extLst>
            <a:ext uri="{FF2B5EF4-FFF2-40B4-BE49-F238E27FC236}">
              <a16:creationId xmlns:a16="http://schemas.microsoft.com/office/drawing/2014/main" id="{0E33CDC9-513B-4F52-8C94-D423E6465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3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5068" name="Picture@5C\QPendientes@" descr="@5C\QPendientes@">
          <a:extLst>
            <a:ext uri="{FF2B5EF4-FFF2-40B4-BE49-F238E27FC236}">
              <a16:creationId xmlns:a16="http://schemas.microsoft.com/office/drawing/2014/main" id="{EE5C9EE1-D9B1-4995-800E-5378F4133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22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5069" name="Picture@5C\QPendientes@" descr="@5C\QPendientes@">
          <a:extLst>
            <a:ext uri="{FF2B5EF4-FFF2-40B4-BE49-F238E27FC236}">
              <a16:creationId xmlns:a16="http://schemas.microsoft.com/office/drawing/2014/main" id="{0767C143-14F0-4CE0-93EB-B5F46D76DE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40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5070" name="Picture@5C\QPendientes@" descr="@5C\QPendientes@">
          <a:extLst>
            <a:ext uri="{FF2B5EF4-FFF2-40B4-BE49-F238E27FC236}">
              <a16:creationId xmlns:a16="http://schemas.microsoft.com/office/drawing/2014/main" id="{B9F93715-B9EF-41BF-9AD2-241D3C32A6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8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5071" name="Picture@5C\QPendientes@" descr="@5C\QPendientes@">
          <a:extLst>
            <a:ext uri="{FF2B5EF4-FFF2-40B4-BE49-F238E27FC236}">
              <a16:creationId xmlns:a16="http://schemas.microsoft.com/office/drawing/2014/main" id="{B9B2B0A4-31BF-42C2-877E-CDCF175A2A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7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5072" name="Picture@5C\QPendientes@" descr="@5C\QPendientes@">
          <a:extLst>
            <a:ext uri="{FF2B5EF4-FFF2-40B4-BE49-F238E27FC236}">
              <a16:creationId xmlns:a16="http://schemas.microsoft.com/office/drawing/2014/main" id="{B5911EFB-2F58-4D26-B622-5F8F63389F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5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5073" name="Picture@5C\QPendientes@" descr="@5C\QPendientes@">
          <a:extLst>
            <a:ext uri="{FF2B5EF4-FFF2-40B4-BE49-F238E27FC236}">
              <a16:creationId xmlns:a16="http://schemas.microsoft.com/office/drawing/2014/main" id="{3F59DF7E-0916-424D-928B-619F7B9415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13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5074" name="Picture@5C\QPendientes@" descr="@5C\QPendientes@">
          <a:extLst>
            <a:ext uri="{FF2B5EF4-FFF2-40B4-BE49-F238E27FC236}">
              <a16:creationId xmlns:a16="http://schemas.microsoft.com/office/drawing/2014/main" id="{5BFABD23-429F-4EBC-9C22-D17E708FC6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31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5075" name="Picture@5C\QPendientes@" descr="@5C\QPendientes@">
          <a:extLst>
            <a:ext uri="{FF2B5EF4-FFF2-40B4-BE49-F238E27FC236}">
              <a16:creationId xmlns:a16="http://schemas.microsoft.com/office/drawing/2014/main" id="{41E66541-FE69-4402-ABBB-868A830C44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50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5076" name="Picture@5C\QPendientes@" descr="@5C\QPendientes@">
          <a:extLst>
            <a:ext uri="{FF2B5EF4-FFF2-40B4-BE49-F238E27FC236}">
              <a16:creationId xmlns:a16="http://schemas.microsoft.com/office/drawing/2014/main" id="{C4805F10-5E7C-4747-A1A0-87913145CC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8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5077" name="Picture@5C\QPendientes@" descr="@5C\QPendientes@">
          <a:extLst>
            <a:ext uri="{FF2B5EF4-FFF2-40B4-BE49-F238E27FC236}">
              <a16:creationId xmlns:a16="http://schemas.microsoft.com/office/drawing/2014/main" id="{063DA19F-5898-4EC1-9C30-066F6670F6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6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5078" name="Picture@5C\QPendientes@" descr="@5C\QPendientes@">
          <a:extLst>
            <a:ext uri="{FF2B5EF4-FFF2-40B4-BE49-F238E27FC236}">
              <a16:creationId xmlns:a16="http://schemas.microsoft.com/office/drawing/2014/main" id="{D031B488-AFE7-4A3B-ADF2-140EB564FC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05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5079" name="Picture@5C\QPendientes@" descr="@5C\QPendientes@">
          <a:extLst>
            <a:ext uri="{FF2B5EF4-FFF2-40B4-BE49-F238E27FC236}">
              <a16:creationId xmlns:a16="http://schemas.microsoft.com/office/drawing/2014/main" id="{DF27DBBE-EDC3-4F0A-8B36-DDB6145235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23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5080" name="Picture@5C\QPendientes@" descr="@5C\QPendientes@">
          <a:extLst>
            <a:ext uri="{FF2B5EF4-FFF2-40B4-BE49-F238E27FC236}">
              <a16:creationId xmlns:a16="http://schemas.microsoft.com/office/drawing/2014/main" id="{CB9479B0-184D-440D-904C-713E3B3D6A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41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5081" name="Picture@5C\QPendientes@" descr="@5C\QPendientes@">
          <a:extLst>
            <a:ext uri="{FF2B5EF4-FFF2-40B4-BE49-F238E27FC236}">
              <a16:creationId xmlns:a16="http://schemas.microsoft.com/office/drawing/2014/main" id="{431C4148-1ABF-4AC3-BF5F-CF16FE737D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9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5082" name="Picture@5C\QPendientes@" descr="@5C\QPendientes@">
          <a:extLst>
            <a:ext uri="{FF2B5EF4-FFF2-40B4-BE49-F238E27FC236}">
              <a16:creationId xmlns:a16="http://schemas.microsoft.com/office/drawing/2014/main" id="{483940A1-6D3A-4B9C-83AF-2A030AE0DA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8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5083" name="Picture@5C\QPendientes@" descr="@5C\QPendientes@">
          <a:extLst>
            <a:ext uri="{FF2B5EF4-FFF2-40B4-BE49-F238E27FC236}">
              <a16:creationId xmlns:a16="http://schemas.microsoft.com/office/drawing/2014/main" id="{FB2621DC-52C6-416C-841D-630451B29D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6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5084" name="Picture@5C\QPendientes@" descr="@5C\QPendientes@">
          <a:extLst>
            <a:ext uri="{FF2B5EF4-FFF2-40B4-BE49-F238E27FC236}">
              <a16:creationId xmlns:a16="http://schemas.microsoft.com/office/drawing/2014/main" id="{E7FD1A06-3BB3-4B7B-A2B4-68EBEC9C7F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14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5085" name="Picture@5C\QPendientes@" descr="@5C\QPendientes@">
          <a:extLst>
            <a:ext uri="{FF2B5EF4-FFF2-40B4-BE49-F238E27FC236}">
              <a16:creationId xmlns:a16="http://schemas.microsoft.com/office/drawing/2014/main" id="{1DE49808-963C-4C6A-AF92-51E7665E9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33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5086" name="Picture@5C\QPendientes@" descr="@5C\QPendientes@">
          <a:extLst>
            <a:ext uri="{FF2B5EF4-FFF2-40B4-BE49-F238E27FC236}">
              <a16:creationId xmlns:a16="http://schemas.microsoft.com/office/drawing/2014/main" id="{33449ECD-C8F9-4AE5-90A0-4290C7E9E7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51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5087" name="Picture@5C\QPendientes@" descr="@5C\QPendientes@">
          <a:extLst>
            <a:ext uri="{FF2B5EF4-FFF2-40B4-BE49-F238E27FC236}">
              <a16:creationId xmlns:a16="http://schemas.microsoft.com/office/drawing/2014/main" id="{9A1039B1-342B-4E9F-8DE9-36A3F0C533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9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5088" name="Picture@5C\QPendientes@" descr="@5C\QPendientes@">
          <a:extLst>
            <a:ext uri="{FF2B5EF4-FFF2-40B4-BE49-F238E27FC236}">
              <a16:creationId xmlns:a16="http://schemas.microsoft.com/office/drawing/2014/main" id="{D3124EAD-2CEA-497B-B8F0-D8614AEFAB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7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5089" name="Picture@5C\QPendientes@" descr="@5C\QPendientes@">
          <a:extLst>
            <a:ext uri="{FF2B5EF4-FFF2-40B4-BE49-F238E27FC236}">
              <a16:creationId xmlns:a16="http://schemas.microsoft.com/office/drawing/2014/main" id="{5D25FA43-F812-49F6-8122-CE2DCEC03A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06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5090" name="Picture@5C\QPendientes@" descr="@5C\QPendientes@">
          <a:extLst>
            <a:ext uri="{FF2B5EF4-FFF2-40B4-BE49-F238E27FC236}">
              <a16:creationId xmlns:a16="http://schemas.microsoft.com/office/drawing/2014/main" id="{BD994A70-0633-4424-8C58-164987A6FF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24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5091" name="Picture@5C\QPendientes@" descr="@5C\QPendientes@">
          <a:extLst>
            <a:ext uri="{FF2B5EF4-FFF2-40B4-BE49-F238E27FC236}">
              <a16:creationId xmlns:a16="http://schemas.microsoft.com/office/drawing/2014/main" id="{B1C74C76-7A58-4F98-B09C-9226D23F37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42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5092" name="Picture@5C\QPendientes@" descr="@5C\QPendientes@">
          <a:extLst>
            <a:ext uri="{FF2B5EF4-FFF2-40B4-BE49-F238E27FC236}">
              <a16:creationId xmlns:a16="http://schemas.microsoft.com/office/drawing/2014/main" id="{628C5282-FAF7-4838-B8D2-3B96764F5C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61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5093" name="Picture@5C\QPendientes@" descr="@5C\QPendientes@">
          <a:extLst>
            <a:ext uri="{FF2B5EF4-FFF2-40B4-BE49-F238E27FC236}">
              <a16:creationId xmlns:a16="http://schemas.microsoft.com/office/drawing/2014/main" id="{74D6DDE8-AD15-473B-B5E8-32BE00F4F6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9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5094" name="Picture@5C\QPendientes@" descr="@5C\QPendientes@">
          <a:extLst>
            <a:ext uri="{FF2B5EF4-FFF2-40B4-BE49-F238E27FC236}">
              <a16:creationId xmlns:a16="http://schemas.microsoft.com/office/drawing/2014/main" id="{BE2E7952-DB28-4CD6-845B-469A5BC9A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97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5095" name="Picture@5C\QPendientes@" descr="@5C\QPendientes@">
          <a:extLst>
            <a:ext uri="{FF2B5EF4-FFF2-40B4-BE49-F238E27FC236}">
              <a16:creationId xmlns:a16="http://schemas.microsoft.com/office/drawing/2014/main" id="{2ED020A0-4178-4F73-A2DA-F7886F8682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15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5096" name="Picture@5C\QPendientes@" descr="@5C\QPendientes@">
          <a:extLst>
            <a:ext uri="{FF2B5EF4-FFF2-40B4-BE49-F238E27FC236}">
              <a16:creationId xmlns:a16="http://schemas.microsoft.com/office/drawing/2014/main" id="{656F77A6-6F63-450C-9BD0-CEA0A0C0F0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34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5097" name="Picture@5C\QPendientes@" descr="@5C\QPendientes@">
          <a:extLst>
            <a:ext uri="{FF2B5EF4-FFF2-40B4-BE49-F238E27FC236}">
              <a16:creationId xmlns:a16="http://schemas.microsoft.com/office/drawing/2014/main" id="{E5155433-7533-4D28-8B81-8830696E8B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52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5098" name="Picture@5C\QPendientes@" descr="@5C\QPendientes@">
          <a:extLst>
            <a:ext uri="{FF2B5EF4-FFF2-40B4-BE49-F238E27FC236}">
              <a16:creationId xmlns:a16="http://schemas.microsoft.com/office/drawing/2014/main" id="{2663ABE4-ECDC-4D3C-9686-9F622CA7F1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0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5099" name="Picture@5C\QPendientes@" descr="@5C\QPendientes@">
          <a:extLst>
            <a:ext uri="{FF2B5EF4-FFF2-40B4-BE49-F238E27FC236}">
              <a16:creationId xmlns:a16="http://schemas.microsoft.com/office/drawing/2014/main" id="{C85AD9F4-545A-41B3-B544-984BDA46F0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8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5100" name="Picture@5C\QPendientes@" descr="@5C\QPendientes@">
          <a:extLst>
            <a:ext uri="{FF2B5EF4-FFF2-40B4-BE49-F238E27FC236}">
              <a16:creationId xmlns:a16="http://schemas.microsoft.com/office/drawing/2014/main" id="{59154EA5-4E87-40F5-A49F-610AA5B2C7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07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5101" name="Picture@5C\QPendientes@" descr="@5C\QPendientes@">
          <a:extLst>
            <a:ext uri="{FF2B5EF4-FFF2-40B4-BE49-F238E27FC236}">
              <a16:creationId xmlns:a16="http://schemas.microsoft.com/office/drawing/2014/main" id="{4EC8A4BD-3142-4EC4-A26B-8EAAF672C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25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5102" name="Picture@5C\QPendientes@" descr="@5C\QPendientes@">
          <a:extLst>
            <a:ext uri="{FF2B5EF4-FFF2-40B4-BE49-F238E27FC236}">
              <a16:creationId xmlns:a16="http://schemas.microsoft.com/office/drawing/2014/main" id="{A45789E4-3A46-4780-9784-F2AD84421A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43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5103" name="Picture@5C\QPendientes@" descr="@5C\QPendientes@">
          <a:extLst>
            <a:ext uri="{FF2B5EF4-FFF2-40B4-BE49-F238E27FC236}">
              <a16:creationId xmlns:a16="http://schemas.microsoft.com/office/drawing/2014/main" id="{5771D30A-570D-4708-930C-730CF950C0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62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5104" name="Picture@5C\QPendientes@" descr="@5C\QPendientes@">
          <a:extLst>
            <a:ext uri="{FF2B5EF4-FFF2-40B4-BE49-F238E27FC236}">
              <a16:creationId xmlns:a16="http://schemas.microsoft.com/office/drawing/2014/main" id="{6CF22F06-D592-4ADD-B972-F3881D980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0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5105" name="Picture@5C\QPendientes@" descr="@5C\QPendientes@">
          <a:extLst>
            <a:ext uri="{FF2B5EF4-FFF2-40B4-BE49-F238E27FC236}">
              <a16:creationId xmlns:a16="http://schemas.microsoft.com/office/drawing/2014/main" id="{D7CF3732-29E4-480A-91A8-CBDC92D7B8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98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5106" name="Picture@5C\QPendientes@" descr="@5C\QPendientes@">
          <a:extLst>
            <a:ext uri="{FF2B5EF4-FFF2-40B4-BE49-F238E27FC236}">
              <a16:creationId xmlns:a16="http://schemas.microsoft.com/office/drawing/2014/main" id="{21F842E9-5F7C-4AEA-9621-C92B143A5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17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5107" name="Picture@5C\QPendientes@" descr="@5C\QPendientes@">
          <a:extLst>
            <a:ext uri="{FF2B5EF4-FFF2-40B4-BE49-F238E27FC236}">
              <a16:creationId xmlns:a16="http://schemas.microsoft.com/office/drawing/2014/main" id="{A046626B-B4F3-4EDF-80C2-0DDF5CB153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35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5108" name="Picture@5C\QPendientes@" descr="@5C\QPendientes@">
          <a:extLst>
            <a:ext uri="{FF2B5EF4-FFF2-40B4-BE49-F238E27FC236}">
              <a16:creationId xmlns:a16="http://schemas.microsoft.com/office/drawing/2014/main" id="{2264DD7F-6650-46D2-BF78-9E82760C7B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53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5109" name="Picture@5C\QPendientes@" descr="@5C\QPendientes@">
          <a:extLst>
            <a:ext uri="{FF2B5EF4-FFF2-40B4-BE49-F238E27FC236}">
              <a16:creationId xmlns:a16="http://schemas.microsoft.com/office/drawing/2014/main" id="{992BA0E3-8B5F-42C6-862E-A398967E17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2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5110" name="Picture@5C\QPendientes@" descr="@5C\QPendientes@">
          <a:extLst>
            <a:ext uri="{FF2B5EF4-FFF2-40B4-BE49-F238E27FC236}">
              <a16:creationId xmlns:a16="http://schemas.microsoft.com/office/drawing/2014/main" id="{B8E19EDF-FE7C-4822-9A41-73F47DD3E0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0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5111" name="Picture@5C\QPendientes@" descr="@5C\QPendientes@">
          <a:extLst>
            <a:ext uri="{FF2B5EF4-FFF2-40B4-BE49-F238E27FC236}">
              <a16:creationId xmlns:a16="http://schemas.microsoft.com/office/drawing/2014/main" id="{BF86299A-CA41-473A-A976-A571697A81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08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5112" name="Picture@5C\QPendientes@" descr="@5C\QPendientes@">
          <a:extLst>
            <a:ext uri="{FF2B5EF4-FFF2-40B4-BE49-F238E27FC236}">
              <a16:creationId xmlns:a16="http://schemas.microsoft.com/office/drawing/2014/main" id="{9FFB9934-9E2E-4FE2-95DA-05FBE9F3AE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26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5113" name="Picture@5C\QPendientes@" descr="@5C\QPendientes@">
          <a:extLst>
            <a:ext uri="{FF2B5EF4-FFF2-40B4-BE49-F238E27FC236}">
              <a16:creationId xmlns:a16="http://schemas.microsoft.com/office/drawing/2014/main" id="{271162ED-7D7D-4BF9-9C33-2808852E44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45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5114" name="Picture@5C\QPendientes@" descr="@5C\QPendientes@">
          <a:extLst>
            <a:ext uri="{FF2B5EF4-FFF2-40B4-BE49-F238E27FC236}">
              <a16:creationId xmlns:a16="http://schemas.microsoft.com/office/drawing/2014/main" id="{94606C2F-BFD8-44C5-ABBF-A3D73AC46D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3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5115" name="Picture@5C\QPendientes@" descr="@5C\QPendientes@">
          <a:extLst>
            <a:ext uri="{FF2B5EF4-FFF2-40B4-BE49-F238E27FC236}">
              <a16:creationId xmlns:a16="http://schemas.microsoft.com/office/drawing/2014/main" id="{70ED7E80-FB9D-4457-A1D0-C354712948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1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5116" name="Picture@5C\QPendientes@" descr="@5C\QPendientes@">
          <a:extLst>
            <a:ext uri="{FF2B5EF4-FFF2-40B4-BE49-F238E27FC236}">
              <a16:creationId xmlns:a16="http://schemas.microsoft.com/office/drawing/2014/main" id="{5B83338A-5BCA-44AF-AD07-6D9581D4F7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0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5117" name="Picture@5C\QPendientes@" descr="@5C\QPendientes@">
          <a:extLst>
            <a:ext uri="{FF2B5EF4-FFF2-40B4-BE49-F238E27FC236}">
              <a16:creationId xmlns:a16="http://schemas.microsoft.com/office/drawing/2014/main" id="{5A25ACCD-112A-4355-8BB6-DACEA603E6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18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5118" name="Picture@5C\QPendientes@" descr="@5C\QPendientes@">
          <a:extLst>
            <a:ext uri="{FF2B5EF4-FFF2-40B4-BE49-F238E27FC236}">
              <a16:creationId xmlns:a16="http://schemas.microsoft.com/office/drawing/2014/main" id="{299B4BB2-1483-47C1-A156-C6BEA5AACF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36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5119" name="Picture@5C\QPendientes@" descr="@5C\QPendientes@">
          <a:extLst>
            <a:ext uri="{FF2B5EF4-FFF2-40B4-BE49-F238E27FC236}">
              <a16:creationId xmlns:a16="http://schemas.microsoft.com/office/drawing/2014/main" id="{FB39C513-8D0A-4D8F-9161-13E6F12B7B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4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5120" name="Picture@5C\QPendientes@" descr="@5C\QPendientes@">
          <a:extLst>
            <a:ext uri="{FF2B5EF4-FFF2-40B4-BE49-F238E27FC236}">
              <a16:creationId xmlns:a16="http://schemas.microsoft.com/office/drawing/2014/main" id="{82827CAB-070D-4E11-876F-C2EE44854B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3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5121" name="Picture@5C\QPendientes@" descr="@5C\QPendientes@">
          <a:extLst>
            <a:ext uri="{FF2B5EF4-FFF2-40B4-BE49-F238E27FC236}">
              <a16:creationId xmlns:a16="http://schemas.microsoft.com/office/drawing/2014/main" id="{648AE7F2-A264-46DA-9AA9-EE76462F33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1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5122" name="Picture@5C\QPendientes@" descr="@5C\QPendientes@">
          <a:extLst>
            <a:ext uri="{FF2B5EF4-FFF2-40B4-BE49-F238E27FC236}">
              <a16:creationId xmlns:a16="http://schemas.microsoft.com/office/drawing/2014/main" id="{6419F7DA-119B-4533-8E7E-BF50D667E7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09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5123" name="Picture@5C\QPendientes@" descr="@5C\QPendientes@">
          <a:extLst>
            <a:ext uri="{FF2B5EF4-FFF2-40B4-BE49-F238E27FC236}">
              <a16:creationId xmlns:a16="http://schemas.microsoft.com/office/drawing/2014/main" id="{C0D71817-DCF4-45B9-AB82-502CD57FCA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28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5124" name="Picture@5C\QPendientes@" descr="@5C\QPendientes@">
          <a:extLst>
            <a:ext uri="{FF2B5EF4-FFF2-40B4-BE49-F238E27FC236}">
              <a16:creationId xmlns:a16="http://schemas.microsoft.com/office/drawing/2014/main" id="{6C627942-D41C-4FB8-849F-E5F0068AED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46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5125" name="Picture@5C\QPendientes@" descr="@5C\QPendientes@">
          <a:extLst>
            <a:ext uri="{FF2B5EF4-FFF2-40B4-BE49-F238E27FC236}">
              <a16:creationId xmlns:a16="http://schemas.microsoft.com/office/drawing/2014/main" id="{CF6D9EE2-E2BC-48B2-A2A5-D3568D5408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4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5126" name="Picture@5C\QPendientes@" descr="@5C\QPendientes@">
          <a:extLst>
            <a:ext uri="{FF2B5EF4-FFF2-40B4-BE49-F238E27FC236}">
              <a16:creationId xmlns:a16="http://schemas.microsoft.com/office/drawing/2014/main" id="{99044147-8718-4010-9771-AA98D29F73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2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5127" name="Picture@5C\QPendientes@" descr="@5C\QPendientes@">
          <a:extLst>
            <a:ext uri="{FF2B5EF4-FFF2-40B4-BE49-F238E27FC236}">
              <a16:creationId xmlns:a16="http://schemas.microsoft.com/office/drawing/2014/main" id="{9C79F8C3-8AFC-43A6-A685-5328881109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1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5128" name="Picture@5C\QPendientes@" descr="@5C\QPendientes@">
          <a:extLst>
            <a:ext uri="{FF2B5EF4-FFF2-40B4-BE49-F238E27FC236}">
              <a16:creationId xmlns:a16="http://schemas.microsoft.com/office/drawing/2014/main" id="{EB1B38FF-714F-4114-96DF-3291DB3BB0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19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5129" name="Picture@5C\QPendientes@" descr="@5C\QPendientes@">
          <a:extLst>
            <a:ext uri="{FF2B5EF4-FFF2-40B4-BE49-F238E27FC236}">
              <a16:creationId xmlns:a16="http://schemas.microsoft.com/office/drawing/2014/main" id="{33EFE107-A6CD-4AF5-B833-5812245A08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37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5130" name="Picture@5C\QPendientes@" descr="@5C\QPendientes@">
          <a:extLst>
            <a:ext uri="{FF2B5EF4-FFF2-40B4-BE49-F238E27FC236}">
              <a16:creationId xmlns:a16="http://schemas.microsoft.com/office/drawing/2014/main" id="{7E2E5987-4E7B-44D0-9ECC-85B1B7850E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6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5131" name="Picture@5C\QPendientes@" descr="@5C\QPendientes@">
          <a:extLst>
            <a:ext uri="{FF2B5EF4-FFF2-40B4-BE49-F238E27FC236}">
              <a16:creationId xmlns:a16="http://schemas.microsoft.com/office/drawing/2014/main" id="{D1869B86-0357-4EFB-A325-3C5EA9DF3F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4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5132" name="Picture@5C\QPendientes@" descr="@5C\QPendientes@">
          <a:extLst>
            <a:ext uri="{FF2B5EF4-FFF2-40B4-BE49-F238E27FC236}">
              <a16:creationId xmlns:a16="http://schemas.microsoft.com/office/drawing/2014/main" id="{A3EE9D6E-1041-4A46-9617-69F8FBF51C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92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5133" name="Picture@5C\QPendientes@" descr="@5C\QPendientes@">
          <a:extLst>
            <a:ext uri="{FF2B5EF4-FFF2-40B4-BE49-F238E27FC236}">
              <a16:creationId xmlns:a16="http://schemas.microsoft.com/office/drawing/2014/main" id="{BADD8CB7-A788-4FFA-892C-5B23B43757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10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5134" name="Picture@5C\QPendientes@" descr="@5C\QPendientes@">
          <a:extLst>
            <a:ext uri="{FF2B5EF4-FFF2-40B4-BE49-F238E27FC236}">
              <a16:creationId xmlns:a16="http://schemas.microsoft.com/office/drawing/2014/main" id="{0A7C0C11-7A82-49A8-BEF4-928308EDE4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29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5135" name="Picture@5C\QPendientes@" descr="@5C\QPendientes@">
          <a:extLst>
            <a:ext uri="{FF2B5EF4-FFF2-40B4-BE49-F238E27FC236}">
              <a16:creationId xmlns:a16="http://schemas.microsoft.com/office/drawing/2014/main" id="{E0943939-A5DE-4BA2-9FD2-A3B95364C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47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5136" name="Picture@5C\QPendientes@" descr="@5C\QPendientes@">
          <a:extLst>
            <a:ext uri="{FF2B5EF4-FFF2-40B4-BE49-F238E27FC236}">
              <a16:creationId xmlns:a16="http://schemas.microsoft.com/office/drawing/2014/main" id="{30CABAE8-7ADD-4729-8FE4-F041CC4B08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5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5137" name="Picture@5C\QPendientes@" descr="@5C\QPendientes@">
          <a:extLst>
            <a:ext uri="{FF2B5EF4-FFF2-40B4-BE49-F238E27FC236}">
              <a16:creationId xmlns:a16="http://schemas.microsoft.com/office/drawing/2014/main" id="{FFFAB2DD-15D6-4923-A803-0D2C03D03B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4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5138" name="Picture@5C\QPendientes@" descr="@5C\QPendientes@">
          <a:extLst>
            <a:ext uri="{FF2B5EF4-FFF2-40B4-BE49-F238E27FC236}">
              <a16:creationId xmlns:a16="http://schemas.microsoft.com/office/drawing/2014/main" id="{CDFE2C3C-55AA-4B71-8A3A-83B1D9B875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02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5139" name="Picture@5C\QPendientes@" descr="@5C\QPendientes@">
          <a:extLst>
            <a:ext uri="{FF2B5EF4-FFF2-40B4-BE49-F238E27FC236}">
              <a16:creationId xmlns:a16="http://schemas.microsoft.com/office/drawing/2014/main" id="{C689C6C9-BF8D-4011-BE13-706E17D762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20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5140" name="Picture@5C\QPendientes@" descr="@5C\QPendientes@">
          <a:extLst>
            <a:ext uri="{FF2B5EF4-FFF2-40B4-BE49-F238E27FC236}">
              <a16:creationId xmlns:a16="http://schemas.microsoft.com/office/drawing/2014/main" id="{00B0FA83-9187-4568-B383-7FBB9C81D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38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5141" name="Picture@5C\QPendientes@" descr="@5C\QPendientes@">
          <a:extLst>
            <a:ext uri="{FF2B5EF4-FFF2-40B4-BE49-F238E27FC236}">
              <a16:creationId xmlns:a16="http://schemas.microsoft.com/office/drawing/2014/main" id="{4C1EE02F-6384-4454-BC30-725A1928D2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57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5142" name="Picture@5C\QPendientes@" descr="@5C\QPendientes@">
          <a:extLst>
            <a:ext uri="{FF2B5EF4-FFF2-40B4-BE49-F238E27FC236}">
              <a16:creationId xmlns:a16="http://schemas.microsoft.com/office/drawing/2014/main" id="{1C761E7B-4CC6-4801-A361-F99C84611F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75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5143" name="Picture@5C\QPendientes@" descr="@5C\QPendientes@">
          <a:extLst>
            <a:ext uri="{FF2B5EF4-FFF2-40B4-BE49-F238E27FC236}">
              <a16:creationId xmlns:a16="http://schemas.microsoft.com/office/drawing/2014/main" id="{E002B19B-89C1-4C50-B27D-6DC5661512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193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5144" name="Picture@5C\QPendientes@" descr="@5C\QPendientes@">
          <a:extLst>
            <a:ext uri="{FF2B5EF4-FFF2-40B4-BE49-F238E27FC236}">
              <a16:creationId xmlns:a16="http://schemas.microsoft.com/office/drawing/2014/main" id="{78E315A2-8438-42FA-B5DE-94C4392DCC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12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5145" name="Picture@5C\QPendientes@" descr="@5C\QPendientes@">
          <a:extLst>
            <a:ext uri="{FF2B5EF4-FFF2-40B4-BE49-F238E27FC236}">
              <a16:creationId xmlns:a16="http://schemas.microsoft.com/office/drawing/2014/main" id="{1524B017-10A7-469F-8F7D-A5085C739A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30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5146" name="Picture@5C\QPendientes@" descr="@5C\QPendientes@">
          <a:extLst>
            <a:ext uri="{FF2B5EF4-FFF2-40B4-BE49-F238E27FC236}">
              <a16:creationId xmlns:a16="http://schemas.microsoft.com/office/drawing/2014/main" id="{FC248BA8-4562-4142-B19A-F78A443DC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8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5147" name="Picture@5C\QPendientes@" descr="@5C\QPendientes@">
          <a:extLst>
            <a:ext uri="{FF2B5EF4-FFF2-40B4-BE49-F238E27FC236}">
              <a16:creationId xmlns:a16="http://schemas.microsoft.com/office/drawing/2014/main" id="{9D7116A5-022F-4255-ADF4-4E8174DBC0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6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5148" name="Picture@5C\QPendientes@" descr="@5C\QPendientes@">
          <a:extLst>
            <a:ext uri="{FF2B5EF4-FFF2-40B4-BE49-F238E27FC236}">
              <a16:creationId xmlns:a16="http://schemas.microsoft.com/office/drawing/2014/main" id="{D753065E-F12E-45CF-8ADE-4E5E0ABB2B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85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5149" name="Picture@5C\QPendientes@" descr="@5C\QPendientes@">
          <a:extLst>
            <a:ext uri="{FF2B5EF4-FFF2-40B4-BE49-F238E27FC236}">
              <a16:creationId xmlns:a16="http://schemas.microsoft.com/office/drawing/2014/main" id="{202540FA-6704-4BFF-8B9B-1713D4AD96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03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5150" name="Picture@5C\QPendientes@" descr="@5C\QPendientes@">
          <a:extLst>
            <a:ext uri="{FF2B5EF4-FFF2-40B4-BE49-F238E27FC236}">
              <a16:creationId xmlns:a16="http://schemas.microsoft.com/office/drawing/2014/main" id="{7306329A-34E0-4920-A566-5E2134555F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21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5151" name="Picture@5C\QPendientes@" descr="@5C\QPendientes@">
          <a:extLst>
            <a:ext uri="{FF2B5EF4-FFF2-40B4-BE49-F238E27FC236}">
              <a16:creationId xmlns:a16="http://schemas.microsoft.com/office/drawing/2014/main" id="{EE1505A0-1A3C-4168-B41B-F0298E733E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40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5152" name="Picture@5C\QPendientes@" descr="@5C\QPendientes@">
          <a:extLst>
            <a:ext uri="{FF2B5EF4-FFF2-40B4-BE49-F238E27FC236}">
              <a16:creationId xmlns:a16="http://schemas.microsoft.com/office/drawing/2014/main" id="{29FB9C91-5B41-4AA4-8556-2040D90C29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58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5153" name="Picture@5C\QPendientes@" descr="@5C\QPendientes@">
          <a:extLst>
            <a:ext uri="{FF2B5EF4-FFF2-40B4-BE49-F238E27FC236}">
              <a16:creationId xmlns:a16="http://schemas.microsoft.com/office/drawing/2014/main" id="{7C36EDC9-2FF8-4028-876E-12E34D5C9E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76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5154" name="Picture@5C\QPendientes@" descr="@5C\QPendientes@">
          <a:extLst>
            <a:ext uri="{FF2B5EF4-FFF2-40B4-BE49-F238E27FC236}">
              <a16:creationId xmlns:a16="http://schemas.microsoft.com/office/drawing/2014/main" id="{AC5265B4-F57C-4C8F-B3EA-085764E17B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394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5155" name="Picture@5C\QPendientes@" descr="@5C\QPendientes@">
          <a:extLst>
            <a:ext uri="{FF2B5EF4-FFF2-40B4-BE49-F238E27FC236}">
              <a16:creationId xmlns:a16="http://schemas.microsoft.com/office/drawing/2014/main" id="{7D052A2E-D0D2-448B-BE18-EE0E199D8C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13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5156" name="Picture@5C\QPendientes@" descr="@5C\QPendientes@">
          <a:extLst>
            <a:ext uri="{FF2B5EF4-FFF2-40B4-BE49-F238E27FC236}">
              <a16:creationId xmlns:a16="http://schemas.microsoft.com/office/drawing/2014/main" id="{B12D8ECA-B5AE-476B-9036-12953C550A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31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5157" name="Picture@5C\QPendientes@" descr="@5C\QPendientes@">
          <a:extLst>
            <a:ext uri="{FF2B5EF4-FFF2-40B4-BE49-F238E27FC236}">
              <a16:creationId xmlns:a16="http://schemas.microsoft.com/office/drawing/2014/main" id="{294FEC60-459D-426F-A687-4CDEAE5199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9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5158" name="Picture@5C\QPendientes@" descr="@5C\QPendientes@">
          <a:extLst>
            <a:ext uri="{FF2B5EF4-FFF2-40B4-BE49-F238E27FC236}">
              <a16:creationId xmlns:a16="http://schemas.microsoft.com/office/drawing/2014/main" id="{0C771935-30DA-46CD-87F8-E03300C6FF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68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5159" name="Picture@5C\QPendientes@" descr="@5C\QPendientes@">
          <a:extLst>
            <a:ext uri="{FF2B5EF4-FFF2-40B4-BE49-F238E27FC236}">
              <a16:creationId xmlns:a16="http://schemas.microsoft.com/office/drawing/2014/main" id="{03C9CAE1-73FC-4427-A707-A4463008ED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86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5160" name="Picture@5C\QPendientes@" descr="@5C\QPendientes@">
          <a:extLst>
            <a:ext uri="{FF2B5EF4-FFF2-40B4-BE49-F238E27FC236}">
              <a16:creationId xmlns:a16="http://schemas.microsoft.com/office/drawing/2014/main" id="{E8B6239F-A193-4028-AB63-7E38F29A25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04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5161" name="Picture@5C\QPendientes@" descr="@5C\QPendientes@">
          <a:extLst>
            <a:ext uri="{FF2B5EF4-FFF2-40B4-BE49-F238E27FC236}">
              <a16:creationId xmlns:a16="http://schemas.microsoft.com/office/drawing/2014/main" id="{12900532-7915-4FC8-98A2-2C05EC22AF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22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5162" name="Picture@5C\QPendientes@" descr="@5C\QPendientes@">
          <a:extLst>
            <a:ext uri="{FF2B5EF4-FFF2-40B4-BE49-F238E27FC236}">
              <a16:creationId xmlns:a16="http://schemas.microsoft.com/office/drawing/2014/main" id="{CEB9C243-1BB3-4318-8A9F-9091F78DF6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41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5163" name="Picture@5C\QPendientes@" descr="@5C\QPendientes@">
          <a:extLst>
            <a:ext uri="{FF2B5EF4-FFF2-40B4-BE49-F238E27FC236}">
              <a16:creationId xmlns:a16="http://schemas.microsoft.com/office/drawing/2014/main" id="{8894ECEE-7E2B-41F5-A2E2-BFBC1ADBA4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59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5164" name="Picture@5C\QPendientes@" descr="@5C\QPendientes@">
          <a:extLst>
            <a:ext uri="{FF2B5EF4-FFF2-40B4-BE49-F238E27FC236}">
              <a16:creationId xmlns:a16="http://schemas.microsoft.com/office/drawing/2014/main" id="{8618F432-E7A5-44B8-821A-D45CFC9934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77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5165" name="Picture@5C\QPendientes@" descr="@5C\QPendientes@">
          <a:extLst>
            <a:ext uri="{FF2B5EF4-FFF2-40B4-BE49-F238E27FC236}">
              <a16:creationId xmlns:a16="http://schemas.microsoft.com/office/drawing/2014/main" id="{80EF38D6-833D-43D2-A882-302669B8E0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596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5166" name="Picture@5C\QPendientes@" descr="@5C\QPendientes@">
          <a:extLst>
            <a:ext uri="{FF2B5EF4-FFF2-40B4-BE49-F238E27FC236}">
              <a16:creationId xmlns:a16="http://schemas.microsoft.com/office/drawing/2014/main" id="{C1D14E28-9529-46EF-AB5D-2D2D1263A7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14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5167" name="Picture@5C\QPendientes@" descr="@5C\QPendientes@">
          <a:extLst>
            <a:ext uri="{FF2B5EF4-FFF2-40B4-BE49-F238E27FC236}">
              <a16:creationId xmlns:a16="http://schemas.microsoft.com/office/drawing/2014/main" id="{A80FA537-D721-47A6-9812-CC472BDA51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32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5168" name="Picture@5C\QPendientes@" descr="@5C\QPendientes@">
          <a:extLst>
            <a:ext uri="{FF2B5EF4-FFF2-40B4-BE49-F238E27FC236}">
              <a16:creationId xmlns:a16="http://schemas.microsoft.com/office/drawing/2014/main" id="{FE25A659-F1C5-47DE-A6E6-AD2E0AFC34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50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5169" name="Picture@5C\QPendientes@" descr="@5C\QPendientes@">
          <a:extLst>
            <a:ext uri="{FF2B5EF4-FFF2-40B4-BE49-F238E27FC236}">
              <a16:creationId xmlns:a16="http://schemas.microsoft.com/office/drawing/2014/main" id="{AFF9AD18-831B-4A9B-A8C0-FB0E994271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69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5170" name="Picture@5C\QPendientes@" descr="@5C\QPendientes@">
          <a:extLst>
            <a:ext uri="{FF2B5EF4-FFF2-40B4-BE49-F238E27FC236}">
              <a16:creationId xmlns:a16="http://schemas.microsoft.com/office/drawing/2014/main" id="{C5587931-BE24-45CB-A0FC-9567FF0D0F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87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5171" name="Picture@5C\QPendientes@" descr="@5C\QPendientes@">
          <a:extLst>
            <a:ext uri="{FF2B5EF4-FFF2-40B4-BE49-F238E27FC236}">
              <a16:creationId xmlns:a16="http://schemas.microsoft.com/office/drawing/2014/main" id="{81A206D0-6637-4E94-A0D1-31A4ADB98B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05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5172" name="Picture@5C\QPendientes@" descr="@5C\QPendientes@">
          <a:extLst>
            <a:ext uri="{FF2B5EF4-FFF2-40B4-BE49-F238E27FC236}">
              <a16:creationId xmlns:a16="http://schemas.microsoft.com/office/drawing/2014/main" id="{389D1B7C-1FF9-4FED-8188-270BDF2817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24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5173" name="Picture@5C\QPendientes@" descr="@5C\QPendientes@">
          <a:extLst>
            <a:ext uri="{FF2B5EF4-FFF2-40B4-BE49-F238E27FC236}">
              <a16:creationId xmlns:a16="http://schemas.microsoft.com/office/drawing/2014/main" id="{E625080A-944D-431D-9034-B7602D1188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42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5174" name="Picture@5C\QPendientes@" descr="@5C\QPendientes@">
          <a:extLst>
            <a:ext uri="{FF2B5EF4-FFF2-40B4-BE49-F238E27FC236}">
              <a16:creationId xmlns:a16="http://schemas.microsoft.com/office/drawing/2014/main" id="{B3550968-F405-40F8-AF84-355750343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60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5175" name="Picture@5C\QPendientes@" descr="@5C\QPendientes@">
          <a:extLst>
            <a:ext uri="{FF2B5EF4-FFF2-40B4-BE49-F238E27FC236}">
              <a16:creationId xmlns:a16="http://schemas.microsoft.com/office/drawing/2014/main" id="{5A22E73D-E76D-4E40-842D-3A55DA7D90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79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5176" name="Picture@5C\QPendientes@" descr="@5C\QPendientes@">
          <a:extLst>
            <a:ext uri="{FF2B5EF4-FFF2-40B4-BE49-F238E27FC236}">
              <a16:creationId xmlns:a16="http://schemas.microsoft.com/office/drawing/2014/main" id="{42A720E6-F9EB-4C10-9786-017FA031A5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97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5177" name="Picture@5C\QPendientes@" descr="@5C\QPendientes@">
          <a:extLst>
            <a:ext uri="{FF2B5EF4-FFF2-40B4-BE49-F238E27FC236}">
              <a16:creationId xmlns:a16="http://schemas.microsoft.com/office/drawing/2014/main" id="{D3B92560-B80B-424A-9D12-44BDF157F6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15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5178" name="Picture@5C\QPendientes@" descr="@5C\QPendientes@">
          <a:extLst>
            <a:ext uri="{FF2B5EF4-FFF2-40B4-BE49-F238E27FC236}">
              <a16:creationId xmlns:a16="http://schemas.microsoft.com/office/drawing/2014/main" id="{53A8B324-A826-41D8-9883-838B6EA560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33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5179" name="Picture@5C\QPendientes@" descr="@5C\QPendientes@">
          <a:extLst>
            <a:ext uri="{FF2B5EF4-FFF2-40B4-BE49-F238E27FC236}">
              <a16:creationId xmlns:a16="http://schemas.microsoft.com/office/drawing/2014/main" id="{B4726B9B-CC96-4AAF-84EA-B91F126D9E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52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5180" name="Picture@5C\QPendientes@" descr="@5C\QPendientes@">
          <a:extLst>
            <a:ext uri="{FF2B5EF4-FFF2-40B4-BE49-F238E27FC236}">
              <a16:creationId xmlns:a16="http://schemas.microsoft.com/office/drawing/2014/main" id="{89723106-82D1-42B7-9B8D-A32D40D3CF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70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5181" name="Picture@5C\QPendientes@" descr="@5C\QPendientes@">
          <a:extLst>
            <a:ext uri="{FF2B5EF4-FFF2-40B4-BE49-F238E27FC236}">
              <a16:creationId xmlns:a16="http://schemas.microsoft.com/office/drawing/2014/main" id="{A9650106-92FC-47EA-8A54-AA6E9E7869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88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5182" name="Picture@5C\QPendientes@" descr="@5C\QPendientes@">
          <a:extLst>
            <a:ext uri="{FF2B5EF4-FFF2-40B4-BE49-F238E27FC236}">
              <a16:creationId xmlns:a16="http://schemas.microsoft.com/office/drawing/2014/main" id="{0E562D0A-8291-4832-B854-D84D6FC616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07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5183" name="Picture@5C\QPendientes@" descr="@5C\QPendientes@">
          <a:extLst>
            <a:ext uri="{FF2B5EF4-FFF2-40B4-BE49-F238E27FC236}">
              <a16:creationId xmlns:a16="http://schemas.microsoft.com/office/drawing/2014/main" id="{95BE1CC4-F965-4FED-AD11-91021DDA8F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25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5184" name="Picture@5C\QPendientes@" descr="@5C\QPendientes@">
          <a:extLst>
            <a:ext uri="{FF2B5EF4-FFF2-40B4-BE49-F238E27FC236}">
              <a16:creationId xmlns:a16="http://schemas.microsoft.com/office/drawing/2014/main" id="{E5240B17-CC74-4207-ABE0-4470BD42C4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43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5185" name="Picture@5C\QPendientes@" descr="@5C\QPendientes@">
          <a:extLst>
            <a:ext uri="{FF2B5EF4-FFF2-40B4-BE49-F238E27FC236}">
              <a16:creationId xmlns:a16="http://schemas.microsoft.com/office/drawing/2014/main" id="{D373154B-9BA3-4313-9FA9-55E95AAE7B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61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5186" name="Picture@5C\QPendientes@" descr="@5C\QPendientes@">
          <a:extLst>
            <a:ext uri="{FF2B5EF4-FFF2-40B4-BE49-F238E27FC236}">
              <a16:creationId xmlns:a16="http://schemas.microsoft.com/office/drawing/2014/main" id="{3AABB150-6D5D-4A0D-8FE3-525B136FA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80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5187" name="Picture@5C\QPendientes@" descr="@5C\QPendientes@">
          <a:extLst>
            <a:ext uri="{FF2B5EF4-FFF2-40B4-BE49-F238E27FC236}">
              <a16:creationId xmlns:a16="http://schemas.microsoft.com/office/drawing/2014/main" id="{7B3A8F76-8FF9-4591-9C44-C60304AE7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98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5188" name="Picture@5C\QPendientes@" descr="@5C\QPendientes@">
          <a:extLst>
            <a:ext uri="{FF2B5EF4-FFF2-40B4-BE49-F238E27FC236}">
              <a16:creationId xmlns:a16="http://schemas.microsoft.com/office/drawing/2014/main" id="{7CE547E5-D414-4C8D-A1A4-FCAB7161E8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16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5189" name="Picture@5C\QPendientes@" descr="@5C\QPendientes@">
          <a:extLst>
            <a:ext uri="{FF2B5EF4-FFF2-40B4-BE49-F238E27FC236}">
              <a16:creationId xmlns:a16="http://schemas.microsoft.com/office/drawing/2014/main" id="{F260AAFF-0B93-4DF9-B125-E8B5D874B4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35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5190" name="Picture@5C\QPendientes@" descr="@5C\QPendientes@">
          <a:extLst>
            <a:ext uri="{FF2B5EF4-FFF2-40B4-BE49-F238E27FC236}">
              <a16:creationId xmlns:a16="http://schemas.microsoft.com/office/drawing/2014/main" id="{480EFAA6-58D3-448C-AF0E-7B07A673E3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53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5191" name="Picture@5C\QPendientes@" descr="@5C\QPendientes@">
          <a:extLst>
            <a:ext uri="{FF2B5EF4-FFF2-40B4-BE49-F238E27FC236}">
              <a16:creationId xmlns:a16="http://schemas.microsoft.com/office/drawing/2014/main" id="{E7055754-3FB4-4DD0-B53A-FC2F41B06A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71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5192" name="Picture@5C\QPendientes@" descr="@5C\QPendientes@">
          <a:extLst>
            <a:ext uri="{FF2B5EF4-FFF2-40B4-BE49-F238E27FC236}">
              <a16:creationId xmlns:a16="http://schemas.microsoft.com/office/drawing/2014/main" id="{720477F9-8510-4807-9F75-C100D70050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089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5193" name="Picture@5C\QPendientes@" descr="@5C\QPendientes@">
          <a:extLst>
            <a:ext uri="{FF2B5EF4-FFF2-40B4-BE49-F238E27FC236}">
              <a16:creationId xmlns:a16="http://schemas.microsoft.com/office/drawing/2014/main" id="{A4DA716E-15DC-4551-9D11-D6D0681DD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08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5194" name="Picture@5C\QPendientes@" descr="@5C\QPendientes@">
          <a:extLst>
            <a:ext uri="{FF2B5EF4-FFF2-40B4-BE49-F238E27FC236}">
              <a16:creationId xmlns:a16="http://schemas.microsoft.com/office/drawing/2014/main" id="{EB546197-FAC2-48CD-959F-A20B6CFDB4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2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5195" name="Picture@5C\QPendientes@" descr="@5C\QPendientes@">
          <a:extLst>
            <a:ext uri="{FF2B5EF4-FFF2-40B4-BE49-F238E27FC236}">
              <a16:creationId xmlns:a16="http://schemas.microsoft.com/office/drawing/2014/main" id="{91620DE4-6A33-4E48-9F61-3251FCA943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44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5196" name="Picture@5C\QPendientes@" descr="@5C\QPendientes@">
          <a:extLst>
            <a:ext uri="{FF2B5EF4-FFF2-40B4-BE49-F238E27FC236}">
              <a16:creationId xmlns:a16="http://schemas.microsoft.com/office/drawing/2014/main" id="{5F958AC3-9B52-4E94-A0EB-6E63C1D279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63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5197" name="Picture@5C\QPendientes@" descr="@5C\QPendientes@">
          <a:extLst>
            <a:ext uri="{FF2B5EF4-FFF2-40B4-BE49-F238E27FC236}">
              <a16:creationId xmlns:a16="http://schemas.microsoft.com/office/drawing/2014/main" id="{5229187B-31AE-492F-B83E-6927E09834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81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5198" name="Picture@5C\QPendientes@" descr="@5C\QPendientes@">
          <a:extLst>
            <a:ext uri="{FF2B5EF4-FFF2-40B4-BE49-F238E27FC236}">
              <a16:creationId xmlns:a16="http://schemas.microsoft.com/office/drawing/2014/main" id="{E628EF23-65B1-419C-B760-2992F680C2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99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5199" name="Picture@5C\QPendientes@" descr="@5C\QPendientes@">
          <a:extLst>
            <a:ext uri="{FF2B5EF4-FFF2-40B4-BE49-F238E27FC236}">
              <a16:creationId xmlns:a16="http://schemas.microsoft.com/office/drawing/2014/main" id="{9818AA18-E917-43D6-8D9B-64A88A6D96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17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5200" name="Picture@5C\QPendientes@" descr="@5C\QPendientes@">
          <a:extLst>
            <a:ext uri="{FF2B5EF4-FFF2-40B4-BE49-F238E27FC236}">
              <a16:creationId xmlns:a16="http://schemas.microsoft.com/office/drawing/2014/main" id="{7178233D-0F90-4D29-90AB-6D819DC932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36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5201" name="Picture@5C\QPendientes@" descr="@5C\QPendientes@">
          <a:extLst>
            <a:ext uri="{FF2B5EF4-FFF2-40B4-BE49-F238E27FC236}">
              <a16:creationId xmlns:a16="http://schemas.microsoft.com/office/drawing/2014/main" id="{47F95DEE-F9FA-40D3-889E-5F1FE825D7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54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5202" name="Picture@5C\QPendientes@" descr="@5C\QPendientes@">
          <a:extLst>
            <a:ext uri="{FF2B5EF4-FFF2-40B4-BE49-F238E27FC236}">
              <a16:creationId xmlns:a16="http://schemas.microsoft.com/office/drawing/2014/main" id="{4065B6F0-7368-4257-91BE-EFA5E2D92C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72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5203" name="Picture@5C\QPendientes@" descr="@5C\QPendientes@">
          <a:extLst>
            <a:ext uri="{FF2B5EF4-FFF2-40B4-BE49-F238E27FC236}">
              <a16:creationId xmlns:a16="http://schemas.microsoft.com/office/drawing/2014/main" id="{5859C56C-FFF0-40E9-8590-A4B345C9C5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291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5204" name="Picture@5C\QPendientes@" descr="@5C\QPendientes@">
          <a:extLst>
            <a:ext uri="{FF2B5EF4-FFF2-40B4-BE49-F238E27FC236}">
              <a16:creationId xmlns:a16="http://schemas.microsoft.com/office/drawing/2014/main" id="{C249344A-E7DA-4C68-A7DE-B17C0A7AE2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09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5205" name="Picture@5C\QPendientes@" descr="@5C\QPendientes@">
          <a:extLst>
            <a:ext uri="{FF2B5EF4-FFF2-40B4-BE49-F238E27FC236}">
              <a16:creationId xmlns:a16="http://schemas.microsoft.com/office/drawing/2014/main" id="{0FADAD66-39D7-4ED5-B04D-5E194F84C9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27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5206" name="Picture@5C\QPendientes@" descr="@5C\QPendientes@">
          <a:extLst>
            <a:ext uri="{FF2B5EF4-FFF2-40B4-BE49-F238E27FC236}">
              <a16:creationId xmlns:a16="http://schemas.microsoft.com/office/drawing/2014/main" id="{91CA4CF2-D09D-4377-BDCD-5253D299D7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45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5207" name="Picture@5C\QPendientes@" descr="@5C\QPendientes@">
          <a:extLst>
            <a:ext uri="{FF2B5EF4-FFF2-40B4-BE49-F238E27FC236}">
              <a16:creationId xmlns:a16="http://schemas.microsoft.com/office/drawing/2014/main" id="{ED8283DC-AA8E-4AA4-9477-05C33A6B01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64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5208" name="Picture@5C\QPendientes@" descr="@5C\QPendientes@">
          <a:extLst>
            <a:ext uri="{FF2B5EF4-FFF2-40B4-BE49-F238E27FC236}">
              <a16:creationId xmlns:a16="http://schemas.microsoft.com/office/drawing/2014/main" id="{9BB5E101-805D-4D9A-82E4-B230675CA5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82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5209" name="Picture@5C\QPendientes@" descr="@5C\QPendientes@">
          <a:extLst>
            <a:ext uri="{FF2B5EF4-FFF2-40B4-BE49-F238E27FC236}">
              <a16:creationId xmlns:a16="http://schemas.microsoft.com/office/drawing/2014/main" id="{39652C86-EA55-476D-AD77-E50975CB6C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00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5210" name="Picture@5C\QPendientes@" descr="@5C\QPendientes@">
          <a:extLst>
            <a:ext uri="{FF2B5EF4-FFF2-40B4-BE49-F238E27FC236}">
              <a16:creationId xmlns:a16="http://schemas.microsoft.com/office/drawing/2014/main" id="{2FF334C5-1B29-41D2-9A5F-C3A813A9AE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19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5211" name="Picture@5C\QPendientes@" descr="@5C\QPendientes@">
          <a:extLst>
            <a:ext uri="{FF2B5EF4-FFF2-40B4-BE49-F238E27FC236}">
              <a16:creationId xmlns:a16="http://schemas.microsoft.com/office/drawing/2014/main" id="{EF7B39DC-BF74-4446-8A54-4A6E550E2F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37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5212" name="Picture@5C\QPendientes@" descr="@5C\QPendientes@">
          <a:extLst>
            <a:ext uri="{FF2B5EF4-FFF2-40B4-BE49-F238E27FC236}">
              <a16:creationId xmlns:a16="http://schemas.microsoft.com/office/drawing/2014/main" id="{0EEDDE22-F71E-4E1D-9ACC-90E18C4BDB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55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5213" name="Picture@5C\QPendientes@" descr="@5C\QPendientes@">
          <a:extLst>
            <a:ext uri="{FF2B5EF4-FFF2-40B4-BE49-F238E27FC236}">
              <a16:creationId xmlns:a16="http://schemas.microsoft.com/office/drawing/2014/main" id="{6F452204-31CC-4616-9E62-66D938DD94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73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5214" name="Picture@5C\QPendientes@" descr="@5C\QPendientes@">
          <a:extLst>
            <a:ext uri="{FF2B5EF4-FFF2-40B4-BE49-F238E27FC236}">
              <a16:creationId xmlns:a16="http://schemas.microsoft.com/office/drawing/2014/main" id="{6F2F6DC1-5898-4880-8060-BD74BFEB54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492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5215" name="Picture@5C\QPendientes@" descr="@5C\QPendientes@">
          <a:extLst>
            <a:ext uri="{FF2B5EF4-FFF2-40B4-BE49-F238E27FC236}">
              <a16:creationId xmlns:a16="http://schemas.microsoft.com/office/drawing/2014/main" id="{D43C8F7B-DA45-4E0D-8342-F7CEA2B04B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10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5216" name="Picture@5C\QPendientes@" descr="@5C\QPendientes@">
          <a:extLst>
            <a:ext uri="{FF2B5EF4-FFF2-40B4-BE49-F238E27FC236}">
              <a16:creationId xmlns:a16="http://schemas.microsoft.com/office/drawing/2014/main" id="{A4620513-8669-4B47-BCB6-A663D0762A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28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5217" name="Picture@5C\QPendientes@" descr="@5C\QPendientes@">
          <a:extLst>
            <a:ext uri="{FF2B5EF4-FFF2-40B4-BE49-F238E27FC236}">
              <a16:creationId xmlns:a16="http://schemas.microsoft.com/office/drawing/2014/main" id="{0BB5BF66-478A-4323-9B2D-0F6957AA35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47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5218" name="Picture@5C\QPendientes@" descr="@5C\QPendientes@">
          <a:extLst>
            <a:ext uri="{FF2B5EF4-FFF2-40B4-BE49-F238E27FC236}">
              <a16:creationId xmlns:a16="http://schemas.microsoft.com/office/drawing/2014/main" id="{A607CEBA-61C9-4D29-A87A-3B9FDBA632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65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5219" name="Picture@5C\QPendientes@" descr="@5C\QPendientes@">
          <a:extLst>
            <a:ext uri="{FF2B5EF4-FFF2-40B4-BE49-F238E27FC236}">
              <a16:creationId xmlns:a16="http://schemas.microsoft.com/office/drawing/2014/main" id="{99A16F04-4F89-4265-B7DC-BF94511553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83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5220" name="Picture@5C\QPendientes@" descr="@5C\QPendientes@">
          <a:extLst>
            <a:ext uri="{FF2B5EF4-FFF2-40B4-BE49-F238E27FC236}">
              <a16:creationId xmlns:a16="http://schemas.microsoft.com/office/drawing/2014/main" id="{E3C257DF-1991-47D2-844F-300F9AE19E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01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5221" name="Picture@5C\QPendientes@" descr="@5C\QPendientes@">
          <a:extLst>
            <a:ext uri="{FF2B5EF4-FFF2-40B4-BE49-F238E27FC236}">
              <a16:creationId xmlns:a16="http://schemas.microsoft.com/office/drawing/2014/main" id="{D48358B4-D323-4311-B99C-15A5554F35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20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5222" name="Picture@5C\QPendientes@" descr="@5C\QPendientes@">
          <a:extLst>
            <a:ext uri="{FF2B5EF4-FFF2-40B4-BE49-F238E27FC236}">
              <a16:creationId xmlns:a16="http://schemas.microsoft.com/office/drawing/2014/main" id="{3B3F4FBC-A69A-4A93-865C-25B5C16F01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38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5223" name="Picture@5C\QPendientes@" descr="@5C\QPendientes@">
          <a:extLst>
            <a:ext uri="{FF2B5EF4-FFF2-40B4-BE49-F238E27FC236}">
              <a16:creationId xmlns:a16="http://schemas.microsoft.com/office/drawing/2014/main" id="{60D8C1C1-84FC-4020-A39D-428FDEA691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56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5224" name="Picture@5C\QPendientes@" descr="@5C\QPendientes@">
          <a:extLst>
            <a:ext uri="{FF2B5EF4-FFF2-40B4-BE49-F238E27FC236}">
              <a16:creationId xmlns:a16="http://schemas.microsoft.com/office/drawing/2014/main" id="{53880726-4E9E-4AF2-B376-103A8AD766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75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5225" name="Picture@5C\QPendientes@" descr="@5C\QPendientes@">
          <a:extLst>
            <a:ext uri="{FF2B5EF4-FFF2-40B4-BE49-F238E27FC236}">
              <a16:creationId xmlns:a16="http://schemas.microsoft.com/office/drawing/2014/main" id="{31557B40-21FD-4269-B406-D8A784AC87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93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5226" name="Picture@5C\QPendientes@" descr="@5C\QPendientes@">
          <a:extLst>
            <a:ext uri="{FF2B5EF4-FFF2-40B4-BE49-F238E27FC236}">
              <a16:creationId xmlns:a16="http://schemas.microsoft.com/office/drawing/2014/main" id="{9A5DDE72-0ECD-4CE3-83D2-923BB75CF3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1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5227" name="Picture@5C\QPendientes@" descr="@5C\QPendientes@">
          <a:extLst>
            <a:ext uri="{FF2B5EF4-FFF2-40B4-BE49-F238E27FC236}">
              <a16:creationId xmlns:a16="http://schemas.microsoft.com/office/drawing/2014/main" id="{D5D21F39-ADA0-47E2-87EE-D7D0B4B96B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29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5228" name="Picture@5C\QPendientes@" descr="@5C\QPendientes@">
          <a:extLst>
            <a:ext uri="{FF2B5EF4-FFF2-40B4-BE49-F238E27FC236}">
              <a16:creationId xmlns:a16="http://schemas.microsoft.com/office/drawing/2014/main" id="{666A5304-0C9B-49AA-8F51-7C2DC89EAC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48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5229" name="Picture@5C\QPendientes@" descr="@5C\QPendientes@">
          <a:extLst>
            <a:ext uri="{FF2B5EF4-FFF2-40B4-BE49-F238E27FC236}">
              <a16:creationId xmlns:a16="http://schemas.microsoft.com/office/drawing/2014/main" id="{5F2797A6-2FA0-41DF-A76E-2DF1DF6855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66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5230" name="Picture@5C\QPendientes@" descr="@5C\QPendientes@">
          <a:extLst>
            <a:ext uri="{FF2B5EF4-FFF2-40B4-BE49-F238E27FC236}">
              <a16:creationId xmlns:a16="http://schemas.microsoft.com/office/drawing/2014/main" id="{30626D4A-7475-44A3-BD57-CFC3386A04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84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5231" name="Picture@5C\QPendientes@" descr="@5C\QPendientes@">
          <a:extLst>
            <a:ext uri="{FF2B5EF4-FFF2-40B4-BE49-F238E27FC236}">
              <a16:creationId xmlns:a16="http://schemas.microsoft.com/office/drawing/2014/main" id="{480AD93A-B412-40D7-BD8A-B36F655FC8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03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5232" name="Picture@5C\QPendientes@" descr="@5C\QPendientes@">
          <a:extLst>
            <a:ext uri="{FF2B5EF4-FFF2-40B4-BE49-F238E27FC236}">
              <a16:creationId xmlns:a16="http://schemas.microsoft.com/office/drawing/2014/main" id="{A6257134-34F8-4C91-B112-36FC459ADC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21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5233" name="Picture@5C\QPendientes@" descr="@5C\QPendientes@">
          <a:extLst>
            <a:ext uri="{FF2B5EF4-FFF2-40B4-BE49-F238E27FC236}">
              <a16:creationId xmlns:a16="http://schemas.microsoft.com/office/drawing/2014/main" id="{90DF6BAD-6FA0-4167-8A79-0320B2F983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39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5234" name="Picture@5C\QPendientes@" descr="@5C\QPendientes@">
          <a:extLst>
            <a:ext uri="{FF2B5EF4-FFF2-40B4-BE49-F238E27FC236}">
              <a16:creationId xmlns:a16="http://schemas.microsoft.com/office/drawing/2014/main" id="{BCA5A261-3D9D-431F-B2D2-BB20B4D486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58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5235" name="Picture@5C\QPendientes@" descr="@5C\QPendientes@">
          <a:extLst>
            <a:ext uri="{FF2B5EF4-FFF2-40B4-BE49-F238E27FC236}">
              <a16:creationId xmlns:a16="http://schemas.microsoft.com/office/drawing/2014/main" id="{5A7377C7-26FE-4FCF-B9F4-EEF8BF7482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76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5236" name="Picture@5C\QPendientes@" descr="@5C\QPendientes@">
          <a:extLst>
            <a:ext uri="{FF2B5EF4-FFF2-40B4-BE49-F238E27FC236}">
              <a16:creationId xmlns:a16="http://schemas.microsoft.com/office/drawing/2014/main" id="{CB097790-5989-4B5E-BF2F-AE18C38AED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94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5237" name="Picture@5C\QPendientes@" descr="@5C\QPendientes@">
          <a:extLst>
            <a:ext uri="{FF2B5EF4-FFF2-40B4-BE49-F238E27FC236}">
              <a16:creationId xmlns:a16="http://schemas.microsoft.com/office/drawing/2014/main" id="{91AFF34F-FE83-4AA0-8007-7A0781337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12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5238" name="Picture@5C\QPendientes@" descr="@5C\QPendientes@">
          <a:extLst>
            <a:ext uri="{FF2B5EF4-FFF2-40B4-BE49-F238E27FC236}">
              <a16:creationId xmlns:a16="http://schemas.microsoft.com/office/drawing/2014/main" id="{075BDD6B-DE2D-42A0-A8F8-C71D88DED4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31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5239" name="Picture@5C\QPendientes@" descr="@5C\QPendientes@">
          <a:extLst>
            <a:ext uri="{FF2B5EF4-FFF2-40B4-BE49-F238E27FC236}">
              <a16:creationId xmlns:a16="http://schemas.microsoft.com/office/drawing/2014/main" id="{A6836382-88ED-4E15-9953-918282B0C5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49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5240" name="Picture@5C\QPendientes@" descr="@5C\QPendientes@">
          <a:extLst>
            <a:ext uri="{FF2B5EF4-FFF2-40B4-BE49-F238E27FC236}">
              <a16:creationId xmlns:a16="http://schemas.microsoft.com/office/drawing/2014/main" id="{17C35A5D-329B-4247-B601-486F626BED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67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5241" name="Picture@5C\QPendientes@" descr="@5C\QPendientes@">
          <a:extLst>
            <a:ext uri="{FF2B5EF4-FFF2-40B4-BE49-F238E27FC236}">
              <a16:creationId xmlns:a16="http://schemas.microsoft.com/office/drawing/2014/main" id="{D470B54C-DED4-457F-B057-435B5CACB9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986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5242" name="Picture@5C\QPendientes@" descr="@5C\QPendientes@">
          <a:extLst>
            <a:ext uri="{FF2B5EF4-FFF2-40B4-BE49-F238E27FC236}">
              <a16:creationId xmlns:a16="http://schemas.microsoft.com/office/drawing/2014/main" id="{E2C0F39B-D3EA-464A-8C93-4C52B9AC74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04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5243" name="Picture@5C\QPendientes@" descr="@5C\QPendientes@">
          <a:extLst>
            <a:ext uri="{FF2B5EF4-FFF2-40B4-BE49-F238E27FC236}">
              <a16:creationId xmlns:a16="http://schemas.microsoft.com/office/drawing/2014/main" id="{34C387B3-B3BA-4803-B6DC-A57F1F50A8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22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5244" name="Picture@5C\QPendientes@" descr="@5C\QPendientes@">
          <a:extLst>
            <a:ext uri="{FF2B5EF4-FFF2-40B4-BE49-F238E27FC236}">
              <a16:creationId xmlns:a16="http://schemas.microsoft.com/office/drawing/2014/main" id="{E1E04125-5910-4977-9661-DEC425D54B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40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5245" name="Picture@5C\QPendientes@" descr="@5C\QPendientes@">
          <a:extLst>
            <a:ext uri="{FF2B5EF4-FFF2-40B4-BE49-F238E27FC236}">
              <a16:creationId xmlns:a16="http://schemas.microsoft.com/office/drawing/2014/main" id="{9287A790-441D-4FDD-923A-369C994D50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59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5246" name="Picture@5C\QPendientes@" descr="@5C\QPendientes@">
          <a:extLst>
            <a:ext uri="{FF2B5EF4-FFF2-40B4-BE49-F238E27FC236}">
              <a16:creationId xmlns:a16="http://schemas.microsoft.com/office/drawing/2014/main" id="{211EB60C-900C-4A6D-91AD-1F3C3C23A2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77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5247" name="Picture@5C\QPendientes@" descr="@5C\QPendientes@">
          <a:extLst>
            <a:ext uri="{FF2B5EF4-FFF2-40B4-BE49-F238E27FC236}">
              <a16:creationId xmlns:a16="http://schemas.microsoft.com/office/drawing/2014/main" id="{9CF0114B-E6D3-4BEA-AECC-7CE21660F3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95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5248" name="Picture@5C\QPendientes@" descr="@5C\QPendientes@">
          <a:extLst>
            <a:ext uri="{FF2B5EF4-FFF2-40B4-BE49-F238E27FC236}">
              <a16:creationId xmlns:a16="http://schemas.microsoft.com/office/drawing/2014/main" id="{A65E73E5-45D5-4720-B123-78310C07E6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14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5249" name="Picture@5C\QPendientes@" descr="@5C\QPendientes@">
          <a:extLst>
            <a:ext uri="{FF2B5EF4-FFF2-40B4-BE49-F238E27FC236}">
              <a16:creationId xmlns:a16="http://schemas.microsoft.com/office/drawing/2014/main" id="{AC2BE937-7E8A-4D40-8C39-892D641082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32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5250" name="Picture@5C\QPendientes@" descr="@5C\QPendientes@">
          <a:extLst>
            <a:ext uri="{FF2B5EF4-FFF2-40B4-BE49-F238E27FC236}">
              <a16:creationId xmlns:a16="http://schemas.microsoft.com/office/drawing/2014/main" id="{5F9CB4D6-AA2B-4E24-8529-E4EE3FCC02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50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5251" name="Picture@5C\QPendientes@" descr="@5C\QPendientes@">
          <a:extLst>
            <a:ext uri="{FF2B5EF4-FFF2-40B4-BE49-F238E27FC236}">
              <a16:creationId xmlns:a16="http://schemas.microsoft.com/office/drawing/2014/main" id="{DF680FFB-EB34-4402-BB54-1D172DBEA2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68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5252" name="Picture@5C\QPendientes@" descr="@5C\QPendientes@">
          <a:extLst>
            <a:ext uri="{FF2B5EF4-FFF2-40B4-BE49-F238E27FC236}">
              <a16:creationId xmlns:a16="http://schemas.microsoft.com/office/drawing/2014/main" id="{B61A8C2F-9B77-4582-A8C1-67C159D4C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187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5253" name="Picture@5C\QPendientes@" descr="@5C\QPendientes@">
          <a:extLst>
            <a:ext uri="{FF2B5EF4-FFF2-40B4-BE49-F238E27FC236}">
              <a16:creationId xmlns:a16="http://schemas.microsoft.com/office/drawing/2014/main" id="{C3671FDE-3D97-4A80-83FC-9D86AA2AF1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05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5254" name="Picture@5C\QPendientes@" descr="@5C\QPendientes@">
          <a:extLst>
            <a:ext uri="{FF2B5EF4-FFF2-40B4-BE49-F238E27FC236}">
              <a16:creationId xmlns:a16="http://schemas.microsoft.com/office/drawing/2014/main" id="{516FA368-4DD0-4499-9299-6326B0D624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23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5255" name="Picture@5C\QPendientes@" descr="@5C\QPendientes@">
          <a:extLst>
            <a:ext uri="{FF2B5EF4-FFF2-40B4-BE49-F238E27FC236}">
              <a16:creationId xmlns:a16="http://schemas.microsoft.com/office/drawing/2014/main" id="{8CA52D6D-303C-49E2-B475-B0F8ECC063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42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5256" name="Picture@5C\QPendientes@" descr="@5C\QPendientes@">
          <a:extLst>
            <a:ext uri="{FF2B5EF4-FFF2-40B4-BE49-F238E27FC236}">
              <a16:creationId xmlns:a16="http://schemas.microsoft.com/office/drawing/2014/main" id="{A0118D7A-9EA4-471A-9A5F-727EC64F20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60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5257" name="Picture@5C\QPendientes@" descr="@5C\QPendientes@">
          <a:extLst>
            <a:ext uri="{FF2B5EF4-FFF2-40B4-BE49-F238E27FC236}">
              <a16:creationId xmlns:a16="http://schemas.microsoft.com/office/drawing/2014/main" id="{1CE5D25E-9C53-4B68-B230-425F6EF21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78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5258" name="Picture@5C\QPendientes@" descr="@5C\QPendientes@">
          <a:extLst>
            <a:ext uri="{FF2B5EF4-FFF2-40B4-BE49-F238E27FC236}">
              <a16:creationId xmlns:a16="http://schemas.microsoft.com/office/drawing/2014/main" id="{CEB9FCC5-6DCE-4B5F-872A-57A987595D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96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5259" name="Picture@5C\QPendientes@" descr="@5C\QPendientes@">
          <a:extLst>
            <a:ext uri="{FF2B5EF4-FFF2-40B4-BE49-F238E27FC236}">
              <a16:creationId xmlns:a16="http://schemas.microsoft.com/office/drawing/2014/main" id="{CBC6C8DE-4CD2-4596-A2C9-A445E864E8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15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5260" name="Picture@5C\QPendientes@" descr="@5C\QPendientes@">
          <a:extLst>
            <a:ext uri="{FF2B5EF4-FFF2-40B4-BE49-F238E27FC236}">
              <a16:creationId xmlns:a16="http://schemas.microsoft.com/office/drawing/2014/main" id="{76E20474-62B2-4421-A71B-25AC0300B4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33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5261" name="Picture@5C\QPendientes@" descr="@5C\QPendientes@">
          <a:extLst>
            <a:ext uri="{FF2B5EF4-FFF2-40B4-BE49-F238E27FC236}">
              <a16:creationId xmlns:a16="http://schemas.microsoft.com/office/drawing/2014/main" id="{B20E4FBC-05ED-47A8-980D-CCAFF6463E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51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5262" name="Picture@5C\QPendientes@" descr="@5C\QPendientes@">
          <a:extLst>
            <a:ext uri="{FF2B5EF4-FFF2-40B4-BE49-F238E27FC236}">
              <a16:creationId xmlns:a16="http://schemas.microsoft.com/office/drawing/2014/main" id="{F19444A3-571A-4D69-ADD1-C537E5718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70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5263" name="Picture@5C\QPendientes@" descr="@5C\QPendientes@">
          <a:extLst>
            <a:ext uri="{FF2B5EF4-FFF2-40B4-BE49-F238E27FC236}">
              <a16:creationId xmlns:a16="http://schemas.microsoft.com/office/drawing/2014/main" id="{690A5632-A9DD-4ED6-85EA-9372123024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388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5264" name="Picture@5C\QPendientes@" descr="@5C\QPendientes@">
          <a:extLst>
            <a:ext uri="{FF2B5EF4-FFF2-40B4-BE49-F238E27FC236}">
              <a16:creationId xmlns:a16="http://schemas.microsoft.com/office/drawing/2014/main" id="{289130ED-E8C9-422C-AFD8-2FAA352722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06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5265" name="Picture@5C\QPendientes@" descr="@5C\QPendientes@">
          <a:extLst>
            <a:ext uri="{FF2B5EF4-FFF2-40B4-BE49-F238E27FC236}">
              <a16:creationId xmlns:a16="http://schemas.microsoft.com/office/drawing/2014/main" id="{26A72A37-64AF-4DF0-BD6A-92695E5224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24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5266" name="Picture@5C\QPendientes@" descr="@5C\QPendientes@">
          <a:extLst>
            <a:ext uri="{FF2B5EF4-FFF2-40B4-BE49-F238E27FC236}">
              <a16:creationId xmlns:a16="http://schemas.microsoft.com/office/drawing/2014/main" id="{632C9ECD-F9BD-48A6-A8DD-8ACABF438F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43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5267" name="Picture@5C\QPendientes@" descr="@5C\QPendientes@">
          <a:extLst>
            <a:ext uri="{FF2B5EF4-FFF2-40B4-BE49-F238E27FC236}">
              <a16:creationId xmlns:a16="http://schemas.microsoft.com/office/drawing/2014/main" id="{FC77F544-519A-45C8-8054-A90BA32B5A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61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5268" name="Picture@5C\QPendientes@" descr="@5C\QPendientes@">
          <a:extLst>
            <a:ext uri="{FF2B5EF4-FFF2-40B4-BE49-F238E27FC236}">
              <a16:creationId xmlns:a16="http://schemas.microsoft.com/office/drawing/2014/main" id="{76EA7E74-2CFC-40E2-BD50-DE77A860CF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79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5269" name="Picture@5C\QPendientes@" descr="@5C\QPendientes@">
          <a:extLst>
            <a:ext uri="{FF2B5EF4-FFF2-40B4-BE49-F238E27FC236}">
              <a16:creationId xmlns:a16="http://schemas.microsoft.com/office/drawing/2014/main" id="{391410CE-44C4-407E-AE5B-C44CD3547C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98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5270" name="Picture@5C\QPendientes@" descr="@5C\QPendientes@">
          <a:extLst>
            <a:ext uri="{FF2B5EF4-FFF2-40B4-BE49-F238E27FC236}">
              <a16:creationId xmlns:a16="http://schemas.microsoft.com/office/drawing/2014/main" id="{415D4E02-B548-423F-99BB-2CBFCB32DB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16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5271" name="Picture@5C\QPendientes@" descr="@5C\QPendientes@">
          <a:extLst>
            <a:ext uri="{FF2B5EF4-FFF2-40B4-BE49-F238E27FC236}">
              <a16:creationId xmlns:a16="http://schemas.microsoft.com/office/drawing/2014/main" id="{0D144225-4AD9-41B0-8C47-C63C434037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34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5272" name="Picture@5C\QPendientes@" descr="@5C\QPendientes@">
          <a:extLst>
            <a:ext uri="{FF2B5EF4-FFF2-40B4-BE49-F238E27FC236}">
              <a16:creationId xmlns:a16="http://schemas.microsoft.com/office/drawing/2014/main" id="{00A4296D-D7EF-4B72-A911-D84E86C194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52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5273" name="Picture@5C\QPendientes@" descr="@5C\QPendientes@">
          <a:extLst>
            <a:ext uri="{FF2B5EF4-FFF2-40B4-BE49-F238E27FC236}">
              <a16:creationId xmlns:a16="http://schemas.microsoft.com/office/drawing/2014/main" id="{0298E56F-9C18-4C08-AE86-7A8B3E2304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71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5274" name="Picture@5C\QPendientes@" descr="@5C\QPendientes@">
          <a:extLst>
            <a:ext uri="{FF2B5EF4-FFF2-40B4-BE49-F238E27FC236}">
              <a16:creationId xmlns:a16="http://schemas.microsoft.com/office/drawing/2014/main" id="{87E6D38C-B39C-45C8-A6AB-C5FC572962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589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5275" name="Picture@5C\QPendientes@" descr="@5C\QPendientes@">
          <a:extLst>
            <a:ext uri="{FF2B5EF4-FFF2-40B4-BE49-F238E27FC236}">
              <a16:creationId xmlns:a16="http://schemas.microsoft.com/office/drawing/2014/main" id="{1BB9D99A-CE34-48E1-91BC-401CFC7982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07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5276" name="Picture@5C\QPendientes@" descr="@5C\QPendientes@">
          <a:extLst>
            <a:ext uri="{FF2B5EF4-FFF2-40B4-BE49-F238E27FC236}">
              <a16:creationId xmlns:a16="http://schemas.microsoft.com/office/drawing/2014/main" id="{6B615860-1702-494D-908D-F812F74621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26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5277" name="Picture@5C\QPendientes@" descr="@5C\QPendientes@">
          <a:extLst>
            <a:ext uri="{FF2B5EF4-FFF2-40B4-BE49-F238E27FC236}">
              <a16:creationId xmlns:a16="http://schemas.microsoft.com/office/drawing/2014/main" id="{E03F6E1B-09BF-4AB7-A0AC-9088A3038B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44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5278" name="Picture@5C\QPendientes@" descr="@5C\QPendientes@">
          <a:extLst>
            <a:ext uri="{FF2B5EF4-FFF2-40B4-BE49-F238E27FC236}">
              <a16:creationId xmlns:a16="http://schemas.microsoft.com/office/drawing/2014/main" id="{050CA8FE-61BB-4F80-BE17-FB7AB5AE3F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62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5279" name="Picture@5C\QPendientes@" descr="@5C\QPendientes@">
          <a:extLst>
            <a:ext uri="{FF2B5EF4-FFF2-40B4-BE49-F238E27FC236}">
              <a16:creationId xmlns:a16="http://schemas.microsoft.com/office/drawing/2014/main" id="{27F1B9EA-659E-4C82-A27A-EC208665D7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80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5280" name="Picture@5C\QPendientes@" descr="@5C\QPendientes@">
          <a:extLst>
            <a:ext uri="{FF2B5EF4-FFF2-40B4-BE49-F238E27FC236}">
              <a16:creationId xmlns:a16="http://schemas.microsoft.com/office/drawing/2014/main" id="{24D1F1B2-13CC-4049-8F53-172F7A2FFA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99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5281" name="Picture@5C\QPendientes@" descr="@5C\QPendientes@">
          <a:extLst>
            <a:ext uri="{FF2B5EF4-FFF2-40B4-BE49-F238E27FC236}">
              <a16:creationId xmlns:a16="http://schemas.microsoft.com/office/drawing/2014/main" id="{A54C547A-7071-4E09-AA21-2C42F57865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17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5282" name="Picture@5C\QPendientes@" descr="@5C\QPendientes@">
          <a:extLst>
            <a:ext uri="{FF2B5EF4-FFF2-40B4-BE49-F238E27FC236}">
              <a16:creationId xmlns:a16="http://schemas.microsoft.com/office/drawing/2014/main" id="{7D8939C1-15A7-42F9-AE83-3A4C7B0DFD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35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5283" name="Picture@5C\QPendientes@" descr="@5C\QPendientes@">
          <a:extLst>
            <a:ext uri="{FF2B5EF4-FFF2-40B4-BE49-F238E27FC236}">
              <a16:creationId xmlns:a16="http://schemas.microsoft.com/office/drawing/2014/main" id="{E716BBF2-7F16-40A9-AF1F-1885788CBF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54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5284" name="Picture@5C\QPendientes@" descr="@5C\QPendientes@">
          <a:extLst>
            <a:ext uri="{FF2B5EF4-FFF2-40B4-BE49-F238E27FC236}">
              <a16:creationId xmlns:a16="http://schemas.microsoft.com/office/drawing/2014/main" id="{9D8844D2-67A6-4ABC-84F6-B624490DB5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72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5285" name="Picture@5C\QPendientes@" descr="@5C\QPendientes@">
          <a:extLst>
            <a:ext uri="{FF2B5EF4-FFF2-40B4-BE49-F238E27FC236}">
              <a16:creationId xmlns:a16="http://schemas.microsoft.com/office/drawing/2014/main" id="{CAA28D38-CE70-4447-9C1A-13144095C2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90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5286" name="Picture@5C\QPendientes@" descr="@5C\QPendientes@">
          <a:extLst>
            <a:ext uri="{FF2B5EF4-FFF2-40B4-BE49-F238E27FC236}">
              <a16:creationId xmlns:a16="http://schemas.microsoft.com/office/drawing/2014/main" id="{02943F78-AE9F-46C7-8C75-BE048D5C45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08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5287" name="Picture@5C\QPendientes@" descr="@5C\QPendientes@">
          <a:extLst>
            <a:ext uri="{FF2B5EF4-FFF2-40B4-BE49-F238E27FC236}">
              <a16:creationId xmlns:a16="http://schemas.microsoft.com/office/drawing/2014/main" id="{B2EBF9D8-58ED-40AD-9D8E-0B838206F5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27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5288" name="Picture@5C\QPendientes@" descr="@5C\QPendientes@">
          <a:extLst>
            <a:ext uri="{FF2B5EF4-FFF2-40B4-BE49-F238E27FC236}">
              <a16:creationId xmlns:a16="http://schemas.microsoft.com/office/drawing/2014/main" id="{F7F53BAB-2B3C-44F6-9FA8-A7BA8087DA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45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5289" name="Picture@5C\QPendientes@" descr="@5C\QPendientes@">
          <a:extLst>
            <a:ext uri="{FF2B5EF4-FFF2-40B4-BE49-F238E27FC236}">
              <a16:creationId xmlns:a16="http://schemas.microsoft.com/office/drawing/2014/main" id="{7C33EC8F-C57F-4BCB-A3D3-070EDB499D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6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5290" name="Picture@5C\QPendientes@" descr="@5C\QPendientes@">
          <a:extLst>
            <a:ext uri="{FF2B5EF4-FFF2-40B4-BE49-F238E27FC236}">
              <a16:creationId xmlns:a16="http://schemas.microsoft.com/office/drawing/2014/main" id="{BCF1A397-F650-4827-B693-0E3B81DEB3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882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5291" name="Picture@5C\QPendientes@" descr="@5C\QPendientes@">
          <a:extLst>
            <a:ext uri="{FF2B5EF4-FFF2-40B4-BE49-F238E27FC236}">
              <a16:creationId xmlns:a16="http://schemas.microsoft.com/office/drawing/2014/main" id="{BA1B2F0A-67C9-4EC9-8909-41BDE982C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00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5292" name="Picture@5C\QPendientes@" descr="@5C\QPendientes@">
          <a:extLst>
            <a:ext uri="{FF2B5EF4-FFF2-40B4-BE49-F238E27FC236}">
              <a16:creationId xmlns:a16="http://schemas.microsoft.com/office/drawing/2014/main" id="{EFDBEC07-5F82-4B06-9F84-2857F7C922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18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5293" name="Picture@5C\QPendientes@" descr="@5C\QPendientes@">
          <a:extLst>
            <a:ext uri="{FF2B5EF4-FFF2-40B4-BE49-F238E27FC236}">
              <a16:creationId xmlns:a16="http://schemas.microsoft.com/office/drawing/2014/main" id="{B6096138-72D8-4D7A-A285-051FDB7E9A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36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5294" name="Picture@5C\QPendientes@" descr="@5C\QPendientes@">
          <a:extLst>
            <a:ext uri="{FF2B5EF4-FFF2-40B4-BE49-F238E27FC236}">
              <a16:creationId xmlns:a16="http://schemas.microsoft.com/office/drawing/2014/main" id="{1A3791ED-5DD1-4808-A391-A9C3449B4E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55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5295" name="Picture@5C\QPendientes@" descr="@5C\QPendientes@">
          <a:extLst>
            <a:ext uri="{FF2B5EF4-FFF2-40B4-BE49-F238E27FC236}">
              <a16:creationId xmlns:a16="http://schemas.microsoft.com/office/drawing/2014/main" id="{F6895FF5-65D3-4247-AC83-C6709771C2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73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5296" name="Picture@5C\QPendientes@" descr="@5C\QPendientes@">
          <a:extLst>
            <a:ext uri="{FF2B5EF4-FFF2-40B4-BE49-F238E27FC236}">
              <a16:creationId xmlns:a16="http://schemas.microsoft.com/office/drawing/2014/main" id="{FDF19936-65F8-457B-9F53-FE5C14C2D4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91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5297" name="Picture@5C\QPendientes@" descr="@5C\QPendientes@">
          <a:extLst>
            <a:ext uri="{FF2B5EF4-FFF2-40B4-BE49-F238E27FC236}">
              <a16:creationId xmlns:a16="http://schemas.microsoft.com/office/drawing/2014/main" id="{23096A0E-255C-4C47-8409-18D8233CFE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10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5298" name="Picture@5C\QPendientes@" descr="@5C\QPendientes@">
          <a:extLst>
            <a:ext uri="{FF2B5EF4-FFF2-40B4-BE49-F238E27FC236}">
              <a16:creationId xmlns:a16="http://schemas.microsoft.com/office/drawing/2014/main" id="{69928162-6576-47B0-B070-0D094A27C0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28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5299" name="Picture@5C\QPendientes@" descr="@5C\QPendientes@">
          <a:extLst>
            <a:ext uri="{FF2B5EF4-FFF2-40B4-BE49-F238E27FC236}">
              <a16:creationId xmlns:a16="http://schemas.microsoft.com/office/drawing/2014/main" id="{7F20190B-CC8B-45B6-A6C2-32B31B0E3D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46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5300" name="Picture@5C\QPendientes@" descr="@5C\QPendientes@">
          <a:extLst>
            <a:ext uri="{FF2B5EF4-FFF2-40B4-BE49-F238E27FC236}">
              <a16:creationId xmlns:a16="http://schemas.microsoft.com/office/drawing/2014/main" id="{9680493B-2DD6-494B-832B-8A08C14894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65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5301" name="Picture@5C\QPendientes@" descr="@5C\QPendientes@">
          <a:extLst>
            <a:ext uri="{FF2B5EF4-FFF2-40B4-BE49-F238E27FC236}">
              <a16:creationId xmlns:a16="http://schemas.microsoft.com/office/drawing/2014/main" id="{E8289B76-3D8D-44AB-829C-FBA8B96C88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083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5302" name="Picture@5C\QPendientes@" descr="@5C\QPendientes@">
          <a:extLst>
            <a:ext uri="{FF2B5EF4-FFF2-40B4-BE49-F238E27FC236}">
              <a16:creationId xmlns:a16="http://schemas.microsoft.com/office/drawing/2014/main" id="{8D9978E9-3821-4B20-B30D-9D49FA03C5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01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5303" name="Picture@5C\QPendientes@" descr="@5C\QPendientes@">
          <a:extLst>
            <a:ext uri="{FF2B5EF4-FFF2-40B4-BE49-F238E27FC236}">
              <a16:creationId xmlns:a16="http://schemas.microsoft.com/office/drawing/2014/main" id="{DD2EEE6C-AD85-4136-B0F8-F2F033CADC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19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5304" name="Picture@5C\QPendientes@" descr="@5C\QPendientes@">
          <a:extLst>
            <a:ext uri="{FF2B5EF4-FFF2-40B4-BE49-F238E27FC236}">
              <a16:creationId xmlns:a16="http://schemas.microsoft.com/office/drawing/2014/main" id="{962350EB-E6A6-4C24-A377-9642016935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38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5305" name="Picture@5C\QPendientes@" descr="@5C\QPendientes@">
          <a:extLst>
            <a:ext uri="{FF2B5EF4-FFF2-40B4-BE49-F238E27FC236}">
              <a16:creationId xmlns:a16="http://schemas.microsoft.com/office/drawing/2014/main" id="{FAC314EA-611E-4B8B-BABB-F9CB8044EB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56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5306" name="Picture@5C\QPendientes@" descr="@5C\QPendientes@">
          <a:extLst>
            <a:ext uri="{FF2B5EF4-FFF2-40B4-BE49-F238E27FC236}">
              <a16:creationId xmlns:a16="http://schemas.microsoft.com/office/drawing/2014/main" id="{508C12EF-F643-472D-A5F6-84E80820A2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74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5307" name="Picture@5C\QPendientes@" descr="@5C\QPendientes@">
          <a:extLst>
            <a:ext uri="{FF2B5EF4-FFF2-40B4-BE49-F238E27FC236}">
              <a16:creationId xmlns:a16="http://schemas.microsoft.com/office/drawing/2014/main" id="{D2F0BCBF-EEBA-4A2E-8866-4AB4633B1A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93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5308" name="Picture@5C\QPendientes@" descr="@5C\QPendientes@">
          <a:extLst>
            <a:ext uri="{FF2B5EF4-FFF2-40B4-BE49-F238E27FC236}">
              <a16:creationId xmlns:a16="http://schemas.microsoft.com/office/drawing/2014/main" id="{6CE28EF0-0AE3-4DBE-9FCF-0E68E47720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11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5309" name="Picture@5C\QPendientes@" descr="@5C\QPendientes@">
          <a:extLst>
            <a:ext uri="{FF2B5EF4-FFF2-40B4-BE49-F238E27FC236}">
              <a16:creationId xmlns:a16="http://schemas.microsoft.com/office/drawing/2014/main" id="{6DC66FD8-939E-4DCD-B72B-6C8C8F9514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29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5310" name="Picture@5C\QPendientes@" descr="@5C\QPendientes@">
          <a:extLst>
            <a:ext uri="{FF2B5EF4-FFF2-40B4-BE49-F238E27FC236}">
              <a16:creationId xmlns:a16="http://schemas.microsoft.com/office/drawing/2014/main" id="{AEB35B6D-BB10-4382-A047-876318B36E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47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5311" name="Picture@5C\QPendientes@" descr="@5C\QPendientes@">
          <a:extLst>
            <a:ext uri="{FF2B5EF4-FFF2-40B4-BE49-F238E27FC236}">
              <a16:creationId xmlns:a16="http://schemas.microsoft.com/office/drawing/2014/main" id="{912AB704-1823-492F-8D34-8367F51983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66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5312" name="Picture@5C\QPendientes@" descr="@5C\QPendientes@">
          <a:extLst>
            <a:ext uri="{FF2B5EF4-FFF2-40B4-BE49-F238E27FC236}">
              <a16:creationId xmlns:a16="http://schemas.microsoft.com/office/drawing/2014/main" id="{CEA723BC-8E44-4F02-B0C2-2005007761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284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5313" name="Picture@5C\QPendientes@" descr="@5C\QPendientes@">
          <a:extLst>
            <a:ext uri="{FF2B5EF4-FFF2-40B4-BE49-F238E27FC236}">
              <a16:creationId xmlns:a16="http://schemas.microsoft.com/office/drawing/2014/main" id="{38787749-2C75-4BA3-B8AF-6404214C67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02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5314" name="Picture@5C\QPendientes@" descr="@5C\QPendientes@">
          <a:extLst>
            <a:ext uri="{FF2B5EF4-FFF2-40B4-BE49-F238E27FC236}">
              <a16:creationId xmlns:a16="http://schemas.microsoft.com/office/drawing/2014/main" id="{D4635A4D-39B0-4725-A81A-89043BB15C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21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5315" name="Picture@5C\QPendientes@" descr="@5C\QPendientes@">
          <a:extLst>
            <a:ext uri="{FF2B5EF4-FFF2-40B4-BE49-F238E27FC236}">
              <a16:creationId xmlns:a16="http://schemas.microsoft.com/office/drawing/2014/main" id="{DEB03F0F-BDA6-4C1E-BE67-85208F30B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39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5316" name="Picture@5C\QPendientes@" descr="@5C\QPendientes@">
          <a:extLst>
            <a:ext uri="{FF2B5EF4-FFF2-40B4-BE49-F238E27FC236}">
              <a16:creationId xmlns:a16="http://schemas.microsoft.com/office/drawing/2014/main" id="{62D430C3-8A28-4518-96B3-D789AA02A9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57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5317" name="Picture@5C\QPendientes@" descr="@5C\QPendientes@">
          <a:extLst>
            <a:ext uri="{FF2B5EF4-FFF2-40B4-BE49-F238E27FC236}">
              <a16:creationId xmlns:a16="http://schemas.microsoft.com/office/drawing/2014/main" id="{9A9E1284-D7F4-4EDF-AC0C-F86B294459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75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5318" name="Picture@5C\QPendientes@" descr="@5C\QPendientes@">
          <a:extLst>
            <a:ext uri="{FF2B5EF4-FFF2-40B4-BE49-F238E27FC236}">
              <a16:creationId xmlns:a16="http://schemas.microsoft.com/office/drawing/2014/main" id="{BCE8E828-8D00-478C-B37F-D0FF6FDE0D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94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5319" name="Picture@5C\QPendientes@" descr="@5C\QPendientes@">
          <a:extLst>
            <a:ext uri="{FF2B5EF4-FFF2-40B4-BE49-F238E27FC236}">
              <a16:creationId xmlns:a16="http://schemas.microsoft.com/office/drawing/2014/main" id="{09CE9941-1F6E-4CBA-8B95-C0A3C70BFD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12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5320" name="Picture@5C\QPendientes@" descr="@5C\QPendientes@">
          <a:extLst>
            <a:ext uri="{FF2B5EF4-FFF2-40B4-BE49-F238E27FC236}">
              <a16:creationId xmlns:a16="http://schemas.microsoft.com/office/drawing/2014/main" id="{D9317D25-2DA0-45B0-870E-5CB73109BE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30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5321" name="Picture@5C\QPendientes@" descr="@5C\QPendientes@">
          <a:extLst>
            <a:ext uri="{FF2B5EF4-FFF2-40B4-BE49-F238E27FC236}">
              <a16:creationId xmlns:a16="http://schemas.microsoft.com/office/drawing/2014/main" id="{4146D711-311D-4000-AD85-25D3B90A0D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49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5322" name="Picture@5C\QPendientes@" descr="@5C\QPendientes@">
          <a:extLst>
            <a:ext uri="{FF2B5EF4-FFF2-40B4-BE49-F238E27FC236}">
              <a16:creationId xmlns:a16="http://schemas.microsoft.com/office/drawing/2014/main" id="{C1375594-429E-4B92-B8D3-4FC5CC0B83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67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5323" name="Picture@5C\QPendientes@" descr="@5C\QPendientes@">
          <a:extLst>
            <a:ext uri="{FF2B5EF4-FFF2-40B4-BE49-F238E27FC236}">
              <a16:creationId xmlns:a16="http://schemas.microsoft.com/office/drawing/2014/main" id="{8158E3CB-6FEE-4C23-BF1A-897F525B42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485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5324" name="Picture@5C\QPendientes@" descr="@5C\QPendientes@">
          <a:extLst>
            <a:ext uri="{FF2B5EF4-FFF2-40B4-BE49-F238E27FC236}">
              <a16:creationId xmlns:a16="http://schemas.microsoft.com/office/drawing/2014/main" id="{96BCCD6E-1006-4222-BC9E-30235B0238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03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5325" name="Picture@5C\QPendientes@" descr="@5C\QPendientes@">
          <a:extLst>
            <a:ext uri="{FF2B5EF4-FFF2-40B4-BE49-F238E27FC236}">
              <a16:creationId xmlns:a16="http://schemas.microsoft.com/office/drawing/2014/main" id="{0E98A703-5973-4451-868D-6DAE7B5BB5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22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5326" name="Picture@5C\QPendientes@" descr="@5C\QPendientes@">
          <a:extLst>
            <a:ext uri="{FF2B5EF4-FFF2-40B4-BE49-F238E27FC236}">
              <a16:creationId xmlns:a16="http://schemas.microsoft.com/office/drawing/2014/main" id="{EADAC367-150D-4764-B79A-26C661E6CB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40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5327" name="Picture@5C\QPendientes@" descr="@5C\QPendientes@">
          <a:extLst>
            <a:ext uri="{FF2B5EF4-FFF2-40B4-BE49-F238E27FC236}">
              <a16:creationId xmlns:a16="http://schemas.microsoft.com/office/drawing/2014/main" id="{DE7C3E06-A3F9-45DB-B76A-33FB4A8516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58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5328" name="Picture@5C\QPendientes@" descr="@5C\QPendientes@">
          <a:extLst>
            <a:ext uri="{FF2B5EF4-FFF2-40B4-BE49-F238E27FC236}">
              <a16:creationId xmlns:a16="http://schemas.microsoft.com/office/drawing/2014/main" id="{ECD885DB-141C-4CA5-8505-9EE26C3858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77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5329" name="Picture@5C\QPendientes@" descr="@5C\QPendientes@">
          <a:extLst>
            <a:ext uri="{FF2B5EF4-FFF2-40B4-BE49-F238E27FC236}">
              <a16:creationId xmlns:a16="http://schemas.microsoft.com/office/drawing/2014/main" id="{EB4D96CF-E277-4742-9FB8-83A3FC3E52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95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5330" name="Picture@5C\QPendientes@" descr="@5C\QPendientes@">
          <a:extLst>
            <a:ext uri="{FF2B5EF4-FFF2-40B4-BE49-F238E27FC236}">
              <a16:creationId xmlns:a16="http://schemas.microsoft.com/office/drawing/2014/main" id="{A2140E28-2FCE-41E2-9485-1E068CD0BF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13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5331" name="Picture@5C\QPendientes@" descr="@5C\QPendientes@">
          <a:extLst>
            <a:ext uri="{FF2B5EF4-FFF2-40B4-BE49-F238E27FC236}">
              <a16:creationId xmlns:a16="http://schemas.microsoft.com/office/drawing/2014/main" id="{5194777E-161F-47FB-A544-CAF5F7135E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31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5332" name="Picture@5C\QPendientes@" descr="@5C\QPendientes@">
          <a:extLst>
            <a:ext uri="{FF2B5EF4-FFF2-40B4-BE49-F238E27FC236}">
              <a16:creationId xmlns:a16="http://schemas.microsoft.com/office/drawing/2014/main" id="{F28476FC-9301-4A97-BDE1-F56B45C23C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50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5333" name="Picture@5C\QPendientes@" descr="@5C\QPendientes@">
          <a:extLst>
            <a:ext uri="{FF2B5EF4-FFF2-40B4-BE49-F238E27FC236}">
              <a16:creationId xmlns:a16="http://schemas.microsoft.com/office/drawing/2014/main" id="{C00159E8-AAEA-442A-BA1A-D57958883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68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5334" name="Picture@5C\QPendientes@" descr="@5C\QPendientes@">
          <a:extLst>
            <a:ext uri="{FF2B5EF4-FFF2-40B4-BE49-F238E27FC236}">
              <a16:creationId xmlns:a16="http://schemas.microsoft.com/office/drawing/2014/main" id="{9822DB9E-C991-44D9-B1BF-84A728FDB6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86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5335" name="Picture@5C\QPendientes@" descr="@5C\QPendientes@">
          <a:extLst>
            <a:ext uri="{FF2B5EF4-FFF2-40B4-BE49-F238E27FC236}">
              <a16:creationId xmlns:a16="http://schemas.microsoft.com/office/drawing/2014/main" id="{553D7B69-9531-4EA8-9081-26505510F2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05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5336" name="Picture@5C\QPendientes@" descr="@5C\QPendientes@">
          <a:extLst>
            <a:ext uri="{FF2B5EF4-FFF2-40B4-BE49-F238E27FC236}">
              <a16:creationId xmlns:a16="http://schemas.microsoft.com/office/drawing/2014/main" id="{FB40CD5C-9346-4B2B-9131-B0B5331E9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23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5337" name="Picture@5C\QPendientes@" descr="@5C\QPendientes@">
          <a:extLst>
            <a:ext uri="{FF2B5EF4-FFF2-40B4-BE49-F238E27FC236}">
              <a16:creationId xmlns:a16="http://schemas.microsoft.com/office/drawing/2014/main" id="{51A64570-9F18-4E95-A216-02A8F08753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41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5338" name="Picture@5C\QPendientes@" descr="@5C\QPendientes@">
          <a:extLst>
            <a:ext uri="{FF2B5EF4-FFF2-40B4-BE49-F238E27FC236}">
              <a16:creationId xmlns:a16="http://schemas.microsoft.com/office/drawing/2014/main" id="{59041C34-8AC3-4931-8484-A4DA016999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59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5339" name="Picture@5C\QPendientes@" descr="@5C\QPendientes@">
          <a:extLst>
            <a:ext uri="{FF2B5EF4-FFF2-40B4-BE49-F238E27FC236}">
              <a16:creationId xmlns:a16="http://schemas.microsoft.com/office/drawing/2014/main" id="{CA6F3394-4153-4D19-8ED7-25240D25F6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7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5340" name="Picture@5C\QPendientes@" descr="@5C\QPendientes@">
          <a:extLst>
            <a:ext uri="{FF2B5EF4-FFF2-40B4-BE49-F238E27FC236}">
              <a16:creationId xmlns:a16="http://schemas.microsoft.com/office/drawing/2014/main" id="{83BC3298-A7F1-4FA2-AEC8-3EFCB8BC96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796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5341" name="Picture@5C\QPendientes@" descr="@5C\QPendientes@">
          <a:extLst>
            <a:ext uri="{FF2B5EF4-FFF2-40B4-BE49-F238E27FC236}">
              <a16:creationId xmlns:a16="http://schemas.microsoft.com/office/drawing/2014/main" id="{9AD4C5BD-4594-4958-80FC-79C3B97C86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14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5342" name="Picture@5C\QPendientes@" descr="@5C\QPendientes@">
          <a:extLst>
            <a:ext uri="{FF2B5EF4-FFF2-40B4-BE49-F238E27FC236}">
              <a16:creationId xmlns:a16="http://schemas.microsoft.com/office/drawing/2014/main" id="{6285183F-4BCB-4BD0-B532-538555A637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33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5343" name="Picture@5C\QPendientes@" descr="@5C\QPendientes@">
          <a:extLst>
            <a:ext uri="{FF2B5EF4-FFF2-40B4-BE49-F238E27FC236}">
              <a16:creationId xmlns:a16="http://schemas.microsoft.com/office/drawing/2014/main" id="{525ECD30-8145-49FD-A057-CE15BB4632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51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5344" name="Picture@5C\QPendientes@" descr="@5C\QPendientes@">
          <a:extLst>
            <a:ext uri="{FF2B5EF4-FFF2-40B4-BE49-F238E27FC236}">
              <a16:creationId xmlns:a16="http://schemas.microsoft.com/office/drawing/2014/main" id="{A76E317D-F886-44ED-8DBE-19129D981C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69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5345" name="Picture@5C\QPendientes@" descr="@5C\QPendientes@">
          <a:extLst>
            <a:ext uri="{FF2B5EF4-FFF2-40B4-BE49-F238E27FC236}">
              <a16:creationId xmlns:a16="http://schemas.microsoft.com/office/drawing/2014/main" id="{C3ED8E02-EB83-4757-9701-95D341CCED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87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5346" name="Picture@5C\QPendientes@" descr="@5C\QPendientes@">
          <a:extLst>
            <a:ext uri="{FF2B5EF4-FFF2-40B4-BE49-F238E27FC236}">
              <a16:creationId xmlns:a16="http://schemas.microsoft.com/office/drawing/2014/main" id="{D97524AD-E921-465C-B7D6-DB8017F478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06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5347" name="Picture@5C\QPendientes@" descr="@5C\QPendientes@">
          <a:extLst>
            <a:ext uri="{FF2B5EF4-FFF2-40B4-BE49-F238E27FC236}">
              <a16:creationId xmlns:a16="http://schemas.microsoft.com/office/drawing/2014/main" id="{8D518BD4-F785-440F-8C77-E42E5FA3B2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24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5348" name="Picture@5C\QPendientes@" descr="@5C\QPendientes@">
          <a:extLst>
            <a:ext uri="{FF2B5EF4-FFF2-40B4-BE49-F238E27FC236}">
              <a16:creationId xmlns:a16="http://schemas.microsoft.com/office/drawing/2014/main" id="{27F8AEB5-4597-4ACE-ACED-44F8F8A769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42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5349" name="Picture@5C\QPendientes@" descr="@5C\QPendientes@">
          <a:extLst>
            <a:ext uri="{FF2B5EF4-FFF2-40B4-BE49-F238E27FC236}">
              <a16:creationId xmlns:a16="http://schemas.microsoft.com/office/drawing/2014/main" id="{793D812B-9FEB-4CE2-BAF8-F3D9E84A27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61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5350" name="Picture@5C\QPendientes@" descr="@5C\QPendientes@">
          <a:extLst>
            <a:ext uri="{FF2B5EF4-FFF2-40B4-BE49-F238E27FC236}">
              <a16:creationId xmlns:a16="http://schemas.microsoft.com/office/drawing/2014/main" id="{90D96E20-7DBB-464B-B075-749A70F21E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79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5351" name="Picture@5C\QPendientes@" descr="@5C\QPendientes@">
          <a:extLst>
            <a:ext uri="{FF2B5EF4-FFF2-40B4-BE49-F238E27FC236}">
              <a16:creationId xmlns:a16="http://schemas.microsoft.com/office/drawing/2014/main" id="{F2429455-8EFE-4E6B-858F-FE943F1857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997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5352" name="Picture@5C\QPendientes@" descr="@5C\QPendientes@">
          <a:extLst>
            <a:ext uri="{FF2B5EF4-FFF2-40B4-BE49-F238E27FC236}">
              <a16:creationId xmlns:a16="http://schemas.microsoft.com/office/drawing/2014/main" id="{BA0EDFE6-AE17-4D7F-94DE-828D208C5E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15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5353" name="Picture@5C\QPendientes@" descr="@5C\QPendientes@">
          <a:extLst>
            <a:ext uri="{FF2B5EF4-FFF2-40B4-BE49-F238E27FC236}">
              <a16:creationId xmlns:a16="http://schemas.microsoft.com/office/drawing/2014/main" id="{F2280E92-071E-4502-ACAF-2ECDD87EDB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34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5354" name="Picture@5C\QPendientes@" descr="@5C\QPendientes@">
          <a:extLst>
            <a:ext uri="{FF2B5EF4-FFF2-40B4-BE49-F238E27FC236}">
              <a16:creationId xmlns:a16="http://schemas.microsoft.com/office/drawing/2014/main" id="{3876C1AE-BA96-4A68-B0D9-69DCB20FC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52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5355" name="Picture@5C\QPendientes@" descr="@5C\QPendientes@">
          <a:extLst>
            <a:ext uri="{FF2B5EF4-FFF2-40B4-BE49-F238E27FC236}">
              <a16:creationId xmlns:a16="http://schemas.microsoft.com/office/drawing/2014/main" id="{65E44BAA-2AC8-4F53-8AF5-63E79CA532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70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5356" name="Picture@5C\QPendientes@" descr="@5C\QPendientes@">
          <a:extLst>
            <a:ext uri="{FF2B5EF4-FFF2-40B4-BE49-F238E27FC236}">
              <a16:creationId xmlns:a16="http://schemas.microsoft.com/office/drawing/2014/main" id="{EE6904C0-CAC2-44A7-8890-E874498203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89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5357" name="Picture@5C\QPendientes@" descr="@5C\QPendientes@">
          <a:extLst>
            <a:ext uri="{FF2B5EF4-FFF2-40B4-BE49-F238E27FC236}">
              <a16:creationId xmlns:a16="http://schemas.microsoft.com/office/drawing/2014/main" id="{E2CBFABE-380B-4C3A-9A92-66A2110203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07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5358" name="Picture@5C\QPendientes@" descr="@5C\QPendientes@">
          <a:extLst>
            <a:ext uri="{FF2B5EF4-FFF2-40B4-BE49-F238E27FC236}">
              <a16:creationId xmlns:a16="http://schemas.microsoft.com/office/drawing/2014/main" id="{82FC6CF6-214D-420D-BA32-CF6A435454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25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5359" name="Picture@5C\QPendientes@" descr="@5C\QPendientes@">
          <a:extLst>
            <a:ext uri="{FF2B5EF4-FFF2-40B4-BE49-F238E27FC236}">
              <a16:creationId xmlns:a16="http://schemas.microsoft.com/office/drawing/2014/main" id="{0BAB0EAB-B513-4E45-9C0E-A6E65AB0E2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44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5360" name="Picture@5C\QPendientes@" descr="@5C\QPendientes@">
          <a:extLst>
            <a:ext uri="{FF2B5EF4-FFF2-40B4-BE49-F238E27FC236}">
              <a16:creationId xmlns:a16="http://schemas.microsoft.com/office/drawing/2014/main" id="{52D768FF-BF77-4695-AB63-88B29C2C9F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62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5361" name="Picture@5C\QPendientes@" descr="@5C\QPendientes@">
          <a:extLst>
            <a:ext uri="{FF2B5EF4-FFF2-40B4-BE49-F238E27FC236}">
              <a16:creationId xmlns:a16="http://schemas.microsoft.com/office/drawing/2014/main" id="{E1DA0CB9-2AC2-40D5-8FBE-367C8204D2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80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5362" name="Picture@5C\QPendientes@" descr="@5C\QPendientes@">
          <a:extLst>
            <a:ext uri="{FF2B5EF4-FFF2-40B4-BE49-F238E27FC236}">
              <a16:creationId xmlns:a16="http://schemas.microsoft.com/office/drawing/2014/main" id="{0BF46B44-B65D-46F9-A6A0-7373B2D13C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198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5363" name="Picture@5C\QPendientes@" descr="@5C\QPendientes@">
          <a:extLst>
            <a:ext uri="{FF2B5EF4-FFF2-40B4-BE49-F238E27FC236}">
              <a16:creationId xmlns:a16="http://schemas.microsoft.com/office/drawing/2014/main" id="{CD702488-193C-49CF-81CF-ECAEFCA60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17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5364" name="Picture@5C\QPendientes@" descr="@5C\QPendientes@">
          <a:extLst>
            <a:ext uri="{FF2B5EF4-FFF2-40B4-BE49-F238E27FC236}">
              <a16:creationId xmlns:a16="http://schemas.microsoft.com/office/drawing/2014/main" id="{AE39AAB9-B3CF-4701-AD0B-C8C98C4247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35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5365" name="Picture@5C\QPendientes@" descr="@5C\QPendientes@">
          <a:extLst>
            <a:ext uri="{FF2B5EF4-FFF2-40B4-BE49-F238E27FC236}">
              <a16:creationId xmlns:a16="http://schemas.microsoft.com/office/drawing/2014/main" id="{11A60B00-2272-45EE-B6CB-99336C5FD9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53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5366" name="Picture@5C\QPendientes@" descr="@5C\QPendientes@">
          <a:extLst>
            <a:ext uri="{FF2B5EF4-FFF2-40B4-BE49-F238E27FC236}">
              <a16:creationId xmlns:a16="http://schemas.microsoft.com/office/drawing/2014/main" id="{DF7665B4-AFB7-4797-874F-4D347B6DD7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72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5367" name="Picture@5C\QPendientes@" descr="@5C\QPendientes@">
          <a:extLst>
            <a:ext uri="{FF2B5EF4-FFF2-40B4-BE49-F238E27FC236}">
              <a16:creationId xmlns:a16="http://schemas.microsoft.com/office/drawing/2014/main" id="{C66E5D24-E535-462C-9F9A-82CE2EA9C6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90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5368" name="Picture@5C\QPendientes@" descr="@5C\QPendientes@">
          <a:extLst>
            <a:ext uri="{FF2B5EF4-FFF2-40B4-BE49-F238E27FC236}">
              <a16:creationId xmlns:a16="http://schemas.microsoft.com/office/drawing/2014/main" id="{B1E316D0-B06D-442D-A24B-F3DF2A0363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08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5369" name="Picture@5C\QPendientes@" descr="@5C\QPendientes@">
          <a:extLst>
            <a:ext uri="{FF2B5EF4-FFF2-40B4-BE49-F238E27FC236}">
              <a16:creationId xmlns:a16="http://schemas.microsoft.com/office/drawing/2014/main" id="{53D35F6A-1D11-4BED-9C45-77F0833416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26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5370" name="Picture@5C\QPendientes@" descr="@5C\QPendientes@">
          <a:extLst>
            <a:ext uri="{FF2B5EF4-FFF2-40B4-BE49-F238E27FC236}">
              <a16:creationId xmlns:a16="http://schemas.microsoft.com/office/drawing/2014/main" id="{36D3EF74-3509-4B45-8670-46608D05BB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45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5371" name="Picture@5C\QPendientes@" descr="@5C\QPendientes@">
          <a:extLst>
            <a:ext uri="{FF2B5EF4-FFF2-40B4-BE49-F238E27FC236}">
              <a16:creationId xmlns:a16="http://schemas.microsoft.com/office/drawing/2014/main" id="{59235FEC-5625-48CB-B64B-48698547B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63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5372" name="Picture@5C\QPendientes@" descr="@5C\QPendientes@">
          <a:extLst>
            <a:ext uri="{FF2B5EF4-FFF2-40B4-BE49-F238E27FC236}">
              <a16:creationId xmlns:a16="http://schemas.microsoft.com/office/drawing/2014/main" id="{887B9C25-1499-4F9D-A5E6-9E15751FFC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381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5373" name="Picture@5C\QPendientes@" descr="@5C\QPendientes@">
          <a:extLst>
            <a:ext uri="{FF2B5EF4-FFF2-40B4-BE49-F238E27FC236}">
              <a16:creationId xmlns:a16="http://schemas.microsoft.com/office/drawing/2014/main" id="{42238723-F88D-4082-BC90-E9E5E9FDFB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00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5374" name="Picture@5C\QPendientes@" descr="@5C\QPendientes@">
          <a:extLst>
            <a:ext uri="{FF2B5EF4-FFF2-40B4-BE49-F238E27FC236}">
              <a16:creationId xmlns:a16="http://schemas.microsoft.com/office/drawing/2014/main" id="{2F54F8E7-B437-4F5C-86C9-83E5B22AAF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18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5375" name="Picture@5C\QPendientes@" descr="@5C\QPendientes@">
          <a:extLst>
            <a:ext uri="{FF2B5EF4-FFF2-40B4-BE49-F238E27FC236}">
              <a16:creationId xmlns:a16="http://schemas.microsoft.com/office/drawing/2014/main" id="{C9FFA417-A2EB-412D-95E6-8E660ED5BD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36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5376" name="Picture@5C\QPendientes@" descr="@5C\QPendientes@">
          <a:extLst>
            <a:ext uri="{FF2B5EF4-FFF2-40B4-BE49-F238E27FC236}">
              <a16:creationId xmlns:a16="http://schemas.microsoft.com/office/drawing/2014/main" id="{9F735D22-7146-4624-B7DB-5287101F9E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54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5377" name="Picture@5C\QPendientes@" descr="@5C\QPendientes@">
          <a:extLst>
            <a:ext uri="{FF2B5EF4-FFF2-40B4-BE49-F238E27FC236}">
              <a16:creationId xmlns:a16="http://schemas.microsoft.com/office/drawing/2014/main" id="{FC680661-3B1E-4B4D-984F-7A79AB9690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73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5378" name="Picture@5C\QPendientes@" descr="@5C\QPendientes@">
          <a:extLst>
            <a:ext uri="{FF2B5EF4-FFF2-40B4-BE49-F238E27FC236}">
              <a16:creationId xmlns:a16="http://schemas.microsoft.com/office/drawing/2014/main" id="{1042576C-1B6C-405C-B920-3E1E97BDDB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91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5379" name="Picture@5C\QPendientes@" descr="@5C\QPendientes@">
          <a:extLst>
            <a:ext uri="{FF2B5EF4-FFF2-40B4-BE49-F238E27FC236}">
              <a16:creationId xmlns:a16="http://schemas.microsoft.com/office/drawing/2014/main" id="{C2D32965-424D-489B-B0C0-F03B93B4FD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09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5380" name="Picture@5C\QPendientes@" descr="@5C\QPendientes@">
          <a:extLst>
            <a:ext uri="{FF2B5EF4-FFF2-40B4-BE49-F238E27FC236}">
              <a16:creationId xmlns:a16="http://schemas.microsoft.com/office/drawing/2014/main" id="{7FFA1049-81A6-44E9-BEAD-0049388C52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28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5381" name="Picture@5C\QPendientes@" descr="@5C\QPendientes@">
          <a:extLst>
            <a:ext uri="{FF2B5EF4-FFF2-40B4-BE49-F238E27FC236}">
              <a16:creationId xmlns:a16="http://schemas.microsoft.com/office/drawing/2014/main" id="{36327EBE-9926-4EFF-A3D5-04128FE760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46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5382" name="Picture@5C\QPendientes@" descr="@5C\QPendientes@">
          <a:extLst>
            <a:ext uri="{FF2B5EF4-FFF2-40B4-BE49-F238E27FC236}">
              <a16:creationId xmlns:a16="http://schemas.microsoft.com/office/drawing/2014/main" id="{854C266F-AD05-455A-B598-6926B9B23B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64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5383" name="Picture@5C\QPendientes@" descr="@5C\QPendientes@">
          <a:extLst>
            <a:ext uri="{FF2B5EF4-FFF2-40B4-BE49-F238E27FC236}">
              <a16:creationId xmlns:a16="http://schemas.microsoft.com/office/drawing/2014/main" id="{25C50E31-EEDC-42A9-A077-E04C8E0783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82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5384" name="Picture@5C\QPendientes@" descr="@5C\QPendientes@">
          <a:extLst>
            <a:ext uri="{FF2B5EF4-FFF2-40B4-BE49-F238E27FC236}">
              <a16:creationId xmlns:a16="http://schemas.microsoft.com/office/drawing/2014/main" id="{EB1C52D3-147C-4F44-903D-004E11006D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01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5385" name="Picture@5C\QPendientes@" descr="@5C\QPendientes@">
          <a:extLst>
            <a:ext uri="{FF2B5EF4-FFF2-40B4-BE49-F238E27FC236}">
              <a16:creationId xmlns:a16="http://schemas.microsoft.com/office/drawing/2014/main" id="{8AF2415B-0BC5-40D1-B66A-D6CA7C12C8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19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5386" name="Picture@5C\QPendientes@" descr="@5C\QPendientes@">
          <a:extLst>
            <a:ext uri="{FF2B5EF4-FFF2-40B4-BE49-F238E27FC236}">
              <a16:creationId xmlns:a16="http://schemas.microsoft.com/office/drawing/2014/main" id="{10B74698-93B2-4988-B021-F384926C0E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37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5387" name="Picture@5C\QPendientes@" descr="@5C\QPendientes@">
          <a:extLst>
            <a:ext uri="{FF2B5EF4-FFF2-40B4-BE49-F238E27FC236}">
              <a16:creationId xmlns:a16="http://schemas.microsoft.com/office/drawing/2014/main" id="{7E902C73-3AD5-47DD-BB17-1911802F75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56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5388" name="Picture@5C\QPendientes@" descr="@5C\QPendientes@">
          <a:extLst>
            <a:ext uri="{FF2B5EF4-FFF2-40B4-BE49-F238E27FC236}">
              <a16:creationId xmlns:a16="http://schemas.microsoft.com/office/drawing/2014/main" id="{C1DBBE59-3206-4011-9A05-5DE5DC89B9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74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5389" name="Picture@5C\QPendientes@" descr="@5C\QPendientes@">
          <a:extLst>
            <a:ext uri="{FF2B5EF4-FFF2-40B4-BE49-F238E27FC236}">
              <a16:creationId xmlns:a16="http://schemas.microsoft.com/office/drawing/2014/main" id="{F8FD226D-FD67-4C6B-B7C5-24DA867199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692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5390" name="Picture@5C\QPendientes@" descr="@5C\QPendientes@">
          <a:extLst>
            <a:ext uri="{FF2B5EF4-FFF2-40B4-BE49-F238E27FC236}">
              <a16:creationId xmlns:a16="http://schemas.microsoft.com/office/drawing/2014/main" id="{4184195B-3D87-4826-9AB2-FB3D40C22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10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5391" name="Picture@5C\QPendientes@" descr="@5C\QPendientes@">
          <a:extLst>
            <a:ext uri="{FF2B5EF4-FFF2-40B4-BE49-F238E27FC236}">
              <a16:creationId xmlns:a16="http://schemas.microsoft.com/office/drawing/2014/main" id="{BEB5AFD6-8C5D-4733-9E8A-787568F5B6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29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5392" name="Picture@5C\QPendientes@" descr="@5C\QPendientes@">
          <a:extLst>
            <a:ext uri="{FF2B5EF4-FFF2-40B4-BE49-F238E27FC236}">
              <a16:creationId xmlns:a16="http://schemas.microsoft.com/office/drawing/2014/main" id="{FF7297F1-79C6-4260-91A5-3F1434A0A6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47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5393" name="Picture@5C\QPendientes@" descr="@5C\QPendientes@">
          <a:extLst>
            <a:ext uri="{FF2B5EF4-FFF2-40B4-BE49-F238E27FC236}">
              <a16:creationId xmlns:a16="http://schemas.microsoft.com/office/drawing/2014/main" id="{8019D78E-B8D6-496B-A0C0-40DA91853D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65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5394" name="Picture@5C\QPendientes@" descr="@5C\QPendientes@">
          <a:extLst>
            <a:ext uri="{FF2B5EF4-FFF2-40B4-BE49-F238E27FC236}">
              <a16:creationId xmlns:a16="http://schemas.microsoft.com/office/drawing/2014/main" id="{B8367AC6-862C-415F-B195-7A5AFF6B60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84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5395" name="Picture@5C\QPendientes@" descr="@5C\QPendientes@">
          <a:extLst>
            <a:ext uri="{FF2B5EF4-FFF2-40B4-BE49-F238E27FC236}">
              <a16:creationId xmlns:a16="http://schemas.microsoft.com/office/drawing/2014/main" id="{198150F8-45DA-4DE0-999F-96D1F524F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02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5396" name="Picture@5C\QPendientes@" descr="@5C\QPendientes@">
          <a:extLst>
            <a:ext uri="{FF2B5EF4-FFF2-40B4-BE49-F238E27FC236}">
              <a16:creationId xmlns:a16="http://schemas.microsoft.com/office/drawing/2014/main" id="{3A3E49FF-F207-4E8E-BC7B-9972ACF206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20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5397" name="Picture@5C\QPendientes@" descr="@5C\QPendientes@">
          <a:extLst>
            <a:ext uri="{FF2B5EF4-FFF2-40B4-BE49-F238E27FC236}">
              <a16:creationId xmlns:a16="http://schemas.microsoft.com/office/drawing/2014/main" id="{567966BF-7753-4022-8D2C-08A0A45978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38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5398" name="Picture@5C\QPendientes@" descr="@5C\QPendientes@">
          <a:extLst>
            <a:ext uri="{FF2B5EF4-FFF2-40B4-BE49-F238E27FC236}">
              <a16:creationId xmlns:a16="http://schemas.microsoft.com/office/drawing/2014/main" id="{FC25B667-FDE0-4E32-B40B-A2BBA82C15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57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5399" name="Picture@5C\QPendientes@" descr="@5C\QPendientes@">
          <a:extLst>
            <a:ext uri="{FF2B5EF4-FFF2-40B4-BE49-F238E27FC236}">
              <a16:creationId xmlns:a16="http://schemas.microsoft.com/office/drawing/2014/main" id="{4B0965BD-3CF4-41CD-A707-70BE801CF6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75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5400" name="Picture@5C\QPendientes@" descr="@5C\QPendientes@">
          <a:extLst>
            <a:ext uri="{FF2B5EF4-FFF2-40B4-BE49-F238E27FC236}">
              <a16:creationId xmlns:a16="http://schemas.microsoft.com/office/drawing/2014/main" id="{200CE781-996A-4DAC-97CC-B4DE107D01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893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5401" name="Picture@5C\QPendientes@" descr="@5C\QPendientes@">
          <a:extLst>
            <a:ext uri="{FF2B5EF4-FFF2-40B4-BE49-F238E27FC236}">
              <a16:creationId xmlns:a16="http://schemas.microsoft.com/office/drawing/2014/main" id="{45251D36-7DB1-441B-BFB7-EC58D473BB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12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5402" name="Picture@5C\QPendientes@" descr="@5C\QPendientes@">
          <a:extLst>
            <a:ext uri="{FF2B5EF4-FFF2-40B4-BE49-F238E27FC236}">
              <a16:creationId xmlns:a16="http://schemas.microsoft.com/office/drawing/2014/main" id="{76FF5E62-E160-4A0B-816E-E5C3D9B4EC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30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5403" name="Picture@5C\QPendientes@" descr="@5C\QPendientes@">
          <a:extLst>
            <a:ext uri="{FF2B5EF4-FFF2-40B4-BE49-F238E27FC236}">
              <a16:creationId xmlns:a16="http://schemas.microsoft.com/office/drawing/2014/main" id="{920C1E18-D37D-4C95-98BF-B44C4A70C3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48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5404" name="Picture@5C\QPendientes@" descr="@5C\QPendientes@">
          <a:extLst>
            <a:ext uri="{FF2B5EF4-FFF2-40B4-BE49-F238E27FC236}">
              <a16:creationId xmlns:a16="http://schemas.microsoft.com/office/drawing/2014/main" id="{EA4B6318-4B0A-49E6-9CB8-2A345B1B5B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66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5405" name="Picture@5C\QPendientes@" descr="@5C\QPendientes@">
          <a:extLst>
            <a:ext uri="{FF2B5EF4-FFF2-40B4-BE49-F238E27FC236}">
              <a16:creationId xmlns:a16="http://schemas.microsoft.com/office/drawing/2014/main" id="{57A01E0C-B383-4093-A476-B3F6E221A7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85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5406" name="Picture@5C\QPendientes@" descr="@5C\QPendientes@">
          <a:extLst>
            <a:ext uri="{FF2B5EF4-FFF2-40B4-BE49-F238E27FC236}">
              <a16:creationId xmlns:a16="http://schemas.microsoft.com/office/drawing/2014/main" id="{790C4F76-7E9E-45AE-BF63-5286CC484A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03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5407" name="Picture@5C\QPendientes@" descr="@5C\QPendientes@">
          <a:extLst>
            <a:ext uri="{FF2B5EF4-FFF2-40B4-BE49-F238E27FC236}">
              <a16:creationId xmlns:a16="http://schemas.microsoft.com/office/drawing/2014/main" id="{7818849F-D0E6-45F3-BB01-00003F0CB5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21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5408" name="Picture@5C\QPendientes@" descr="@5C\QPendientes@">
          <a:extLst>
            <a:ext uri="{FF2B5EF4-FFF2-40B4-BE49-F238E27FC236}">
              <a16:creationId xmlns:a16="http://schemas.microsoft.com/office/drawing/2014/main" id="{7F0D860F-93F5-434D-8992-8775D2C43E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40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5409" name="Picture@5C\QPendientes@" descr="@5C\QPendientes@">
          <a:extLst>
            <a:ext uri="{FF2B5EF4-FFF2-40B4-BE49-F238E27FC236}">
              <a16:creationId xmlns:a16="http://schemas.microsoft.com/office/drawing/2014/main" id="{0CD198AB-82BE-416F-973B-65753433BE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58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5410" name="Picture@5C\QPendientes@" descr="@5C\QPendientes@">
          <a:extLst>
            <a:ext uri="{FF2B5EF4-FFF2-40B4-BE49-F238E27FC236}">
              <a16:creationId xmlns:a16="http://schemas.microsoft.com/office/drawing/2014/main" id="{883B8386-1539-4013-8A1E-601FE61079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76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5411" name="Picture@5C\QPendientes@" descr="@5C\QPendientes@">
          <a:extLst>
            <a:ext uri="{FF2B5EF4-FFF2-40B4-BE49-F238E27FC236}">
              <a16:creationId xmlns:a16="http://schemas.microsoft.com/office/drawing/2014/main" id="{CDEF67B0-19DA-49F2-8FCA-C313263DC3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094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5412" name="Picture@5C\QPendientes@" descr="@5C\QPendientes@">
          <a:extLst>
            <a:ext uri="{FF2B5EF4-FFF2-40B4-BE49-F238E27FC236}">
              <a16:creationId xmlns:a16="http://schemas.microsoft.com/office/drawing/2014/main" id="{974F139D-328B-4802-9D8B-09D15DB117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13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5413" name="Picture@5C\QPendientes@" descr="@5C\QPendientes@">
          <a:extLst>
            <a:ext uri="{FF2B5EF4-FFF2-40B4-BE49-F238E27FC236}">
              <a16:creationId xmlns:a16="http://schemas.microsoft.com/office/drawing/2014/main" id="{1D80BE1D-7521-4328-8A7E-D020A93E60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31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5414" name="Picture@5C\QPendientes@" descr="@5C\QPendientes@">
          <a:extLst>
            <a:ext uri="{FF2B5EF4-FFF2-40B4-BE49-F238E27FC236}">
              <a16:creationId xmlns:a16="http://schemas.microsoft.com/office/drawing/2014/main" id="{DBBDFBBC-BBF8-4699-8F92-E223532C0B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49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5415" name="Picture@5C\QPendientes@" descr="@5C\QPendientes@">
          <a:extLst>
            <a:ext uri="{FF2B5EF4-FFF2-40B4-BE49-F238E27FC236}">
              <a16:creationId xmlns:a16="http://schemas.microsoft.com/office/drawing/2014/main" id="{A42E856F-C2E6-4634-B446-C33BE743E7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68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5416" name="Picture@5C\QPendientes@" descr="@5C\QPendientes@">
          <a:extLst>
            <a:ext uri="{FF2B5EF4-FFF2-40B4-BE49-F238E27FC236}">
              <a16:creationId xmlns:a16="http://schemas.microsoft.com/office/drawing/2014/main" id="{C4B1284C-9730-4152-9C19-F7AEE30096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86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5417" name="Picture@5C\QPendientes@" descr="@5C\QPendientes@">
          <a:extLst>
            <a:ext uri="{FF2B5EF4-FFF2-40B4-BE49-F238E27FC236}">
              <a16:creationId xmlns:a16="http://schemas.microsoft.com/office/drawing/2014/main" id="{BD92816F-2058-427D-8715-7756ACB50F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04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5418" name="Picture@5C\QPendientes@" descr="@5C\QPendientes@">
          <a:extLst>
            <a:ext uri="{FF2B5EF4-FFF2-40B4-BE49-F238E27FC236}">
              <a16:creationId xmlns:a16="http://schemas.microsoft.com/office/drawing/2014/main" id="{8151C262-4005-4C74-AE6A-17ABDB6DC6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22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5419" name="Picture@5C\QPendientes@" descr="@5C\QPendientes@">
          <a:extLst>
            <a:ext uri="{FF2B5EF4-FFF2-40B4-BE49-F238E27FC236}">
              <a16:creationId xmlns:a16="http://schemas.microsoft.com/office/drawing/2014/main" id="{181207D5-005E-43D7-8B1B-8F3936EB9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41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5420" name="Picture@5C\QPendientes@" descr="@5C\QPendientes@">
          <a:extLst>
            <a:ext uri="{FF2B5EF4-FFF2-40B4-BE49-F238E27FC236}">
              <a16:creationId xmlns:a16="http://schemas.microsoft.com/office/drawing/2014/main" id="{C21F7AE2-BF42-4CC8-A535-956AF01B06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59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5421" name="Picture@5C\QPendientes@" descr="@5C\QPendientes@">
          <a:extLst>
            <a:ext uri="{FF2B5EF4-FFF2-40B4-BE49-F238E27FC236}">
              <a16:creationId xmlns:a16="http://schemas.microsoft.com/office/drawing/2014/main" id="{6CBF9061-728E-4CD2-A7BF-93B9B6ED3D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77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5422" name="Picture@5C\QPendientes@" descr="@5C\QPendientes@">
          <a:extLst>
            <a:ext uri="{FF2B5EF4-FFF2-40B4-BE49-F238E27FC236}">
              <a16:creationId xmlns:a16="http://schemas.microsoft.com/office/drawing/2014/main" id="{2D3CA0A0-AE12-4C58-87F1-5691C2DED9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296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5423" name="Picture@5C\QPendientes@" descr="@5C\QPendientes@">
          <a:extLst>
            <a:ext uri="{FF2B5EF4-FFF2-40B4-BE49-F238E27FC236}">
              <a16:creationId xmlns:a16="http://schemas.microsoft.com/office/drawing/2014/main" id="{05EE9C95-048C-4368-B74C-80CAB3242D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14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5424" name="Picture@5C\QPendientes@" descr="@5C\QPendientes@">
          <a:extLst>
            <a:ext uri="{FF2B5EF4-FFF2-40B4-BE49-F238E27FC236}">
              <a16:creationId xmlns:a16="http://schemas.microsoft.com/office/drawing/2014/main" id="{86C0E46A-DA48-417A-ABA1-F325C5B342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32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5425" name="Picture@5C\QPendientes@" descr="@5C\QPendientes@">
          <a:extLst>
            <a:ext uri="{FF2B5EF4-FFF2-40B4-BE49-F238E27FC236}">
              <a16:creationId xmlns:a16="http://schemas.microsoft.com/office/drawing/2014/main" id="{9F3E8854-C193-471E-9F87-17078EF9CF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51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5426" name="Picture@5C\QPendientes@" descr="@5C\QPendientes@">
          <a:extLst>
            <a:ext uri="{FF2B5EF4-FFF2-40B4-BE49-F238E27FC236}">
              <a16:creationId xmlns:a16="http://schemas.microsoft.com/office/drawing/2014/main" id="{8CCB1408-6057-4111-952B-5256B4CFE3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69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5427" name="Picture@5C\QPendientes@" descr="@5C\QPendientes@">
          <a:extLst>
            <a:ext uri="{FF2B5EF4-FFF2-40B4-BE49-F238E27FC236}">
              <a16:creationId xmlns:a16="http://schemas.microsoft.com/office/drawing/2014/main" id="{D0F46060-428E-4085-A66E-B5FD42CFFA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875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5428" name="Picture@5C\QPendientes@" descr="@5C\QPendientes@">
          <a:extLst>
            <a:ext uri="{FF2B5EF4-FFF2-40B4-BE49-F238E27FC236}">
              <a16:creationId xmlns:a16="http://schemas.microsoft.com/office/drawing/2014/main" id="{8477B712-0CF9-4C2E-9EDE-4C5DC0558B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058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5429" name="Picture@5C\QPendientes@" descr="@5C\QPendientes@">
          <a:extLst>
            <a:ext uri="{FF2B5EF4-FFF2-40B4-BE49-F238E27FC236}">
              <a16:creationId xmlns:a16="http://schemas.microsoft.com/office/drawing/2014/main" id="{FE8CED30-61FF-4D0C-9380-F1188E7BF0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24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5430" name="Picture@5C\QPendientes@" descr="@5C\QPendientes@">
          <a:extLst>
            <a:ext uri="{FF2B5EF4-FFF2-40B4-BE49-F238E27FC236}">
              <a16:creationId xmlns:a16="http://schemas.microsoft.com/office/drawing/2014/main" id="{9F8E91C8-B498-428B-8EF3-EDCCB74E20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424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5431" name="Picture@5C\QPendientes@" descr="@5C\QPendientes@">
          <a:extLst>
            <a:ext uri="{FF2B5EF4-FFF2-40B4-BE49-F238E27FC236}">
              <a16:creationId xmlns:a16="http://schemas.microsoft.com/office/drawing/2014/main" id="{5E91C3FB-85E2-46D7-A2E1-C0850C4240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607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5432" name="Picture@5C\QPendientes@" descr="@5C\QPendientes@">
          <a:extLst>
            <a:ext uri="{FF2B5EF4-FFF2-40B4-BE49-F238E27FC236}">
              <a16:creationId xmlns:a16="http://schemas.microsoft.com/office/drawing/2014/main" id="{32A51FFD-E79E-41DD-85B0-262BA6B7DA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790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5433" name="Picture@5C\QPendientes@" descr="@5C\QPendientes@">
          <a:extLst>
            <a:ext uri="{FF2B5EF4-FFF2-40B4-BE49-F238E27FC236}">
              <a16:creationId xmlns:a16="http://schemas.microsoft.com/office/drawing/2014/main" id="{7429BB60-7629-4F74-B8AF-589486C24C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973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5434" name="Picture@5C\QPendientes@" descr="@5C\QPendientes@">
          <a:extLst>
            <a:ext uri="{FF2B5EF4-FFF2-40B4-BE49-F238E27FC236}">
              <a16:creationId xmlns:a16="http://schemas.microsoft.com/office/drawing/2014/main" id="{0E278209-6B18-4679-A5CF-A560640E22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1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5435" name="Picture@5C\QPendientes@" descr="@5C\QPendientes@">
          <a:extLst>
            <a:ext uri="{FF2B5EF4-FFF2-40B4-BE49-F238E27FC236}">
              <a16:creationId xmlns:a16="http://schemas.microsoft.com/office/drawing/2014/main" id="{E6CA818D-461F-40FA-940F-FFAE12957A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338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5436" name="Picture@5C\QPendientes@" descr="@5C\QPendientes@">
          <a:extLst>
            <a:ext uri="{FF2B5EF4-FFF2-40B4-BE49-F238E27FC236}">
              <a16:creationId xmlns:a16="http://schemas.microsoft.com/office/drawing/2014/main" id="{1BB2A66E-F987-4C15-8F0B-8CA249D2C4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521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5437" name="Picture@5C\QPendientes@" descr="@5C\QPendientes@">
          <a:extLst>
            <a:ext uri="{FF2B5EF4-FFF2-40B4-BE49-F238E27FC236}">
              <a16:creationId xmlns:a16="http://schemas.microsoft.com/office/drawing/2014/main" id="{710D000E-C7B4-4E4C-B555-1F89A699A9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704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5438" name="Picture@5C\QPendientes@" descr="@5C\QPendientes@">
          <a:extLst>
            <a:ext uri="{FF2B5EF4-FFF2-40B4-BE49-F238E27FC236}">
              <a16:creationId xmlns:a16="http://schemas.microsoft.com/office/drawing/2014/main" id="{BDF12B20-074E-48C2-B859-41D108BC97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5887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5439" name="Picture@5C\QPendientes@" descr="@5C\QPendientes@">
          <a:extLst>
            <a:ext uri="{FF2B5EF4-FFF2-40B4-BE49-F238E27FC236}">
              <a16:creationId xmlns:a16="http://schemas.microsoft.com/office/drawing/2014/main" id="{B72BF376-DCB3-445C-AE31-B45582369C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07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5440" name="Picture@5C\QPendientes@" descr="@5C\QPendientes@">
          <a:extLst>
            <a:ext uri="{FF2B5EF4-FFF2-40B4-BE49-F238E27FC236}">
              <a16:creationId xmlns:a16="http://schemas.microsoft.com/office/drawing/2014/main" id="{85F2527D-3DCE-4C24-89A1-37D49E3737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253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5441" name="Picture@5C\QPendientes@" descr="@5C\QPendientes@">
          <a:extLst>
            <a:ext uri="{FF2B5EF4-FFF2-40B4-BE49-F238E27FC236}">
              <a16:creationId xmlns:a16="http://schemas.microsoft.com/office/drawing/2014/main" id="{2081F0F3-D2F9-412A-B1A3-F7F8111297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436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5442" name="Picture@5C\QPendientes@" descr="@5C\QPendientes@">
          <a:extLst>
            <a:ext uri="{FF2B5EF4-FFF2-40B4-BE49-F238E27FC236}">
              <a16:creationId xmlns:a16="http://schemas.microsoft.com/office/drawing/2014/main" id="{3B7A1F36-B8D8-4ED6-AD8F-FDBE00C9DA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619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5443" name="Picture@5C\QPendientes@" descr="@5C\QPendientes@">
          <a:extLst>
            <a:ext uri="{FF2B5EF4-FFF2-40B4-BE49-F238E27FC236}">
              <a16:creationId xmlns:a16="http://schemas.microsoft.com/office/drawing/2014/main" id="{43ABA378-1638-446E-907C-55FD453985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801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5444" name="Picture@5C\QPendientes@" descr="@5C\QPendientes@">
          <a:extLst>
            <a:ext uri="{FF2B5EF4-FFF2-40B4-BE49-F238E27FC236}">
              <a16:creationId xmlns:a16="http://schemas.microsoft.com/office/drawing/2014/main" id="{0C1C2715-BB2C-4010-BF7A-4AC9C015CF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98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5445" name="Picture@5C\QPendientes@" descr="@5C\QPendientes@">
          <a:extLst>
            <a:ext uri="{FF2B5EF4-FFF2-40B4-BE49-F238E27FC236}">
              <a16:creationId xmlns:a16="http://schemas.microsoft.com/office/drawing/2014/main" id="{B55DD897-0E6A-43CE-AD6A-61B06D96D6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167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5446" name="Picture@5C\QPendientes@" descr="@5C\QPendientes@">
          <a:extLst>
            <a:ext uri="{FF2B5EF4-FFF2-40B4-BE49-F238E27FC236}">
              <a16:creationId xmlns:a16="http://schemas.microsoft.com/office/drawing/2014/main" id="{A32FC35A-FEF3-4D28-A67A-9332764359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350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5447" name="Picture@5C\QPendientes@" descr="@5C\QPendientes@">
          <a:extLst>
            <a:ext uri="{FF2B5EF4-FFF2-40B4-BE49-F238E27FC236}">
              <a16:creationId xmlns:a16="http://schemas.microsoft.com/office/drawing/2014/main" id="{95298997-2656-4914-848E-45556E1597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533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5448" name="Picture@5C\QPendientes@" descr="@5C\QPendientes@">
          <a:extLst>
            <a:ext uri="{FF2B5EF4-FFF2-40B4-BE49-F238E27FC236}">
              <a16:creationId xmlns:a16="http://schemas.microsoft.com/office/drawing/2014/main" id="{1D501989-A188-4821-B310-01D283921A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716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5449" name="Picture@5C\QPendientes@" descr="@5C\QPendientes@">
          <a:extLst>
            <a:ext uri="{FF2B5EF4-FFF2-40B4-BE49-F238E27FC236}">
              <a16:creationId xmlns:a16="http://schemas.microsoft.com/office/drawing/2014/main" id="{82D2A8BD-33EE-47F0-A22F-F0DA4C09D8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789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5450" name="Picture@5C\QPendientes@" descr="@5C\QPendientes@">
          <a:extLst>
            <a:ext uri="{FF2B5EF4-FFF2-40B4-BE49-F238E27FC236}">
              <a16:creationId xmlns:a16="http://schemas.microsoft.com/office/drawing/2014/main" id="{E33BC62B-9C80-46AE-A7BD-FDE5906A1B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082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5451" name="Picture@5C\QPendientes@" descr="@5C\QPendientes@">
          <a:extLst>
            <a:ext uri="{FF2B5EF4-FFF2-40B4-BE49-F238E27FC236}">
              <a16:creationId xmlns:a16="http://schemas.microsoft.com/office/drawing/2014/main" id="{3219701D-1145-405C-9CF0-9D2B866471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264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5452" name="Picture@5C\QPendientes@" descr="@5C\QPendientes@">
          <a:extLst>
            <a:ext uri="{FF2B5EF4-FFF2-40B4-BE49-F238E27FC236}">
              <a16:creationId xmlns:a16="http://schemas.microsoft.com/office/drawing/2014/main" id="{115C2B9A-F0BD-4F13-9C03-E56249C20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447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5453" name="Picture@5C\QPendientes@" descr="@5C\QPendientes@">
          <a:extLst>
            <a:ext uri="{FF2B5EF4-FFF2-40B4-BE49-F238E27FC236}">
              <a16:creationId xmlns:a16="http://schemas.microsoft.com/office/drawing/2014/main" id="{F92B2431-7DDD-4BA2-8F70-5D6A089FD6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630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5454" name="Picture@5C\QPendientes@" descr="@5C\QPendientes@">
          <a:extLst>
            <a:ext uri="{FF2B5EF4-FFF2-40B4-BE49-F238E27FC236}">
              <a16:creationId xmlns:a16="http://schemas.microsoft.com/office/drawing/2014/main" id="{87DD223D-FCDC-4C42-95A5-A7C013F544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81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5455" name="Picture@5C\QPendientes@" descr="@5C\QPendientes@">
          <a:extLst>
            <a:ext uri="{FF2B5EF4-FFF2-40B4-BE49-F238E27FC236}">
              <a16:creationId xmlns:a16="http://schemas.microsoft.com/office/drawing/2014/main" id="{7D3199D3-B388-4888-894D-4319A461E5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996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5456" name="Picture@5C\QPendientes@" descr="@5C\QPendientes@">
          <a:extLst>
            <a:ext uri="{FF2B5EF4-FFF2-40B4-BE49-F238E27FC236}">
              <a16:creationId xmlns:a16="http://schemas.microsoft.com/office/drawing/2014/main" id="{DDCCD47E-47D8-4695-89B0-17BF2688AF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179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5457" name="Picture@5C\QPendientes@" descr="@5C\QPendientes@">
          <a:extLst>
            <a:ext uri="{FF2B5EF4-FFF2-40B4-BE49-F238E27FC236}">
              <a16:creationId xmlns:a16="http://schemas.microsoft.com/office/drawing/2014/main" id="{C9DAB032-567C-4F50-941B-0C15335FA7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362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5458" name="Picture@5C\QPendientes@" descr="@5C\QPendientes@">
          <a:extLst>
            <a:ext uri="{FF2B5EF4-FFF2-40B4-BE49-F238E27FC236}">
              <a16:creationId xmlns:a16="http://schemas.microsoft.com/office/drawing/2014/main" id="{0C11A6C7-E62C-480C-B79C-172F436D0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545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5459" name="Picture@5C\QPendientes@" descr="@5C\QPendientes@">
          <a:extLst>
            <a:ext uri="{FF2B5EF4-FFF2-40B4-BE49-F238E27FC236}">
              <a16:creationId xmlns:a16="http://schemas.microsoft.com/office/drawing/2014/main" id="{EAE3CB7F-2768-4D3B-B877-21494D7148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72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5460" name="Picture@5C\QPendientes@" descr="@5C\QPendientes@">
          <a:extLst>
            <a:ext uri="{FF2B5EF4-FFF2-40B4-BE49-F238E27FC236}">
              <a16:creationId xmlns:a16="http://schemas.microsoft.com/office/drawing/2014/main" id="{C5F39FC6-8182-468B-92C4-B22B72DFDC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9910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5461" name="Picture@5C\QPendientes@" descr="@5C\QPendientes@">
          <a:extLst>
            <a:ext uri="{FF2B5EF4-FFF2-40B4-BE49-F238E27FC236}">
              <a16:creationId xmlns:a16="http://schemas.microsoft.com/office/drawing/2014/main" id="{E260D16E-93D2-4948-B6FB-4B4A468A58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093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5462" name="Picture@5C\QPendientes@" descr="@5C\QPendientes@">
          <a:extLst>
            <a:ext uri="{FF2B5EF4-FFF2-40B4-BE49-F238E27FC236}">
              <a16:creationId xmlns:a16="http://schemas.microsoft.com/office/drawing/2014/main" id="{83E20428-94E3-4D26-8BAF-F9AE5F1052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276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5463" name="Picture@5C\QPendientes@" descr="@5C\QPendientes@">
          <a:extLst>
            <a:ext uri="{FF2B5EF4-FFF2-40B4-BE49-F238E27FC236}">
              <a16:creationId xmlns:a16="http://schemas.microsoft.com/office/drawing/2014/main" id="{A821BB10-3F9A-4FBD-8266-4EF8D84D9F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459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5464" name="Picture@5C\QPendientes@" descr="@5C\QPendientes@">
          <a:extLst>
            <a:ext uri="{FF2B5EF4-FFF2-40B4-BE49-F238E27FC236}">
              <a16:creationId xmlns:a16="http://schemas.microsoft.com/office/drawing/2014/main" id="{5FBEB6DC-2176-46ED-B7B8-30F9FD8750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64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5465" name="Picture@5C\QPendientes@" descr="@5C\QPendientes@">
          <a:extLst>
            <a:ext uri="{FF2B5EF4-FFF2-40B4-BE49-F238E27FC236}">
              <a16:creationId xmlns:a16="http://schemas.microsoft.com/office/drawing/2014/main" id="{7016C11B-5B09-48B9-8A3E-D3E55DA59E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825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5466" name="Picture@5C\QPendientes@" descr="@5C\QPendientes@">
          <a:extLst>
            <a:ext uri="{FF2B5EF4-FFF2-40B4-BE49-F238E27FC236}">
              <a16:creationId xmlns:a16="http://schemas.microsoft.com/office/drawing/2014/main" id="{4F90591E-E235-4838-87A7-32BF67123C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008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5467" name="Picture@5C\QPendientes@" descr="@5C\QPendientes@">
          <a:extLst>
            <a:ext uri="{FF2B5EF4-FFF2-40B4-BE49-F238E27FC236}">
              <a16:creationId xmlns:a16="http://schemas.microsoft.com/office/drawing/2014/main" id="{2E94EDFF-A162-4A06-8255-2CB804B710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191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5468" name="Picture@5C\QPendientes@" descr="@5C\QPendientes@">
          <a:extLst>
            <a:ext uri="{FF2B5EF4-FFF2-40B4-BE49-F238E27FC236}">
              <a16:creationId xmlns:a16="http://schemas.microsoft.com/office/drawing/2014/main" id="{AF86B2AD-63FB-4D41-AD5D-80171DFFA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373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5469" name="Picture@5C\QPendientes@" descr="@5C\QPendientes@">
          <a:extLst>
            <a:ext uri="{FF2B5EF4-FFF2-40B4-BE49-F238E27FC236}">
              <a16:creationId xmlns:a16="http://schemas.microsoft.com/office/drawing/2014/main" id="{DF689B78-A49A-4C90-A1F2-F12E84D0C0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55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5470" name="Picture@5C\QPendientes@" descr="@5C\QPendientes@">
          <a:extLst>
            <a:ext uri="{FF2B5EF4-FFF2-40B4-BE49-F238E27FC236}">
              <a16:creationId xmlns:a16="http://schemas.microsoft.com/office/drawing/2014/main" id="{AEAF15E5-FD91-4428-A7F9-D7E340E1C7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739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5471" name="Picture@5C\QPendientes@" descr="@5C\QPendientes@">
          <a:extLst>
            <a:ext uri="{FF2B5EF4-FFF2-40B4-BE49-F238E27FC236}">
              <a16:creationId xmlns:a16="http://schemas.microsoft.com/office/drawing/2014/main" id="{F8E3AC26-44DE-4446-8948-DAE5339F90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1922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5472" name="Picture@5C\QPendientes@" descr="@5C\QPendientes@">
          <a:extLst>
            <a:ext uri="{FF2B5EF4-FFF2-40B4-BE49-F238E27FC236}">
              <a16:creationId xmlns:a16="http://schemas.microsoft.com/office/drawing/2014/main" id="{09793784-5733-4BFD-A9A5-279ECAAAC5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105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5473" name="Picture@5C\QPendientes@" descr="@5C\QPendientes@">
          <a:extLst>
            <a:ext uri="{FF2B5EF4-FFF2-40B4-BE49-F238E27FC236}">
              <a16:creationId xmlns:a16="http://schemas.microsoft.com/office/drawing/2014/main" id="{0F239E46-92E0-42C1-A6A7-61602BC7A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288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5474" name="Picture@5C\QPendientes@" descr="@5C\QPendientes@">
          <a:extLst>
            <a:ext uri="{FF2B5EF4-FFF2-40B4-BE49-F238E27FC236}">
              <a16:creationId xmlns:a16="http://schemas.microsoft.com/office/drawing/2014/main" id="{CD9C4CDE-3C30-49C8-84AB-4D6C07F0EA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47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5475" name="Picture@5C\QPendientes@" descr="@5C\QPendientes@">
          <a:extLst>
            <a:ext uri="{FF2B5EF4-FFF2-40B4-BE49-F238E27FC236}">
              <a16:creationId xmlns:a16="http://schemas.microsoft.com/office/drawing/2014/main" id="{22C09D09-36CC-4740-A403-A6DF5997AA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654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5476" name="Picture@5C\QPendientes@" descr="@5C\QPendientes@">
          <a:extLst>
            <a:ext uri="{FF2B5EF4-FFF2-40B4-BE49-F238E27FC236}">
              <a16:creationId xmlns:a16="http://schemas.microsoft.com/office/drawing/2014/main" id="{030AE672-F3B6-4B30-BFDA-70A8A55659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836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5477" name="Picture@5C\QPendientes@" descr="@5C\QPendientes@">
          <a:extLst>
            <a:ext uri="{FF2B5EF4-FFF2-40B4-BE49-F238E27FC236}">
              <a16:creationId xmlns:a16="http://schemas.microsoft.com/office/drawing/2014/main" id="{E0A8F8F0-A775-4682-ACEE-77D320D24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019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5478" name="Picture@5C\QPendientes@" descr="@5C\QPendientes@">
          <a:extLst>
            <a:ext uri="{FF2B5EF4-FFF2-40B4-BE49-F238E27FC236}">
              <a16:creationId xmlns:a16="http://schemas.microsoft.com/office/drawing/2014/main" id="{9C94A0AF-19CA-40DC-885B-BB6EADE2CC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202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5479" name="Picture@5C\QPendientes@" descr="@5C\QPendientes@">
          <a:extLst>
            <a:ext uri="{FF2B5EF4-FFF2-40B4-BE49-F238E27FC236}">
              <a16:creationId xmlns:a16="http://schemas.microsoft.com/office/drawing/2014/main" id="{BAC4F304-01EB-44E0-9B48-CD7E5596BE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38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5480" name="Picture@5C\QPendientes@" descr="@5C\QPendientes@">
          <a:extLst>
            <a:ext uri="{FF2B5EF4-FFF2-40B4-BE49-F238E27FC236}">
              <a16:creationId xmlns:a16="http://schemas.microsoft.com/office/drawing/2014/main" id="{E83DCF98-FECA-47C2-9AB2-0F0E472D48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568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5481" name="Picture@5C\QPendientes@" descr="@5C\QPendientes@">
          <a:extLst>
            <a:ext uri="{FF2B5EF4-FFF2-40B4-BE49-F238E27FC236}">
              <a16:creationId xmlns:a16="http://schemas.microsoft.com/office/drawing/2014/main" id="{76158CB7-6688-48FA-977D-A927E9C4A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751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5482" name="Picture@5C\QPendientes@" descr="@5C\QPendientes@">
          <a:extLst>
            <a:ext uri="{FF2B5EF4-FFF2-40B4-BE49-F238E27FC236}">
              <a16:creationId xmlns:a16="http://schemas.microsoft.com/office/drawing/2014/main" id="{FB1BE307-238F-4D05-A697-9BAD999867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3934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5483" name="Picture@5C\QPendientes@" descr="@5C\QPendientes@">
          <a:extLst>
            <a:ext uri="{FF2B5EF4-FFF2-40B4-BE49-F238E27FC236}">
              <a16:creationId xmlns:a16="http://schemas.microsoft.com/office/drawing/2014/main" id="{9ABB28EC-58C7-4D3E-A47C-FEC4084BB1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117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5484" name="Picture@5C\QPendientes@" descr="@5C\QPendientes@">
          <a:extLst>
            <a:ext uri="{FF2B5EF4-FFF2-40B4-BE49-F238E27FC236}">
              <a16:creationId xmlns:a16="http://schemas.microsoft.com/office/drawing/2014/main" id="{89F0459E-6B86-4916-9231-06074678C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300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5485" name="Picture@5C\QPendientes@" descr="@5C\QPendientes@">
          <a:extLst>
            <a:ext uri="{FF2B5EF4-FFF2-40B4-BE49-F238E27FC236}">
              <a16:creationId xmlns:a16="http://schemas.microsoft.com/office/drawing/2014/main" id="{B2E25B66-5613-4E27-ADAA-6E3A6A523E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482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5486" name="Picture@5C\QPendientes@" descr="@5C\QPendientes@">
          <a:extLst>
            <a:ext uri="{FF2B5EF4-FFF2-40B4-BE49-F238E27FC236}">
              <a16:creationId xmlns:a16="http://schemas.microsoft.com/office/drawing/2014/main" id="{17AB0947-DB13-433A-8C7F-A0ADED3485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665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5487" name="Picture@5C\QPendientes@" descr="@5C\QPendientes@">
          <a:extLst>
            <a:ext uri="{FF2B5EF4-FFF2-40B4-BE49-F238E27FC236}">
              <a16:creationId xmlns:a16="http://schemas.microsoft.com/office/drawing/2014/main" id="{012A28C3-9D63-4A93-BA72-F3CEC49824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848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5488" name="Picture@5C\QPendientes@" descr="@5C\QPendientes@">
          <a:extLst>
            <a:ext uri="{FF2B5EF4-FFF2-40B4-BE49-F238E27FC236}">
              <a16:creationId xmlns:a16="http://schemas.microsoft.com/office/drawing/2014/main" id="{F8189D80-D652-4989-AEC5-FEA65F8AAD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031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5489" name="Picture@5C\QPendientes@" descr="@5C\QPendientes@">
          <a:extLst>
            <a:ext uri="{FF2B5EF4-FFF2-40B4-BE49-F238E27FC236}">
              <a16:creationId xmlns:a16="http://schemas.microsoft.com/office/drawing/2014/main" id="{32B2D684-440B-48A2-9DC7-A2130BE00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21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5490" name="Picture@5C\QPendientes@" descr="@5C\QPendientes@">
          <a:extLst>
            <a:ext uri="{FF2B5EF4-FFF2-40B4-BE49-F238E27FC236}">
              <a16:creationId xmlns:a16="http://schemas.microsoft.com/office/drawing/2014/main" id="{30407D91-7A74-4479-B5B7-4EF9B3BA8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397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5491" name="Picture@5C\QPendientes@" descr="@5C\QPendientes@">
          <a:extLst>
            <a:ext uri="{FF2B5EF4-FFF2-40B4-BE49-F238E27FC236}">
              <a16:creationId xmlns:a16="http://schemas.microsoft.com/office/drawing/2014/main" id="{EBA79B5C-BA07-4B73-8EA7-4213B187EF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580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5492" name="Picture@5C\QPendientes@" descr="@5C\QPendientes@">
          <a:extLst>
            <a:ext uri="{FF2B5EF4-FFF2-40B4-BE49-F238E27FC236}">
              <a16:creationId xmlns:a16="http://schemas.microsoft.com/office/drawing/2014/main" id="{26908584-5EA3-4CBA-8924-D0F3D0D8AF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763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5493" name="Picture@5C\QPendientes@" descr="@5C\QPendientes@">
          <a:extLst>
            <a:ext uri="{FF2B5EF4-FFF2-40B4-BE49-F238E27FC236}">
              <a16:creationId xmlns:a16="http://schemas.microsoft.com/office/drawing/2014/main" id="{B3D80051-4868-4968-976C-9252764704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945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5494" name="Picture@5C\QPendientes@" descr="@5C\QPendientes@">
          <a:extLst>
            <a:ext uri="{FF2B5EF4-FFF2-40B4-BE49-F238E27FC236}">
              <a16:creationId xmlns:a16="http://schemas.microsoft.com/office/drawing/2014/main" id="{66EFC187-206E-4FE2-921C-2A3B13696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128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5495" name="Picture@5C\QPendientes@" descr="@5C\QPendientes@">
          <a:extLst>
            <a:ext uri="{FF2B5EF4-FFF2-40B4-BE49-F238E27FC236}">
              <a16:creationId xmlns:a16="http://schemas.microsoft.com/office/drawing/2014/main" id="{A8AC9015-08A6-4275-A06F-E647281D83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311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5496" name="Picture@5C\QPendientes@" descr="@5C\QPendientes@">
          <a:extLst>
            <a:ext uri="{FF2B5EF4-FFF2-40B4-BE49-F238E27FC236}">
              <a16:creationId xmlns:a16="http://schemas.microsoft.com/office/drawing/2014/main" id="{37976120-FA53-4332-85AD-6304D1D932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494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5497" name="Picture@5C\QPendientes@" descr="@5C\QPendientes@">
          <a:extLst>
            <a:ext uri="{FF2B5EF4-FFF2-40B4-BE49-F238E27FC236}">
              <a16:creationId xmlns:a16="http://schemas.microsoft.com/office/drawing/2014/main" id="{CA4D8369-D207-4D47-AF8F-F05946AEAE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677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5498" name="Picture@5C\QPendientes@" descr="@5C\QPendientes@">
          <a:extLst>
            <a:ext uri="{FF2B5EF4-FFF2-40B4-BE49-F238E27FC236}">
              <a16:creationId xmlns:a16="http://schemas.microsoft.com/office/drawing/2014/main" id="{2A6E0FB9-2792-430D-9226-6FD6AE265B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6860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5499" name="Picture@5C\QPendientes@" descr="@5C\QPendientes@">
          <a:extLst>
            <a:ext uri="{FF2B5EF4-FFF2-40B4-BE49-F238E27FC236}">
              <a16:creationId xmlns:a16="http://schemas.microsoft.com/office/drawing/2014/main" id="{87812C2A-9EBB-4B12-80C5-DBDF3D108E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043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5500" name="Picture@5C\QPendientes@" descr="@5C\QPendientes@">
          <a:extLst>
            <a:ext uri="{FF2B5EF4-FFF2-40B4-BE49-F238E27FC236}">
              <a16:creationId xmlns:a16="http://schemas.microsoft.com/office/drawing/2014/main" id="{13095B8C-EB44-447C-88E9-29F237BA8F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226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5501" name="Picture@5C\QPendientes@" descr="@5C\QPendientes@">
          <a:extLst>
            <a:ext uri="{FF2B5EF4-FFF2-40B4-BE49-F238E27FC236}">
              <a16:creationId xmlns:a16="http://schemas.microsoft.com/office/drawing/2014/main" id="{56F840DD-C27B-42BF-AC94-E9CDE4C756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408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5502" name="Picture@5C\QPendientes@" descr="@5C\QPendientes@">
          <a:extLst>
            <a:ext uri="{FF2B5EF4-FFF2-40B4-BE49-F238E27FC236}">
              <a16:creationId xmlns:a16="http://schemas.microsoft.com/office/drawing/2014/main" id="{DB2F9335-5EC9-465E-B847-5200AC5E64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591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5503" name="Picture@5C\QPendientes@" descr="@5C\QPendientes@">
          <a:extLst>
            <a:ext uri="{FF2B5EF4-FFF2-40B4-BE49-F238E27FC236}">
              <a16:creationId xmlns:a16="http://schemas.microsoft.com/office/drawing/2014/main" id="{AA7471C3-A767-4E56-B1F6-F843654EAC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774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5504" name="Picture@5C\QPendientes@" descr="@5C\QPendientes@">
          <a:extLst>
            <a:ext uri="{FF2B5EF4-FFF2-40B4-BE49-F238E27FC236}">
              <a16:creationId xmlns:a16="http://schemas.microsoft.com/office/drawing/2014/main" id="{C7EE2BF3-5DD0-4380-B6DC-91830957EA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957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5505" name="Picture@5C\QPendientes@" descr="@5C\QPendientes@">
          <a:extLst>
            <a:ext uri="{FF2B5EF4-FFF2-40B4-BE49-F238E27FC236}">
              <a16:creationId xmlns:a16="http://schemas.microsoft.com/office/drawing/2014/main" id="{E4CDB952-D652-4D62-8CD6-D02BB3D018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140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5506" name="Picture@5C\QPendientes@" descr="@5C\QPendientes@">
          <a:extLst>
            <a:ext uri="{FF2B5EF4-FFF2-40B4-BE49-F238E27FC236}">
              <a16:creationId xmlns:a16="http://schemas.microsoft.com/office/drawing/2014/main" id="{C393B6DF-9E97-4023-BF2D-6266E4EDD3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323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5507" name="Picture@5C\QPendientes@" descr="@5C\QPendientes@">
          <a:extLst>
            <a:ext uri="{FF2B5EF4-FFF2-40B4-BE49-F238E27FC236}">
              <a16:creationId xmlns:a16="http://schemas.microsoft.com/office/drawing/2014/main" id="{A086B4A4-AA49-47AC-9418-83F62FBAE6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506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5508" name="Picture@5C\QPendientes@" descr="@5C\QPendientes@">
          <a:extLst>
            <a:ext uri="{FF2B5EF4-FFF2-40B4-BE49-F238E27FC236}">
              <a16:creationId xmlns:a16="http://schemas.microsoft.com/office/drawing/2014/main" id="{904C8980-EC9A-494F-9472-FE049BA14F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689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5509" name="Picture@5C\QPendientes@" descr="@5C\QPendientes@">
          <a:extLst>
            <a:ext uri="{FF2B5EF4-FFF2-40B4-BE49-F238E27FC236}">
              <a16:creationId xmlns:a16="http://schemas.microsoft.com/office/drawing/2014/main" id="{8065A253-203D-4BBF-BFAD-E7CCED598E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8872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5510" name="Picture@5C\QPendientes@" descr="@5C\QPendientes@">
          <a:extLst>
            <a:ext uri="{FF2B5EF4-FFF2-40B4-BE49-F238E27FC236}">
              <a16:creationId xmlns:a16="http://schemas.microsoft.com/office/drawing/2014/main" id="{6925FCD6-3F5C-4670-9B9E-B88D1EC9F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054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5511" name="Picture@5C\QPendientes@" descr="@5C\QPendientes@">
          <a:extLst>
            <a:ext uri="{FF2B5EF4-FFF2-40B4-BE49-F238E27FC236}">
              <a16:creationId xmlns:a16="http://schemas.microsoft.com/office/drawing/2014/main" id="{36AFC1CC-4C20-4A92-B2CC-A6E7169CC5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237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5512" name="Picture@5C\QPendientes@" descr="@5C\QPendientes@">
          <a:extLst>
            <a:ext uri="{FF2B5EF4-FFF2-40B4-BE49-F238E27FC236}">
              <a16:creationId xmlns:a16="http://schemas.microsoft.com/office/drawing/2014/main" id="{F6DF40FA-B661-4D34-9553-52AC83A6EF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420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5513" name="Picture@5C\QPendientes@" descr="@5C\QPendientes@">
          <a:extLst>
            <a:ext uri="{FF2B5EF4-FFF2-40B4-BE49-F238E27FC236}">
              <a16:creationId xmlns:a16="http://schemas.microsoft.com/office/drawing/2014/main" id="{63CFF3DD-E3E0-44A0-9E42-3544C2AE15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603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5514" name="Picture@5C\QPendientes@" descr="@5C\QPendientes@">
          <a:extLst>
            <a:ext uri="{FF2B5EF4-FFF2-40B4-BE49-F238E27FC236}">
              <a16:creationId xmlns:a16="http://schemas.microsoft.com/office/drawing/2014/main" id="{CE998652-6507-4520-8719-CA1DB03937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786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5515" name="Picture@5C\QPendientes@" descr="@5C\QPendientes@">
          <a:extLst>
            <a:ext uri="{FF2B5EF4-FFF2-40B4-BE49-F238E27FC236}">
              <a16:creationId xmlns:a16="http://schemas.microsoft.com/office/drawing/2014/main" id="{0579DFFF-8351-4D90-BAE2-CCD2E05BA0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969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5516" name="Picture@5C\QPendientes@" descr="@5C\QPendientes@">
          <a:extLst>
            <a:ext uri="{FF2B5EF4-FFF2-40B4-BE49-F238E27FC236}">
              <a16:creationId xmlns:a16="http://schemas.microsoft.com/office/drawing/2014/main" id="{CAAAA138-E328-4F50-9647-A25E586077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152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5517" name="Picture@5C\QPendientes@" descr="@5C\QPendientes@">
          <a:extLst>
            <a:ext uri="{FF2B5EF4-FFF2-40B4-BE49-F238E27FC236}">
              <a16:creationId xmlns:a16="http://schemas.microsoft.com/office/drawing/2014/main" id="{4079D685-331E-42E5-BA3C-1CD2F503CA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335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5518" name="Picture@5C\QPendientes@" descr="@5C\QPendientes@">
          <a:extLst>
            <a:ext uri="{FF2B5EF4-FFF2-40B4-BE49-F238E27FC236}">
              <a16:creationId xmlns:a16="http://schemas.microsoft.com/office/drawing/2014/main" id="{89392C23-1901-4A77-92A6-10636273DA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517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5519" name="Picture@5C\QPendientes@" descr="@5C\QPendientes@">
          <a:extLst>
            <a:ext uri="{FF2B5EF4-FFF2-40B4-BE49-F238E27FC236}">
              <a16:creationId xmlns:a16="http://schemas.microsoft.com/office/drawing/2014/main" id="{5059F572-4824-4E04-96A4-02B278285A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700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5520" name="Picture@5C\QPendientes@" descr="@5C\QPendientes@">
          <a:extLst>
            <a:ext uri="{FF2B5EF4-FFF2-40B4-BE49-F238E27FC236}">
              <a16:creationId xmlns:a16="http://schemas.microsoft.com/office/drawing/2014/main" id="{0EFBA28C-9F7F-4B17-BE53-789AB62F96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0883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5521" name="Picture@5C\QPendientes@" descr="@5C\QPendientes@">
          <a:extLst>
            <a:ext uri="{FF2B5EF4-FFF2-40B4-BE49-F238E27FC236}">
              <a16:creationId xmlns:a16="http://schemas.microsoft.com/office/drawing/2014/main" id="{CC825640-5FDB-4B29-9756-BFBBD41ADA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066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5522" name="Picture@5C\QPendientes@" descr="@5C\QPendientes@">
          <a:extLst>
            <a:ext uri="{FF2B5EF4-FFF2-40B4-BE49-F238E27FC236}">
              <a16:creationId xmlns:a16="http://schemas.microsoft.com/office/drawing/2014/main" id="{B4819563-0EFD-4AE0-98EF-59D95089D0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249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5523" name="Picture@5C\QPendientes@" descr="@5C\QPendientes@">
          <a:extLst>
            <a:ext uri="{FF2B5EF4-FFF2-40B4-BE49-F238E27FC236}">
              <a16:creationId xmlns:a16="http://schemas.microsoft.com/office/drawing/2014/main" id="{AB0C7143-4B3C-4A4C-90DC-D7453B109E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432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5524" name="Picture@5C\QPendientes@" descr="@5C\QPendientes@">
          <a:extLst>
            <a:ext uri="{FF2B5EF4-FFF2-40B4-BE49-F238E27FC236}">
              <a16:creationId xmlns:a16="http://schemas.microsoft.com/office/drawing/2014/main" id="{E411B7CE-188F-419D-B3B3-D3B9903DEA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61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5525" name="Picture@5C\QPendientes@" descr="@5C\QPendientes@">
          <a:extLst>
            <a:ext uri="{FF2B5EF4-FFF2-40B4-BE49-F238E27FC236}">
              <a16:creationId xmlns:a16="http://schemas.microsoft.com/office/drawing/2014/main" id="{C7F1067D-416F-4C17-B765-E6942BA0E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798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5526" name="Picture@5C\QPendientes@" descr="@5C\QPendientes@">
          <a:extLst>
            <a:ext uri="{FF2B5EF4-FFF2-40B4-BE49-F238E27FC236}">
              <a16:creationId xmlns:a16="http://schemas.microsoft.com/office/drawing/2014/main" id="{22AB4F4A-E094-415C-820B-5A31A2675F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980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5527" name="Picture@5C\QPendientes@" descr="@5C\QPendientes@">
          <a:extLst>
            <a:ext uri="{FF2B5EF4-FFF2-40B4-BE49-F238E27FC236}">
              <a16:creationId xmlns:a16="http://schemas.microsoft.com/office/drawing/2014/main" id="{F773D183-BF6C-4C69-928A-1DABA9A16F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1638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5528" name="Picture@5C\QPendientes@" descr="@5C\QPendientes@">
          <a:extLst>
            <a:ext uri="{FF2B5EF4-FFF2-40B4-BE49-F238E27FC236}">
              <a16:creationId xmlns:a16="http://schemas.microsoft.com/office/drawing/2014/main" id="{2D314693-267D-4C08-9B6E-F2F65EBEDD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3467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5529" name="Picture@5C\QPendientes@" descr="@5C\QPendientes@">
          <a:extLst>
            <a:ext uri="{FF2B5EF4-FFF2-40B4-BE49-F238E27FC236}">
              <a16:creationId xmlns:a16="http://schemas.microsoft.com/office/drawing/2014/main" id="{321E5666-CC9E-4035-ABF6-6C825D1416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5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5530" name="Picture@5C\QPendientes@" descr="@5C\QPendientes@">
          <a:extLst>
            <a:ext uri="{FF2B5EF4-FFF2-40B4-BE49-F238E27FC236}">
              <a16:creationId xmlns:a16="http://schemas.microsoft.com/office/drawing/2014/main" id="{3A0B32BD-1F1F-4024-BA3D-1B7BE002FC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7124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5531" name="Picture@5C\QPendientes@" descr="@5C\QPendientes@">
          <a:extLst>
            <a:ext uri="{FF2B5EF4-FFF2-40B4-BE49-F238E27FC236}">
              <a16:creationId xmlns:a16="http://schemas.microsoft.com/office/drawing/2014/main" id="{F2665472-9082-4403-8ECB-1D77548F98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28953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5532" name="Picture@5C\QPendientes@" descr="@5C\QPendientes@">
          <a:extLst>
            <a:ext uri="{FF2B5EF4-FFF2-40B4-BE49-F238E27FC236}">
              <a16:creationId xmlns:a16="http://schemas.microsoft.com/office/drawing/2014/main" id="{BF8F51E1-0B17-4E32-A731-D8B59A5995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0782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5533" name="Picture@5C\QPendientes@" descr="@5C\QPendientes@">
          <a:extLst>
            <a:ext uri="{FF2B5EF4-FFF2-40B4-BE49-F238E27FC236}">
              <a16:creationId xmlns:a16="http://schemas.microsoft.com/office/drawing/2014/main" id="{8B354BAA-FCDD-4C32-87FC-1C10378E97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2611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5534" name="Picture@5C\QPendientes@" descr="@5C\QPendientes@">
          <a:extLst>
            <a:ext uri="{FF2B5EF4-FFF2-40B4-BE49-F238E27FC236}">
              <a16:creationId xmlns:a16="http://schemas.microsoft.com/office/drawing/2014/main" id="{6AFB42FD-0C0C-4A13-A3AB-800F9DB34F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44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5535" name="Picture@5C\QPendientes@" descr="@5C\QPendientes@">
          <a:extLst>
            <a:ext uri="{FF2B5EF4-FFF2-40B4-BE49-F238E27FC236}">
              <a16:creationId xmlns:a16="http://schemas.microsoft.com/office/drawing/2014/main" id="{783F02AF-9634-4AA7-8368-400DFB6A1D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6268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5536" name="Picture@5C\QPendientes@" descr="@5C\QPendientes@">
          <a:extLst>
            <a:ext uri="{FF2B5EF4-FFF2-40B4-BE49-F238E27FC236}">
              <a16:creationId xmlns:a16="http://schemas.microsoft.com/office/drawing/2014/main" id="{875765B2-1C46-4554-8753-C42193FA35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8097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5537" name="Picture@5C\QPendientes@" descr="@5C\QPendientes@">
          <a:extLst>
            <a:ext uri="{FF2B5EF4-FFF2-40B4-BE49-F238E27FC236}">
              <a16:creationId xmlns:a16="http://schemas.microsoft.com/office/drawing/2014/main" id="{151F6373-1256-48AA-895D-522C732C7A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9926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5538" name="Picture@5C\QPendientes@" descr="@5C\QPendientes@">
          <a:extLst>
            <a:ext uri="{FF2B5EF4-FFF2-40B4-BE49-F238E27FC236}">
              <a16:creationId xmlns:a16="http://schemas.microsoft.com/office/drawing/2014/main" id="{6B97E054-EF3A-4A41-A433-D61A72F33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1755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5539" name="Picture@5C\QPendientes@" descr="@5C\QPendientes@">
          <a:extLst>
            <a:ext uri="{FF2B5EF4-FFF2-40B4-BE49-F238E27FC236}">
              <a16:creationId xmlns:a16="http://schemas.microsoft.com/office/drawing/2014/main" id="{BF0D82F1-297D-4D32-A898-AB6E6E8FE5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35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5540" name="Picture@5C\QPendientes@" descr="@5C\QPendientes@">
          <a:extLst>
            <a:ext uri="{FF2B5EF4-FFF2-40B4-BE49-F238E27FC236}">
              <a16:creationId xmlns:a16="http://schemas.microsoft.com/office/drawing/2014/main" id="{FE70B8F8-A37F-424C-9547-1656D284C7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5412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5541" name="Picture@5C\QPendientes@" descr="@5C\QPendientes@">
          <a:extLst>
            <a:ext uri="{FF2B5EF4-FFF2-40B4-BE49-F238E27FC236}">
              <a16:creationId xmlns:a16="http://schemas.microsoft.com/office/drawing/2014/main" id="{8372FBE8-CB3F-4DB0-9487-D122280003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7241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5542" name="Picture@5C\QPendientes@" descr="@5C\QPendientes@">
          <a:extLst>
            <a:ext uri="{FF2B5EF4-FFF2-40B4-BE49-F238E27FC236}">
              <a16:creationId xmlns:a16="http://schemas.microsoft.com/office/drawing/2014/main" id="{4EB922A1-AA1A-4964-99FD-105372C5B7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9070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5543" name="Picture@5C\QPendientes@" descr="@5C\QPendientes@">
          <a:extLst>
            <a:ext uri="{FF2B5EF4-FFF2-40B4-BE49-F238E27FC236}">
              <a16:creationId xmlns:a16="http://schemas.microsoft.com/office/drawing/2014/main" id="{F0AA1E00-325C-465B-B091-6A5F635D7D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0899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5544" name="Picture@5C\QPendientes@" descr="@5C\QPendientes@">
          <a:extLst>
            <a:ext uri="{FF2B5EF4-FFF2-40B4-BE49-F238E27FC236}">
              <a16:creationId xmlns:a16="http://schemas.microsoft.com/office/drawing/2014/main" id="{E16295D2-066A-460A-B319-5677B6CC00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27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5545" name="Picture@5C\QPendientes@" descr="@5C\QPendientes@">
          <a:extLst>
            <a:ext uri="{FF2B5EF4-FFF2-40B4-BE49-F238E27FC236}">
              <a16:creationId xmlns:a16="http://schemas.microsoft.com/office/drawing/2014/main" id="{FC059D6F-826A-400B-AA8F-A50B65924B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4556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5546" name="Picture@5C\QPendientes@" descr="@5C\QPendientes@">
          <a:extLst>
            <a:ext uri="{FF2B5EF4-FFF2-40B4-BE49-F238E27FC236}">
              <a16:creationId xmlns:a16="http://schemas.microsoft.com/office/drawing/2014/main" id="{72581607-279B-4FDB-9C71-EB87949C6F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6385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5547" name="Picture@5C\QPendientes@" descr="@5C\QPendientes@">
          <a:extLst>
            <a:ext uri="{FF2B5EF4-FFF2-40B4-BE49-F238E27FC236}">
              <a16:creationId xmlns:a16="http://schemas.microsoft.com/office/drawing/2014/main" id="{A5F60195-0657-45BC-A75F-A1DEC6A815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582144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5548" name="Picture@5C\QPendientes@" descr="@5C\QPendientes@">
          <a:extLst>
            <a:ext uri="{FF2B5EF4-FFF2-40B4-BE49-F238E27FC236}">
              <a16:creationId xmlns:a16="http://schemas.microsoft.com/office/drawing/2014/main" id="{4CD72321-447D-455A-A54E-D7844CD793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00432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5549" name="Picture@5C\QPendientes@" descr="@5C\QPendientes@">
          <a:extLst>
            <a:ext uri="{FF2B5EF4-FFF2-40B4-BE49-F238E27FC236}">
              <a16:creationId xmlns:a16="http://schemas.microsoft.com/office/drawing/2014/main" id="{B2810909-F071-4FF2-9730-959A752F5F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18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5550" name="Picture@5C\QPendientes@" descr="@5C\QPendientes@">
          <a:extLst>
            <a:ext uri="{FF2B5EF4-FFF2-40B4-BE49-F238E27FC236}">
              <a16:creationId xmlns:a16="http://schemas.microsoft.com/office/drawing/2014/main" id="{F4007176-83B1-4CCC-8CF9-50A46F0D6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37008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5551" name="Picture@5C\QPendientes@" descr="@5C\QPendientes@">
          <a:extLst>
            <a:ext uri="{FF2B5EF4-FFF2-40B4-BE49-F238E27FC236}">
              <a16:creationId xmlns:a16="http://schemas.microsoft.com/office/drawing/2014/main" id="{9679C56A-7FEC-47AD-9DAB-08C34238C7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55296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3"/>
  <sheetViews>
    <sheetView tabSelected="1" topLeftCell="K1" workbookViewId="0">
      <pane ySplit="1" topLeftCell="A479" activePane="bottomLeft" state="frozen"/>
      <selection pane="bottomLeft" activeCell="L1" sqref="L1"/>
    </sheetView>
  </sheetViews>
  <sheetFormatPr baseColWidth="10" defaultColWidth="8.88671875" defaultRowHeight="14.4" x14ac:dyDescent="0.3"/>
  <cols>
    <col min="1" max="1" width="26" bestFit="1" customWidth="1"/>
    <col min="2" max="2" width="11" bestFit="1" customWidth="1"/>
    <col min="3" max="3" width="13" bestFit="1" customWidth="1"/>
    <col min="4" max="4" width="9" bestFit="1" customWidth="1"/>
    <col min="5" max="6" width="19" bestFit="1" customWidth="1"/>
    <col min="7" max="7" width="18" bestFit="1" customWidth="1"/>
    <col min="8" max="8" width="24" bestFit="1" customWidth="1"/>
    <col min="9" max="9" width="13" bestFit="1" customWidth="1"/>
    <col min="10" max="10" width="20" bestFit="1" customWidth="1"/>
    <col min="11" max="11" width="17" bestFit="1" customWidth="1"/>
    <col min="12" max="12" width="35" bestFit="1" customWidth="1"/>
    <col min="13" max="13" width="19" bestFit="1" customWidth="1"/>
    <col min="14" max="14" width="18" bestFit="1" customWidth="1"/>
    <col min="15" max="15" width="9" bestFit="1" customWidth="1"/>
    <col min="16" max="16" width="20.109375" customWidth="1"/>
    <col min="17" max="17" width="17.77734375" style="7" customWidth="1"/>
    <col min="19" max="19" width="39" customWidth="1"/>
    <col min="20" max="20" width="14.66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646</v>
      </c>
      <c r="N1" s="1" t="s">
        <v>12</v>
      </c>
      <c r="O1" s="1" t="s">
        <v>13</v>
      </c>
      <c r="P1" t="s">
        <v>807</v>
      </c>
      <c r="Q1" s="1" t="s">
        <v>696</v>
      </c>
      <c r="R1" s="1" t="s">
        <v>697</v>
      </c>
      <c r="S1" s="1" t="s">
        <v>698</v>
      </c>
      <c r="T1" t="s">
        <v>856</v>
      </c>
    </row>
    <row r="2" spans="1:20" x14ac:dyDescent="0.3">
      <c r="A2" s="2" t="s">
        <v>14</v>
      </c>
      <c r="B2" s="3" t="s">
        <v>14</v>
      </c>
      <c r="C2" s="3" t="s">
        <v>26</v>
      </c>
      <c r="D2" s="3" t="s">
        <v>14</v>
      </c>
      <c r="E2" s="3" t="s">
        <v>27</v>
      </c>
      <c r="F2" s="4">
        <v>46013</v>
      </c>
      <c r="G2" s="3" t="s">
        <v>15</v>
      </c>
      <c r="H2" s="5">
        <v>19314.2</v>
      </c>
      <c r="I2" s="3" t="s">
        <v>16</v>
      </c>
      <c r="J2" s="3" t="s">
        <v>17</v>
      </c>
      <c r="K2" s="3" t="s">
        <v>14</v>
      </c>
      <c r="L2" s="3" t="s">
        <v>28</v>
      </c>
      <c r="M2" s="4">
        <v>46024</v>
      </c>
      <c r="N2" s="3" t="s">
        <v>29</v>
      </c>
      <c r="O2" s="3" t="s">
        <v>20</v>
      </c>
      <c r="P2" t="str">
        <f>_xlfn.CONCAT(N2:O2)</f>
        <v>450011645120</v>
      </c>
      <c r="Q2" s="7" cm="1">
        <f t="array" ref="Q2:S2">VLOOKUP(P2,Hoja1!C:F,{2,3,4},FALSE)</f>
        <v>46042</v>
      </c>
      <c r="R2" t="str">
        <v>EFO</v>
      </c>
      <c r="S2" t="str">
        <v>1000007436 RODRIGUEZ MARTINEZ EMILIO JOAQUIN</v>
      </c>
      <c r="T2" t="str">
        <f>VLOOKUP(P2,Hoja2!C:D,2,FALSE)</f>
        <v>GROSES</v>
      </c>
    </row>
    <row r="3" spans="1:20" x14ac:dyDescent="0.3">
      <c r="A3" s="2" t="s">
        <v>14</v>
      </c>
      <c r="B3" s="3" t="s">
        <v>14</v>
      </c>
      <c r="C3" s="3" t="s">
        <v>30</v>
      </c>
      <c r="D3" s="3" t="s">
        <v>14</v>
      </c>
      <c r="E3" s="3" t="s">
        <v>27</v>
      </c>
      <c r="F3" s="4">
        <v>46041</v>
      </c>
      <c r="G3" s="3" t="s">
        <v>15</v>
      </c>
      <c r="H3" s="5">
        <v>50115.7</v>
      </c>
      <c r="I3" s="3" t="s">
        <v>16</v>
      </c>
      <c r="J3" s="3" t="s">
        <v>17</v>
      </c>
      <c r="K3" s="3" t="s">
        <v>14</v>
      </c>
      <c r="L3" s="3" t="s">
        <v>31</v>
      </c>
      <c r="M3" s="4">
        <v>46042</v>
      </c>
      <c r="N3" s="3" t="s">
        <v>32</v>
      </c>
      <c r="O3" s="3" t="s">
        <v>33</v>
      </c>
      <c r="P3" t="str">
        <f t="shared" ref="P3:P66" si="0">_xlfn.CONCAT(N3:O3)</f>
        <v>450011789910</v>
      </c>
      <c r="Q3" s="7" cm="1">
        <f t="array" ref="Q3:S3">VLOOKUP(P3,Hoja1!C:F,{2,3,4},FALSE)</f>
        <v>46059</v>
      </c>
      <c r="R3" t="str">
        <v>C43</v>
      </c>
      <c r="S3" t="str">
        <v>1000003696 DOBLE TRACCION SRL</v>
      </c>
      <c r="T3" t="str">
        <f>VLOOKUP(P3,Hoja2!C:D,2,FALSE)</f>
        <v>GROSES</v>
      </c>
    </row>
    <row r="4" spans="1:20" x14ac:dyDescent="0.3">
      <c r="A4" s="2" t="s">
        <v>14</v>
      </c>
      <c r="B4" s="3" t="s">
        <v>14</v>
      </c>
      <c r="C4" s="3" t="s">
        <v>34</v>
      </c>
      <c r="D4" s="3" t="s">
        <v>35</v>
      </c>
      <c r="E4" s="3" t="s">
        <v>27</v>
      </c>
      <c r="F4" s="4">
        <v>46051</v>
      </c>
      <c r="G4" s="3" t="s">
        <v>15</v>
      </c>
      <c r="H4" s="5">
        <v>1250000</v>
      </c>
      <c r="I4" s="3" t="s">
        <v>16</v>
      </c>
      <c r="J4" s="3" t="s">
        <v>36</v>
      </c>
      <c r="K4" s="3" t="s">
        <v>14</v>
      </c>
      <c r="L4" s="3" t="s">
        <v>37</v>
      </c>
      <c r="M4" s="4">
        <v>46052</v>
      </c>
      <c r="N4" s="3" t="s">
        <v>38</v>
      </c>
      <c r="O4" s="3" t="s">
        <v>25</v>
      </c>
      <c r="P4" t="str">
        <f t="shared" si="0"/>
        <v>450011873540</v>
      </c>
      <c r="Q4" s="7" cm="1">
        <f t="array" ref="Q4:S4">VLOOKUP(P4,Hoja1!C:F,{2,3,4},FALSE)</f>
        <v>46386</v>
      </c>
      <c r="R4" t="str">
        <v>C25</v>
      </c>
      <c r="S4" t="str">
        <v>1000012227 LOPEZ RIOS FACUNDO GABRIE</v>
      </c>
      <c r="T4" t="str">
        <f>VLOOKUP(P4,Hoja2!C:D,2,FALSE)</f>
        <v>MPITTIA</v>
      </c>
    </row>
    <row r="5" spans="1:20" x14ac:dyDescent="0.3">
      <c r="A5" s="2" t="s">
        <v>14</v>
      </c>
      <c r="B5" s="3" t="s">
        <v>14</v>
      </c>
      <c r="C5" s="3" t="s">
        <v>39</v>
      </c>
      <c r="D5" s="3" t="s">
        <v>35</v>
      </c>
      <c r="E5" s="3" t="s">
        <v>27</v>
      </c>
      <c r="F5" s="4">
        <v>46066</v>
      </c>
      <c r="G5" s="3" t="s">
        <v>15</v>
      </c>
      <c r="H5" s="5">
        <v>500000</v>
      </c>
      <c r="I5" s="3" t="s">
        <v>16</v>
      </c>
      <c r="J5" s="3" t="s">
        <v>36</v>
      </c>
      <c r="K5" s="3" t="s">
        <v>14</v>
      </c>
      <c r="L5" s="3" t="s">
        <v>37</v>
      </c>
      <c r="M5" s="4">
        <v>46066</v>
      </c>
      <c r="N5" s="3" t="s">
        <v>40</v>
      </c>
      <c r="O5" s="3" t="s">
        <v>33</v>
      </c>
      <c r="P5" t="str">
        <f t="shared" si="0"/>
        <v>450012002910</v>
      </c>
      <c r="Q5" s="7" cm="1">
        <f t="array" ref="Q5:S5">VLOOKUP(P5,Hoja1!C:F,{2,3,4},FALSE)</f>
        <v>46386</v>
      </c>
      <c r="R5" t="str">
        <v>C25</v>
      </c>
      <c r="S5" t="str">
        <v>1000012227 LOPEZ RIOS FACUNDO GABRIE</v>
      </c>
      <c r="T5" t="str">
        <f>VLOOKUP(P5,Hoja2!C:D,2,FALSE)</f>
        <v>MPITTIA</v>
      </c>
    </row>
    <row r="6" spans="1:20" x14ac:dyDescent="0.3">
      <c r="A6" s="2" t="s">
        <v>14</v>
      </c>
      <c r="B6" s="3" t="s">
        <v>14</v>
      </c>
      <c r="C6" s="3" t="s">
        <v>39</v>
      </c>
      <c r="D6" s="3" t="s">
        <v>35</v>
      </c>
      <c r="E6" s="3" t="s">
        <v>27</v>
      </c>
      <c r="F6" s="4">
        <v>46066</v>
      </c>
      <c r="G6" s="3" t="s">
        <v>15</v>
      </c>
      <c r="H6" s="5">
        <v>400000</v>
      </c>
      <c r="I6" s="3" t="s">
        <v>16</v>
      </c>
      <c r="J6" s="3" t="s">
        <v>36</v>
      </c>
      <c r="K6" s="3" t="s">
        <v>14</v>
      </c>
      <c r="L6" s="3" t="s">
        <v>37</v>
      </c>
      <c r="M6" s="4">
        <v>46066</v>
      </c>
      <c r="N6" s="3" t="s">
        <v>40</v>
      </c>
      <c r="O6" s="3" t="s">
        <v>21</v>
      </c>
      <c r="P6" t="str">
        <f t="shared" si="0"/>
        <v>450012002930</v>
      </c>
      <c r="Q6" s="7" cm="1">
        <f t="array" ref="Q6:S6">VLOOKUP(P6,Hoja1!C:F,{2,3,4},FALSE)</f>
        <v>46386</v>
      </c>
      <c r="R6" t="str">
        <v>C25</v>
      </c>
      <c r="S6" t="str">
        <v>1000012227 LOPEZ RIOS FACUNDO GABRIE</v>
      </c>
      <c r="T6" t="str">
        <f>VLOOKUP(P6,Hoja2!C:D,2,FALSE)</f>
        <v>MPITTIA</v>
      </c>
    </row>
    <row r="7" spans="1:20" x14ac:dyDescent="0.3">
      <c r="A7" s="2" t="s">
        <v>14</v>
      </c>
      <c r="B7" s="3" t="s">
        <v>14</v>
      </c>
      <c r="C7" s="3" t="s">
        <v>39</v>
      </c>
      <c r="D7" s="3" t="s">
        <v>35</v>
      </c>
      <c r="E7" s="3" t="s">
        <v>27</v>
      </c>
      <c r="F7" s="4">
        <v>46066</v>
      </c>
      <c r="G7" s="3" t="s">
        <v>15</v>
      </c>
      <c r="H7" s="5">
        <v>500000</v>
      </c>
      <c r="I7" s="3" t="s">
        <v>16</v>
      </c>
      <c r="J7" s="3" t="s">
        <v>36</v>
      </c>
      <c r="K7" s="3" t="s">
        <v>14</v>
      </c>
      <c r="L7" s="3" t="s">
        <v>37</v>
      </c>
      <c r="M7" s="4">
        <v>46066</v>
      </c>
      <c r="N7" s="3" t="s">
        <v>40</v>
      </c>
      <c r="O7" s="3" t="s">
        <v>25</v>
      </c>
      <c r="P7" t="str">
        <f t="shared" si="0"/>
        <v>450012002940</v>
      </c>
      <c r="Q7" s="7" cm="1">
        <f t="array" ref="Q7:S7">VLOOKUP(P7,Hoja1!C:F,{2,3,4},FALSE)</f>
        <v>46386</v>
      </c>
      <c r="R7" t="str">
        <v>C25</v>
      </c>
      <c r="S7" t="str">
        <v>1000012227 LOPEZ RIOS FACUNDO GABRIE</v>
      </c>
      <c r="T7" t="str">
        <f>VLOOKUP(P7,Hoja2!C:D,2,FALSE)</f>
        <v>MPITTIA</v>
      </c>
    </row>
    <row r="8" spans="1:20" x14ac:dyDescent="0.3">
      <c r="A8" s="2" t="s">
        <v>14</v>
      </c>
      <c r="B8" s="3" t="s">
        <v>14</v>
      </c>
      <c r="C8" s="3" t="s">
        <v>39</v>
      </c>
      <c r="D8" s="3" t="s">
        <v>35</v>
      </c>
      <c r="E8" s="3" t="s">
        <v>27</v>
      </c>
      <c r="F8" s="4">
        <v>46066</v>
      </c>
      <c r="G8" s="3" t="s">
        <v>15</v>
      </c>
      <c r="H8" s="5">
        <v>200000</v>
      </c>
      <c r="I8" s="3" t="s">
        <v>16</v>
      </c>
      <c r="J8" s="3" t="s">
        <v>36</v>
      </c>
      <c r="K8" s="3" t="s">
        <v>14</v>
      </c>
      <c r="L8" s="3" t="s">
        <v>37</v>
      </c>
      <c r="M8" s="4">
        <v>46066</v>
      </c>
      <c r="N8" s="3" t="s">
        <v>40</v>
      </c>
      <c r="O8" s="3" t="s">
        <v>22</v>
      </c>
      <c r="P8" t="str">
        <f t="shared" si="0"/>
        <v>450012002950</v>
      </c>
      <c r="Q8" s="7" cm="1">
        <f t="array" ref="Q8:S8">VLOOKUP(P8,Hoja1!C:F,{2,3,4},FALSE)</f>
        <v>46386</v>
      </c>
      <c r="R8" t="str">
        <v>C25</v>
      </c>
      <c r="S8" t="str">
        <v>1000012227 LOPEZ RIOS FACUNDO GABRIE</v>
      </c>
      <c r="T8" t="str">
        <f>VLOOKUP(P8,Hoja2!C:D,2,FALSE)</f>
        <v>MPITTIA</v>
      </c>
    </row>
    <row r="9" spans="1:20" x14ac:dyDescent="0.3">
      <c r="A9" s="2" t="s">
        <v>14</v>
      </c>
      <c r="B9" s="3" t="s">
        <v>14</v>
      </c>
      <c r="C9" s="3" t="s">
        <v>39</v>
      </c>
      <c r="D9" s="3" t="s">
        <v>35</v>
      </c>
      <c r="E9" s="3" t="s">
        <v>27</v>
      </c>
      <c r="F9" s="4">
        <v>46066</v>
      </c>
      <c r="G9" s="3" t="s">
        <v>15</v>
      </c>
      <c r="H9" s="5">
        <v>500000</v>
      </c>
      <c r="I9" s="3" t="s">
        <v>16</v>
      </c>
      <c r="J9" s="3" t="s">
        <v>36</v>
      </c>
      <c r="K9" s="3" t="s">
        <v>14</v>
      </c>
      <c r="L9" s="3" t="s">
        <v>37</v>
      </c>
      <c r="M9" s="4">
        <v>46066</v>
      </c>
      <c r="N9" s="3" t="s">
        <v>40</v>
      </c>
      <c r="O9" s="3" t="s">
        <v>23</v>
      </c>
      <c r="P9" t="str">
        <f t="shared" si="0"/>
        <v>450012002960</v>
      </c>
      <c r="Q9" s="7" cm="1">
        <f t="array" ref="Q9:S9">VLOOKUP(P9,Hoja1!C:F,{2,3,4},FALSE)</f>
        <v>46386</v>
      </c>
      <c r="R9" t="str">
        <v>C25</v>
      </c>
      <c r="S9" t="str">
        <v>1000012227 LOPEZ RIOS FACUNDO GABRIE</v>
      </c>
      <c r="T9" t="str">
        <f>VLOOKUP(P9,Hoja2!C:D,2,FALSE)</f>
        <v>MPITTIA</v>
      </c>
    </row>
    <row r="10" spans="1:20" x14ac:dyDescent="0.3">
      <c r="A10" s="2" t="s">
        <v>14</v>
      </c>
      <c r="B10" s="3" t="s">
        <v>14</v>
      </c>
      <c r="C10" s="3" t="s">
        <v>41</v>
      </c>
      <c r="D10" s="3" t="s">
        <v>35</v>
      </c>
      <c r="E10" s="3" t="s">
        <v>27</v>
      </c>
      <c r="F10" s="4">
        <v>46126</v>
      </c>
      <c r="G10" s="3" t="s">
        <v>15</v>
      </c>
      <c r="H10" s="5">
        <v>1000000</v>
      </c>
      <c r="I10" s="3" t="s">
        <v>16</v>
      </c>
      <c r="J10" s="3" t="s">
        <v>36</v>
      </c>
      <c r="K10" s="3" t="s">
        <v>14</v>
      </c>
      <c r="L10" s="3" t="s">
        <v>37</v>
      </c>
      <c r="M10" s="4">
        <v>46126</v>
      </c>
      <c r="N10" s="3" t="s">
        <v>38</v>
      </c>
      <c r="O10" s="3" t="s">
        <v>33</v>
      </c>
      <c r="P10" t="str">
        <f t="shared" si="0"/>
        <v>450011873510</v>
      </c>
      <c r="Q10" s="7" cm="1">
        <f t="array" ref="Q10:S10">VLOOKUP(P10,Hoja1!C:F,{2,3,4},FALSE)</f>
        <v>46386</v>
      </c>
      <c r="R10" t="str">
        <v>C25</v>
      </c>
      <c r="S10" t="str">
        <v>1000012227 LOPEZ RIOS FACUNDO GABRIE</v>
      </c>
      <c r="T10" t="str">
        <f>VLOOKUP(P10,Hoja2!C:D,2,FALSE)</f>
        <v>MPITTIA</v>
      </c>
    </row>
    <row r="11" spans="1:20" x14ac:dyDescent="0.3">
      <c r="A11" s="2" t="s">
        <v>14</v>
      </c>
      <c r="B11" s="3" t="s">
        <v>14</v>
      </c>
      <c r="C11" s="3" t="s">
        <v>41</v>
      </c>
      <c r="D11" s="3" t="s">
        <v>35</v>
      </c>
      <c r="E11" s="3" t="s">
        <v>27</v>
      </c>
      <c r="F11" s="4">
        <v>46126</v>
      </c>
      <c r="G11" s="3" t="s">
        <v>15</v>
      </c>
      <c r="H11" s="5">
        <v>800000</v>
      </c>
      <c r="I11" s="3" t="s">
        <v>16</v>
      </c>
      <c r="J11" s="3" t="s">
        <v>36</v>
      </c>
      <c r="K11" s="3" t="s">
        <v>14</v>
      </c>
      <c r="L11" s="3" t="s">
        <v>37</v>
      </c>
      <c r="M11" s="4">
        <v>46126</v>
      </c>
      <c r="N11" s="3" t="s">
        <v>38</v>
      </c>
      <c r="O11" s="3" t="s">
        <v>21</v>
      </c>
      <c r="P11" t="str">
        <f t="shared" si="0"/>
        <v>450011873530</v>
      </c>
      <c r="Q11" s="7" cm="1">
        <f t="array" ref="Q11:S11">VLOOKUP(P11,Hoja1!C:F,{2,3,4},FALSE)</f>
        <v>46386</v>
      </c>
      <c r="R11" t="str">
        <v>C25</v>
      </c>
      <c r="S11" t="str">
        <v>1000012227 LOPEZ RIOS FACUNDO GABRIE</v>
      </c>
      <c r="T11" t="str">
        <f>VLOOKUP(P11,Hoja2!C:D,2,FALSE)</f>
        <v>MPITTIA</v>
      </c>
    </row>
    <row r="12" spans="1:20" x14ac:dyDescent="0.3">
      <c r="A12" s="2" t="s">
        <v>14</v>
      </c>
      <c r="B12" s="3" t="s">
        <v>14</v>
      </c>
      <c r="C12" s="3" t="s">
        <v>41</v>
      </c>
      <c r="D12" s="3" t="s">
        <v>35</v>
      </c>
      <c r="E12" s="3" t="s">
        <v>27</v>
      </c>
      <c r="F12" s="4">
        <v>46126</v>
      </c>
      <c r="G12" s="3" t="s">
        <v>15</v>
      </c>
      <c r="H12" s="5">
        <v>400000</v>
      </c>
      <c r="I12" s="3" t="s">
        <v>16</v>
      </c>
      <c r="J12" s="3" t="s">
        <v>36</v>
      </c>
      <c r="K12" s="3" t="s">
        <v>14</v>
      </c>
      <c r="L12" s="3" t="s">
        <v>37</v>
      </c>
      <c r="M12" s="4">
        <v>46126</v>
      </c>
      <c r="N12" s="3" t="s">
        <v>38</v>
      </c>
      <c r="O12" s="3" t="s">
        <v>22</v>
      </c>
      <c r="P12" t="str">
        <f t="shared" si="0"/>
        <v>450011873550</v>
      </c>
      <c r="Q12" s="7" cm="1">
        <f t="array" ref="Q12:S12">VLOOKUP(P12,Hoja1!C:F,{2,3,4},FALSE)</f>
        <v>46386</v>
      </c>
      <c r="R12" t="str">
        <v>C25</v>
      </c>
      <c r="S12" t="str">
        <v>1000012227 LOPEZ RIOS FACUNDO GABRIE</v>
      </c>
      <c r="T12" t="str">
        <f>VLOOKUP(P12,Hoja2!C:D,2,FALSE)</f>
        <v>MPITTIA</v>
      </c>
    </row>
    <row r="13" spans="1:20" x14ac:dyDescent="0.3">
      <c r="A13" s="2" t="s">
        <v>14</v>
      </c>
      <c r="B13" s="3" t="s">
        <v>14</v>
      </c>
      <c r="C13" s="3" t="s">
        <v>41</v>
      </c>
      <c r="D13" s="3" t="s">
        <v>35</v>
      </c>
      <c r="E13" s="3" t="s">
        <v>27</v>
      </c>
      <c r="F13" s="4">
        <v>46126</v>
      </c>
      <c r="G13" s="3" t="s">
        <v>15</v>
      </c>
      <c r="H13" s="5">
        <v>1500000</v>
      </c>
      <c r="I13" s="3" t="s">
        <v>16</v>
      </c>
      <c r="J13" s="3" t="s">
        <v>36</v>
      </c>
      <c r="K13" s="3" t="s">
        <v>14</v>
      </c>
      <c r="L13" s="3" t="s">
        <v>37</v>
      </c>
      <c r="M13" s="4">
        <v>46126</v>
      </c>
      <c r="N13" s="3" t="s">
        <v>38</v>
      </c>
      <c r="O13" s="3" t="s">
        <v>23</v>
      </c>
      <c r="P13" t="str">
        <f t="shared" si="0"/>
        <v>450011873560</v>
      </c>
      <c r="Q13" s="7" cm="1">
        <f t="array" ref="Q13:S13">VLOOKUP(P13,Hoja1!C:F,{2,3,4},FALSE)</f>
        <v>46386</v>
      </c>
      <c r="R13" t="str">
        <v>C25</v>
      </c>
      <c r="S13" t="str">
        <v>1000012227 LOPEZ RIOS FACUNDO GABRIE</v>
      </c>
      <c r="T13" t="str">
        <f>VLOOKUP(P13,Hoja2!C:D,2,FALSE)</f>
        <v>MPITTIA</v>
      </c>
    </row>
    <row r="14" spans="1:20" x14ac:dyDescent="0.3">
      <c r="A14" s="2" t="s">
        <v>14</v>
      </c>
      <c r="B14" s="3" t="s">
        <v>14</v>
      </c>
      <c r="C14" s="3" t="s">
        <v>42</v>
      </c>
      <c r="D14" s="3" t="s">
        <v>35</v>
      </c>
      <c r="E14" s="3" t="s">
        <v>27</v>
      </c>
      <c r="F14" s="4">
        <v>46126</v>
      </c>
      <c r="G14" s="3" t="s">
        <v>43</v>
      </c>
      <c r="H14" s="6">
        <v>-875000</v>
      </c>
      <c r="I14" s="3" t="s">
        <v>16</v>
      </c>
      <c r="J14" s="3" t="s">
        <v>36</v>
      </c>
      <c r="K14" s="3" t="s">
        <v>14</v>
      </c>
      <c r="L14" s="3" t="s">
        <v>37</v>
      </c>
      <c r="M14" s="4">
        <v>46126</v>
      </c>
      <c r="N14" s="3" t="s">
        <v>38</v>
      </c>
      <c r="O14" s="3" t="s">
        <v>33</v>
      </c>
      <c r="P14" t="str">
        <f t="shared" si="0"/>
        <v>450011873510</v>
      </c>
      <c r="Q14" s="7" cm="1">
        <f t="array" ref="Q14:S14">VLOOKUP(P14,Hoja1!C:F,{2,3,4},FALSE)</f>
        <v>46386</v>
      </c>
      <c r="R14" t="str">
        <v>C25</v>
      </c>
      <c r="S14" t="str">
        <v>1000012227 LOPEZ RIOS FACUNDO GABRIE</v>
      </c>
      <c r="T14" t="str">
        <f>VLOOKUP(P14,Hoja2!C:D,2,FALSE)</f>
        <v>MPITTIA</v>
      </c>
    </row>
    <row r="15" spans="1:20" x14ac:dyDescent="0.3">
      <c r="A15" s="2" t="s">
        <v>14</v>
      </c>
      <c r="B15" s="3" t="s">
        <v>14</v>
      </c>
      <c r="C15" s="3" t="s">
        <v>42</v>
      </c>
      <c r="D15" s="3" t="s">
        <v>35</v>
      </c>
      <c r="E15" s="3" t="s">
        <v>27</v>
      </c>
      <c r="F15" s="4">
        <v>46126</v>
      </c>
      <c r="G15" s="3" t="s">
        <v>43</v>
      </c>
      <c r="H15" s="6">
        <v>-700000</v>
      </c>
      <c r="I15" s="3" t="s">
        <v>16</v>
      </c>
      <c r="J15" s="3" t="s">
        <v>36</v>
      </c>
      <c r="K15" s="3" t="s">
        <v>14</v>
      </c>
      <c r="L15" s="3" t="s">
        <v>37</v>
      </c>
      <c r="M15" s="4">
        <v>46126</v>
      </c>
      <c r="N15" s="3" t="s">
        <v>38</v>
      </c>
      <c r="O15" s="3" t="s">
        <v>21</v>
      </c>
      <c r="P15" t="str">
        <f t="shared" si="0"/>
        <v>450011873530</v>
      </c>
      <c r="Q15" s="7" cm="1">
        <f t="array" ref="Q15:S15">VLOOKUP(P15,Hoja1!C:F,{2,3,4},FALSE)</f>
        <v>46386</v>
      </c>
      <c r="R15" t="str">
        <v>C25</v>
      </c>
      <c r="S15" t="str">
        <v>1000012227 LOPEZ RIOS FACUNDO GABRIE</v>
      </c>
      <c r="T15" t="str">
        <f>VLOOKUP(P15,Hoja2!C:D,2,FALSE)</f>
        <v>MPITTIA</v>
      </c>
    </row>
    <row r="16" spans="1:20" x14ac:dyDescent="0.3">
      <c r="A16" s="2" t="s">
        <v>14</v>
      </c>
      <c r="B16" s="3" t="s">
        <v>14</v>
      </c>
      <c r="C16" s="3" t="s">
        <v>42</v>
      </c>
      <c r="D16" s="3" t="s">
        <v>35</v>
      </c>
      <c r="E16" s="3" t="s">
        <v>27</v>
      </c>
      <c r="F16" s="4">
        <v>46126</v>
      </c>
      <c r="G16" s="3" t="s">
        <v>43</v>
      </c>
      <c r="H16" s="6">
        <v>-350000</v>
      </c>
      <c r="I16" s="3" t="s">
        <v>16</v>
      </c>
      <c r="J16" s="3" t="s">
        <v>36</v>
      </c>
      <c r="K16" s="3" t="s">
        <v>14</v>
      </c>
      <c r="L16" s="3" t="s">
        <v>37</v>
      </c>
      <c r="M16" s="4">
        <v>46126</v>
      </c>
      <c r="N16" s="3" t="s">
        <v>38</v>
      </c>
      <c r="O16" s="3" t="s">
        <v>22</v>
      </c>
      <c r="P16" t="str">
        <f t="shared" si="0"/>
        <v>450011873550</v>
      </c>
      <c r="Q16" s="7" cm="1">
        <f t="array" ref="Q16:S16">VLOOKUP(P16,Hoja1!C:F,{2,3,4},FALSE)</f>
        <v>46386</v>
      </c>
      <c r="R16" t="str">
        <v>C25</v>
      </c>
      <c r="S16" t="str">
        <v>1000012227 LOPEZ RIOS FACUNDO GABRIE</v>
      </c>
      <c r="T16" t="str">
        <f>VLOOKUP(P16,Hoja2!C:D,2,FALSE)</f>
        <v>MPITTIA</v>
      </c>
    </row>
    <row r="17" spans="1:20" x14ac:dyDescent="0.3">
      <c r="A17" s="2" t="s">
        <v>14</v>
      </c>
      <c r="B17" s="3" t="s">
        <v>14</v>
      </c>
      <c r="C17" s="3" t="s">
        <v>42</v>
      </c>
      <c r="D17" s="3" t="s">
        <v>35</v>
      </c>
      <c r="E17" s="3" t="s">
        <v>27</v>
      </c>
      <c r="F17" s="4">
        <v>46126</v>
      </c>
      <c r="G17" s="3" t="s">
        <v>43</v>
      </c>
      <c r="H17" s="6">
        <v>-1312500</v>
      </c>
      <c r="I17" s="3" t="s">
        <v>16</v>
      </c>
      <c r="J17" s="3" t="s">
        <v>36</v>
      </c>
      <c r="K17" s="3" t="s">
        <v>14</v>
      </c>
      <c r="L17" s="3" t="s">
        <v>37</v>
      </c>
      <c r="M17" s="4">
        <v>46126</v>
      </c>
      <c r="N17" s="3" t="s">
        <v>38</v>
      </c>
      <c r="O17" s="3" t="s">
        <v>23</v>
      </c>
      <c r="P17" t="str">
        <f t="shared" si="0"/>
        <v>450011873560</v>
      </c>
      <c r="Q17" s="7" cm="1">
        <f t="array" ref="Q17:S17">VLOOKUP(P17,Hoja1!C:F,{2,3,4},FALSE)</f>
        <v>46386</v>
      </c>
      <c r="R17" t="str">
        <v>C25</v>
      </c>
      <c r="S17" t="str">
        <v>1000012227 LOPEZ RIOS FACUNDO GABRIE</v>
      </c>
      <c r="T17" t="str">
        <f>VLOOKUP(P17,Hoja2!C:D,2,FALSE)</f>
        <v>MPITTIA</v>
      </c>
    </row>
    <row r="18" spans="1:20" x14ac:dyDescent="0.3">
      <c r="A18" s="2" t="s">
        <v>14</v>
      </c>
      <c r="B18" s="3" t="s">
        <v>14</v>
      </c>
      <c r="C18" s="3" t="s">
        <v>44</v>
      </c>
      <c r="D18" s="3" t="s">
        <v>35</v>
      </c>
      <c r="E18" s="3" t="s">
        <v>27</v>
      </c>
      <c r="F18" s="4">
        <v>46127</v>
      </c>
      <c r="G18" s="3" t="s">
        <v>15</v>
      </c>
      <c r="H18" s="5">
        <v>500000</v>
      </c>
      <c r="I18" s="3" t="s">
        <v>16</v>
      </c>
      <c r="J18" s="3" t="s">
        <v>36</v>
      </c>
      <c r="K18" s="3" t="s">
        <v>14</v>
      </c>
      <c r="L18" s="3" t="s">
        <v>37</v>
      </c>
      <c r="M18" s="4">
        <v>46127</v>
      </c>
      <c r="N18" s="3" t="s">
        <v>38</v>
      </c>
      <c r="O18" s="3" t="s">
        <v>33</v>
      </c>
      <c r="P18" t="str">
        <f t="shared" si="0"/>
        <v>450011873510</v>
      </c>
      <c r="Q18" s="7" cm="1">
        <f t="array" ref="Q18:S18">VLOOKUP(P18,Hoja1!C:F,{2,3,4},FALSE)</f>
        <v>46386</v>
      </c>
      <c r="R18" t="str">
        <v>C25</v>
      </c>
      <c r="S18" t="str">
        <v>1000012227 LOPEZ RIOS FACUNDO GABRIE</v>
      </c>
      <c r="T18" t="str">
        <f>VLOOKUP(P18,Hoja2!C:D,2,FALSE)</f>
        <v>MPITTIA</v>
      </c>
    </row>
    <row r="19" spans="1:20" x14ac:dyDescent="0.3">
      <c r="A19" s="2" t="s">
        <v>14</v>
      </c>
      <c r="B19" s="3" t="s">
        <v>14</v>
      </c>
      <c r="C19" s="3" t="s">
        <v>44</v>
      </c>
      <c r="D19" s="3" t="s">
        <v>35</v>
      </c>
      <c r="E19" s="3" t="s">
        <v>27</v>
      </c>
      <c r="F19" s="4">
        <v>46127</v>
      </c>
      <c r="G19" s="3" t="s">
        <v>15</v>
      </c>
      <c r="H19" s="5">
        <v>400000</v>
      </c>
      <c r="I19" s="3" t="s">
        <v>16</v>
      </c>
      <c r="J19" s="3" t="s">
        <v>36</v>
      </c>
      <c r="K19" s="3" t="s">
        <v>14</v>
      </c>
      <c r="L19" s="3" t="s">
        <v>37</v>
      </c>
      <c r="M19" s="4">
        <v>46127</v>
      </c>
      <c r="N19" s="3" t="s">
        <v>38</v>
      </c>
      <c r="O19" s="3" t="s">
        <v>21</v>
      </c>
      <c r="P19" t="str">
        <f t="shared" si="0"/>
        <v>450011873530</v>
      </c>
      <c r="Q19" s="7" cm="1">
        <f t="array" ref="Q19:S19">VLOOKUP(P19,Hoja1!C:F,{2,3,4},FALSE)</f>
        <v>46386</v>
      </c>
      <c r="R19" t="str">
        <v>C25</v>
      </c>
      <c r="S19" t="str">
        <v>1000012227 LOPEZ RIOS FACUNDO GABRIE</v>
      </c>
      <c r="T19" t="str">
        <f>VLOOKUP(P19,Hoja2!C:D,2,FALSE)</f>
        <v>MPITTIA</v>
      </c>
    </row>
    <row r="20" spans="1:20" x14ac:dyDescent="0.3">
      <c r="A20" s="2" t="s">
        <v>14</v>
      </c>
      <c r="B20" s="3" t="s">
        <v>14</v>
      </c>
      <c r="C20" s="3" t="s">
        <v>44</v>
      </c>
      <c r="D20" s="3" t="s">
        <v>35</v>
      </c>
      <c r="E20" s="3" t="s">
        <v>27</v>
      </c>
      <c r="F20" s="4">
        <v>46127</v>
      </c>
      <c r="G20" s="3" t="s">
        <v>15</v>
      </c>
      <c r="H20" s="5">
        <v>200000</v>
      </c>
      <c r="I20" s="3" t="s">
        <v>16</v>
      </c>
      <c r="J20" s="3" t="s">
        <v>36</v>
      </c>
      <c r="K20" s="3" t="s">
        <v>14</v>
      </c>
      <c r="L20" s="3" t="s">
        <v>37</v>
      </c>
      <c r="M20" s="4">
        <v>46127</v>
      </c>
      <c r="N20" s="3" t="s">
        <v>38</v>
      </c>
      <c r="O20" s="3" t="s">
        <v>22</v>
      </c>
      <c r="P20" t="str">
        <f t="shared" si="0"/>
        <v>450011873550</v>
      </c>
      <c r="Q20" s="7" cm="1">
        <f t="array" ref="Q20:S20">VLOOKUP(P20,Hoja1!C:F,{2,3,4},FALSE)</f>
        <v>46386</v>
      </c>
      <c r="R20" t="str">
        <v>C25</v>
      </c>
      <c r="S20" t="str">
        <v>1000012227 LOPEZ RIOS FACUNDO GABRIE</v>
      </c>
      <c r="T20" t="str">
        <f>VLOOKUP(P20,Hoja2!C:D,2,FALSE)</f>
        <v>MPITTIA</v>
      </c>
    </row>
    <row r="21" spans="1:20" x14ac:dyDescent="0.3">
      <c r="A21" s="2" t="s">
        <v>14</v>
      </c>
      <c r="B21" s="3" t="s">
        <v>14</v>
      </c>
      <c r="C21" s="3" t="s">
        <v>44</v>
      </c>
      <c r="D21" s="3" t="s">
        <v>35</v>
      </c>
      <c r="E21" s="3" t="s">
        <v>27</v>
      </c>
      <c r="F21" s="4">
        <v>46127</v>
      </c>
      <c r="G21" s="3" t="s">
        <v>15</v>
      </c>
      <c r="H21" s="5">
        <v>750000</v>
      </c>
      <c r="I21" s="3" t="s">
        <v>16</v>
      </c>
      <c r="J21" s="3" t="s">
        <v>36</v>
      </c>
      <c r="K21" s="3" t="s">
        <v>14</v>
      </c>
      <c r="L21" s="3" t="s">
        <v>37</v>
      </c>
      <c r="M21" s="4">
        <v>46127</v>
      </c>
      <c r="N21" s="3" t="s">
        <v>38</v>
      </c>
      <c r="O21" s="3" t="s">
        <v>23</v>
      </c>
      <c r="P21" t="str">
        <f t="shared" si="0"/>
        <v>450011873560</v>
      </c>
      <c r="Q21" s="7" cm="1">
        <f t="array" ref="Q21:S21">VLOOKUP(P21,Hoja1!C:F,{2,3,4},FALSE)</f>
        <v>46386</v>
      </c>
      <c r="R21" t="str">
        <v>C25</v>
      </c>
      <c r="S21" t="str">
        <v>1000012227 LOPEZ RIOS FACUNDO GABRIE</v>
      </c>
      <c r="T21" t="str">
        <f>VLOOKUP(P21,Hoja2!C:D,2,FALSE)</f>
        <v>MPITTIA</v>
      </c>
    </row>
    <row r="22" spans="1:20" x14ac:dyDescent="0.3">
      <c r="A22" s="2" t="s">
        <v>14</v>
      </c>
      <c r="B22" s="3" t="s">
        <v>14</v>
      </c>
      <c r="C22" s="3" t="s">
        <v>45</v>
      </c>
      <c r="D22" s="3" t="s">
        <v>14</v>
      </c>
      <c r="E22" s="3" t="s">
        <v>27</v>
      </c>
      <c r="F22" s="4">
        <v>46108</v>
      </c>
      <c r="G22" s="3" t="s">
        <v>15</v>
      </c>
      <c r="H22" s="5">
        <v>24896.639999999999</v>
      </c>
      <c r="I22" s="3" t="s">
        <v>16</v>
      </c>
      <c r="J22" s="3" t="s">
        <v>17</v>
      </c>
      <c r="K22" s="3" t="s">
        <v>14</v>
      </c>
      <c r="L22" s="3" t="s">
        <v>46</v>
      </c>
      <c r="M22" s="4">
        <v>46156</v>
      </c>
      <c r="N22" s="3" t="s">
        <v>47</v>
      </c>
      <c r="O22" s="3" t="s">
        <v>33</v>
      </c>
      <c r="P22" t="str">
        <f t="shared" si="0"/>
        <v>450012764410</v>
      </c>
      <c r="Q22" s="7" cm="1">
        <f t="array" ref="Q22:S22">VLOOKUP(P22,Hoja1!C:F,{2,3,4},FALSE)</f>
        <v>46203</v>
      </c>
      <c r="R22" t="str">
        <v>C39</v>
      </c>
      <c r="S22" t="str">
        <v>1000001841 AONA SA</v>
      </c>
      <c r="T22" t="str">
        <f>VLOOKUP(P22,Hoja2!C:D,2,FALSE)</f>
        <v>GROSES</v>
      </c>
    </row>
    <row r="23" spans="1:20" x14ac:dyDescent="0.3">
      <c r="A23" s="2" t="s">
        <v>14</v>
      </c>
      <c r="B23" s="3" t="s">
        <v>14</v>
      </c>
      <c r="C23" s="3" t="s">
        <v>48</v>
      </c>
      <c r="D23" s="3" t="s">
        <v>14</v>
      </c>
      <c r="E23" s="3" t="s">
        <v>27</v>
      </c>
      <c r="F23" s="4">
        <v>46156</v>
      </c>
      <c r="G23" s="3" t="s">
        <v>15</v>
      </c>
      <c r="H23" s="5">
        <v>274070.25</v>
      </c>
      <c r="I23" s="3" t="s">
        <v>16</v>
      </c>
      <c r="J23" s="3" t="s">
        <v>17</v>
      </c>
      <c r="K23" s="3" t="s">
        <v>14</v>
      </c>
      <c r="L23" s="3" t="s">
        <v>46</v>
      </c>
      <c r="M23" s="4">
        <v>46156</v>
      </c>
      <c r="N23" s="3" t="s">
        <v>49</v>
      </c>
      <c r="O23" s="3" t="s">
        <v>33</v>
      </c>
      <c r="P23" t="str">
        <f t="shared" si="0"/>
        <v>450012764510</v>
      </c>
      <c r="Q23" s="7" cm="1">
        <f t="array" ref="Q23:S23">VLOOKUP(P23,Hoja1!C:F,{2,3,4},FALSE)</f>
        <v>46203</v>
      </c>
      <c r="R23" t="str">
        <v>C39</v>
      </c>
      <c r="S23" t="str">
        <v>1000001841 AONA SA</v>
      </c>
      <c r="T23" t="str">
        <f>VLOOKUP(P23,Hoja2!C:D,2,FALSE)</f>
        <v>GROSES</v>
      </c>
    </row>
    <row r="24" spans="1:20" x14ac:dyDescent="0.3">
      <c r="A24" s="2" t="s">
        <v>14</v>
      </c>
      <c r="B24" s="3" t="s">
        <v>14</v>
      </c>
      <c r="C24" s="3" t="s">
        <v>50</v>
      </c>
      <c r="D24" s="3" t="s">
        <v>14</v>
      </c>
      <c r="E24" s="3" t="s">
        <v>27</v>
      </c>
      <c r="F24" s="4">
        <v>46162</v>
      </c>
      <c r="G24" s="3" t="s">
        <v>15</v>
      </c>
      <c r="H24" s="5">
        <v>110692.16</v>
      </c>
      <c r="I24" s="3" t="s">
        <v>16</v>
      </c>
      <c r="J24" s="3" t="s">
        <v>17</v>
      </c>
      <c r="K24" s="3" t="s">
        <v>14</v>
      </c>
      <c r="L24" s="3" t="s">
        <v>46</v>
      </c>
      <c r="M24" s="4">
        <v>46162</v>
      </c>
      <c r="N24" s="3" t="s">
        <v>47</v>
      </c>
      <c r="O24" s="3" t="s">
        <v>33</v>
      </c>
      <c r="P24" t="str">
        <f t="shared" si="0"/>
        <v>450012764410</v>
      </c>
      <c r="Q24" s="7" cm="1">
        <f t="array" ref="Q24:S24">VLOOKUP(P24,Hoja1!C:F,{2,3,4},FALSE)</f>
        <v>46203</v>
      </c>
      <c r="R24" t="str">
        <v>C39</v>
      </c>
      <c r="S24" t="str">
        <v>1000001841 AONA SA</v>
      </c>
      <c r="T24" t="str">
        <f>VLOOKUP(P24,Hoja2!C:D,2,FALSE)</f>
        <v>GROSES</v>
      </c>
    </row>
    <row r="25" spans="1:20" x14ac:dyDescent="0.3">
      <c r="A25" s="2" t="s">
        <v>14</v>
      </c>
      <c r="B25" s="3" t="s">
        <v>14</v>
      </c>
      <c r="C25" s="3" t="s">
        <v>50</v>
      </c>
      <c r="D25" s="3" t="s">
        <v>14</v>
      </c>
      <c r="E25" s="3" t="s">
        <v>27</v>
      </c>
      <c r="F25" s="4">
        <v>46162</v>
      </c>
      <c r="G25" s="3" t="s">
        <v>15</v>
      </c>
      <c r="H25" s="5">
        <v>110692.14</v>
      </c>
      <c r="I25" s="3" t="s">
        <v>16</v>
      </c>
      <c r="J25" s="3" t="s">
        <v>17</v>
      </c>
      <c r="K25" s="3" t="s">
        <v>14</v>
      </c>
      <c r="L25" s="3" t="s">
        <v>46</v>
      </c>
      <c r="M25" s="4">
        <v>46162</v>
      </c>
      <c r="N25" s="3" t="s">
        <v>49</v>
      </c>
      <c r="O25" s="3" t="s">
        <v>33</v>
      </c>
      <c r="P25" t="str">
        <f t="shared" si="0"/>
        <v>450012764510</v>
      </c>
      <c r="Q25" s="7" cm="1">
        <f t="array" ref="Q25:S25">VLOOKUP(P25,Hoja1!C:F,{2,3,4},FALSE)</f>
        <v>46203</v>
      </c>
      <c r="R25" t="str">
        <v>C39</v>
      </c>
      <c r="S25" t="str">
        <v>1000001841 AONA SA</v>
      </c>
      <c r="T25" t="str">
        <f>VLOOKUP(P25,Hoja2!C:D,2,FALSE)</f>
        <v>GROSES</v>
      </c>
    </row>
    <row r="26" spans="1:20" x14ac:dyDescent="0.3">
      <c r="A26" s="2" t="s">
        <v>14</v>
      </c>
      <c r="B26" s="3" t="s">
        <v>14</v>
      </c>
      <c r="C26" s="3" t="s">
        <v>51</v>
      </c>
      <c r="D26" s="3" t="s">
        <v>14</v>
      </c>
      <c r="E26" s="3" t="s">
        <v>27</v>
      </c>
      <c r="F26" s="4">
        <v>46163</v>
      </c>
      <c r="G26" s="3" t="s">
        <v>15</v>
      </c>
      <c r="H26" s="5">
        <v>187000</v>
      </c>
      <c r="I26" s="3" t="s">
        <v>16</v>
      </c>
      <c r="J26" s="3" t="s">
        <v>17</v>
      </c>
      <c r="K26" s="3" t="s">
        <v>14</v>
      </c>
      <c r="L26" s="3" t="s">
        <v>52</v>
      </c>
      <c r="M26" s="4">
        <v>46174</v>
      </c>
      <c r="N26" s="3" t="s">
        <v>53</v>
      </c>
      <c r="O26" s="3" t="s">
        <v>33</v>
      </c>
      <c r="P26" t="str">
        <f t="shared" si="0"/>
        <v>450012818110</v>
      </c>
      <c r="Q26" s="7" cm="1">
        <f t="array" ref="Q26:S26">VLOOKUP(P26,Hoja1!C:F,{2,3,4},FALSE)</f>
        <v>46168</v>
      </c>
      <c r="R26" t="str">
        <v>EFO</v>
      </c>
      <c r="S26" t="str">
        <v>1000002834 J.M.F. VIAL &amp; PARTS SAS</v>
      </c>
      <c r="T26" t="str">
        <f>VLOOKUP(P26,Hoja2!C:D,2,FALSE)</f>
        <v>GROSES</v>
      </c>
    </row>
    <row r="27" spans="1:20" x14ac:dyDescent="0.3">
      <c r="A27" s="2" t="s">
        <v>14</v>
      </c>
      <c r="B27" s="3" t="s">
        <v>14</v>
      </c>
      <c r="C27" s="3" t="s">
        <v>54</v>
      </c>
      <c r="D27" s="3" t="s">
        <v>55</v>
      </c>
      <c r="E27" s="3" t="s">
        <v>27</v>
      </c>
      <c r="F27" s="4">
        <v>46160</v>
      </c>
      <c r="G27" s="3" t="s">
        <v>15</v>
      </c>
      <c r="H27" s="5">
        <v>1737213.17</v>
      </c>
      <c r="I27" s="3" t="s">
        <v>16</v>
      </c>
      <c r="J27" s="3" t="s">
        <v>36</v>
      </c>
      <c r="K27" s="3" t="s">
        <v>14</v>
      </c>
      <c r="L27" s="3" t="s">
        <v>56</v>
      </c>
      <c r="M27" s="4">
        <v>46184</v>
      </c>
      <c r="N27" s="3" t="s">
        <v>57</v>
      </c>
      <c r="O27" s="3" t="s">
        <v>33</v>
      </c>
      <c r="P27" t="str">
        <f t="shared" si="0"/>
        <v>450012122710</v>
      </c>
      <c r="Q27" s="7" cm="1">
        <f t="array" ref="Q27:S27">VLOOKUP(P27,Hoja1!C:F,{2,3,4},FALSE)</f>
        <v>46264</v>
      </c>
      <c r="R27" t="str">
        <v>C25</v>
      </c>
      <c r="S27" t="str">
        <v>1000010957 GANGAS REYES MARCELO DAVID</v>
      </c>
      <c r="T27" t="str">
        <f>VLOOKUP(P27,Hoja2!C:D,2,FALSE)</f>
        <v>MPITTIA</v>
      </c>
    </row>
    <row r="28" spans="1:20" x14ac:dyDescent="0.3">
      <c r="A28" s="2" t="s">
        <v>14</v>
      </c>
      <c r="B28" s="3" t="s">
        <v>14</v>
      </c>
      <c r="C28" s="3" t="s">
        <v>58</v>
      </c>
      <c r="D28" s="3" t="s">
        <v>14</v>
      </c>
      <c r="E28" s="3" t="s">
        <v>27</v>
      </c>
      <c r="F28" s="4">
        <v>46161</v>
      </c>
      <c r="G28" s="3" t="s">
        <v>15</v>
      </c>
      <c r="H28" s="5">
        <v>142975.21</v>
      </c>
      <c r="I28" s="3" t="s">
        <v>16</v>
      </c>
      <c r="J28" s="3" t="s">
        <v>17</v>
      </c>
      <c r="K28" s="3" t="s">
        <v>14</v>
      </c>
      <c r="L28" s="3" t="s">
        <v>46</v>
      </c>
      <c r="M28" s="4">
        <v>46191</v>
      </c>
      <c r="N28" s="3" t="s">
        <v>49</v>
      </c>
      <c r="O28" s="3" t="s">
        <v>33</v>
      </c>
      <c r="P28" t="str">
        <f t="shared" si="0"/>
        <v>450012764510</v>
      </c>
      <c r="Q28" s="7" cm="1">
        <f t="array" ref="Q28:S28">VLOOKUP(P28,Hoja1!C:F,{2,3,4},FALSE)</f>
        <v>46203</v>
      </c>
      <c r="R28" t="str">
        <v>C39</v>
      </c>
      <c r="S28" t="str">
        <v>1000001841 AONA SA</v>
      </c>
      <c r="T28" t="str">
        <f>VLOOKUP(P28,Hoja2!C:D,2,FALSE)</f>
        <v>GROSES</v>
      </c>
    </row>
    <row r="29" spans="1:20" x14ac:dyDescent="0.3">
      <c r="A29" s="2" t="s">
        <v>14</v>
      </c>
      <c r="B29" s="3" t="s">
        <v>14</v>
      </c>
      <c r="C29" s="3" t="s">
        <v>59</v>
      </c>
      <c r="D29" s="3" t="s">
        <v>14</v>
      </c>
      <c r="E29" s="3" t="s">
        <v>27</v>
      </c>
      <c r="F29" s="4">
        <v>46161</v>
      </c>
      <c r="G29" s="3" t="s">
        <v>15</v>
      </c>
      <c r="H29" s="5">
        <v>52686</v>
      </c>
      <c r="I29" s="3" t="s">
        <v>16</v>
      </c>
      <c r="J29" s="3" t="s">
        <v>17</v>
      </c>
      <c r="K29" s="3" t="s">
        <v>14</v>
      </c>
      <c r="L29" s="3" t="s">
        <v>46</v>
      </c>
      <c r="M29" s="4">
        <v>46191</v>
      </c>
      <c r="N29" s="3" t="s">
        <v>47</v>
      </c>
      <c r="O29" s="3" t="s">
        <v>33</v>
      </c>
      <c r="P29" t="str">
        <f t="shared" si="0"/>
        <v>450012764410</v>
      </c>
      <c r="Q29" s="7" cm="1">
        <f t="array" ref="Q29:S29">VLOOKUP(P29,Hoja1!C:F,{2,3,4},FALSE)</f>
        <v>46203</v>
      </c>
      <c r="R29" t="str">
        <v>C39</v>
      </c>
      <c r="S29" t="str">
        <v>1000001841 AONA SA</v>
      </c>
      <c r="T29" t="str">
        <f>VLOOKUP(P29,Hoja2!C:D,2,FALSE)</f>
        <v>GROSES</v>
      </c>
    </row>
    <row r="30" spans="1:20" x14ac:dyDescent="0.3">
      <c r="A30" s="2" t="s">
        <v>14</v>
      </c>
      <c r="B30" s="3" t="s">
        <v>14</v>
      </c>
      <c r="C30" s="3" t="s">
        <v>59</v>
      </c>
      <c r="D30" s="3" t="s">
        <v>14</v>
      </c>
      <c r="E30" s="3" t="s">
        <v>27</v>
      </c>
      <c r="F30" s="4">
        <v>46161</v>
      </c>
      <c r="G30" s="3" t="s">
        <v>15</v>
      </c>
      <c r="H30" s="5">
        <v>83305.75</v>
      </c>
      <c r="I30" s="3" t="s">
        <v>16</v>
      </c>
      <c r="J30" s="3" t="s">
        <v>17</v>
      </c>
      <c r="K30" s="3" t="s">
        <v>14</v>
      </c>
      <c r="L30" s="3" t="s">
        <v>46</v>
      </c>
      <c r="M30" s="4">
        <v>46191</v>
      </c>
      <c r="N30" s="3" t="s">
        <v>49</v>
      </c>
      <c r="O30" s="3" t="s">
        <v>33</v>
      </c>
      <c r="P30" t="str">
        <f t="shared" si="0"/>
        <v>450012764510</v>
      </c>
      <c r="Q30" s="7" cm="1">
        <f t="array" ref="Q30:S30">VLOOKUP(P30,Hoja1!C:F,{2,3,4},FALSE)</f>
        <v>46203</v>
      </c>
      <c r="R30" t="str">
        <v>C39</v>
      </c>
      <c r="S30" t="str">
        <v>1000001841 AONA SA</v>
      </c>
      <c r="T30" t="str">
        <f>VLOOKUP(P30,Hoja2!C:D,2,FALSE)</f>
        <v>GROSES</v>
      </c>
    </row>
    <row r="31" spans="1:20" x14ac:dyDescent="0.3">
      <c r="A31" s="2" t="s">
        <v>14</v>
      </c>
      <c r="B31" s="3" t="s">
        <v>14</v>
      </c>
      <c r="C31" s="3" t="s">
        <v>59</v>
      </c>
      <c r="D31" s="3" t="s">
        <v>14</v>
      </c>
      <c r="E31" s="3" t="s">
        <v>27</v>
      </c>
      <c r="F31" s="4">
        <v>46161</v>
      </c>
      <c r="G31" s="3" t="s">
        <v>15</v>
      </c>
      <c r="H31" s="5">
        <v>195041.31</v>
      </c>
      <c r="I31" s="3" t="s">
        <v>16</v>
      </c>
      <c r="J31" s="3" t="s">
        <v>17</v>
      </c>
      <c r="K31" s="3" t="s">
        <v>14</v>
      </c>
      <c r="L31" s="3" t="s">
        <v>46</v>
      </c>
      <c r="M31" s="4">
        <v>46191</v>
      </c>
      <c r="N31" s="3" t="s">
        <v>60</v>
      </c>
      <c r="O31" s="3" t="s">
        <v>33</v>
      </c>
      <c r="P31" t="str">
        <f t="shared" si="0"/>
        <v>450012764610</v>
      </c>
      <c r="Q31" s="7" cm="1">
        <f t="array" ref="Q31:S31">VLOOKUP(P31,Hoja1!C:F,{2,3,4},FALSE)</f>
        <v>46203</v>
      </c>
      <c r="R31" t="str">
        <v>C39</v>
      </c>
      <c r="S31" t="str">
        <v>1000001841 AONA SA</v>
      </c>
      <c r="T31" t="str">
        <f>VLOOKUP(P31,Hoja2!C:D,2,FALSE)</f>
        <v>GROSES</v>
      </c>
    </row>
    <row r="32" spans="1:20" x14ac:dyDescent="0.3">
      <c r="A32" s="2" t="s">
        <v>14</v>
      </c>
      <c r="B32" s="3" t="s">
        <v>14</v>
      </c>
      <c r="C32" s="3" t="s">
        <v>61</v>
      </c>
      <c r="D32" s="3" t="s">
        <v>14</v>
      </c>
      <c r="E32" s="3" t="s">
        <v>27</v>
      </c>
      <c r="F32" s="4">
        <v>46191</v>
      </c>
      <c r="G32" s="3" t="s">
        <v>15</v>
      </c>
      <c r="H32" s="5">
        <v>52686</v>
      </c>
      <c r="I32" s="3" t="s">
        <v>16</v>
      </c>
      <c r="J32" s="3" t="s">
        <v>17</v>
      </c>
      <c r="K32" s="3" t="s">
        <v>14</v>
      </c>
      <c r="L32" s="3" t="s">
        <v>46</v>
      </c>
      <c r="M32" s="4">
        <v>46191</v>
      </c>
      <c r="N32" s="3" t="s">
        <v>47</v>
      </c>
      <c r="O32" s="3" t="s">
        <v>33</v>
      </c>
      <c r="P32" t="str">
        <f t="shared" si="0"/>
        <v>450012764410</v>
      </c>
      <c r="Q32" s="7" cm="1">
        <f t="array" ref="Q32:S32">VLOOKUP(P32,Hoja1!C:F,{2,3,4},FALSE)</f>
        <v>46203</v>
      </c>
      <c r="R32" t="str">
        <v>C39</v>
      </c>
      <c r="S32" t="str">
        <v>1000001841 AONA SA</v>
      </c>
      <c r="T32" t="str">
        <f>VLOOKUP(P32,Hoja2!C:D,2,FALSE)</f>
        <v>GROSES</v>
      </c>
    </row>
    <row r="33" spans="1:20" x14ac:dyDescent="0.3">
      <c r="A33" s="2" t="s">
        <v>14</v>
      </c>
      <c r="B33" s="3" t="s">
        <v>14</v>
      </c>
      <c r="C33" s="3" t="s">
        <v>61</v>
      </c>
      <c r="D33" s="3" t="s">
        <v>14</v>
      </c>
      <c r="E33" s="3" t="s">
        <v>27</v>
      </c>
      <c r="F33" s="4">
        <v>46191</v>
      </c>
      <c r="G33" s="3" t="s">
        <v>15</v>
      </c>
      <c r="H33" s="5">
        <v>195041.31</v>
      </c>
      <c r="I33" s="3" t="s">
        <v>16</v>
      </c>
      <c r="J33" s="3" t="s">
        <v>17</v>
      </c>
      <c r="K33" s="3" t="s">
        <v>14</v>
      </c>
      <c r="L33" s="3" t="s">
        <v>46</v>
      </c>
      <c r="M33" s="4">
        <v>46191</v>
      </c>
      <c r="N33" s="3" t="s">
        <v>49</v>
      </c>
      <c r="O33" s="3" t="s">
        <v>33</v>
      </c>
      <c r="P33" t="str">
        <f t="shared" si="0"/>
        <v>450012764510</v>
      </c>
      <c r="Q33" s="7" cm="1">
        <f t="array" ref="Q33:S33">VLOOKUP(P33,Hoja1!C:F,{2,3,4},FALSE)</f>
        <v>46203</v>
      </c>
      <c r="R33" t="str">
        <v>C39</v>
      </c>
      <c r="S33" t="str">
        <v>1000001841 AONA SA</v>
      </c>
      <c r="T33" t="str">
        <f>VLOOKUP(P33,Hoja2!C:D,2,FALSE)</f>
        <v>GROSES</v>
      </c>
    </row>
    <row r="34" spans="1:20" x14ac:dyDescent="0.3">
      <c r="A34" s="2" t="s">
        <v>14</v>
      </c>
      <c r="B34" s="3" t="s">
        <v>14</v>
      </c>
      <c r="C34" s="3" t="s">
        <v>61</v>
      </c>
      <c r="D34" s="3" t="s">
        <v>14</v>
      </c>
      <c r="E34" s="3" t="s">
        <v>27</v>
      </c>
      <c r="F34" s="4">
        <v>46191</v>
      </c>
      <c r="G34" s="3" t="s">
        <v>15</v>
      </c>
      <c r="H34" s="5">
        <v>69421.45</v>
      </c>
      <c r="I34" s="3" t="s">
        <v>16</v>
      </c>
      <c r="J34" s="3" t="s">
        <v>17</v>
      </c>
      <c r="K34" s="3" t="s">
        <v>14</v>
      </c>
      <c r="L34" s="3" t="s">
        <v>46</v>
      </c>
      <c r="M34" s="4">
        <v>46191</v>
      </c>
      <c r="N34" s="3" t="s">
        <v>60</v>
      </c>
      <c r="O34" s="3" t="s">
        <v>33</v>
      </c>
      <c r="P34" t="str">
        <f t="shared" si="0"/>
        <v>450012764610</v>
      </c>
      <c r="Q34" s="7" cm="1">
        <f t="array" ref="Q34:S34">VLOOKUP(P34,Hoja1!C:F,{2,3,4},FALSE)</f>
        <v>46203</v>
      </c>
      <c r="R34" t="str">
        <v>C39</v>
      </c>
      <c r="S34" t="str">
        <v>1000001841 AONA SA</v>
      </c>
      <c r="T34" t="str">
        <f>VLOOKUP(P34,Hoja2!C:D,2,FALSE)</f>
        <v>GROSES</v>
      </c>
    </row>
    <row r="35" spans="1:20" x14ac:dyDescent="0.3">
      <c r="A35" s="2" t="s">
        <v>14</v>
      </c>
      <c r="B35" s="3" t="s">
        <v>14</v>
      </c>
      <c r="C35" s="3" t="s">
        <v>62</v>
      </c>
      <c r="D35" s="3" t="s">
        <v>14</v>
      </c>
      <c r="E35" s="3" t="s">
        <v>27</v>
      </c>
      <c r="F35" s="4">
        <v>46182</v>
      </c>
      <c r="G35" s="3" t="s">
        <v>15</v>
      </c>
      <c r="H35" s="5">
        <v>26343</v>
      </c>
      <c r="I35" s="3" t="s">
        <v>16</v>
      </c>
      <c r="J35" s="3" t="s">
        <v>17</v>
      </c>
      <c r="K35" s="3" t="s">
        <v>14</v>
      </c>
      <c r="L35" s="3" t="s">
        <v>46</v>
      </c>
      <c r="M35" s="4">
        <v>46191</v>
      </c>
      <c r="N35" s="3" t="s">
        <v>47</v>
      </c>
      <c r="O35" s="3" t="s">
        <v>33</v>
      </c>
      <c r="P35" t="str">
        <f t="shared" si="0"/>
        <v>450012764410</v>
      </c>
      <c r="Q35" s="7" cm="1">
        <f t="array" ref="Q35:S35">VLOOKUP(P35,Hoja1!C:F,{2,3,4},FALSE)</f>
        <v>46203</v>
      </c>
      <c r="R35" t="str">
        <v>C39</v>
      </c>
      <c r="S35" t="str">
        <v>1000001841 AONA SA</v>
      </c>
      <c r="T35" t="str">
        <f>VLOOKUP(P35,Hoja2!C:D,2,FALSE)</f>
        <v>GROSES</v>
      </c>
    </row>
    <row r="36" spans="1:20" x14ac:dyDescent="0.3">
      <c r="A36" s="2" t="s">
        <v>14</v>
      </c>
      <c r="B36" s="3" t="s">
        <v>14</v>
      </c>
      <c r="C36" s="3" t="s">
        <v>62</v>
      </c>
      <c r="D36" s="3" t="s">
        <v>14</v>
      </c>
      <c r="E36" s="3" t="s">
        <v>27</v>
      </c>
      <c r="F36" s="4">
        <v>46182</v>
      </c>
      <c r="G36" s="3" t="s">
        <v>15</v>
      </c>
      <c r="H36" s="5">
        <v>69421.5</v>
      </c>
      <c r="I36" s="3" t="s">
        <v>16</v>
      </c>
      <c r="J36" s="3" t="s">
        <v>17</v>
      </c>
      <c r="K36" s="3" t="s">
        <v>14</v>
      </c>
      <c r="L36" s="3" t="s">
        <v>46</v>
      </c>
      <c r="M36" s="4">
        <v>46191</v>
      </c>
      <c r="N36" s="3" t="s">
        <v>49</v>
      </c>
      <c r="O36" s="3" t="s">
        <v>33</v>
      </c>
      <c r="P36" t="str">
        <f t="shared" si="0"/>
        <v>450012764510</v>
      </c>
      <c r="Q36" s="7" cm="1">
        <f t="array" ref="Q36:S36">VLOOKUP(P36,Hoja1!C:F,{2,3,4},FALSE)</f>
        <v>46203</v>
      </c>
      <c r="R36" t="str">
        <v>C39</v>
      </c>
      <c r="S36" t="str">
        <v>1000001841 AONA SA</v>
      </c>
      <c r="T36" t="str">
        <f>VLOOKUP(P36,Hoja2!C:D,2,FALSE)</f>
        <v>GROSES</v>
      </c>
    </row>
    <row r="37" spans="1:20" x14ac:dyDescent="0.3">
      <c r="A37" s="2" t="s">
        <v>14</v>
      </c>
      <c r="B37" s="3" t="s">
        <v>14</v>
      </c>
      <c r="C37" s="3" t="s">
        <v>62</v>
      </c>
      <c r="D37" s="3" t="s">
        <v>14</v>
      </c>
      <c r="E37" s="3" t="s">
        <v>27</v>
      </c>
      <c r="F37" s="4">
        <v>46182</v>
      </c>
      <c r="G37" s="3" t="s">
        <v>15</v>
      </c>
      <c r="H37" s="5">
        <v>195041.29</v>
      </c>
      <c r="I37" s="3" t="s">
        <v>16</v>
      </c>
      <c r="J37" s="3" t="s">
        <v>17</v>
      </c>
      <c r="K37" s="3" t="s">
        <v>14</v>
      </c>
      <c r="L37" s="3" t="s">
        <v>46</v>
      </c>
      <c r="M37" s="4">
        <v>46191</v>
      </c>
      <c r="N37" s="3" t="s">
        <v>60</v>
      </c>
      <c r="O37" s="3" t="s">
        <v>33</v>
      </c>
      <c r="P37" t="str">
        <f t="shared" si="0"/>
        <v>450012764610</v>
      </c>
      <c r="Q37" s="7" cm="1">
        <f t="array" ref="Q37:S37">VLOOKUP(P37,Hoja1!C:F,{2,3,4},FALSE)</f>
        <v>46203</v>
      </c>
      <c r="R37" t="str">
        <v>C39</v>
      </c>
      <c r="S37" t="str">
        <v>1000001841 AONA SA</v>
      </c>
      <c r="T37" t="str">
        <f>VLOOKUP(P37,Hoja2!C:D,2,FALSE)</f>
        <v>GROSES</v>
      </c>
    </row>
    <row r="38" spans="1:20" x14ac:dyDescent="0.3">
      <c r="A38" s="2" t="s">
        <v>14</v>
      </c>
      <c r="B38" s="3" t="s">
        <v>14</v>
      </c>
      <c r="C38" s="3" t="s">
        <v>63</v>
      </c>
      <c r="D38" s="3" t="s">
        <v>14</v>
      </c>
      <c r="E38" s="3" t="s">
        <v>27</v>
      </c>
      <c r="F38" s="4">
        <v>46177</v>
      </c>
      <c r="G38" s="3" t="s">
        <v>15</v>
      </c>
      <c r="H38" s="5">
        <v>109504.23</v>
      </c>
      <c r="I38" s="3" t="s">
        <v>16</v>
      </c>
      <c r="J38" s="3" t="s">
        <v>17</v>
      </c>
      <c r="K38" s="3" t="s">
        <v>14</v>
      </c>
      <c r="L38" s="3" t="s">
        <v>46</v>
      </c>
      <c r="M38" s="4">
        <v>46191</v>
      </c>
      <c r="N38" s="3" t="s">
        <v>47</v>
      </c>
      <c r="O38" s="3" t="s">
        <v>33</v>
      </c>
      <c r="P38" t="str">
        <f t="shared" si="0"/>
        <v>450012764410</v>
      </c>
      <c r="Q38" s="7" cm="1">
        <f t="array" ref="Q38:S38">VLOOKUP(P38,Hoja1!C:F,{2,3,4},FALSE)</f>
        <v>46203</v>
      </c>
      <c r="R38" t="str">
        <v>C39</v>
      </c>
      <c r="S38" t="str">
        <v>1000001841 AONA SA</v>
      </c>
      <c r="T38" t="str">
        <f>VLOOKUP(P38,Hoja2!C:D,2,FALSE)</f>
        <v>GROSES</v>
      </c>
    </row>
    <row r="39" spans="1:20" x14ac:dyDescent="0.3">
      <c r="A39" s="2" t="s">
        <v>14</v>
      </c>
      <c r="B39" s="3" t="s">
        <v>14</v>
      </c>
      <c r="C39" s="3" t="s">
        <v>63</v>
      </c>
      <c r="D39" s="3" t="s">
        <v>14</v>
      </c>
      <c r="E39" s="3" t="s">
        <v>27</v>
      </c>
      <c r="F39" s="4">
        <v>46177</v>
      </c>
      <c r="G39" s="3" t="s">
        <v>15</v>
      </c>
      <c r="H39" s="5">
        <v>381818.09</v>
      </c>
      <c r="I39" s="3" t="s">
        <v>16</v>
      </c>
      <c r="J39" s="3" t="s">
        <v>17</v>
      </c>
      <c r="K39" s="3" t="s">
        <v>14</v>
      </c>
      <c r="L39" s="3" t="s">
        <v>46</v>
      </c>
      <c r="M39" s="4">
        <v>46191</v>
      </c>
      <c r="N39" s="3" t="s">
        <v>49</v>
      </c>
      <c r="O39" s="3" t="s">
        <v>33</v>
      </c>
      <c r="P39" t="str">
        <f t="shared" si="0"/>
        <v>450012764510</v>
      </c>
      <c r="Q39" s="7" cm="1">
        <f t="array" ref="Q39:S39">VLOOKUP(P39,Hoja1!C:F,{2,3,4},FALSE)</f>
        <v>46203</v>
      </c>
      <c r="R39" t="str">
        <v>C39</v>
      </c>
      <c r="S39" t="str">
        <v>1000001841 AONA SA</v>
      </c>
      <c r="T39" t="str">
        <f>VLOOKUP(P39,Hoja2!C:D,2,FALSE)</f>
        <v>GROSES</v>
      </c>
    </row>
    <row r="40" spans="1:20" x14ac:dyDescent="0.3">
      <c r="A40" s="2" t="s">
        <v>14</v>
      </c>
      <c r="B40" s="3" t="s">
        <v>14</v>
      </c>
      <c r="C40" s="3" t="s">
        <v>64</v>
      </c>
      <c r="D40" s="3" t="s">
        <v>14</v>
      </c>
      <c r="E40" s="3" t="s">
        <v>27</v>
      </c>
      <c r="F40" s="4">
        <v>46185</v>
      </c>
      <c r="G40" s="3" t="s">
        <v>15</v>
      </c>
      <c r="H40" s="5">
        <v>52686</v>
      </c>
      <c r="I40" s="3" t="s">
        <v>16</v>
      </c>
      <c r="J40" s="3" t="s">
        <v>17</v>
      </c>
      <c r="K40" s="3" t="s">
        <v>14</v>
      </c>
      <c r="L40" s="3" t="s">
        <v>46</v>
      </c>
      <c r="M40" s="4">
        <v>46191</v>
      </c>
      <c r="N40" s="3" t="s">
        <v>47</v>
      </c>
      <c r="O40" s="3" t="s">
        <v>33</v>
      </c>
      <c r="P40" t="str">
        <f t="shared" si="0"/>
        <v>450012764410</v>
      </c>
      <c r="Q40" s="7" cm="1">
        <f t="array" ref="Q40:S40">VLOOKUP(P40,Hoja1!C:F,{2,3,4},FALSE)</f>
        <v>46203</v>
      </c>
      <c r="R40" t="str">
        <v>C39</v>
      </c>
      <c r="S40" t="str">
        <v>1000001841 AONA SA</v>
      </c>
      <c r="T40" t="str">
        <f>VLOOKUP(P40,Hoja2!C:D,2,FALSE)</f>
        <v>GROSES</v>
      </c>
    </row>
    <row r="41" spans="1:20" x14ac:dyDescent="0.3">
      <c r="A41" s="2" t="s">
        <v>14</v>
      </c>
      <c r="B41" s="3" t="s">
        <v>14</v>
      </c>
      <c r="C41" s="3" t="s">
        <v>64</v>
      </c>
      <c r="D41" s="3" t="s">
        <v>14</v>
      </c>
      <c r="E41" s="3" t="s">
        <v>27</v>
      </c>
      <c r="F41" s="4">
        <v>46185</v>
      </c>
      <c r="G41" s="3" t="s">
        <v>15</v>
      </c>
      <c r="H41" s="5">
        <v>195041.27</v>
      </c>
      <c r="I41" s="3" t="s">
        <v>16</v>
      </c>
      <c r="J41" s="3" t="s">
        <v>17</v>
      </c>
      <c r="K41" s="3" t="s">
        <v>14</v>
      </c>
      <c r="L41" s="3" t="s">
        <v>46</v>
      </c>
      <c r="M41" s="4">
        <v>46191</v>
      </c>
      <c r="N41" s="3" t="s">
        <v>49</v>
      </c>
      <c r="O41" s="3" t="s">
        <v>33</v>
      </c>
      <c r="P41" t="str">
        <f t="shared" si="0"/>
        <v>450012764510</v>
      </c>
      <c r="Q41" s="7" cm="1">
        <f t="array" ref="Q41:S41">VLOOKUP(P41,Hoja1!C:F,{2,3,4},FALSE)</f>
        <v>46203</v>
      </c>
      <c r="R41" t="str">
        <v>C39</v>
      </c>
      <c r="S41" t="str">
        <v>1000001841 AONA SA</v>
      </c>
      <c r="T41" t="str">
        <f>VLOOKUP(P41,Hoja2!C:D,2,FALSE)</f>
        <v>GROSES</v>
      </c>
    </row>
    <row r="42" spans="1:20" x14ac:dyDescent="0.3">
      <c r="A42" s="2" t="s">
        <v>14</v>
      </c>
      <c r="B42" s="3" t="s">
        <v>14</v>
      </c>
      <c r="C42" s="3" t="s">
        <v>64</v>
      </c>
      <c r="D42" s="3" t="s">
        <v>14</v>
      </c>
      <c r="E42" s="3" t="s">
        <v>27</v>
      </c>
      <c r="F42" s="4">
        <v>46185</v>
      </c>
      <c r="G42" s="3" t="s">
        <v>15</v>
      </c>
      <c r="H42" s="5">
        <v>24991.74</v>
      </c>
      <c r="I42" s="3" t="s">
        <v>16</v>
      </c>
      <c r="J42" s="3" t="s">
        <v>17</v>
      </c>
      <c r="K42" s="3" t="s">
        <v>14</v>
      </c>
      <c r="L42" s="3" t="s">
        <v>46</v>
      </c>
      <c r="M42" s="4">
        <v>46191</v>
      </c>
      <c r="N42" s="3" t="s">
        <v>60</v>
      </c>
      <c r="O42" s="3" t="s">
        <v>33</v>
      </c>
      <c r="P42" t="str">
        <f t="shared" si="0"/>
        <v>450012764610</v>
      </c>
      <c r="Q42" s="7" cm="1">
        <f t="array" ref="Q42:S42">VLOOKUP(P42,Hoja1!C:F,{2,3,4},FALSE)</f>
        <v>46203</v>
      </c>
      <c r="R42" t="str">
        <v>C39</v>
      </c>
      <c r="S42" t="str">
        <v>1000001841 AONA SA</v>
      </c>
      <c r="T42" t="str">
        <f>VLOOKUP(P42,Hoja2!C:D,2,FALSE)</f>
        <v>GROSES</v>
      </c>
    </row>
    <row r="43" spans="1:20" x14ac:dyDescent="0.3">
      <c r="A43" s="2" t="s">
        <v>14</v>
      </c>
      <c r="B43" s="3" t="s">
        <v>14</v>
      </c>
      <c r="C43" s="3" t="s">
        <v>67</v>
      </c>
      <c r="D43" s="3" t="s">
        <v>14</v>
      </c>
      <c r="E43" s="3" t="s">
        <v>27</v>
      </c>
      <c r="F43" s="4">
        <v>46198</v>
      </c>
      <c r="G43" s="3" t="s">
        <v>15</v>
      </c>
      <c r="H43" s="5">
        <v>407925</v>
      </c>
      <c r="I43" s="3" t="s">
        <v>16</v>
      </c>
      <c r="J43" s="3" t="s">
        <v>17</v>
      </c>
      <c r="K43" s="3" t="s">
        <v>14</v>
      </c>
      <c r="L43" s="3" t="s">
        <v>46</v>
      </c>
      <c r="M43" s="4">
        <v>46220</v>
      </c>
      <c r="N43" s="3" t="s">
        <v>47</v>
      </c>
      <c r="O43" s="3" t="s">
        <v>33</v>
      </c>
      <c r="P43" t="str">
        <f t="shared" si="0"/>
        <v>450012764410</v>
      </c>
      <c r="Q43" s="7" cm="1">
        <f t="array" ref="Q43:S43">VLOOKUP(P43,Hoja1!C:F,{2,3,4},FALSE)</f>
        <v>46203</v>
      </c>
      <c r="R43" t="str">
        <v>C39</v>
      </c>
      <c r="S43" t="str">
        <v>1000001841 AONA SA</v>
      </c>
      <c r="T43" t="str">
        <f>VLOOKUP(P43,Hoja2!C:D,2,FALSE)</f>
        <v>GROSES</v>
      </c>
    </row>
    <row r="44" spans="1:20" x14ac:dyDescent="0.3">
      <c r="A44" s="2" t="s">
        <v>14</v>
      </c>
      <c r="B44" s="3" t="s">
        <v>14</v>
      </c>
      <c r="C44" s="3" t="s">
        <v>67</v>
      </c>
      <c r="D44" s="3" t="s">
        <v>14</v>
      </c>
      <c r="E44" s="3" t="s">
        <v>27</v>
      </c>
      <c r="F44" s="4">
        <v>46198</v>
      </c>
      <c r="G44" s="3" t="s">
        <v>15</v>
      </c>
      <c r="H44" s="5">
        <v>135975</v>
      </c>
      <c r="I44" s="3" t="s">
        <v>16</v>
      </c>
      <c r="J44" s="3" t="s">
        <v>17</v>
      </c>
      <c r="K44" s="3" t="s">
        <v>14</v>
      </c>
      <c r="L44" s="3" t="s">
        <v>46</v>
      </c>
      <c r="M44" s="4">
        <v>46220</v>
      </c>
      <c r="N44" s="3" t="s">
        <v>60</v>
      </c>
      <c r="O44" s="3" t="s">
        <v>33</v>
      </c>
      <c r="P44" t="str">
        <f t="shared" si="0"/>
        <v>450012764610</v>
      </c>
      <c r="Q44" s="7" cm="1">
        <f t="array" ref="Q44:S44">VLOOKUP(P44,Hoja1!C:F,{2,3,4},FALSE)</f>
        <v>46203</v>
      </c>
      <c r="R44" t="str">
        <v>C39</v>
      </c>
      <c r="S44" t="str">
        <v>1000001841 AONA SA</v>
      </c>
      <c r="T44" t="str">
        <f>VLOOKUP(P44,Hoja2!C:D,2,FALSE)</f>
        <v>GROSES</v>
      </c>
    </row>
    <row r="45" spans="1:20" x14ac:dyDescent="0.3">
      <c r="A45" s="2" t="s">
        <v>14</v>
      </c>
      <c r="B45" s="3" t="s">
        <v>14</v>
      </c>
      <c r="C45" s="3" t="s">
        <v>68</v>
      </c>
      <c r="D45" s="3" t="s">
        <v>14</v>
      </c>
      <c r="E45" s="3" t="s">
        <v>27</v>
      </c>
      <c r="F45" s="4">
        <v>46216</v>
      </c>
      <c r="G45" s="3" t="s">
        <v>15</v>
      </c>
      <c r="H45" s="5">
        <v>611887.5</v>
      </c>
      <c r="I45" s="3" t="s">
        <v>16</v>
      </c>
      <c r="J45" s="3" t="s">
        <v>17</v>
      </c>
      <c r="K45" s="3" t="s">
        <v>14</v>
      </c>
      <c r="L45" s="3" t="s">
        <v>46</v>
      </c>
      <c r="M45" s="4">
        <v>46220</v>
      </c>
      <c r="N45" s="3" t="s">
        <v>47</v>
      </c>
      <c r="O45" s="3" t="s">
        <v>33</v>
      </c>
      <c r="P45" t="str">
        <f t="shared" si="0"/>
        <v>450012764410</v>
      </c>
      <c r="Q45" s="7" cm="1">
        <f t="array" ref="Q45:S45">VLOOKUP(P45,Hoja1!C:F,{2,3,4},FALSE)</f>
        <v>46203</v>
      </c>
      <c r="R45" t="str">
        <v>C39</v>
      </c>
      <c r="S45" t="str">
        <v>1000001841 AONA SA</v>
      </c>
      <c r="T45" t="str">
        <f>VLOOKUP(P45,Hoja2!C:D,2,FALSE)</f>
        <v>GROSES</v>
      </c>
    </row>
    <row r="46" spans="1:20" x14ac:dyDescent="0.3">
      <c r="A46" s="2" t="s">
        <v>14</v>
      </c>
      <c r="B46" s="3" t="s">
        <v>14</v>
      </c>
      <c r="C46" s="3" t="s">
        <v>68</v>
      </c>
      <c r="D46" s="3" t="s">
        <v>14</v>
      </c>
      <c r="E46" s="3" t="s">
        <v>27</v>
      </c>
      <c r="F46" s="4">
        <v>46216</v>
      </c>
      <c r="G46" s="3" t="s">
        <v>15</v>
      </c>
      <c r="H46" s="5">
        <v>135975</v>
      </c>
      <c r="I46" s="3" t="s">
        <v>16</v>
      </c>
      <c r="J46" s="3" t="s">
        <v>17</v>
      </c>
      <c r="K46" s="3" t="s">
        <v>14</v>
      </c>
      <c r="L46" s="3" t="s">
        <v>46</v>
      </c>
      <c r="M46" s="4">
        <v>46220</v>
      </c>
      <c r="N46" s="3" t="s">
        <v>49</v>
      </c>
      <c r="O46" s="3" t="s">
        <v>33</v>
      </c>
      <c r="P46" t="str">
        <f t="shared" si="0"/>
        <v>450012764510</v>
      </c>
      <c r="Q46" s="7" cm="1">
        <f t="array" ref="Q46:S46">VLOOKUP(P46,Hoja1!C:F,{2,3,4},FALSE)</f>
        <v>46203</v>
      </c>
      <c r="R46" t="str">
        <v>C39</v>
      </c>
      <c r="S46" t="str">
        <v>1000001841 AONA SA</v>
      </c>
      <c r="T46" t="str">
        <f>VLOOKUP(P46,Hoja2!C:D,2,FALSE)</f>
        <v>GROSES</v>
      </c>
    </row>
    <row r="47" spans="1:20" x14ac:dyDescent="0.3">
      <c r="A47" s="2" t="s">
        <v>14</v>
      </c>
      <c r="B47" s="3" t="s">
        <v>14</v>
      </c>
      <c r="C47" s="3" t="s">
        <v>69</v>
      </c>
      <c r="D47" s="3" t="s">
        <v>14</v>
      </c>
      <c r="E47" s="3" t="s">
        <v>27</v>
      </c>
      <c r="F47" s="4">
        <v>46205</v>
      </c>
      <c r="G47" s="3" t="s">
        <v>15</v>
      </c>
      <c r="H47" s="5">
        <v>339937.5</v>
      </c>
      <c r="I47" s="3" t="s">
        <v>16</v>
      </c>
      <c r="J47" s="3" t="s">
        <v>17</v>
      </c>
      <c r="K47" s="3" t="s">
        <v>14</v>
      </c>
      <c r="L47" s="3" t="s">
        <v>46</v>
      </c>
      <c r="M47" s="4">
        <v>46220</v>
      </c>
      <c r="N47" s="3" t="s">
        <v>60</v>
      </c>
      <c r="O47" s="3" t="s">
        <v>33</v>
      </c>
      <c r="P47" t="str">
        <f t="shared" si="0"/>
        <v>450012764610</v>
      </c>
      <c r="Q47" s="7" cm="1">
        <f t="array" ref="Q47:S47">VLOOKUP(P47,Hoja1!C:F,{2,3,4},FALSE)</f>
        <v>46203</v>
      </c>
      <c r="R47" t="str">
        <v>C39</v>
      </c>
      <c r="S47" t="str">
        <v>1000001841 AONA SA</v>
      </c>
      <c r="T47" t="str">
        <f>VLOOKUP(P47,Hoja2!C:D,2,FALSE)</f>
        <v>GROSES</v>
      </c>
    </row>
    <row r="48" spans="1:20" x14ac:dyDescent="0.3">
      <c r="A48" s="2" t="s">
        <v>14</v>
      </c>
      <c r="B48" s="3" t="s">
        <v>14</v>
      </c>
      <c r="C48" s="3" t="s">
        <v>72</v>
      </c>
      <c r="D48" s="3" t="s">
        <v>14</v>
      </c>
      <c r="E48" s="3" t="s">
        <v>27</v>
      </c>
      <c r="F48" s="4">
        <v>46227</v>
      </c>
      <c r="G48" s="3" t="s">
        <v>15</v>
      </c>
      <c r="H48" s="5">
        <v>110106.75</v>
      </c>
      <c r="I48" s="3" t="s">
        <v>16</v>
      </c>
      <c r="J48" s="3" t="s">
        <v>17</v>
      </c>
      <c r="K48" s="3" t="s">
        <v>14</v>
      </c>
      <c r="L48" s="3" t="s">
        <v>46</v>
      </c>
      <c r="M48" s="4">
        <v>46253</v>
      </c>
      <c r="N48" s="3" t="s">
        <v>73</v>
      </c>
      <c r="O48" s="3" t="s">
        <v>33</v>
      </c>
      <c r="P48" t="str">
        <f t="shared" si="0"/>
        <v>450013335210</v>
      </c>
      <c r="Q48" s="7" cm="1">
        <f t="array" ref="Q48:S48">VLOOKUP(P48,Hoja1!C:F,{2,3,4},FALSE)</f>
        <v>46240</v>
      </c>
      <c r="R48" t="str">
        <v>C43</v>
      </c>
      <c r="S48" t="str">
        <v>1000001841 AONA SA</v>
      </c>
      <c r="T48" t="str">
        <f>VLOOKUP(P48,Hoja2!C:D,2,FALSE)</f>
        <v>GROSES</v>
      </c>
    </row>
    <row r="49" spans="1:20" x14ac:dyDescent="0.3">
      <c r="A49" s="2" t="s">
        <v>14</v>
      </c>
      <c r="B49" s="3" t="s">
        <v>14</v>
      </c>
      <c r="C49" s="3" t="s">
        <v>72</v>
      </c>
      <c r="D49" s="3" t="s">
        <v>14</v>
      </c>
      <c r="E49" s="3" t="s">
        <v>27</v>
      </c>
      <c r="F49" s="4">
        <v>46227</v>
      </c>
      <c r="G49" s="3" t="s">
        <v>15</v>
      </c>
      <c r="H49" s="5">
        <v>367022.5</v>
      </c>
      <c r="I49" s="3" t="s">
        <v>16</v>
      </c>
      <c r="J49" s="3" t="s">
        <v>17</v>
      </c>
      <c r="K49" s="3" t="s">
        <v>14</v>
      </c>
      <c r="L49" s="3" t="s">
        <v>46</v>
      </c>
      <c r="M49" s="4">
        <v>46253</v>
      </c>
      <c r="N49" s="3" t="s">
        <v>74</v>
      </c>
      <c r="O49" s="3" t="s">
        <v>33</v>
      </c>
      <c r="P49" t="str">
        <f t="shared" si="0"/>
        <v>450013335310</v>
      </c>
      <c r="Q49" s="7" cm="1">
        <f t="array" ref="Q49:S49">VLOOKUP(P49,Hoja1!C:F,{2,3,4},FALSE)</f>
        <v>46240</v>
      </c>
      <c r="R49" t="str">
        <v>C43</v>
      </c>
      <c r="S49" t="str">
        <v>1000001841 AONA SA</v>
      </c>
      <c r="T49" t="str">
        <f>VLOOKUP(P49,Hoja2!C:D,2,FALSE)</f>
        <v>GROSES</v>
      </c>
    </row>
    <row r="50" spans="1:20" x14ac:dyDescent="0.3">
      <c r="A50" s="2" t="s">
        <v>14</v>
      </c>
      <c r="B50" s="3" t="s">
        <v>14</v>
      </c>
      <c r="C50" s="3" t="s">
        <v>72</v>
      </c>
      <c r="D50" s="3" t="s">
        <v>14</v>
      </c>
      <c r="E50" s="3" t="s">
        <v>27</v>
      </c>
      <c r="F50" s="4">
        <v>46227</v>
      </c>
      <c r="G50" s="3" t="s">
        <v>15</v>
      </c>
      <c r="H50" s="5">
        <v>36702.25</v>
      </c>
      <c r="I50" s="3" t="s">
        <v>16</v>
      </c>
      <c r="J50" s="3" t="s">
        <v>17</v>
      </c>
      <c r="K50" s="3" t="s">
        <v>14</v>
      </c>
      <c r="L50" s="3" t="s">
        <v>46</v>
      </c>
      <c r="M50" s="4">
        <v>46253</v>
      </c>
      <c r="N50" s="3" t="s">
        <v>75</v>
      </c>
      <c r="O50" s="3" t="s">
        <v>33</v>
      </c>
      <c r="P50" t="str">
        <f t="shared" si="0"/>
        <v>450013335410</v>
      </c>
      <c r="Q50" s="7" cm="1">
        <f t="array" ref="Q50:S50">VLOOKUP(P50,Hoja1!C:F,{2,3,4},FALSE)</f>
        <v>46240</v>
      </c>
      <c r="R50" t="str">
        <v>C43</v>
      </c>
      <c r="S50" t="str">
        <v>1000001841 AONA SA</v>
      </c>
      <c r="T50" t="str">
        <f>VLOOKUP(P50,Hoja2!C:D,2,FALSE)</f>
        <v>GROSES</v>
      </c>
    </row>
    <row r="51" spans="1:20" x14ac:dyDescent="0.3">
      <c r="A51" s="2" t="s">
        <v>14</v>
      </c>
      <c r="B51" s="3" t="s">
        <v>14</v>
      </c>
      <c r="C51" s="3" t="s">
        <v>76</v>
      </c>
      <c r="D51" s="3" t="s">
        <v>14</v>
      </c>
      <c r="E51" s="3" t="s">
        <v>27</v>
      </c>
      <c r="F51" s="4">
        <v>46238</v>
      </c>
      <c r="G51" s="3" t="s">
        <v>15</v>
      </c>
      <c r="H51" s="5">
        <v>36702.25</v>
      </c>
      <c r="I51" s="3" t="s">
        <v>16</v>
      </c>
      <c r="J51" s="3" t="s">
        <v>17</v>
      </c>
      <c r="K51" s="3" t="s">
        <v>14</v>
      </c>
      <c r="L51" s="3" t="s">
        <v>46</v>
      </c>
      <c r="M51" s="4">
        <v>46253</v>
      </c>
      <c r="N51" s="3" t="s">
        <v>73</v>
      </c>
      <c r="O51" s="3" t="s">
        <v>33</v>
      </c>
      <c r="P51" t="str">
        <f t="shared" si="0"/>
        <v>450013335210</v>
      </c>
      <c r="Q51" s="7" cm="1">
        <f t="array" ref="Q51:S51">VLOOKUP(P51,Hoja1!C:F,{2,3,4},FALSE)</f>
        <v>46240</v>
      </c>
      <c r="R51" t="str">
        <v>C43</v>
      </c>
      <c r="S51" t="str">
        <v>1000001841 AONA SA</v>
      </c>
      <c r="T51" t="str">
        <f>VLOOKUP(P51,Hoja2!C:D,2,FALSE)</f>
        <v>GROSES</v>
      </c>
    </row>
    <row r="52" spans="1:20" x14ac:dyDescent="0.3">
      <c r="A52" s="2" t="s">
        <v>14</v>
      </c>
      <c r="B52" s="3" t="s">
        <v>14</v>
      </c>
      <c r="C52" s="3" t="s">
        <v>76</v>
      </c>
      <c r="D52" s="3" t="s">
        <v>14</v>
      </c>
      <c r="E52" s="3" t="s">
        <v>27</v>
      </c>
      <c r="F52" s="4">
        <v>46238</v>
      </c>
      <c r="G52" s="3" t="s">
        <v>15</v>
      </c>
      <c r="H52" s="5">
        <v>220213.5</v>
      </c>
      <c r="I52" s="3" t="s">
        <v>16</v>
      </c>
      <c r="J52" s="3" t="s">
        <v>17</v>
      </c>
      <c r="K52" s="3" t="s">
        <v>14</v>
      </c>
      <c r="L52" s="3" t="s">
        <v>46</v>
      </c>
      <c r="M52" s="4">
        <v>46253</v>
      </c>
      <c r="N52" s="3" t="s">
        <v>74</v>
      </c>
      <c r="O52" s="3" t="s">
        <v>33</v>
      </c>
      <c r="P52" t="str">
        <f t="shared" si="0"/>
        <v>450013335310</v>
      </c>
      <c r="Q52" s="7" cm="1">
        <f t="array" ref="Q52:S52">VLOOKUP(P52,Hoja1!C:F,{2,3,4},FALSE)</f>
        <v>46240</v>
      </c>
      <c r="R52" t="str">
        <v>C43</v>
      </c>
      <c r="S52" t="str">
        <v>1000001841 AONA SA</v>
      </c>
      <c r="T52" t="str">
        <f>VLOOKUP(P52,Hoja2!C:D,2,FALSE)</f>
        <v>GROSES</v>
      </c>
    </row>
    <row r="53" spans="1:20" x14ac:dyDescent="0.3">
      <c r="A53" s="2" t="s">
        <v>14</v>
      </c>
      <c r="B53" s="3" t="s">
        <v>14</v>
      </c>
      <c r="C53" s="3" t="s">
        <v>76</v>
      </c>
      <c r="D53" s="3" t="s">
        <v>14</v>
      </c>
      <c r="E53" s="3" t="s">
        <v>27</v>
      </c>
      <c r="F53" s="4">
        <v>46238</v>
      </c>
      <c r="G53" s="3" t="s">
        <v>15</v>
      </c>
      <c r="H53" s="5">
        <v>110106.75</v>
      </c>
      <c r="I53" s="3" t="s">
        <v>16</v>
      </c>
      <c r="J53" s="3" t="s">
        <v>17</v>
      </c>
      <c r="K53" s="3" t="s">
        <v>14</v>
      </c>
      <c r="L53" s="3" t="s">
        <v>46</v>
      </c>
      <c r="M53" s="4">
        <v>46253</v>
      </c>
      <c r="N53" s="3" t="s">
        <v>75</v>
      </c>
      <c r="O53" s="3" t="s">
        <v>33</v>
      </c>
      <c r="P53" t="str">
        <f t="shared" si="0"/>
        <v>450013335410</v>
      </c>
      <c r="Q53" s="7" cm="1">
        <f t="array" ref="Q53:S53">VLOOKUP(P53,Hoja1!C:F,{2,3,4},FALSE)</f>
        <v>46240</v>
      </c>
      <c r="R53" t="str">
        <v>C43</v>
      </c>
      <c r="S53" t="str">
        <v>1000001841 AONA SA</v>
      </c>
      <c r="T53" t="str">
        <f>VLOOKUP(P53,Hoja2!C:D,2,FALSE)</f>
        <v>GROSES</v>
      </c>
    </row>
    <row r="54" spans="1:20" x14ac:dyDescent="0.3">
      <c r="A54" s="2" t="s">
        <v>14</v>
      </c>
      <c r="B54" s="3" t="s">
        <v>14</v>
      </c>
      <c r="C54" s="3" t="s">
        <v>77</v>
      </c>
      <c r="D54" s="3" t="s">
        <v>14</v>
      </c>
      <c r="E54" s="3" t="s">
        <v>27</v>
      </c>
      <c r="F54" s="4">
        <v>46248</v>
      </c>
      <c r="G54" s="3" t="s">
        <v>15</v>
      </c>
      <c r="H54" s="5">
        <v>73404.5</v>
      </c>
      <c r="I54" s="3" t="s">
        <v>16</v>
      </c>
      <c r="J54" s="3" t="s">
        <v>17</v>
      </c>
      <c r="K54" s="3" t="s">
        <v>14</v>
      </c>
      <c r="L54" s="3" t="s">
        <v>46</v>
      </c>
      <c r="M54" s="4">
        <v>46253</v>
      </c>
      <c r="N54" s="3" t="s">
        <v>73</v>
      </c>
      <c r="O54" s="3" t="s">
        <v>33</v>
      </c>
      <c r="P54" t="str">
        <f t="shared" si="0"/>
        <v>450013335210</v>
      </c>
      <c r="Q54" s="7" cm="1">
        <f t="array" ref="Q54:S54">VLOOKUP(P54,Hoja1!C:F,{2,3,4},FALSE)</f>
        <v>46240</v>
      </c>
      <c r="R54" t="str">
        <v>C43</v>
      </c>
      <c r="S54" t="str">
        <v>1000001841 AONA SA</v>
      </c>
      <c r="T54" t="str">
        <f>VLOOKUP(P54,Hoja2!C:D,2,FALSE)</f>
        <v>GROSES</v>
      </c>
    </row>
    <row r="55" spans="1:20" x14ac:dyDescent="0.3">
      <c r="A55" s="2" t="s">
        <v>14</v>
      </c>
      <c r="B55" s="3" t="s">
        <v>14</v>
      </c>
      <c r="C55" s="3" t="s">
        <v>77</v>
      </c>
      <c r="D55" s="3" t="s">
        <v>14</v>
      </c>
      <c r="E55" s="3" t="s">
        <v>27</v>
      </c>
      <c r="F55" s="4">
        <v>46248</v>
      </c>
      <c r="G55" s="3" t="s">
        <v>15</v>
      </c>
      <c r="H55" s="5">
        <v>440427</v>
      </c>
      <c r="I55" s="3" t="s">
        <v>16</v>
      </c>
      <c r="J55" s="3" t="s">
        <v>17</v>
      </c>
      <c r="K55" s="3" t="s">
        <v>14</v>
      </c>
      <c r="L55" s="3" t="s">
        <v>46</v>
      </c>
      <c r="M55" s="4">
        <v>46253</v>
      </c>
      <c r="N55" s="3" t="s">
        <v>74</v>
      </c>
      <c r="O55" s="3" t="s">
        <v>33</v>
      </c>
      <c r="P55" t="str">
        <f t="shared" si="0"/>
        <v>450013335310</v>
      </c>
      <c r="Q55" s="7" cm="1">
        <f t="array" ref="Q55:S55">VLOOKUP(P55,Hoja1!C:F,{2,3,4},FALSE)</f>
        <v>46240</v>
      </c>
      <c r="R55" t="str">
        <v>C43</v>
      </c>
      <c r="S55" t="str">
        <v>1000001841 AONA SA</v>
      </c>
      <c r="T55" t="str">
        <f>VLOOKUP(P55,Hoja2!C:D,2,FALSE)</f>
        <v>GROSES</v>
      </c>
    </row>
    <row r="56" spans="1:20" x14ac:dyDescent="0.3">
      <c r="A56" s="2" t="s">
        <v>14</v>
      </c>
      <c r="B56" s="3" t="s">
        <v>14</v>
      </c>
      <c r="C56" s="3" t="s">
        <v>78</v>
      </c>
      <c r="D56" s="3" t="s">
        <v>14</v>
      </c>
      <c r="E56" s="3" t="s">
        <v>27</v>
      </c>
      <c r="F56" s="4">
        <v>46112</v>
      </c>
      <c r="G56" s="3" t="s">
        <v>15</v>
      </c>
      <c r="H56" s="5">
        <v>1192950</v>
      </c>
      <c r="I56" s="3" t="s">
        <v>16</v>
      </c>
      <c r="J56" s="3" t="s">
        <v>17</v>
      </c>
      <c r="K56" s="3" t="s">
        <v>14</v>
      </c>
      <c r="L56" s="3" t="s">
        <v>79</v>
      </c>
      <c r="M56" s="4">
        <v>46261</v>
      </c>
      <c r="N56" s="3" t="s">
        <v>80</v>
      </c>
      <c r="O56" s="3" t="s">
        <v>33</v>
      </c>
      <c r="P56" t="str">
        <f t="shared" si="0"/>
        <v>450012381510</v>
      </c>
      <c r="Q56" s="7" cm="1">
        <f t="array" ref="Q56:S56">VLOOKUP(P56,Hoja1!C:F,{2,3,4},FALSE)</f>
        <v>46322</v>
      </c>
      <c r="R56" t="str">
        <v>F07</v>
      </c>
      <c r="S56" t="str">
        <v>1000000012 IGARRETA MAQUINAS S.A.</v>
      </c>
      <c r="T56" t="str">
        <f>VLOOKUP(P56,Hoja2!C:D,2,FALSE)</f>
        <v>RPEREZ</v>
      </c>
    </row>
    <row r="57" spans="1:20" x14ac:dyDescent="0.3">
      <c r="A57" s="2" t="s">
        <v>14</v>
      </c>
      <c r="B57" s="3" t="s">
        <v>14</v>
      </c>
      <c r="C57" s="3" t="s">
        <v>81</v>
      </c>
      <c r="D57" s="3" t="s">
        <v>14</v>
      </c>
      <c r="E57" s="3" t="s">
        <v>27</v>
      </c>
      <c r="F57" s="4">
        <v>46097</v>
      </c>
      <c r="G57" s="3" t="s">
        <v>15</v>
      </c>
      <c r="H57" s="5">
        <v>101194.5</v>
      </c>
      <c r="I57" s="3" t="s">
        <v>16</v>
      </c>
      <c r="J57" s="3" t="s">
        <v>17</v>
      </c>
      <c r="K57" s="3" t="s">
        <v>14</v>
      </c>
      <c r="L57" s="3" t="s">
        <v>79</v>
      </c>
      <c r="M57" s="4">
        <v>46261</v>
      </c>
      <c r="N57" s="3" t="s">
        <v>82</v>
      </c>
      <c r="O57" s="3" t="s">
        <v>20</v>
      </c>
      <c r="P57" t="str">
        <f t="shared" si="0"/>
        <v>450012176020</v>
      </c>
      <c r="Q57" s="7" cm="1">
        <f t="array" ref="Q57:S57">VLOOKUP(P57,Hoja1!C:F,{2,3,4},FALSE)</f>
        <v>46322</v>
      </c>
      <c r="R57" t="str">
        <v>C03</v>
      </c>
      <c r="S57" t="str">
        <v>1000000012 IGARRETA MAQUINAS S.A.</v>
      </c>
      <c r="T57" t="str">
        <f>VLOOKUP(P57,Hoja2!C:D,2,FALSE)</f>
        <v>WVENTURINI</v>
      </c>
    </row>
    <row r="58" spans="1:20" x14ac:dyDescent="0.3">
      <c r="A58" s="2" t="s">
        <v>14</v>
      </c>
      <c r="B58" s="3" t="s">
        <v>14</v>
      </c>
      <c r="C58" s="3" t="s">
        <v>81</v>
      </c>
      <c r="D58" s="3" t="s">
        <v>14</v>
      </c>
      <c r="E58" s="3" t="s">
        <v>27</v>
      </c>
      <c r="F58" s="4">
        <v>46097</v>
      </c>
      <c r="G58" s="3" t="s">
        <v>15</v>
      </c>
      <c r="H58" s="5">
        <v>90304.5</v>
      </c>
      <c r="I58" s="3" t="s">
        <v>16</v>
      </c>
      <c r="J58" s="3" t="s">
        <v>17</v>
      </c>
      <c r="K58" s="3" t="s">
        <v>14</v>
      </c>
      <c r="L58" s="3" t="s">
        <v>79</v>
      </c>
      <c r="M58" s="4">
        <v>46261</v>
      </c>
      <c r="N58" s="3" t="s">
        <v>82</v>
      </c>
      <c r="O58" s="3" t="s">
        <v>24</v>
      </c>
      <c r="P58" t="str">
        <f t="shared" si="0"/>
        <v>450012176070</v>
      </c>
      <c r="Q58" s="7" cm="1">
        <f t="array" ref="Q58:S58">VLOOKUP(P58,Hoja1!C:F,{2,3,4},FALSE)</f>
        <v>46322</v>
      </c>
      <c r="R58" t="str">
        <v>C03</v>
      </c>
      <c r="S58" t="str">
        <v>1000000012 IGARRETA MAQUINAS S.A.</v>
      </c>
      <c r="T58" t="str">
        <f>VLOOKUP(P58,Hoja2!C:D,2,FALSE)</f>
        <v>WVENTURINI</v>
      </c>
    </row>
    <row r="59" spans="1:20" x14ac:dyDescent="0.3">
      <c r="A59" s="2" t="s">
        <v>14</v>
      </c>
      <c r="B59" s="3" t="s">
        <v>14</v>
      </c>
      <c r="C59" s="3" t="s">
        <v>83</v>
      </c>
      <c r="D59" s="3" t="s">
        <v>14</v>
      </c>
      <c r="E59" s="3" t="s">
        <v>27</v>
      </c>
      <c r="F59" s="4">
        <v>46260</v>
      </c>
      <c r="G59" s="3" t="s">
        <v>15</v>
      </c>
      <c r="H59" s="5">
        <v>73404.5</v>
      </c>
      <c r="I59" s="3" t="s">
        <v>16</v>
      </c>
      <c r="J59" s="3" t="s">
        <v>17</v>
      </c>
      <c r="K59" s="3" t="s">
        <v>14</v>
      </c>
      <c r="L59" s="3" t="s">
        <v>46</v>
      </c>
      <c r="M59" s="4">
        <v>46265</v>
      </c>
      <c r="N59" s="3" t="s">
        <v>73</v>
      </c>
      <c r="O59" s="3" t="s">
        <v>33</v>
      </c>
      <c r="P59" t="str">
        <f t="shared" si="0"/>
        <v>450013335210</v>
      </c>
      <c r="Q59" s="7" cm="1">
        <f t="array" ref="Q59:S59">VLOOKUP(P59,Hoja1!C:F,{2,3,4},FALSE)</f>
        <v>46240</v>
      </c>
      <c r="R59" t="str">
        <v>C43</v>
      </c>
      <c r="S59" t="str">
        <v>1000001841 AONA SA</v>
      </c>
      <c r="T59" t="str">
        <f>VLOOKUP(P59,Hoja2!C:D,2,FALSE)</f>
        <v>GROSES</v>
      </c>
    </row>
    <row r="60" spans="1:20" x14ac:dyDescent="0.3">
      <c r="A60" s="2" t="s">
        <v>14</v>
      </c>
      <c r="B60" s="3" t="s">
        <v>14</v>
      </c>
      <c r="C60" s="3" t="s">
        <v>83</v>
      </c>
      <c r="D60" s="3" t="s">
        <v>14</v>
      </c>
      <c r="E60" s="3" t="s">
        <v>27</v>
      </c>
      <c r="F60" s="4">
        <v>46260</v>
      </c>
      <c r="G60" s="3" t="s">
        <v>15</v>
      </c>
      <c r="H60" s="5">
        <v>660640.5</v>
      </c>
      <c r="I60" s="3" t="s">
        <v>16</v>
      </c>
      <c r="J60" s="3" t="s">
        <v>17</v>
      </c>
      <c r="K60" s="3" t="s">
        <v>14</v>
      </c>
      <c r="L60" s="3" t="s">
        <v>46</v>
      </c>
      <c r="M60" s="4">
        <v>46265</v>
      </c>
      <c r="N60" s="3" t="s">
        <v>74</v>
      </c>
      <c r="O60" s="3" t="s">
        <v>33</v>
      </c>
      <c r="P60" t="str">
        <f t="shared" si="0"/>
        <v>450013335310</v>
      </c>
      <c r="Q60" s="7" cm="1">
        <f t="array" ref="Q60:S60">VLOOKUP(P60,Hoja1!C:F,{2,3,4},FALSE)</f>
        <v>46240</v>
      </c>
      <c r="R60" t="str">
        <v>C43</v>
      </c>
      <c r="S60" t="str">
        <v>1000001841 AONA SA</v>
      </c>
      <c r="T60" t="str">
        <f>VLOOKUP(P60,Hoja2!C:D,2,FALSE)</f>
        <v>GROSES</v>
      </c>
    </row>
    <row r="61" spans="1:20" x14ac:dyDescent="0.3">
      <c r="A61" s="2" t="s">
        <v>14</v>
      </c>
      <c r="B61" s="3" t="s">
        <v>14</v>
      </c>
      <c r="C61" s="3" t="s">
        <v>83</v>
      </c>
      <c r="D61" s="3" t="s">
        <v>14</v>
      </c>
      <c r="E61" s="3" t="s">
        <v>27</v>
      </c>
      <c r="F61" s="4">
        <v>46260</v>
      </c>
      <c r="G61" s="3" t="s">
        <v>15</v>
      </c>
      <c r="H61" s="5">
        <v>73404.5</v>
      </c>
      <c r="I61" s="3" t="s">
        <v>16</v>
      </c>
      <c r="J61" s="3" t="s">
        <v>17</v>
      </c>
      <c r="K61" s="3" t="s">
        <v>14</v>
      </c>
      <c r="L61" s="3" t="s">
        <v>46</v>
      </c>
      <c r="M61" s="4">
        <v>46265</v>
      </c>
      <c r="N61" s="3" t="s">
        <v>75</v>
      </c>
      <c r="O61" s="3" t="s">
        <v>33</v>
      </c>
      <c r="P61" t="str">
        <f t="shared" si="0"/>
        <v>450013335410</v>
      </c>
      <c r="Q61" s="7" cm="1">
        <f t="array" ref="Q61:S61">VLOOKUP(P61,Hoja1!C:F,{2,3,4},FALSE)</f>
        <v>46240</v>
      </c>
      <c r="R61" t="str">
        <v>C43</v>
      </c>
      <c r="S61" t="str">
        <v>1000001841 AONA SA</v>
      </c>
      <c r="T61" t="str">
        <f>VLOOKUP(P61,Hoja2!C:D,2,FALSE)</f>
        <v>GROSES</v>
      </c>
    </row>
    <row r="62" spans="1:20" x14ac:dyDescent="0.3">
      <c r="A62" s="2" t="s">
        <v>14</v>
      </c>
      <c r="B62" s="3" t="s">
        <v>14</v>
      </c>
      <c r="C62" s="3" t="s">
        <v>84</v>
      </c>
      <c r="D62" s="3" t="s">
        <v>14</v>
      </c>
      <c r="E62" s="3" t="s">
        <v>27</v>
      </c>
      <c r="F62" s="4">
        <v>46273</v>
      </c>
      <c r="G62" s="3" t="s">
        <v>15</v>
      </c>
      <c r="H62" s="5">
        <v>60925.74</v>
      </c>
      <c r="I62" s="3" t="s">
        <v>16</v>
      </c>
      <c r="J62" s="3" t="s">
        <v>17</v>
      </c>
      <c r="K62" s="3" t="s">
        <v>14</v>
      </c>
      <c r="L62" s="3" t="s">
        <v>46</v>
      </c>
      <c r="M62" s="4">
        <v>46274</v>
      </c>
      <c r="N62" s="3" t="s">
        <v>73</v>
      </c>
      <c r="O62" s="3" t="s">
        <v>33</v>
      </c>
      <c r="P62" t="str">
        <f t="shared" si="0"/>
        <v>450013335210</v>
      </c>
      <c r="Q62" s="7" cm="1">
        <f t="array" ref="Q62:S62">VLOOKUP(P62,Hoja1!C:F,{2,3,4},FALSE)</f>
        <v>46240</v>
      </c>
      <c r="R62" t="str">
        <v>C43</v>
      </c>
      <c r="S62" t="str">
        <v>1000001841 AONA SA</v>
      </c>
      <c r="T62" t="str">
        <f>VLOOKUP(P62,Hoja2!C:D,2,FALSE)</f>
        <v>GROSES</v>
      </c>
    </row>
    <row r="63" spans="1:20" x14ac:dyDescent="0.3">
      <c r="A63" s="2" t="s">
        <v>14</v>
      </c>
      <c r="B63" s="3" t="s">
        <v>14</v>
      </c>
      <c r="C63" s="3" t="s">
        <v>84</v>
      </c>
      <c r="D63" s="3" t="s">
        <v>14</v>
      </c>
      <c r="E63" s="3" t="s">
        <v>27</v>
      </c>
      <c r="F63" s="4">
        <v>46273</v>
      </c>
      <c r="G63" s="3" t="s">
        <v>15</v>
      </c>
      <c r="H63" s="5">
        <v>83681.13</v>
      </c>
      <c r="I63" s="3" t="s">
        <v>16</v>
      </c>
      <c r="J63" s="3" t="s">
        <v>17</v>
      </c>
      <c r="K63" s="3" t="s">
        <v>14</v>
      </c>
      <c r="L63" s="3" t="s">
        <v>46</v>
      </c>
      <c r="M63" s="4">
        <v>46274</v>
      </c>
      <c r="N63" s="3" t="s">
        <v>75</v>
      </c>
      <c r="O63" s="3" t="s">
        <v>33</v>
      </c>
      <c r="P63" t="str">
        <f t="shared" si="0"/>
        <v>450013335410</v>
      </c>
      <c r="Q63" s="7" cm="1">
        <f t="array" ref="Q63:S63">VLOOKUP(P63,Hoja1!C:F,{2,3,4},FALSE)</f>
        <v>46240</v>
      </c>
      <c r="R63" t="str">
        <v>C43</v>
      </c>
      <c r="S63" t="str">
        <v>1000001841 AONA SA</v>
      </c>
      <c r="T63" t="str">
        <f>VLOOKUP(P63,Hoja2!C:D,2,FALSE)</f>
        <v>GROSES</v>
      </c>
    </row>
    <row r="64" spans="1:20" x14ac:dyDescent="0.3">
      <c r="A64" s="2" t="s">
        <v>14</v>
      </c>
      <c r="B64" s="3" t="s">
        <v>14</v>
      </c>
      <c r="C64" s="3" t="s">
        <v>85</v>
      </c>
      <c r="D64" s="3" t="s">
        <v>14</v>
      </c>
      <c r="E64" s="3" t="s">
        <v>27</v>
      </c>
      <c r="F64" s="4">
        <v>46268</v>
      </c>
      <c r="G64" s="3" t="s">
        <v>43</v>
      </c>
      <c r="H64" s="6">
        <v>-53543.71</v>
      </c>
      <c r="I64" s="3" t="s">
        <v>16</v>
      </c>
      <c r="J64" s="3" t="s">
        <v>17</v>
      </c>
      <c r="K64" s="3" t="s">
        <v>14</v>
      </c>
      <c r="L64" s="3" t="s">
        <v>86</v>
      </c>
      <c r="M64" s="4">
        <v>46279</v>
      </c>
      <c r="N64" s="3" t="s">
        <v>87</v>
      </c>
      <c r="O64" s="3" t="s">
        <v>20</v>
      </c>
      <c r="P64" t="str">
        <f t="shared" si="0"/>
        <v>450013335120</v>
      </c>
      <c r="Q64" s="7" cm="1">
        <f t="array" ref="Q64:S64">VLOOKUP(P64,Hoja1!C:F,{2,3,4},FALSE)</f>
        <v>46255</v>
      </c>
      <c r="R64" t="str">
        <v>C28</v>
      </c>
      <c r="S64" t="str">
        <v>1000001028 SOSTEN S.A.</v>
      </c>
      <c r="T64" t="str">
        <f>VLOOKUP(P64,Hoja2!C:D,2,FALSE)</f>
        <v>GJULIANI</v>
      </c>
    </row>
    <row r="65" spans="1:20" x14ac:dyDescent="0.3">
      <c r="A65" s="2" t="s">
        <v>14</v>
      </c>
      <c r="B65" s="3" t="s">
        <v>14</v>
      </c>
      <c r="C65" s="3" t="s">
        <v>89</v>
      </c>
      <c r="D65" s="3" t="s">
        <v>14</v>
      </c>
      <c r="E65" s="3" t="s">
        <v>27</v>
      </c>
      <c r="F65" s="4">
        <v>46279</v>
      </c>
      <c r="G65" s="3" t="s">
        <v>15</v>
      </c>
      <c r="H65" s="5">
        <v>150169.5</v>
      </c>
      <c r="I65" s="3" t="s">
        <v>16</v>
      </c>
      <c r="J65" s="3" t="s">
        <v>17</v>
      </c>
      <c r="K65" s="3" t="s">
        <v>14</v>
      </c>
      <c r="L65" s="3" t="s">
        <v>90</v>
      </c>
      <c r="M65" s="4">
        <v>46289</v>
      </c>
      <c r="N65" s="3" t="s">
        <v>91</v>
      </c>
      <c r="O65" s="3" t="s">
        <v>33</v>
      </c>
      <c r="P65" t="str">
        <f t="shared" si="0"/>
        <v>450013337410</v>
      </c>
      <c r="Q65" s="7" cm="1">
        <f t="array" ref="Q65:S65">VLOOKUP(P65,Hoja1!C:F,{2,3,4},FALSE)</f>
        <v>46304</v>
      </c>
      <c r="R65" t="str">
        <v>G05</v>
      </c>
      <c r="S65" t="str">
        <v>1000000561 ESCANDINAVIA DEL PLATA SA</v>
      </c>
      <c r="T65" t="str">
        <f>VLOOKUP(P65,Hoja2!C:D,2,FALSE)</f>
        <v>WVENTURINI</v>
      </c>
    </row>
    <row r="66" spans="1:20" x14ac:dyDescent="0.3">
      <c r="A66" s="2" t="s">
        <v>14</v>
      </c>
      <c r="B66" s="3" t="s">
        <v>14</v>
      </c>
      <c r="C66" s="3" t="s">
        <v>92</v>
      </c>
      <c r="D66" s="3" t="s">
        <v>14</v>
      </c>
      <c r="E66" s="3" t="s">
        <v>27</v>
      </c>
      <c r="F66" s="4">
        <v>46294</v>
      </c>
      <c r="G66" s="3" t="s">
        <v>15</v>
      </c>
      <c r="H66" s="5">
        <v>80010.899999999994</v>
      </c>
      <c r="I66" s="3" t="s">
        <v>16</v>
      </c>
      <c r="J66" s="3" t="s">
        <v>17</v>
      </c>
      <c r="K66" s="3" t="s">
        <v>14</v>
      </c>
      <c r="L66" s="3" t="s">
        <v>46</v>
      </c>
      <c r="M66" s="4">
        <v>46294</v>
      </c>
      <c r="N66" s="3" t="s">
        <v>73</v>
      </c>
      <c r="O66" s="3" t="s">
        <v>33</v>
      </c>
      <c r="P66" t="str">
        <f t="shared" si="0"/>
        <v>450013335210</v>
      </c>
      <c r="Q66" s="7" cm="1">
        <f t="array" ref="Q66:S66">VLOOKUP(P66,Hoja1!C:F,{2,3,4},FALSE)</f>
        <v>46240</v>
      </c>
      <c r="R66" t="str">
        <v>C43</v>
      </c>
      <c r="S66" t="str">
        <v>1000001841 AONA SA</v>
      </c>
      <c r="T66" t="str">
        <f>VLOOKUP(P66,Hoja2!C:D,2,FALSE)</f>
        <v>GROSES</v>
      </c>
    </row>
    <row r="67" spans="1:20" x14ac:dyDescent="0.3">
      <c r="A67" s="2" t="s">
        <v>14</v>
      </c>
      <c r="B67" s="3" t="s">
        <v>14</v>
      </c>
      <c r="C67" s="3" t="s">
        <v>92</v>
      </c>
      <c r="D67" s="3" t="s">
        <v>14</v>
      </c>
      <c r="E67" s="3" t="s">
        <v>27</v>
      </c>
      <c r="F67" s="4">
        <v>46294</v>
      </c>
      <c r="G67" s="3" t="s">
        <v>15</v>
      </c>
      <c r="H67" s="5">
        <v>384639.58</v>
      </c>
      <c r="I67" s="3" t="s">
        <v>16</v>
      </c>
      <c r="J67" s="3" t="s">
        <v>17</v>
      </c>
      <c r="K67" s="3" t="s">
        <v>14</v>
      </c>
      <c r="L67" s="3" t="s">
        <v>46</v>
      </c>
      <c r="M67" s="4">
        <v>46294</v>
      </c>
      <c r="N67" s="3" t="s">
        <v>74</v>
      </c>
      <c r="O67" s="3" t="s">
        <v>33</v>
      </c>
      <c r="P67" t="str">
        <f t="shared" ref="P67:P130" si="1">_xlfn.CONCAT(N67:O67)</f>
        <v>450013335310</v>
      </c>
      <c r="Q67" s="7" cm="1">
        <f t="array" ref="Q67:S67">VLOOKUP(P67,Hoja1!C:F,{2,3,4},FALSE)</f>
        <v>46240</v>
      </c>
      <c r="R67" t="str">
        <v>C43</v>
      </c>
      <c r="S67" t="str">
        <v>1000001841 AONA SA</v>
      </c>
      <c r="T67" t="str">
        <f>VLOOKUP(P67,Hoja2!C:D,2,FALSE)</f>
        <v>GROSES</v>
      </c>
    </row>
    <row r="68" spans="1:20" x14ac:dyDescent="0.3">
      <c r="A68" s="2" t="s">
        <v>14</v>
      </c>
      <c r="B68" s="3" t="s">
        <v>14</v>
      </c>
      <c r="C68" s="3" t="s">
        <v>92</v>
      </c>
      <c r="D68" s="3" t="s">
        <v>14</v>
      </c>
      <c r="E68" s="3" t="s">
        <v>27</v>
      </c>
      <c r="F68" s="4">
        <v>46294</v>
      </c>
      <c r="G68" s="3" t="s">
        <v>15</v>
      </c>
      <c r="H68" s="5">
        <v>33032.03</v>
      </c>
      <c r="I68" s="3" t="s">
        <v>16</v>
      </c>
      <c r="J68" s="3" t="s">
        <v>17</v>
      </c>
      <c r="K68" s="3" t="s">
        <v>14</v>
      </c>
      <c r="L68" s="3" t="s">
        <v>46</v>
      </c>
      <c r="M68" s="4">
        <v>46294</v>
      </c>
      <c r="N68" s="3" t="s">
        <v>75</v>
      </c>
      <c r="O68" s="3" t="s">
        <v>33</v>
      </c>
      <c r="P68" t="str">
        <f t="shared" si="1"/>
        <v>450013335410</v>
      </c>
      <c r="Q68" s="7" cm="1">
        <f t="array" ref="Q68:S68">VLOOKUP(P68,Hoja1!C:F,{2,3,4},FALSE)</f>
        <v>46240</v>
      </c>
      <c r="R68" t="str">
        <v>C43</v>
      </c>
      <c r="S68" t="str">
        <v>1000001841 AONA SA</v>
      </c>
      <c r="T68" t="str">
        <f>VLOOKUP(P68,Hoja2!C:D,2,FALSE)</f>
        <v>GROSES</v>
      </c>
    </row>
    <row r="69" spans="1:20" x14ac:dyDescent="0.3">
      <c r="A69" s="2" t="s">
        <v>14</v>
      </c>
      <c r="B69" s="3" t="s">
        <v>14</v>
      </c>
      <c r="C69" s="3" t="s">
        <v>885</v>
      </c>
      <c r="D69" s="3" t="s">
        <v>14</v>
      </c>
      <c r="E69" s="3" t="s">
        <v>27</v>
      </c>
      <c r="F69" s="4">
        <v>46300</v>
      </c>
      <c r="G69" s="3" t="s">
        <v>15</v>
      </c>
      <c r="H69" s="5">
        <v>80010.91</v>
      </c>
      <c r="I69" s="3" t="s">
        <v>16</v>
      </c>
      <c r="J69" s="3" t="s">
        <v>17</v>
      </c>
      <c r="K69" s="3" t="s">
        <v>14</v>
      </c>
      <c r="L69" s="3" t="s">
        <v>46</v>
      </c>
      <c r="M69" s="4">
        <v>46300</v>
      </c>
      <c r="N69" s="3" t="s">
        <v>73</v>
      </c>
      <c r="O69" s="3" t="s">
        <v>33</v>
      </c>
      <c r="P69" t="str">
        <f t="shared" si="1"/>
        <v>450013335210</v>
      </c>
      <c r="Q69" s="7" cm="1">
        <f t="array" ref="Q69:S69">VLOOKUP(P69,Hoja1!C:F,{2,3,4},FALSE)</f>
        <v>46240</v>
      </c>
      <c r="R69" t="str">
        <v>C43</v>
      </c>
      <c r="S69" t="str">
        <v>1000001841 AONA SA</v>
      </c>
      <c r="T69" t="str">
        <f>VLOOKUP(P69,Hoja2!C:D,2,FALSE)</f>
        <v>GROSES</v>
      </c>
    </row>
    <row r="70" spans="1:20" x14ac:dyDescent="0.3">
      <c r="A70" s="2" t="s">
        <v>14</v>
      </c>
      <c r="B70" s="3" t="s">
        <v>14</v>
      </c>
      <c r="C70" s="3" t="s">
        <v>885</v>
      </c>
      <c r="D70" s="3" t="s">
        <v>14</v>
      </c>
      <c r="E70" s="3" t="s">
        <v>27</v>
      </c>
      <c r="F70" s="4">
        <v>46300</v>
      </c>
      <c r="G70" s="3" t="s">
        <v>15</v>
      </c>
      <c r="H70" s="5">
        <v>78542.820000000007</v>
      </c>
      <c r="I70" s="3" t="s">
        <v>16</v>
      </c>
      <c r="J70" s="3" t="s">
        <v>17</v>
      </c>
      <c r="K70" s="3" t="s">
        <v>14</v>
      </c>
      <c r="L70" s="3" t="s">
        <v>46</v>
      </c>
      <c r="M70" s="4">
        <v>46300</v>
      </c>
      <c r="N70" s="3" t="s">
        <v>74</v>
      </c>
      <c r="O70" s="3" t="s">
        <v>33</v>
      </c>
      <c r="P70" t="str">
        <f t="shared" si="1"/>
        <v>450013335310</v>
      </c>
      <c r="Q70" s="7" cm="1">
        <f t="array" ref="Q70:S70">VLOOKUP(P70,Hoja1!C:F,{2,3,4},FALSE)</f>
        <v>46240</v>
      </c>
      <c r="R70" t="str">
        <v>C43</v>
      </c>
      <c r="S70" t="str">
        <v>1000001841 AONA SA</v>
      </c>
      <c r="T70" t="str">
        <f>VLOOKUP(P70,Hoja2!C:D,2,FALSE)</f>
        <v>GROSES</v>
      </c>
    </row>
    <row r="71" spans="1:20" x14ac:dyDescent="0.3">
      <c r="A71" s="2" t="s">
        <v>14</v>
      </c>
      <c r="B71" s="3" t="s">
        <v>14</v>
      </c>
      <c r="C71" s="3" t="s">
        <v>885</v>
      </c>
      <c r="D71" s="3" t="s">
        <v>14</v>
      </c>
      <c r="E71" s="3" t="s">
        <v>27</v>
      </c>
      <c r="F71" s="4">
        <v>46300</v>
      </c>
      <c r="G71" s="3" t="s">
        <v>15</v>
      </c>
      <c r="H71" s="5">
        <v>190851.7</v>
      </c>
      <c r="I71" s="3" t="s">
        <v>16</v>
      </c>
      <c r="J71" s="3" t="s">
        <v>17</v>
      </c>
      <c r="K71" s="3" t="s">
        <v>14</v>
      </c>
      <c r="L71" s="3" t="s">
        <v>46</v>
      </c>
      <c r="M71" s="4">
        <v>46300</v>
      </c>
      <c r="N71" s="3" t="s">
        <v>75</v>
      </c>
      <c r="O71" s="3" t="s">
        <v>33</v>
      </c>
      <c r="P71" t="str">
        <f t="shared" si="1"/>
        <v>450013335410</v>
      </c>
      <c r="Q71" s="7" cm="1">
        <f t="array" ref="Q71:S71">VLOOKUP(P71,Hoja1!C:F,{2,3,4},FALSE)</f>
        <v>46240</v>
      </c>
      <c r="R71" t="str">
        <v>C43</v>
      </c>
      <c r="S71" t="str">
        <v>1000001841 AONA SA</v>
      </c>
      <c r="T71" t="str">
        <f>VLOOKUP(P71,Hoja2!C:D,2,FALSE)</f>
        <v>GROSES</v>
      </c>
    </row>
    <row r="72" spans="1:20" x14ac:dyDescent="0.3">
      <c r="A72" s="2" t="s">
        <v>14</v>
      </c>
      <c r="B72" s="3" t="s">
        <v>14</v>
      </c>
      <c r="C72" s="3" t="s">
        <v>1266</v>
      </c>
      <c r="D72" s="3" t="s">
        <v>14</v>
      </c>
      <c r="E72" s="3" t="s">
        <v>27</v>
      </c>
      <c r="F72" s="4">
        <v>46272</v>
      </c>
      <c r="G72" s="3" t="s">
        <v>15</v>
      </c>
      <c r="H72" s="5">
        <v>35496.959999999999</v>
      </c>
      <c r="I72" s="3" t="s">
        <v>16</v>
      </c>
      <c r="J72" s="3" t="s">
        <v>17</v>
      </c>
      <c r="K72" s="3" t="s">
        <v>14</v>
      </c>
      <c r="L72" s="3" t="s">
        <v>86</v>
      </c>
      <c r="M72" s="4">
        <v>46314</v>
      </c>
      <c r="N72" s="3" t="s">
        <v>506</v>
      </c>
      <c r="O72" s="3" t="s">
        <v>33</v>
      </c>
      <c r="P72" t="str">
        <f t="shared" si="1"/>
        <v>450013762410</v>
      </c>
      <c r="Q72" s="7" cm="1">
        <f t="array" ref="Q72:S72">VLOOKUP(P72,Hoja1!C:F,{2,3,4},FALSE)</f>
        <v>46280</v>
      </c>
      <c r="R72" t="str">
        <v>C03</v>
      </c>
      <c r="S72" t="str">
        <v>1000001028 SOSTEN S.A.</v>
      </c>
      <c r="T72" t="str">
        <f>VLOOKUP(P72,Hoja2!C:D,2,FALSE)</f>
        <v>EFUNES</v>
      </c>
    </row>
    <row r="73" spans="1:20" x14ac:dyDescent="0.3">
      <c r="A73" s="2" t="s">
        <v>14</v>
      </c>
      <c r="B73" s="3" t="s">
        <v>14</v>
      </c>
      <c r="C73" s="3" t="s">
        <v>1267</v>
      </c>
      <c r="D73" s="3" t="s">
        <v>14</v>
      </c>
      <c r="E73" s="3" t="s">
        <v>27</v>
      </c>
      <c r="F73" s="4">
        <v>46260</v>
      </c>
      <c r="G73" s="3" t="s">
        <v>15</v>
      </c>
      <c r="H73" s="5">
        <v>80100</v>
      </c>
      <c r="I73" s="3" t="s">
        <v>16</v>
      </c>
      <c r="J73" s="3" t="s">
        <v>17</v>
      </c>
      <c r="K73" s="3" t="s">
        <v>14</v>
      </c>
      <c r="L73" s="3" t="s">
        <v>457</v>
      </c>
      <c r="M73" s="4">
        <v>46314</v>
      </c>
      <c r="N73" s="3" t="s">
        <v>458</v>
      </c>
      <c r="O73" s="3" t="s">
        <v>33</v>
      </c>
      <c r="P73" t="str">
        <f t="shared" si="1"/>
        <v>450013675710</v>
      </c>
      <c r="Q73" s="7" cm="1">
        <f t="array" ref="Q73:S73">VLOOKUP(P73,Hoja1!C:F,{2,3,4},FALSE)</f>
        <v>46276</v>
      </c>
      <c r="R73" t="str">
        <v>C03</v>
      </c>
      <c r="S73" t="str">
        <v>1000000052 DEVOL S.A.</v>
      </c>
      <c r="T73" t="str">
        <f>VLOOKUP(P73,Hoja2!C:D,2,FALSE)</f>
        <v>FBERARDO</v>
      </c>
    </row>
    <row r="74" spans="1:20" x14ac:dyDescent="0.3">
      <c r="A74" s="2" t="s">
        <v>14</v>
      </c>
      <c r="B74" s="3" t="s">
        <v>14</v>
      </c>
      <c r="C74" s="3" t="s">
        <v>1267</v>
      </c>
      <c r="D74" s="3" t="s">
        <v>14</v>
      </c>
      <c r="E74" s="3" t="s">
        <v>27</v>
      </c>
      <c r="F74" s="4">
        <v>46260</v>
      </c>
      <c r="G74" s="3" t="s">
        <v>15</v>
      </c>
      <c r="H74" s="5">
        <v>67500</v>
      </c>
      <c r="I74" s="3" t="s">
        <v>16</v>
      </c>
      <c r="J74" s="3" t="s">
        <v>17</v>
      </c>
      <c r="K74" s="3" t="s">
        <v>14</v>
      </c>
      <c r="L74" s="3" t="s">
        <v>457</v>
      </c>
      <c r="M74" s="4">
        <v>46314</v>
      </c>
      <c r="N74" s="3" t="s">
        <v>458</v>
      </c>
      <c r="O74" s="3" t="s">
        <v>20</v>
      </c>
      <c r="P74" t="str">
        <f t="shared" si="1"/>
        <v>450013675720</v>
      </c>
      <c r="Q74" s="7" cm="1">
        <f t="array" ref="Q74:S74">VLOOKUP(P74,Hoja1!C:F,{2,3,4},FALSE)</f>
        <v>46276</v>
      </c>
      <c r="R74" t="str">
        <v>C03</v>
      </c>
      <c r="S74" t="str">
        <v>1000000052 DEVOL S.A.</v>
      </c>
      <c r="T74" t="str">
        <f>VLOOKUP(P74,Hoja2!C:D,2,FALSE)</f>
        <v>FBERARDO</v>
      </c>
    </row>
    <row r="75" spans="1:20" x14ac:dyDescent="0.3">
      <c r="A75" s="2" t="s">
        <v>14</v>
      </c>
      <c r="B75" s="3" t="s">
        <v>14</v>
      </c>
      <c r="C75" s="3" t="s">
        <v>1267</v>
      </c>
      <c r="D75" s="3" t="s">
        <v>14</v>
      </c>
      <c r="E75" s="3" t="s">
        <v>27</v>
      </c>
      <c r="F75" s="4">
        <v>46260</v>
      </c>
      <c r="G75" s="3" t="s">
        <v>15</v>
      </c>
      <c r="H75" s="5">
        <v>405000</v>
      </c>
      <c r="I75" s="3" t="s">
        <v>16</v>
      </c>
      <c r="J75" s="3" t="s">
        <v>17</v>
      </c>
      <c r="K75" s="3" t="s">
        <v>14</v>
      </c>
      <c r="L75" s="3" t="s">
        <v>457</v>
      </c>
      <c r="M75" s="4">
        <v>46314</v>
      </c>
      <c r="N75" s="3" t="s">
        <v>458</v>
      </c>
      <c r="O75" s="3" t="s">
        <v>21</v>
      </c>
      <c r="P75" t="str">
        <f t="shared" si="1"/>
        <v>450013675730</v>
      </c>
      <c r="Q75" s="7" cm="1">
        <f t="array" ref="Q75:S75">VLOOKUP(P75,Hoja1!C:F,{2,3,4},FALSE)</f>
        <v>46276</v>
      </c>
      <c r="R75" t="str">
        <v>C03</v>
      </c>
      <c r="S75" t="str">
        <v>1000000052 DEVOL S.A.</v>
      </c>
      <c r="T75" t="str">
        <f>VLOOKUP(P75,Hoja2!C:D,2,FALSE)</f>
        <v>FBERARDO</v>
      </c>
    </row>
    <row r="76" spans="1:20" x14ac:dyDescent="0.3">
      <c r="A76" s="2" t="s">
        <v>14</v>
      </c>
      <c r="B76" s="3" t="s">
        <v>14</v>
      </c>
      <c r="C76" s="3" t="s">
        <v>1268</v>
      </c>
      <c r="D76" s="3" t="s">
        <v>14</v>
      </c>
      <c r="E76" s="3" t="s">
        <v>27</v>
      </c>
      <c r="F76" s="4">
        <v>46238</v>
      </c>
      <c r="G76" s="3" t="s">
        <v>15</v>
      </c>
      <c r="H76" s="5">
        <v>214761.09</v>
      </c>
      <c r="I76" s="3" t="s">
        <v>16</v>
      </c>
      <c r="J76" s="3" t="s">
        <v>17</v>
      </c>
      <c r="K76" s="3" t="s">
        <v>14</v>
      </c>
      <c r="L76" s="3" t="s">
        <v>86</v>
      </c>
      <c r="M76" s="4">
        <v>46314</v>
      </c>
      <c r="N76" s="3" t="s">
        <v>87</v>
      </c>
      <c r="O76" s="3" t="s">
        <v>33</v>
      </c>
      <c r="P76" t="str">
        <f t="shared" si="1"/>
        <v>450013335110</v>
      </c>
      <c r="Q76" s="7" cm="1">
        <f t="array" ref="Q76:S76">VLOOKUP(P76,Hoja1!C:F,{2,3,4},FALSE)</f>
        <v>46245</v>
      </c>
      <c r="R76" t="str">
        <v>C28</v>
      </c>
      <c r="S76" t="str">
        <v>1000001028 SOSTEN S.A.</v>
      </c>
      <c r="T76" t="str">
        <f>VLOOKUP(P76,Hoja2!C:D,2,FALSE)</f>
        <v>GJULIANI</v>
      </c>
    </row>
    <row r="77" spans="1:20" x14ac:dyDescent="0.3">
      <c r="A77" s="2" t="s">
        <v>14</v>
      </c>
      <c r="B77" s="3" t="s">
        <v>14</v>
      </c>
      <c r="C77" s="3" t="s">
        <v>95</v>
      </c>
      <c r="D77" s="3" t="s">
        <v>14</v>
      </c>
      <c r="E77" s="3" t="s">
        <v>96</v>
      </c>
      <c r="F77" s="4">
        <v>46029</v>
      </c>
      <c r="G77" s="3" t="s">
        <v>43</v>
      </c>
      <c r="H77" s="6">
        <v>-172.57</v>
      </c>
      <c r="I77" s="3" t="s">
        <v>16</v>
      </c>
      <c r="J77" s="3" t="s">
        <v>14</v>
      </c>
      <c r="K77" s="3" t="s">
        <v>14</v>
      </c>
      <c r="L77" s="3" t="s">
        <v>97</v>
      </c>
      <c r="M77" s="4">
        <v>46029</v>
      </c>
      <c r="N77" s="3" t="s">
        <v>98</v>
      </c>
      <c r="O77" s="3" t="s">
        <v>33</v>
      </c>
      <c r="P77" t="str">
        <f t="shared" si="1"/>
        <v>450011680010</v>
      </c>
      <c r="Q77" s="7" cm="1">
        <f t="array" ref="Q77:S77">VLOOKUP(P77,Hoja1!C:F,{2,3,4},FALSE)</f>
        <v>46065</v>
      </c>
      <c r="R77" t="str">
        <v>C21</v>
      </c>
      <c r="S77" t="str">
        <v>1000001020 COMBUSTIBLES BARCELO S.R.L.</v>
      </c>
      <c r="T77" t="str">
        <f>VLOOKUP(P77,Hoja2!C:D,2,FALSE)</f>
        <v>JPUPULIN</v>
      </c>
    </row>
    <row r="78" spans="1:20" x14ac:dyDescent="0.3">
      <c r="A78" s="2" t="s">
        <v>14</v>
      </c>
      <c r="B78" s="3" t="s">
        <v>14</v>
      </c>
      <c r="C78" s="3" t="s">
        <v>95</v>
      </c>
      <c r="D78" s="3" t="s">
        <v>14</v>
      </c>
      <c r="E78" s="3" t="s">
        <v>96</v>
      </c>
      <c r="F78" s="4">
        <v>46029</v>
      </c>
      <c r="G78" s="3" t="s">
        <v>43</v>
      </c>
      <c r="H78" s="6">
        <v>-19.670000000000002</v>
      </c>
      <c r="I78" s="3" t="s">
        <v>16</v>
      </c>
      <c r="J78" s="3" t="s">
        <v>14</v>
      </c>
      <c r="K78" s="3" t="s">
        <v>14</v>
      </c>
      <c r="L78" s="3" t="s">
        <v>97</v>
      </c>
      <c r="M78" s="4">
        <v>46029</v>
      </c>
      <c r="N78" s="3" t="s">
        <v>98</v>
      </c>
      <c r="O78" s="3" t="s">
        <v>33</v>
      </c>
      <c r="P78" t="str">
        <f t="shared" si="1"/>
        <v>450011680010</v>
      </c>
      <c r="Q78" s="7" cm="1">
        <f t="array" ref="Q78:S78">VLOOKUP(P78,Hoja1!C:F,{2,3,4},FALSE)</f>
        <v>46065</v>
      </c>
      <c r="R78" t="str">
        <v>C21</v>
      </c>
      <c r="S78" t="str">
        <v>1000001020 COMBUSTIBLES BARCELO S.R.L.</v>
      </c>
      <c r="T78" t="str">
        <f>VLOOKUP(P78,Hoja2!C:D,2,FALSE)</f>
        <v>JPUPULIN</v>
      </c>
    </row>
    <row r="79" spans="1:20" x14ac:dyDescent="0.3">
      <c r="A79" s="2" t="s">
        <v>14</v>
      </c>
      <c r="B79" s="3" t="s">
        <v>14</v>
      </c>
      <c r="C79" s="3" t="s">
        <v>99</v>
      </c>
      <c r="D79" s="3" t="s">
        <v>14</v>
      </c>
      <c r="E79" s="3" t="s">
        <v>96</v>
      </c>
      <c r="F79" s="4">
        <v>46042</v>
      </c>
      <c r="G79" s="3" t="s">
        <v>43</v>
      </c>
      <c r="H79" s="6">
        <v>-2505.79</v>
      </c>
      <c r="I79" s="3" t="s">
        <v>16</v>
      </c>
      <c r="J79" s="3" t="s">
        <v>14</v>
      </c>
      <c r="K79" s="3" t="s">
        <v>14</v>
      </c>
      <c r="L79" s="3" t="s">
        <v>31</v>
      </c>
      <c r="M79" s="4">
        <v>46042</v>
      </c>
      <c r="N79" s="3" t="s">
        <v>32</v>
      </c>
      <c r="O79" s="3" t="s">
        <v>33</v>
      </c>
      <c r="P79" t="str">
        <f t="shared" si="1"/>
        <v>450011789910</v>
      </c>
      <c r="Q79" s="7" cm="1">
        <f t="array" ref="Q79:S79">VLOOKUP(P79,Hoja1!C:F,{2,3,4},FALSE)</f>
        <v>46059</v>
      </c>
      <c r="R79" t="str">
        <v>C43</v>
      </c>
      <c r="S79" t="str">
        <v>1000003696 DOBLE TRACCION SRL</v>
      </c>
      <c r="T79" t="str">
        <f>VLOOKUP(P79,Hoja2!C:D,2,FALSE)</f>
        <v>GROSES</v>
      </c>
    </row>
    <row r="80" spans="1:20" x14ac:dyDescent="0.3">
      <c r="A80" s="2" t="s">
        <v>14</v>
      </c>
      <c r="B80" s="3" t="s">
        <v>14</v>
      </c>
      <c r="C80" s="3" t="s">
        <v>100</v>
      </c>
      <c r="D80" s="3" t="s">
        <v>55</v>
      </c>
      <c r="E80" s="3" t="s">
        <v>96</v>
      </c>
      <c r="F80" s="4">
        <v>46050</v>
      </c>
      <c r="G80" s="3" t="s">
        <v>43</v>
      </c>
      <c r="H80" s="6">
        <v>-16528.93</v>
      </c>
      <c r="I80" s="3" t="s">
        <v>16</v>
      </c>
      <c r="J80" s="3" t="s">
        <v>14</v>
      </c>
      <c r="K80" s="3" t="s">
        <v>14</v>
      </c>
      <c r="L80" s="3" t="s">
        <v>101</v>
      </c>
      <c r="M80" s="4">
        <v>46050</v>
      </c>
      <c r="N80" s="3" t="s">
        <v>102</v>
      </c>
      <c r="O80" s="3" t="s">
        <v>33</v>
      </c>
      <c r="P80" t="str">
        <f t="shared" si="1"/>
        <v>450011865410</v>
      </c>
      <c r="Q80" s="7" cm="1">
        <f t="array" ref="Q80:S80">VLOOKUP(P80,Hoja1!C:F,{2,3,4},FALSE)</f>
        <v>46063</v>
      </c>
      <c r="R80" t="str">
        <v>EFO</v>
      </c>
      <c r="S80" t="str">
        <v>1000003173 DISEL CENTRO S.A.</v>
      </c>
      <c r="T80" t="str">
        <f>VLOOKUP(P80,Hoja2!C:D,2,FALSE)</f>
        <v>GROSES</v>
      </c>
    </row>
    <row r="81" spans="1:20" x14ac:dyDescent="0.3">
      <c r="A81" s="2" t="s">
        <v>14</v>
      </c>
      <c r="B81" s="3" t="s">
        <v>14</v>
      </c>
      <c r="C81" s="3" t="s">
        <v>103</v>
      </c>
      <c r="D81" s="3" t="s">
        <v>14</v>
      </c>
      <c r="E81" s="3" t="s">
        <v>96</v>
      </c>
      <c r="F81" s="4">
        <v>46051</v>
      </c>
      <c r="G81" s="3" t="s">
        <v>43</v>
      </c>
      <c r="H81" s="6">
        <v>-9657.1</v>
      </c>
      <c r="I81" s="3" t="s">
        <v>16</v>
      </c>
      <c r="J81" s="3" t="s">
        <v>14</v>
      </c>
      <c r="K81" s="3" t="s">
        <v>14</v>
      </c>
      <c r="L81" s="3" t="s">
        <v>28</v>
      </c>
      <c r="M81" s="4">
        <v>46051</v>
      </c>
      <c r="N81" s="3" t="s">
        <v>29</v>
      </c>
      <c r="O81" s="3" t="s">
        <v>20</v>
      </c>
      <c r="P81" t="str">
        <f t="shared" si="1"/>
        <v>450011645120</v>
      </c>
      <c r="Q81" s="7" cm="1">
        <f t="array" ref="Q81:S81">VLOOKUP(P81,Hoja1!C:F,{2,3,4},FALSE)</f>
        <v>46042</v>
      </c>
      <c r="R81" t="str">
        <v>EFO</v>
      </c>
      <c r="S81" t="str">
        <v>1000007436 RODRIGUEZ MARTINEZ EMILIO JOAQUIN</v>
      </c>
      <c r="T81" t="str">
        <f>VLOOKUP(P81,Hoja2!C:D,2,FALSE)</f>
        <v>GROSES</v>
      </c>
    </row>
    <row r="82" spans="1:20" x14ac:dyDescent="0.3">
      <c r="A82" s="2" t="s">
        <v>14</v>
      </c>
      <c r="B82" s="3" t="s">
        <v>14</v>
      </c>
      <c r="C82" s="3" t="s">
        <v>104</v>
      </c>
      <c r="D82" s="3" t="s">
        <v>14</v>
      </c>
      <c r="E82" s="3" t="s">
        <v>96</v>
      </c>
      <c r="F82" s="4">
        <v>46052</v>
      </c>
      <c r="G82" s="3" t="s">
        <v>43</v>
      </c>
      <c r="H82" s="6">
        <v>-280000</v>
      </c>
      <c r="I82" s="3" t="s">
        <v>16</v>
      </c>
      <c r="J82" s="3" t="s">
        <v>14</v>
      </c>
      <c r="K82" s="3" t="s">
        <v>14</v>
      </c>
      <c r="L82" s="3" t="s">
        <v>105</v>
      </c>
      <c r="M82" s="4">
        <v>46052</v>
      </c>
      <c r="N82" s="3" t="s">
        <v>106</v>
      </c>
      <c r="O82" s="3" t="s">
        <v>33</v>
      </c>
      <c r="P82" t="str">
        <f t="shared" si="1"/>
        <v>450011888610</v>
      </c>
      <c r="Q82" s="7" cm="1">
        <f t="array" ref="Q82:S82">VLOOKUP(P82,Hoja1!C:F,{2,3,4},FALSE)</f>
        <v>46063</v>
      </c>
      <c r="R82" t="str">
        <v>EFO</v>
      </c>
      <c r="S82" t="str">
        <v>1000001690 ELEC.PELLEGRINI DE OCCHI Y ORO</v>
      </c>
      <c r="T82" t="str">
        <f>VLOOKUP(P82,Hoja2!C:D,2,FALSE)</f>
        <v>GROSES</v>
      </c>
    </row>
    <row r="83" spans="1:20" x14ac:dyDescent="0.3">
      <c r="A83" s="2" t="s">
        <v>14</v>
      </c>
      <c r="B83" s="3" t="s">
        <v>14</v>
      </c>
      <c r="C83" s="3" t="s">
        <v>107</v>
      </c>
      <c r="D83" s="3" t="s">
        <v>14</v>
      </c>
      <c r="E83" s="3" t="s">
        <v>96</v>
      </c>
      <c r="F83" s="4">
        <v>46055</v>
      </c>
      <c r="G83" s="3" t="s">
        <v>43</v>
      </c>
      <c r="H83" s="6">
        <v>-172.57</v>
      </c>
      <c r="I83" s="3" t="s">
        <v>16</v>
      </c>
      <c r="J83" s="3" t="s">
        <v>14</v>
      </c>
      <c r="K83" s="3" t="s">
        <v>14</v>
      </c>
      <c r="L83" s="3" t="s">
        <v>97</v>
      </c>
      <c r="M83" s="4">
        <v>46055</v>
      </c>
      <c r="N83" s="3" t="s">
        <v>108</v>
      </c>
      <c r="O83" s="3" t="s">
        <v>33</v>
      </c>
      <c r="P83" t="str">
        <f t="shared" si="1"/>
        <v>450011903410</v>
      </c>
      <c r="Q83" s="7" cm="1">
        <f t="array" ref="Q83:S83">VLOOKUP(P83,Hoja1!C:F,{2,3,4},FALSE)</f>
        <v>46065</v>
      </c>
      <c r="R83" t="str">
        <v>C21</v>
      </c>
      <c r="S83" t="str">
        <v>1000001020 COMBUSTIBLES BARCELO S.R.L.</v>
      </c>
      <c r="T83" t="str">
        <f>VLOOKUP(P83,Hoja2!C:D,2,FALSE)</f>
        <v>JPUPULIN</v>
      </c>
    </row>
    <row r="84" spans="1:20" x14ac:dyDescent="0.3">
      <c r="A84" s="2" t="s">
        <v>14</v>
      </c>
      <c r="B84" s="3" t="s">
        <v>14</v>
      </c>
      <c r="C84" s="3" t="s">
        <v>107</v>
      </c>
      <c r="D84" s="3" t="s">
        <v>14</v>
      </c>
      <c r="E84" s="3" t="s">
        <v>96</v>
      </c>
      <c r="F84" s="4">
        <v>46055</v>
      </c>
      <c r="G84" s="3" t="s">
        <v>43</v>
      </c>
      <c r="H84" s="6">
        <v>-19.670000000000002</v>
      </c>
      <c r="I84" s="3" t="s">
        <v>16</v>
      </c>
      <c r="J84" s="3" t="s">
        <v>14</v>
      </c>
      <c r="K84" s="3" t="s">
        <v>14</v>
      </c>
      <c r="L84" s="3" t="s">
        <v>97</v>
      </c>
      <c r="M84" s="4">
        <v>46055</v>
      </c>
      <c r="N84" s="3" t="s">
        <v>108</v>
      </c>
      <c r="O84" s="3" t="s">
        <v>33</v>
      </c>
      <c r="P84" t="str">
        <f t="shared" si="1"/>
        <v>450011903410</v>
      </c>
      <c r="Q84" s="7" cm="1">
        <f t="array" ref="Q84:S84">VLOOKUP(P84,Hoja1!C:F,{2,3,4},FALSE)</f>
        <v>46065</v>
      </c>
      <c r="R84" t="str">
        <v>C21</v>
      </c>
      <c r="S84" t="str">
        <v>1000001020 COMBUSTIBLES BARCELO S.R.L.</v>
      </c>
      <c r="T84" t="str">
        <f>VLOOKUP(P84,Hoja2!C:D,2,FALSE)</f>
        <v>JPUPULIN</v>
      </c>
    </row>
    <row r="85" spans="1:20" x14ac:dyDescent="0.3">
      <c r="A85" s="2" t="s">
        <v>14</v>
      </c>
      <c r="B85" s="3" t="s">
        <v>14</v>
      </c>
      <c r="C85" s="3" t="s">
        <v>109</v>
      </c>
      <c r="D85" s="3" t="s">
        <v>55</v>
      </c>
      <c r="E85" s="3" t="s">
        <v>96</v>
      </c>
      <c r="F85" s="4">
        <v>46056</v>
      </c>
      <c r="G85" s="3" t="s">
        <v>43</v>
      </c>
      <c r="H85" s="6">
        <v>-908113.2</v>
      </c>
      <c r="I85" s="3" t="s">
        <v>16</v>
      </c>
      <c r="J85" s="3" t="s">
        <v>14</v>
      </c>
      <c r="K85" s="3" t="s">
        <v>14</v>
      </c>
      <c r="L85" s="3" t="s">
        <v>1269</v>
      </c>
      <c r="M85" s="4">
        <v>46056</v>
      </c>
      <c r="N85" s="3" t="s">
        <v>110</v>
      </c>
      <c r="O85" s="3" t="s">
        <v>33</v>
      </c>
      <c r="P85" t="str">
        <f t="shared" si="1"/>
        <v>450011904510</v>
      </c>
      <c r="Q85" s="7" cm="1">
        <f t="array" ref="Q85:S85">VLOOKUP(P85,Hoja1!C:F,{2,3,4},FALSE)</f>
        <v>46065</v>
      </c>
      <c r="R85" t="str">
        <v>C21</v>
      </c>
      <c r="S85" t="str">
        <v>1000000634 RAIZEN ARGENTINA S.A.U.</v>
      </c>
      <c r="T85" t="str">
        <f>VLOOKUP(P85,Hoja2!C:D,2,FALSE)</f>
        <v>JPUPULIN</v>
      </c>
    </row>
    <row r="86" spans="1:20" x14ac:dyDescent="0.3">
      <c r="A86" s="2" t="s">
        <v>14</v>
      </c>
      <c r="B86" s="3" t="s">
        <v>14</v>
      </c>
      <c r="C86" s="3" t="s">
        <v>109</v>
      </c>
      <c r="D86" s="3" t="s">
        <v>55</v>
      </c>
      <c r="E86" s="3" t="s">
        <v>96</v>
      </c>
      <c r="F86" s="4">
        <v>46056</v>
      </c>
      <c r="G86" s="3" t="s">
        <v>43</v>
      </c>
      <c r="H86" s="6">
        <v>-99434</v>
      </c>
      <c r="I86" s="3" t="s">
        <v>16</v>
      </c>
      <c r="J86" s="3" t="s">
        <v>14</v>
      </c>
      <c r="K86" s="3" t="s">
        <v>14</v>
      </c>
      <c r="L86" s="3" t="s">
        <v>1269</v>
      </c>
      <c r="M86" s="4">
        <v>46056</v>
      </c>
      <c r="N86" s="3" t="s">
        <v>110</v>
      </c>
      <c r="O86" s="3" t="s">
        <v>33</v>
      </c>
      <c r="P86" t="str">
        <f t="shared" si="1"/>
        <v>450011904510</v>
      </c>
      <c r="Q86" s="7" cm="1">
        <f t="array" ref="Q86:S86">VLOOKUP(P86,Hoja1!C:F,{2,3,4},FALSE)</f>
        <v>46065</v>
      </c>
      <c r="R86" t="str">
        <v>C21</v>
      </c>
      <c r="S86" t="str">
        <v>1000000634 RAIZEN ARGENTINA S.A.U.</v>
      </c>
      <c r="T86" t="str">
        <f>VLOOKUP(P86,Hoja2!C:D,2,FALSE)</f>
        <v>JPUPULIN</v>
      </c>
    </row>
    <row r="87" spans="1:20" x14ac:dyDescent="0.3">
      <c r="A87" s="2" t="s">
        <v>14</v>
      </c>
      <c r="B87" s="3" t="s">
        <v>14</v>
      </c>
      <c r="C87" s="3" t="s">
        <v>111</v>
      </c>
      <c r="D87" s="3" t="s">
        <v>55</v>
      </c>
      <c r="E87" s="3" t="s">
        <v>96</v>
      </c>
      <c r="F87" s="4">
        <v>46057</v>
      </c>
      <c r="G87" s="3" t="s">
        <v>43</v>
      </c>
      <c r="H87" s="6">
        <v>-908113.2</v>
      </c>
      <c r="I87" s="3" t="s">
        <v>16</v>
      </c>
      <c r="J87" s="3" t="s">
        <v>14</v>
      </c>
      <c r="K87" s="3" t="s">
        <v>14</v>
      </c>
      <c r="L87" s="3" t="s">
        <v>1269</v>
      </c>
      <c r="M87" s="4">
        <v>46057</v>
      </c>
      <c r="N87" s="3" t="s">
        <v>112</v>
      </c>
      <c r="O87" s="3" t="s">
        <v>33</v>
      </c>
      <c r="P87" t="str">
        <f t="shared" si="1"/>
        <v>450011917410</v>
      </c>
      <c r="Q87" s="7" cm="1">
        <f t="array" ref="Q87:S87">VLOOKUP(P87,Hoja1!C:F,{2,3,4},FALSE)</f>
        <v>46065</v>
      </c>
      <c r="R87" t="str">
        <v>C21</v>
      </c>
      <c r="S87" t="str">
        <v>1000000634 RAIZEN ARGENTINA S.A.U.</v>
      </c>
      <c r="T87" t="str">
        <f>VLOOKUP(P87,Hoja2!C:D,2,FALSE)</f>
        <v>JPUPULIN</v>
      </c>
    </row>
    <row r="88" spans="1:20" x14ac:dyDescent="0.3">
      <c r="A88" s="2" t="s">
        <v>14</v>
      </c>
      <c r="B88" s="3" t="s">
        <v>14</v>
      </c>
      <c r="C88" s="3" t="s">
        <v>111</v>
      </c>
      <c r="D88" s="3" t="s">
        <v>55</v>
      </c>
      <c r="E88" s="3" t="s">
        <v>96</v>
      </c>
      <c r="F88" s="4">
        <v>46057</v>
      </c>
      <c r="G88" s="3" t="s">
        <v>43</v>
      </c>
      <c r="H88" s="6">
        <v>-99434</v>
      </c>
      <c r="I88" s="3" t="s">
        <v>16</v>
      </c>
      <c r="J88" s="3" t="s">
        <v>14</v>
      </c>
      <c r="K88" s="3" t="s">
        <v>14</v>
      </c>
      <c r="L88" s="3" t="s">
        <v>1269</v>
      </c>
      <c r="M88" s="4">
        <v>46057</v>
      </c>
      <c r="N88" s="3" t="s">
        <v>112</v>
      </c>
      <c r="O88" s="3" t="s">
        <v>33</v>
      </c>
      <c r="P88" t="str">
        <f t="shared" si="1"/>
        <v>450011917410</v>
      </c>
      <c r="Q88" s="7" cm="1">
        <f t="array" ref="Q88:S88">VLOOKUP(P88,Hoja1!C:F,{2,3,4},FALSE)</f>
        <v>46065</v>
      </c>
      <c r="R88" t="str">
        <v>C21</v>
      </c>
      <c r="S88" t="str">
        <v>1000000634 RAIZEN ARGENTINA S.A.U.</v>
      </c>
      <c r="T88" t="str">
        <f>VLOOKUP(P88,Hoja2!C:D,2,FALSE)</f>
        <v>JPUPULIN</v>
      </c>
    </row>
    <row r="89" spans="1:20" x14ac:dyDescent="0.3">
      <c r="A89" s="2" t="s">
        <v>14</v>
      </c>
      <c r="B89" s="3" t="s">
        <v>14</v>
      </c>
      <c r="C89" s="3" t="s">
        <v>116</v>
      </c>
      <c r="D89" s="3" t="s">
        <v>14</v>
      </c>
      <c r="E89" s="3" t="s">
        <v>96</v>
      </c>
      <c r="F89" s="4">
        <v>46057</v>
      </c>
      <c r="G89" s="3" t="s">
        <v>43</v>
      </c>
      <c r="H89" s="6">
        <v>-249261.59</v>
      </c>
      <c r="I89" s="3" t="s">
        <v>16</v>
      </c>
      <c r="J89" s="3" t="s">
        <v>14</v>
      </c>
      <c r="K89" s="3" t="s">
        <v>14</v>
      </c>
      <c r="L89" s="3" t="s">
        <v>117</v>
      </c>
      <c r="M89" s="4">
        <v>46057</v>
      </c>
      <c r="N89" s="3" t="s">
        <v>118</v>
      </c>
      <c r="O89" s="3" t="s">
        <v>33</v>
      </c>
      <c r="P89" t="str">
        <f t="shared" si="1"/>
        <v>450011915910</v>
      </c>
      <c r="Q89" s="7" cm="1">
        <f t="array" ref="Q89:S89">VLOOKUP(P89,Hoja1!C:F,{2,3,4},FALSE)</f>
        <v>46063</v>
      </c>
      <c r="R89" t="str">
        <v>C04</v>
      </c>
      <c r="S89" t="str">
        <v>1000010401 BASUALDO NECCHI MARCOS GABRIEL</v>
      </c>
      <c r="T89" t="str">
        <f>VLOOKUP(P89,Hoja2!C:D,2,FALSE)</f>
        <v>EFUNES</v>
      </c>
    </row>
    <row r="90" spans="1:20" x14ac:dyDescent="0.3">
      <c r="A90" s="2" t="s">
        <v>14</v>
      </c>
      <c r="B90" s="3" t="s">
        <v>14</v>
      </c>
      <c r="C90" s="3" t="s">
        <v>119</v>
      </c>
      <c r="D90" s="3" t="s">
        <v>55</v>
      </c>
      <c r="E90" s="3" t="s">
        <v>96</v>
      </c>
      <c r="F90" s="4">
        <v>46058</v>
      </c>
      <c r="G90" s="3" t="s">
        <v>43</v>
      </c>
      <c r="H90" s="6">
        <v>-908113.2</v>
      </c>
      <c r="I90" s="3" t="s">
        <v>16</v>
      </c>
      <c r="J90" s="3" t="s">
        <v>14</v>
      </c>
      <c r="K90" s="3" t="s">
        <v>14</v>
      </c>
      <c r="L90" s="3" t="s">
        <v>1269</v>
      </c>
      <c r="M90" s="4">
        <v>46058</v>
      </c>
      <c r="N90" s="3" t="s">
        <v>120</v>
      </c>
      <c r="O90" s="3" t="s">
        <v>33</v>
      </c>
      <c r="P90" t="str">
        <f t="shared" si="1"/>
        <v>450011926310</v>
      </c>
      <c r="Q90" s="7" cm="1">
        <f t="array" ref="Q90:S90">VLOOKUP(P90,Hoja1!C:F,{2,3,4},FALSE)</f>
        <v>46065</v>
      </c>
      <c r="R90" t="str">
        <v>C21</v>
      </c>
      <c r="S90" t="str">
        <v>1000000634 RAIZEN ARGENTINA S.A.U.</v>
      </c>
      <c r="T90" t="str">
        <f>VLOOKUP(P90,Hoja2!C:D,2,FALSE)</f>
        <v>JPUPULIN</v>
      </c>
    </row>
    <row r="91" spans="1:20" x14ac:dyDescent="0.3">
      <c r="A91" s="2" t="s">
        <v>14</v>
      </c>
      <c r="B91" s="3" t="s">
        <v>14</v>
      </c>
      <c r="C91" s="3" t="s">
        <v>119</v>
      </c>
      <c r="D91" s="3" t="s">
        <v>55</v>
      </c>
      <c r="E91" s="3" t="s">
        <v>96</v>
      </c>
      <c r="F91" s="4">
        <v>46058</v>
      </c>
      <c r="G91" s="3" t="s">
        <v>43</v>
      </c>
      <c r="H91" s="6">
        <v>-99434</v>
      </c>
      <c r="I91" s="3" t="s">
        <v>16</v>
      </c>
      <c r="J91" s="3" t="s">
        <v>14</v>
      </c>
      <c r="K91" s="3" t="s">
        <v>14</v>
      </c>
      <c r="L91" s="3" t="s">
        <v>1269</v>
      </c>
      <c r="M91" s="4">
        <v>46058</v>
      </c>
      <c r="N91" s="3" t="s">
        <v>120</v>
      </c>
      <c r="O91" s="3" t="s">
        <v>33</v>
      </c>
      <c r="P91" t="str">
        <f t="shared" si="1"/>
        <v>450011926310</v>
      </c>
      <c r="Q91" s="7" cm="1">
        <f t="array" ref="Q91:S91">VLOOKUP(P91,Hoja1!C:F,{2,3,4},FALSE)</f>
        <v>46065</v>
      </c>
      <c r="R91" t="str">
        <v>C21</v>
      </c>
      <c r="S91" t="str">
        <v>1000000634 RAIZEN ARGENTINA S.A.U.</v>
      </c>
      <c r="T91" t="str">
        <f>VLOOKUP(P91,Hoja2!C:D,2,FALSE)</f>
        <v>JPUPULIN</v>
      </c>
    </row>
    <row r="92" spans="1:20" x14ac:dyDescent="0.3">
      <c r="A92" s="2" t="s">
        <v>14</v>
      </c>
      <c r="B92" s="3" t="s">
        <v>14</v>
      </c>
      <c r="C92" s="3" t="s">
        <v>121</v>
      </c>
      <c r="D92" s="3" t="s">
        <v>55</v>
      </c>
      <c r="E92" s="3" t="s">
        <v>96</v>
      </c>
      <c r="F92" s="4">
        <v>46064</v>
      </c>
      <c r="G92" s="3" t="s">
        <v>43</v>
      </c>
      <c r="H92" s="6">
        <v>-908113.2</v>
      </c>
      <c r="I92" s="3" t="s">
        <v>16</v>
      </c>
      <c r="J92" s="3" t="s">
        <v>14</v>
      </c>
      <c r="K92" s="3" t="s">
        <v>14</v>
      </c>
      <c r="L92" s="3" t="s">
        <v>1269</v>
      </c>
      <c r="M92" s="4">
        <v>46064</v>
      </c>
      <c r="N92" s="3" t="s">
        <v>122</v>
      </c>
      <c r="O92" s="3" t="s">
        <v>33</v>
      </c>
      <c r="P92" t="str">
        <f t="shared" si="1"/>
        <v>450011941310</v>
      </c>
      <c r="Q92" s="7" cm="1">
        <f t="array" ref="Q92:S92">VLOOKUP(P92,Hoja1!C:F,{2,3,4},FALSE)</f>
        <v>46065</v>
      </c>
      <c r="R92" t="str">
        <v>C21</v>
      </c>
      <c r="S92" t="str">
        <v>1000000634 RAIZEN ARGENTINA S.A.U.</v>
      </c>
      <c r="T92" t="str">
        <f>VLOOKUP(P92,Hoja2!C:D,2,FALSE)</f>
        <v>JPUPULIN</v>
      </c>
    </row>
    <row r="93" spans="1:20" x14ac:dyDescent="0.3">
      <c r="A93" s="2" t="s">
        <v>14</v>
      </c>
      <c r="B93" s="3" t="s">
        <v>14</v>
      </c>
      <c r="C93" s="3" t="s">
        <v>121</v>
      </c>
      <c r="D93" s="3" t="s">
        <v>55</v>
      </c>
      <c r="E93" s="3" t="s">
        <v>96</v>
      </c>
      <c r="F93" s="4">
        <v>46064</v>
      </c>
      <c r="G93" s="3" t="s">
        <v>43</v>
      </c>
      <c r="H93" s="6">
        <v>-99434</v>
      </c>
      <c r="I93" s="3" t="s">
        <v>16</v>
      </c>
      <c r="J93" s="3" t="s">
        <v>14</v>
      </c>
      <c r="K93" s="3" t="s">
        <v>14</v>
      </c>
      <c r="L93" s="3" t="s">
        <v>1269</v>
      </c>
      <c r="M93" s="4">
        <v>46064</v>
      </c>
      <c r="N93" s="3" t="s">
        <v>122</v>
      </c>
      <c r="O93" s="3" t="s">
        <v>33</v>
      </c>
      <c r="P93" t="str">
        <f t="shared" si="1"/>
        <v>450011941310</v>
      </c>
      <c r="Q93" s="7" cm="1">
        <f t="array" ref="Q93:S93">VLOOKUP(P93,Hoja1!C:F,{2,3,4},FALSE)</f>
        <v>46065</v>
      </c>
      <c r="R93" t="str">
        <v>C21</v>
      </c>
      <c r="S93" t="str">
        <v>1000000634 RAIZEN ARGENTINA S.A.U.</v>
      </c>
      <c r="T93" t="str">
        <f>VLOOKUP(P93,Hoja2!C:D,2,FALSE)</f>
        <v>JPUPULIN</v>
      </c>
    </row>
    <row r="94" spans="1:20" x14ac:dyDescent="0.3">
      <c r="A94" s="2" t="s">
        <v>14</v>
      </c>
      <c r="B94" s="3" t="s">
        <v>14</v>
      </c>
      <c r="C94" s="3" t="s">
        <v>123</v>
      </c>
      <c r="D94" s="3" t="s">
        <v>14</v>
      </c>
      <c r="E94" s="3" t="s">
        <v>96</v>
      </c>
      <c r="F94" s="4">
        <v>46071</v>
      </c>
      <c r="G94" s="3" t="s">
        <v>43</v>
      </c>
      <c r="H94" s="6">
        <v>-172.57</v>
      </c>
      <c r="I94" s="3" t="s">
        <v>16</v>
      </c>
      <c r="J94" s="3" t="s">
        <v>14</v>
      </c>
      <c r="K94" s="3" t="s">
        <v>14</v>
      </c>
      <c r="L94" s="3" t="s">
        <v>97</v>
      </c>
      <c r="M94" s="4">
        <v>46071</v>
      </c>
      <c r="N94" s="3" t="s">
        <v>124</v>
      </c>
      <c r="O94" s="3" t="s">
        <v>33</v>
      </c>
      <c r="P94" t="str">
        <f t="shared" si="1"/>
        <v>450012024510</v>
      </c>
      <c r="Q94" s="7" cm="1">
        <f t="array" ref="Q94:S94">VLOOKUP(P94,Hoja1!C:F,{2,3,4},FALSE)</f>
        <v>46065</v>
      </c>
      <c r="R94" t="str">
        <v>C21</v>
      </c>
      <c r="S94" t="str">
        <v>1000001020 COMBUSTIBLES BARCELO S.R.L.</v>
      </c>
      <c r="T94" t="str">
        <f>VLOOKUP(P94,Hoja2!C:D,2,FALSE)</f>
        <v>JPUPULIN</v>
      </c>
    </row>
    <row r="95" spans="1:20" x14ac:dyDescent="0.3">
      <c r="A95" s="2" t="s">
        <v>14</v>
      </c>
      <c r="B95" s="3" t="s">
        <v>14</v>
      </c>
      <c r="C95" s="3" t="s">
        <v>123</v>
      </c>
      <c r="D95" s="3" t="s">
        <v>14</v>
      </c>
      <c r="E95" s="3" t="s">
        <v>96</v>
      </c>
      <c r="F95" s="4">
        <v>46071</v>
      </c>
      <c r="G95" s="3" t="s">
        <v>43</v>
      </c>
      <c r="H95" s="6">
        <v>-19.670000000000002</v>
      </c>
      <c r="I95" s="3" t="s">
        <v>16</v>
      </c>
      <c r="J95" s="3" t="s">
        <v>14</v>
      </c>
      <c r="K95" s="3" t="s">
        <v>14</v>
      </c>
      <c r="L95" s="3" t="s">
        <v>97</v>
      </c>
      <c r="M95" s="4">
        <v>46071</v>
      </c>
      <c r="N95" s="3" t="s">
        <v>124</v>
      </c>
      <c r="O95" s="3" t="s">
        <v>33</v>
      </c>
      <c r="P95" t="str">
        <f t="shared" si="1"/>
        <v>450012024510</v>
      </c>
      <c r="Q95" s="7" cm="1">
        <f t="array" ref="Q95:S95">VLOOKUP(P95,Hoja1!C:F,{2,3,4},FALSE)</f>
        <v>46065</v>
      </c>
      <c r="R95" t="str">
        <v>C21</v>
      </c>
      <c r="S95" t="str">
        <v>1000001020 COMBUSTIBLES BARCELO S.R.L.</v>
      </c>
      <c r="T95" t="str">
        <f>VLOOKUP(P95,Hoja2!C:D,2,FALSE)</f>
        <v>JPUPULIN</v>
      </c>
    </row>
    <row r="96" spans="1:20" x14ac:dyDescent="0.3">
      <c r="A96" s="2" t="s">
        <v>14</v>
      </c>
      <c r="B96" s="3" t="s">
        <v>14</v>
      </c>
      <c r="C96" s="3" t="s">
        <v>125</v>
      </c>
      <c r="D96" s="3" t="s">
        <v>14</v>
      </c>
      <c r="E96" s="3" t="s">
        <v>96</v>
      </c>
      <c r="F96" s="4">
        <v>46071</v>
      </c>
      <c r="G96" s="3" t="s">
        <v>43</v>
      </c>
      <c r="H96" s="6">
        <v>-1894349.3</v>
      </c>
      <c r="I96" s="3" t="s">
        <v>16</v>
      </c>
      <c r="J96" s="3" t="s">
        <v>14</v>
      </c>
      <c r="K96" s="3" t="s">
        <v>14</v>
      </c>
      <c r="L96" s="3" t="s">
        <v>126</v>
      </c>
      <c r="M96" s="4">
        <v>46071</v>
      </c>
      <c r="N96" s="3" t="s">
        <v>127</v>
      </c>
      <c r="O96" s="3" t="s">
        <v>33</v>
      </c>
      <c r="P96" t="str">
        <f t="shared" si="1"/>
        <v>450011995310</v>
      </c>
      <c r="Q96" s="7" cm="1">
        <f t="array" ref="Q96:S96">VLOOKUP(P96,Hoja1!C:F,{2,3,4},FALSE)</f>
        <v>46096</v>
      </c>
      <c r="R96" t="str">
        <v>C39</v>
      </c>
      <c r="S96" t="str">
        <v>1000003490 M D AUTOELEVADORES Y EQUIPOS S</v>
      </c>
      <c r="T96" t="str">
        <f>VLOOKUP(P96,Hoja2!C:D,2,FALSE)</f>
        <v>EFUNES</v>
      </c>
    </row>
    <row r="97" spans="1:20" x14ac:dyDescent="0.3">
      <c r="A97" s="2" t="s">
        <v>14</v>
      </c>
      <c r="B97" s="3" t="s">
        <v>14</v>
      </c>
      <c r="C97" s="3" t="s">
        <v>128</v>
      </c>
      <c r="D97" s="3" t="s">
        <v>55</v>
      </c>
      <c r="E97" s="3" t="s">
        <v>96</v>
      </c>
      <c r="F97" s="4">
        <v>46071</v>
      </c>
      <c r="G97" s="3" t="s">
        <v>43</v>
      </c>
      <c r="H97" s="6">
        <v>-908113.2</v>
      </c>
      <c r="I97" s="3" t="s">
        <v>16</v>
      </c>
      <c r="J97" s="3" t="s">
        <v>14</v>
      </c>
      <c r="K97" s="3" t="s">
        <v>14</v>
      </c>
      <c r="L97" s="3" t="s">
        <v>1269</v>
      </c>
      <c r="M97" s="4">
        <v>46071</v>
      </c>
      <c r="N97" s="3" t="s">
        <v>129</v>
      </c>
      <c r="O97" s="3" t="s">
        <v>33</v>
      </c>
      <c r="P97" t="str">
        <f t="shared" si="1"/>
        <v>450012018610</v>
      </c>
      <c r="Q97" s="7" cm="1">
        <f t="array" ref="Q97:S97">VLOOKUP(P97,Hoja1!C:F,{2,3,4},FALSE)</f>
        <v>46065</v>
      </c>
      <c r="R97" t="str">
        <v>C21</v>
      </c>
      <c r="S97" t="str">
        <v>1000000634 RAIZEN ARGENTINA S.A.U.</v>
      </c>
      <c r="T97" t="str">
        <f>VLOOKUP(P97,Hoja2!C:D,2,FALSE)</f>
        <v>JPUPULIN</v>
      </c>
    </row>
    <row r="98" spans="1:20" x14ac:dyDescent="0.3">
      <c r="A98" s="2" t="s">
        <v>14</v>
      </c>
      <c r="B98" s="3" t="s">
        <v>14</v>
      </c>
      <c r="C98" s="3" t="s">
        <v>128</v>
      </c>
      <c r="D98" s="3" t="s">
        <v>55</v>
      </c>
      <c r="E98" s="3" t="s">
        <v>96</v>
      </c>
      <c r="F98" s="4">
        <v>46071</v>
      </c>
      <c r="G98" s="3" t="s">
        <v>43</v>
      </c>
      <c r="H98" s="6">
        <v>-99434</v>
      </c>
      <c r="I98" s="3" t="s">
        <v>16</v>
      </c>
      <c r="J98" s="3" t="s">
        <v>14</v>
      </c>
      <c r="K98" s="3" t="s">
        <v>14</v>
      </c>
      <c r="L98" s="3" t="s">
        <v>1269</v>
      </c>
      <c r="M98" s="4">
        <v>46071</v>
      </c>
      <c r="N98" s="3" t="s">
        <v>129</v>
      </c>
      <c r="O98" s="3" t="s">
        <v>33</v>
      </c>
      <c r="P98" t="str">
        <f t="shared" si="1"/>
        <v>450012018610</v>
      </c>
      <c r="Q98" s="7" cm="1">
        <f t="array" ref="Q98:S98">VLOOKUP(P98,Hoja1!C:F,{2,3,4},FALSE)</f>
        <v>46065</v>
      </c>
      <c r="R98" t="str">
        <v>C21</v>
      </c>
      <c r="S98" t="str">
        <v>1000000634 RAIZEN ARGENTINA S.A.U.</v>
      </c>
      <c r="T98" t="str">
        <f>VLOOKUP(P98,Hoja2!C:D,2,FALSE)</f>
        <v>JPUPULIN</v>
      </c>
    </row>
    <row r="99" spans="1:20" x14ac:dyDescent="0.3">
      <c r="A99" s="2" t="s">
        <v>14</v>
      </c>
      <c r="B99" s="3" t="s">
        <v>14</v>
      </c>
      <c r="C99" s="3" t="s">
        <v>128</v>
      </c>
      <c r="D99" s="3" t="s">
        <v>55</v>
      </c>
      <c r="E99" s="3" t="s">
        <v>96</v>
      </c>
      <c r="F99" s="4">
        <v>46071</v>
      </c>
      <c r="G99" s="3" t="s">
        <v>43</v>
      </c>
      <c r="H99" s="6">
        <v>-908113.2</v>
      </c>
      <c r="I99" s="3" t="s">
        <v>16</v>
      </c>
      <c r="J99" s="3" t="s">
        <v>14</v>
      </c>
      <c r="K99" s="3" t="s">
        <v>14</v>
      </c>
      <c r="L99" s="3" t="s">
        <v>1269</v>
      </c>
      <c r="M99" s="4">
        <v>46071</v>
      </c>
      <c r="N99" s="3" t="s">
        <v>129</v>
      </c>
      <c r="O99" s="3" t="s">
        <v>20</v>
      </c>
      <c r="P99" t="str">
        <f t="shared" si="1"/>
        <v>450012018620</v>
      </c>
      <c r="Q99" s="7" cm="1">
        <f t="array" ref="Q99:S99">VLOOKUP(P99,Hoja1!C:F,{2,3,4},FALSE)</f>
        <v>46065</v>
      </c>
      <c r="R99" t="str">
        <v>C21</v>
      </c>
      <c r="S99" t="str">
        <v>1000000634 RAIZEN ARGENTINA S.A.U.</v>
      </c>
      <c r="T99" t="str">
        <f>VLOOKUP(P99,Hoja2!C:D,2,FALSE)</f>
        <v>JPUPULIN</v>
      </c>
    </row>
    <row r="100" spans="1:20" x14ac:dyDescent="0.3">
      <c r="A100" s="2" t="s">
        <v>14</v>
      </c>
      <c r="B100" s="3" t="s">
        <v>14</v>
      </c>
      <c r="C100" s="3" t="s">
        <v>128</v>
      </c>
      <c r="D100" s="3" t="s">
        <v>55</v>
      </c>
      <c r="E100" s="3" t="s">
        <v>96</v>
      </c>
      <c r="F100" s="4">
        <v>46071</v>
      </c>
      <c r="G100" s="3" t="s">
        <v>43</v>
      </c>
      <c r="H100" s="6">
        <v>-99434</v>
      </c>
      <c r="I100" s="3" t="s">
        <v>16</v>
      </c>
      <c r="J100" s="3" t="s">
        <v>14</v>
      </c>
      <c r="K100" s="3" t="s">
        <v>14</v>
      </c>
      <c r="L100" s="3" t="s">
        <v>1269</v>
      </c>
      <c r="M100" s="4">
        <v>46071</v>
      </c>
      <c r="N100" s="3" t="s">
        <v>129</v>
      </c>
      <c r="O100" s="3" t="s">
        <v>20</v>
      </c>
      <c r="P100" t="str">
        <f t="shared" si="1"/>
        <v>450012018620</v>
      </c>
      <c r="Q100" s="7" cm="1">
        <f t="array" ref="Q100:S100">VLOOKUP(P100,Hoja1!C:F,{2,3,4},FALSE)</f>
        <v>46065</v>
      </c>
      <c r="R100" t="str">
        <v>C21</v>
      </c>
      <c r="S100" t="str">
        <v>1000000634 RAIZEN ARGENTINA S.A.U.</v>
      </c>
      <c r="T100" t="str">
        <f>VLOOKUP(P100,Hoja2!C:D,2,FALSE)</f>
        <v>JPUPULIN</v>
      </c>
    </row>
    <row r="101" spans="1:20" x14ac:dyDescent="0.3">
      <c r="A101" s="2" t="s">
        <v>14</v>
      </c>
      <c r="B101" s="3" t="s">
        <v>14</v>
      </c>
      <c r="C101" s="3" t="s">
        <v>130</v>
      </c>
      <c r="D101" s="3" t="s">
        <v>55</v>
      </c>
      <c r="E101" s="3" t="s">
        <v>96</v>
      </c>
      <c r="F101" s="4">
        <v>46072</v>
      </c>
      <c r="G101" s="3" t="s">
        <v>43</v>
      </c>
      <c r="H101" s="6">
        <v>-908113.2</v>
      </c>
      <c r="I101" s="3" t="s">
        <v>16</v>
      </c>
      <c r="J101" s="3" t="s">
        <v>14</v>
      </c>
      <c r="K101" s="3" t="s">
        <v>14</v>
      </c>
      <c r="L101" s="3" t="s">
        <v>1269</v>
      </c>
      <c r="M101" s="4">
        <v>46072</v>
      </c>
      <c r="N101" s="3" t="s">
        <v>131</v>
      </c>
      <c r="O101" s="3" t="s">
        <v>33</v>
      </c>
      <c r="P101" t="str">
        <f t="shared" si="1"/>
        <v>450012035810</v>
      </c>
      <c r="Q101" s="7" cm="1">
        <f t="array" ref="Q101:S101">VLOOKUP(P101,Hoja1!C:F,{2,3,4},FALSE)</f>
        <v>46065</v>
      </c>
      <c r="R101" t="str">
        <v>C21</v>
      </c>
      <c r="S101" t="str">
        <v>1000000634 RAIZEN ARGENTINA S.A.U.</v>
      </c>
      <c r="T101" t="str">
        <f>VLOOKUP(P101,Hoja2!C:D,2,FALSE)</f>
        <v>JPUPULIN</v>
      </c>
    </row>
    <row r="102" spans="1:20" x14ac:dyDescent="0.3">
      <c r="A102" s="2" t="s">
        <v>14</v>
      </c>
      <c r="B102" s="3" t="s">
        <v>14</v>
      </c>
      <c r="C102" s="3" t="s">
        <v>130</v>
      </c>
      <c r="D102" s="3" t="s">
        <v>55</v>
      </c>
      <c r="E102" s="3" t="s">
        <v>96</v>
      </c>
      <c r="F102" s="4">
        <v>46072</v>
      </c>
      <c r="G102" s="3" t="s">
        <v>43</v>
      </c>
      <c r="H102" s="6">
        <v>-99434</v>
      </c>
      <c r="I102" s="3" t="s">
        <v>16</v>
      </c>
      <c r="J102" s="3" t="s">
        <v>14</v>
      </c>
      <c r="K102" s="3" t="s">
        <v>14</v>
      </c>
      <c r="L102" s="3" t="s">
        <v>1269</v>
      </c>
      <c r="M102" s="4">
        <v>46072</v>
      </c>
      <c r="N102" s="3" t="s">
        <v>131</v>
      </c>
      <c r="O102" s="3" t="s">
        <v>33</v>
      </c>
      <c r="P102" t="str">
        <f t="shared" si="1"/>
        <v>450012035810</v>
      </c>
      <c r="Q102" s="7" cm="1">
        <f t="array" ref="Q102:S102">VLOOKUP(P102,Hoja1!C:F,{2,3,4},FALSE)</f>
        <v>46065</v>
      </c>
      <c r="R102" t="str">
        <v>C21</v>
      </c>
      <c r="S102" t="str">
        <v>1000000634 RAIZEN ARGENTINA S.A.U.</v>
      </c>
      <c r="T102" t="str">
        <f>VLOOKUP(P102,Hoja2!C:D,2,FALSE)</f>
        <v>JPUPULIN</v>
      </c>
    </row>
    <row r="103" spans="1:20" x14ac:dyDescent="0.3">
      <c r="A103" s="2" t="s">
        <v>14</v>
      </c>
      <c r="B103" s="3" t="s">
        <v>14</v>
      </c>
      <c r="C103" s="3" t="s">
        <v>132</v>
      </c>
      <c r="D103" s="3" t="s">
        <v>14</v>
      </c>
      <c r="E103" s="3" t="s">
        <v>96</v>
      </c>
      <c r="F103" s="4">
        <v>46076</v>
      </c>
      <c r="G103" s="3" t="s">
        <v>43</v>
      </c>
      <c r="H103" s="6">
        <v>-4794608.07</v>
      </c>
      <c r="I103" s="3" t="s">
        <v>16</v>
      </c>
      <c r="J103" s="3" t="s">
        <v>14</v>
      </c>
      <c r="K103" s="3" t="s">
        <v>14</v>
      </c>
      <c r="L103" s="3" t="s">
        <v>133</v>
      </c>
      <c r="M103" s="4">
        <v>46076</v>
      </c>
      <c r="N103" s="3" t="s">
        <v>134</v>
      </c>
      <c r="O103" s="3" t="s">
        <v>33</v>
      </c>
      <c r="P103" t="str">
        <f t="shared" si="1"/>
        <v>450011890610</v>
      </c>
      <c r="Q103" s="7" cm="1">
        <f t="array" ref="Q103:S103">VLOOKUP(P103,Hoja1!C:F,{2,3,4},FALSE)</f>
        <v>46096</v>
      </c>
      <c r="R103" t="str">
        <v>C48</v>
      </c>
      <c r="S103" t="str">
        <v>1000011072 NEUMATICOS GOODYEAR S R L</v>
      </c>
      <c r="T103" t="str">
        <f>VLOOKUP(P103,Hoja2!C:D,2,FALSE)</f>
        <v>WVENTURINI</v>
      </c>
    </row>
    <row r="104" spans="1:20" x14ac:dyDescent="0.3">
      <c r="A104" s="2" t="s">
        <v>14</v>
      </c>
      <c r="B104" s="3" t="s">
        <v>14</v>
      </c>
      <c r="C104" s="3" t="s">
        <v>135</v>
      </c>
      <c r="D104" s="3" t="s">
        <v>55</v>
      </c>
      <c r="E104" s="3" t="s">
        <v>96</v>
      </c>
      <c r="F104" s="4">
        <v>46077</v>
      </c>
      <c r="G104" s="3" t="s">
        <v>43</v>
      </c>
      <c r="H104" s="6">
        <v>-908113.2</v>
      </c>
      <c r="I104" s="3" t="s">
        <v>16</v>
      </c>
      <c r="J104" s="3" t="s">
        <v>14</v>
      </c>
      <c r="K104" s="3" t="s">
        <v>14</v>
      </c>
      <c r="L104" s="3" t="s">
        <v>1269</v>
      </c>
      <c r="M104" s="4">
        <v>46077</v>
      </c>
      <c r="N104" s="3" t="s">
        <v>136</v>
      </c>
      <c r="O104" s="3" t="s">
        <v>33</v>
      </c>
      <c r="P104" t="str">
        <f t="shared" si="1"/>
        <v>450012063010</v>
      </c>
      <c r="Q104" s="7" cm="1">
        <f t="array" ref="Q104:S104">VLOOKUP(P104,Hoja1!C:F,{2,3,4},FALSE)</f>
        <v>46065</v>
      </c>
      <c r="R104" t="str">
        <v>C21</v>
      </c>
      <c r="S104" t="str">
        <v>1000000634 RAIZEN ARGENTINA S.A.U.</v>
      </c>
      <c r="T104" t="str">
        <f>VLOOKUP(P104,Hoja2!C:D,2,FALSE)</f>
        <v>JPUPULIN</v>
      </c>
    </row>
    <row r="105" spans="1:20" x14ac:dyDescent="0.3">
      <c r="A105" s="2" t="s">
        <v>14</v>
      </c>
      <c r="B105" s="3" t="s">
        <v>14</v>
      </c>
      <c r="C105" s="3" t="s">
        <v>135</v>
      </c>
      <c r="D105" s="3" t="s">
        <v>55</v>
      </c>
      <c r="E105" s="3" t="s">
        <v>96</v>
      </c>
      <c r="F105" s="4">
        <v>46077</v>
      </c>
      <c r="G105" s="3" t="s">
        <v>43</v>
      </c>
      <c r="H105" s="6">
        <v>-99434</v>
      </c>
      <c r="I105" s="3" t="s">
        <v>16</v>
      </c>
      <c r="J105" s="3" t="s">
        <v>14</v>
      </c>
      <c r="K105" s="3" t="s">
        <v>14</v>
      </c>
      <c r="L105" s="3" t="s">
        <v>1269</v>
      </c>
      <c r="M105" s="4">
        <v>46077</v>
      </c>
      <c r="N105" s="3" t="s">
        <v>136</v>
      </c>
      <c r="O105" s="3" t="s">
        <v>33</v>
      </c>
      <c r="P105" t="str">
        <f t="shared" si="1"/>
        <v>450012063010</v>
      </c>
      <c r="Q105" s="7" cm="1">
        <f t="array" ref="Q105:S105">VLOOKUP(P105,Hoja1!C:F,{2,3,4},FALSE)</f>
        <v>46065</v>
      </c>
      <c r="R105" t="str">
        <v>C21</v>
      </c>
      <c r="S105" t="str">
        <v>1000000634 RAIZEN ARGENTINA S.A.U.</v>
      </c>
      <c r="T105" t="str">
        <f>VLOOKUP(P105,Hoja2!C:D,2,FALSE)</f>
        <v>JPUPULIN</v>
      </c>
    </row>
    <row r="106" spans="1:20" x14ac:dyDescent="0.3">
      <c r="A106" s="2" t="s">
        <v>14</v>
      </c>
      <c r="B106" s="3" t="s">
        <v>14</v>
      </c>
      <c r="C106" s="3" t="s">
        <v>137</v>
      </c>
      <c r="D106" s="3" t="s">
        <v>14</v>
      </c>
      <c r="E106" s="3" t="s">
        <v>96</v>
      </c>
      <c r="F106" s="4">
        <v>46079</v>
      </c>
      <c r="G106" s="3" t="s">
        <v>43</v>
      </c>
      <c r="H106" s="6">
        <v>-3424720.05</v>
      </c>
      <c r="I106" s="3" t="s">
        <v>16</v>
      </c>
      <c r="J106" s="3" t="s">
        <v>14</v>
      </c>
      <c r="K106" s="3" t="s">
        <v>14</v>
      </c>
      <c r="L106" s="3" t="s">
        <v>133</v>
      </c>
      <c r="M106" s="4">
        <v>46079</v>
      </c>
      <c r="N106" s="3" t="s">
        <v>134</v>
      </c>
      <c r="O106" s="3" t="s">
        <v>33</v>
      </c>
      <c r="P106" t="str">
        <f t="shared" si="1"/>
        <v>450011890610</v>
      </c>
      <c r="Q106" s="7" cm="1">
        <f t="array" ref="Q106:S106">VLOOKUP(P106,Hoja1!C:F,{2,3,4},FALSE)</f>
        <v>46096</v>
      </c>
      <c r="R106" t="str">
        <v>C48</v>
      </c>
      <c r="S106" t="str">
        <v>1000011072 NEUMATICOS GOODYEAR S R L</v>
      </c>
      <c r="T106" t="str">
        <f>VLOOKUP(P106,Hoja2!C:D,2,FALSE)</f>
        <v>WVENTURINI</v>
      </c>
    </row>
    <row r="107" spans="1:20" x14ac:dyDescent="0.3">
      <c r="A107" s="2" t="s">
        <v>14</v>
      </c>
      <c r="B107" s="3" t="s">
        <v>14</v>
      </c>
      <c r="C107" s="3" t="s">
        <v>138</v>
      </c>
      <c r="D107" s="3" t="s">
        <v>14</v>
      </c>
      <c r="E107" s="3" t="s">
        <v>96</v>
      </c>
      <c r="F107" s="4">
        <v>46081</v>
      </c>
      <c r="G107" s="3" t="s">
        <v>43</v>
      </c>
      <c r="H107" s="6">
        <v>-9382380</v>
      </c>
      <c r="I107" s="3" t="s">
        <v>16</v>
      </c>
      <c r="J107" s="3" t="s">
        <v>14</v>
      </c>
      <c r="K107" s="3" t="s">
        <v>14</v>
      </c>
      <c r="L107" s="3" t="s">
        <v>1269</v>
      </c>
      <c r="M107" s="4">
        <v>46081</v>
      </c>
      <c r="N107" s="3" t="s">
        <v>139</v>
      </c>
      <c r="O107" s="3" t="s">
        <v>33</v>
      </c>
      <c r="P107" t="str">
        <f t="shared" si="1"/>
        <v>450012003810</v>
      </c>
      <c r="Q107" s="7" cm="1">
        <f t="array" ref="Q107:S107">VLOOKUP(P107,Hoja1!C:F,{2,3,4},FALSE)</f>
        <v>46203</v>
      </c>
      <c r="R107" t="str">
        <v>C21</v>
      </c>
      <c r="S107" t="str">
        <v>1000000634 RAIZEN ARGENTINA S.A.U.</v>
      </c>
      <c r="T107" t="str">
        <f>VLOOKUP(P107,Hoja2!C:D,2,FALSE)</f>
        <v>RMIR</v>
      </c>
    </row>
    <row r="108" spans="1:20" x14ac:dyDescent="0.3">
      <c r="A108" s="2" t="s">
        <v>14</v>
      </c>
      <c r="B108" s="3" t="s">
        <v>14</v>
      </c>
      <c r="C108" s="3" t="s">
        <v>138</v>
      </c>
      <c r="D108" s="3" t="s">
        <v>14</v>
      </c>
      <c r="E108" s="3" t="s">
        <v>96</v>
      </c>
      <c r="F108" s="4">
        <v>46081</v>
      </c>
      <c r="G108" s="3" t="s">
        <v>43</v>
      </c>
      <c r="H108" s="6">
        <v>-1069320</v>
      </c>
      <c r="I108" s="3" t="s">
        <v>16</v>
      </c>
      <c r="J108" s="3" t="s">
        <v>14</v>
      </c>
      <c r="K108" s="3" t="s">
        <v>14</v>
      </c>
      <c r="L108" s="3" t="s">
        <v>1269</v>
      </c>
      <c r="M108" s="4">
        <v>46081</v>
      </c>
      <c r="N108" s="3" t="s">
        <v>139</v>
      </c>
      <c r="O108" s="3" t="s">
        <v>33</v>
      </c>
      <c r="P108" t="str">
        <f t="shared" si="1"/>
        <v>450012003810</v>
      </c>
      <c r="Q108" s="7" cm="1">
        <f t="array" ref="Q108:S108">VLOOKUP(P108,Hoja1!C:F,{2,3,4},FALSE)</f>
        <v>46203</v>
      </c>
      <c r="R108" t="str">
        <v>C21</v>
      </c>
      <c r="S108" t="str">
        <v>1000000634 RAIZEN ARGENTINA S.A.U.</v>
      </c>
      <c r="T108" t="str">
        <f>VLOOKUP(P108,Hoja2!C:D,2,FALSE)</f>
        <v>RMIR</v>
      </c>
    </row>
    <row r="109" spans="1:20" x14ac:dyDescent="0.3">
      <c r="A109" s="2" t="s">
        <v>14</v>
      </c>
      <c r="B109" s="3" t="s">
        <v>14</v>
      </c>
      <c r="C109" s="3" t="s">
        <v>140</v>
      </c>
      <c r="D109" s="3" t="s">
        <v>14</v>
      </c>
      <c r="E109" s="3" t="s">
        <v>96</v>
      </c>
      <c r="F109" s="4">
        <v>46077</v>
      </c>
      <c r="G109" s="3" t="s">
        <v>43</v>
      </c>
      <c r="H109" s="6">
        <v>-9382380</v>
      </c>
      <c r="I109" s="3" t="s">
        <v>16</v>
      </c>
      <c r="J109" s="3" t="s">
        <v>14</v>
      </c>
      <c r="K109" s="3" t="s">
        <v>14</v>
      </c>
      <c r="L109" s="3" t="s">
        <v>1269</v>
      </c>
      <c r="M109" s="4">
        <v>46083</v>
      </c>
      <c r="N109" s="3" t="s">
        <v>139</v>
      </c>
      <c r="O109" s="3" t="s">
        <v>33</v>
      </c>
      <c r="P109" t="str">
        <f t="shared" si="1"/>
        <v>450012003810</v>
      </c>
      <c r="Q109" s="7" cm="1">
        <f t="array" ref="Q109:S109">VLOOKUP(P109,Hoja1!C:F,{2,3,4},FALSE)</f>
        <v>46203</v>
      </c>
      <c r="R109" t="str">
        <v>C21</v>
      </c>
      <c r="S109" t="str">
        <v>1000000634 RAIZEN ARGENTINA S.A.U.</v>
      </c>
      <c r="T109" t="str">
        <f>VLOOKUP(P109,Hoja2!C:D,2,FALSE)</f>
        <v>RMIR</v>
      </c>
    </row>
    <row r="110" spans="1:20" x14ac:dyDescent="0.3">
      <c r="A110" s="2" t="s">
        <v>14</v>
      </c>
      <c r="B110" s="3" t="s">
        <v>14</v>
      </c>
      <c r="C110" s="3" t="s">
        <v>140</v>
      </c>
      <c r="D110" s="3" t="s">
        <v>14</v>
      </c>
      <c r="E110" s="3" t="s">
        <v>96</v>
      </c>
      <c r="F110" s="4">
        <v>46077</v>
      </c>
      <c r="G110" s="3" t="s">
        <v>43</v>
      </c>
      <c r="H110" s="6">
        <v>-1069320</v>
      </c>
      <c r="I110" s="3" t="s">
        <v>16</v>
      </c>
      <c r="J110" s="3" t="s">
        <v>14</v>
      </c>
      <c r="K110" s="3" t="s">
        <v>14</v>
      </c>
      <c r="L110" s="3" t="s">
        <v>1269</v>
      </c>
      <c r="M110" s="4">
        <v>46083</v>
      </c>
      <c r="N110" s="3" t="s">
        <v>139</v>
      </c>
      <c r="O110" s="3" t="s">
        <v>33</v>
      </c>
      <c r="P110" t="str">
        <f t="shared" si="1"/>
        <v>450012003810</v>
      </c>
      <c r="Q110" s="7" cm="1">
        <f t="array" ref="Q110:S110">VLOOKUP(P110,Hoja1!C:F,{2,3,4},FALSE)</f>
        <v>46203</v>
      </c>
      <c r="R110" t="str">
        <v>C21</v>
      </c>
      <c r="S110" t="str">
        <v>1000000634 RAIZEN ARGENTINA S.A.U.</v>
      </c>
      <c r="T110" t="str">
        <f>VLOOKUP(P110,Hoja2!C:D,2,FALSE)</f>
        <v>RMIR</v>
      </c>
    </row>
    <row r="111" spans="1:20" x14ac:dyDescent="0.3">
      <c r="A111" s="2" t="s">
        <v>14</v>
      </c>
      <c r="B111" s="3" t="s">
        <v>14</v>
      </c>
      <c r="C111" s="3" t="s">
        <v>142</v>
      </c>
      <c r="D111" s="3" t="s">
        <v>14</v>
      </c>
      <c r="E111" s="3" t="s">
        <v>96</v>
      </c>
      <c r="F111" s="4">
        <v>46085</v>
      </c>
      <c r="G111" s="3" t="s">
        <v>43</v>
      </c>
      <c r="H111" s="6">
        <v>-9605770</v>
      </c>
      <c r="I111" s="3" t="s">
        <v>16</v>
      </c>
      <c r="J111" s="3" t="s">
        <v>14</v>
      </c>
      <c r="K111" s="3" t="s">
        <v>14</v>
      </c>
      <c r="L111" s="3" t="s">
        <v>1269</v>
      </c>
      <c r="M111" s="4">
        <v>46085</v>
      </c>
      <c r="N111" s="3" t="s">
        <v>139</v>
      </c>
      <c r="O111" s="3" t="s">
        <v>33</v>
      </c>
      <c r="P111" t="str">
        <f t="shared" si="1"/>
        <v>450012003810</v>
      </c>
      <c r="Q111" s="7" cm="1">
        <f t="array" ref="Q111:S111">VLOOKUP(P111,Hoja1!C:F,{2,3,4},FALSE)</f>
        <v>46203</v>
      </c>
      <c r="R111" t="str">
        <v>C21</v>
      </c>
      <c r="S111" t="str">
        <v>1000000634 RAIZEN ARGENTINA S.A.U.</v>
      </c>
      <c r="T111" t="str">
        <f>VLOOKUP(P111,Hoja2!C:D,2,FALSE)</f>
        <v>RMIR</v>
      </c>
    </row>
    <row r="112" spans="1:20" x14ac:dyDescent="0.3">
      <c r="A112" s="2" t="s">
        <v>14</v>
      </c>
      <c r="B112" s="3" t="s">
        <v>14</v>
      </c>
      <c r="C112" s="3" t="s">
        <v>142</v>
      </c>
      <c r="D112" s="3" t="s">
        <v>14</v>
      </c>
      <c r="E112" s="3" t="s">
        <v>96</v>
      </c>
      <c r="F112" s="4">
        <v>46085</v>
      </c>
      <c r="G112" s="3" t="s">
        <v>43</v>
      </c>
      <c r="H112" s="6">
        <v>-1094780</v>
      </c>
      <c r="I112" s="3" t="s">
        <v>16</v>
      </c>
      <c r="J112" s="3" t="s">
        <v>14</v>
      </c>
      <c r="K112" s="3" t="s">
        <v>14</v>
      </c>
      <c r="L112" s="3" t="s">
        <v>1269</v>
      </c>
      <c r="M112" s="4">
        <v>46085</v>
      </c>
      <c r="N112" s="3" t="s">
        <v>139</v>
      </c>
      <c r="O112" s="3" t="s">
        <v>33</v>
      </c>
      <c r="P112" t="str">
        <f t="shared" si="1"/>
        <v>450012003810</v>
      </c>
      <c r="Q112" s="7" cm="1">
        <f t="array" ref="Q112:S112">VLOOKUP(P112,Hoja1!C:F,{2,3,4},FALSE)</f>
        <v>46203</v>
      </c>
      <c r="R112" t="str">
        <v>C21</v>
      </c>
      <c r="S112" t="str">
        <v>1000000634 RAIZEN ARGENTINA S.A.U.</v>
      </c>
      <c r="T112" t="str">
        <f>VLOOKUP(P112,Hoja2!C:D,2,FALSE)</f>
        <v>RMIR</v>
      </c>
    </row>
    <row r="113" spans="1:20" x14ac:dyDescent="0.3">
      <c r="A113" s="2" t="s">
        <v>14</v>
      </c>
      <c r="B113" s="3" t="s">
        <v>14</v>
      </c>
      <c r="C113" s="3" t="s">
        <v>143</v>
      </c>
      <c r="D113" s="3" t="s">
        <v>14</v>
      </c>
      <c r="E113" s="3" t="s">
        <v>96</v>
      </c>
      <c r="F113" s="4">
        <v>46086</v>
      </c>
      <c r="G113" s="3" t="s">
        <v>43</v>
      </c>
      <c r="H113" s="6">
        <v>-2317360</v>
      </c>
      <c r="I113" s="3" t="s">
        <v>16</v>
      </c>
      <c r="J113" s="3" t="s">
        <v>14</v>
      </c>
      <c r="K113" s="3" t="s">
        <v>14</v>
      </c>
      <c r="L113" s="3" t="s">
        <v>144</v>
      </c>
      <c r="M113" s="4">
        <v>46086</v>
      </c>
      <c r="N113" s="3" t="s">
        <v>145</v>
      </c>
      <c r="O113" s="3" t="s">
        <v>33</v>
      </c>
      <c r="P113" t="str">
        <f t="shared" si="1"/>
        <v>450011888510</v>
      </c>
      <c r="Q113" s="7" cm="1">
        <f t="array" ref="Q113:S113">VLOOKUP(P113,Hoja1!C:F,{2,3,4},FALSE)</f>
        <v>46096</v>
      </c>
      <c r="R113" t="str">
        <v>C04</v>
      </c>
      <c r="S113" t="str">
        <v>1000010438 TURBOS T&amp;T S.R.L</v>
      </c>
      <c r="T113" t="str">
        <f>VLOOKUP(P113,Hoja2!C:D,2,FALSE)</f>
        <v>GROSES</v>
      </c>
    </row>
    <row r="114" spans="1:20" x14ac:dyDescent="0.3">
      <c r="A114" s="2" t="s">
        <v>14</v>
      </c>
      <c r="B114" s="3" t="s">
        <v>14</v>
      </c>
      <c r="C114" s="3" t="s">
        <v>146</v>
      </c>
      <c r="D114" s="3" t="s">
        <v>14</v>
      </c>
      <c r="E114" s="3" t="s">
        <v>96</v>
      </c>
      <c r="F114" s="4">
        <v>46087</v>
      </c>
      <c r="G114" s="3" t="s">
        <v>43</v>
      </c>
      <c r="H114" s="6">
        <v>-9605770</v>
      </c>
      <c r="I114" s="3" t="s">
        <v>16</v>
      </c>
      <c r="J114" s="3" t="s">
        <v>14</v>
      </c>
      <c r="K114" s="3" t="s">
        <v>14</v>
      </c>
      <c r="L114" s="3" t="s">
        <v>1269</v>
      </c>
      <c r="M114" s="4">
        <v>46087</v>
      </c>
      <c r="N114" s="3" t="s">
        <v>139</v>
      </c>
      <c r="O114" s="3" t="s">
        <v>33</v>
      </c>
      <c r="P114" t="str">
        <f t="shared" si="1"/>
        <v>450012003810</v>
      </c>
      <c r="Q114" s="7" cm="1">
        <f t="array" ref="Q114:S114">VLOOKUP(P114,Hoja1!C:F,{2,3,4},FALSE)</f>
        <v>46203</v>
      </c>
      <c r="R114" t="str">
        <v>C21</v>
      </c>
      <c r="S114" t="str">
        <v>1000000634 RAIZEN ARGENTINA S.A.U.</v>
      </c>
      <c r="T114" t="str">
        <f>VLOOKUP(P114,Hoja2!C:D,2,FALSE)</f>
        <v>RMIR</v>
      </c>
    </row>
    <row r="115" spans="1:20" x14ac:dyDescent="0.3">
      <c r="A115" s="2" t="s">
        <v>14</v>
      </c>
      <c r="B115" s="3" t="s">
        <v>14</v>
      </c>
      <c r="C115" s="3" t="s">
        <v>146</v>
      </c>
      <c r="D115" s="3" t="s">
        <v>14</v>
      </c>
      <c r="E115" s="3" t="s">
        <v>96</v>
      </c>
      <c r="F115" s="4">
        <v>46087</v>
      </c>
      <c r="G115" s="3" t="s">
        <v>43</v>
      </c>
      <c r="H115" s="6">
        <v>-1094780</v>
      </c>
      <c r="I115" s="3" t="s">
        <v>16</v>
      </c>
      <c r="J115" s="3" t="s">
        <v>14</v>
      </c>
      <c r="K115" s="3" t="s">
        <v>14</v>
      </c>
      <c r="L115" s="3" t="s">
        <v>1269</v>
      </c>
      <c r="M115" s="4">
        <v>46087</v>
      </c>
      <c r="N115" s="3" t="s">
        <v>139</v>
      </c>
      <c r="O115" s="3" t="s">
        <v>33</v>
      </c>
      <c r="P115" t="str">
        <f t="shared" si="1"/>
        <v>450012003810</v>
      </c>
      <c r="Q115" s="7" cm="1">
        <f t="array" ref="Q115:S115">VLOOKUP(P115,Hoja1!C:F,{2,3,4},FALSE)</f>
        <v>46203</v>
      </c>
      <c r="R115" t="str">
        <v>C21</v>
      </c>
      <c r="S115" t="str">
        <v>1000000634 RAIZEN ARGENTINA S.A.U.</v>
      </c>
      <c r="T115" t="str">
        <f>VLOOKUP(P115,Hoja2!C:D,2,FALSE)</f>
        <v>RMIR</v>
      </c>
    </row>
    <row r="116" spans="1:20" x14ac:dyDescent="0.3">
      <c r="A116" s="2" t="s">
        <v>14</v>
      </c>
      <c r="B116" s="3" t="s">
        <v>14</v>
      </c>
      <c r="C116" s="3" t="s">
        <v>147</v>
      </c>
      <c r="D116" s="3" t="s">
        <v>14</v>
      </c>
      <c r="E116" s="3" t="s">
        <v>96</v>
      </c>
      <c r="F116" s="4">
        <v>46087</v>
      </c>
      <c r="G116" s="3" t="s">
        <v>43</v>
      </c>
      <c r="H116" s="6">
        <v>-308550</v>
      </c>
      <c r="I116" s="3" t="s">
        <v>16</v>
      </c>
      <c r="J116" s="3" t="s">
        <v>14</v>
      </c>
      <c r="K116" s="3" t="s">
        <v>14</v>
      </c>
      <c r="L116" s="3" t="s">
        <v>148</v>
      </c>
      <c r="M116" s="4">
        <v>46087</v>
      </c>
      <c r="N116" s="3" t="s">
        <v>149</v>
      </c>
      <c r="O116" s="3" t="s">
        <v>33</v>
      </c>
      <c r="P116" t="str">
        <f t="shared" si="1"/>
        <v>450011780310</v>
      </c>
      <c r="Q116" s="7" cm="1">
        <f t="array" ref="Q116:S116">VLOOKUP(P116,Hoja1!C:F,{2,3,4},FALSE)</f>
        <v>46092</v>
      </c>
      <c r="R116" t="str">
        <v>C03</v>
      </c>
      <c r="S116" t="str">
        <v>1000000062 FINNING ARGENTINA S.A.</v>
      </c>
      <c r="T116" t="str">
        <f>VLOOKUP(P116,Hoja2!C:D,2,FALSE)</f>
        <v>RPEREZ</v>
      </c>
    </row>
    <row r="117" spans="1:20" x14ac:dyDescent="0.3">
      <c r="A117" s="2" t="s">
        <v>14</v>
      </c>
      <c r="B117" s="3" t="s">
        <v>14</v>
      </c>
      <c r="C117" s="3" t="s">
        <v>150</v>
      </c>
      <c r="D117" s="3" t="s">
        <v>14</v>
      </c>
      <c r="E117" s="3" t="s">
        <v>96</v>
      </c>
      <c r="F117" s="4">
        <v>46091</v>
      </c>
      <c r="G117" s="3" t="s">
        <v>43</v>
      </c>
      <c r="H117" s="6">
        <v>-172.57</v>
      </c>
      <c r="I117" s="3" t="s">
        <v>16</v>
      </c>
      <c r="J117" s="3" t="s">
        <v>14</v>
      </c>
      <c r="K117" s="3" t="s">
        <v>14</v>
      </c>
      <c r="L117" s="3" t="s">
        <v>97</v>
      </c>
      <c r="M117" s="4">
        <v>46091</v>
      </c>
      <c r="N117" s="3" t="s">
        <v>151</v>
      </c>
      <c r="O117" s="3" t="s">
        <v>33</v>
      </c>
      <c r="P117" t="str">
        <f t="shared" si="1"/>
        <v>450012209210</v>
      </c>
      <c r="Q117" s="7" cm="1">
        <f t="array" ref="Q117:S117">VLOOKUP(P117,Hoja1!C:F,{2,3,4},FALSE)</f>
        <v>46124</v>
      </c>
      <c r="R117" t="str">
        <v>C21</v>
      </c>
      <c r="S117" t="str">
        <v>1000001020 COMBUSTIBLES BARCELO S.R.L.</v>
      </c>
      <c r="T117" t="str">
        <f>VLOOKUP(P117,Hoja2!C:D,2,FALSE)</f>
        <v>JPUPULIN</v>
      </c>
    </row>
    <row r="118" spans="1:20" x14ac:dyDescent="0.3">
      <c r="A118" s="2" t="s">
        <v>14</v>
      </c>
      <c r="B118" s="3" t="s">
        <v>14</v>
      </c>
      <c r="C118" s="3" t="s">
        <v>150</v>
      </c>
      <c r="D118" s="3" t="s">
        <v>14</v>
      </c>
      <c r="E118" s="3" t="s">
        <v>96</v>
      </c>
      <c r="F118" s="4">
        <v>46091</v>
      </c>
      <c r="G118" s="3" t="s">
        <v>43</v>
      </c>
      <c r="H118" s="6">
        <v>-19.670000000000002</v>
      </c>
      <c r="I118" s="3" t="s">
        <v>16</v>
      </c>
      <c r="J118" s="3" t="s">
        <v>14</v>
      </c>
      <c r="K118" s="3" t="s">
        <v>14</v>
      </c>
      <c r="L118" s="3" t="s">
        <v>97</v>
      </c>
      <c r="M118" s="4">
        <v>46091</v>
      </c>
      <c r="N118" s="3" t="s">
        <v>151</v>
      </c>
      <c r="O118" s="3" t="s">
        <v>33</v>
      </c>
      <c r="P118" t="str">
        <f t="shared" si="1"/>
        <v>450012209210</v>
      </c>
      <c r="Q118" s="7" cm="1">
        <f t="array" ref="Q118:S118">VLOOKUP(P118,Hoja1!C:F,{2,3,4},FALSE)</f>
        <v>46124</v>
      </c>
      <c r="R118" t="str">
        <v>C21</v>
      </c>
      <c r="S118" t="str">
        <v>1000001020 COMBUSTIBLES BARCELO S.R.L.</v>
      </c>
      <c r="T118" t="str">
        <f>VLOOKUP(P118,Hoja2!C:D,2,FALSE)</f>
        <v>JPUPULIN</v>
      </c>
    </row>
    <row r="119" spans="1:20" x14ac:dyDescent="0.3">
      <c r="A119" s="2" t="s">
        <v>14</v>
      </c>
      <c r="B119" s="3" t="s">
        <v>14</v>
      </c>
      <c r="C119" s="3" t="s">
        <v>152</v>
      </c>
      <c r="D119" s="3" t="s">
        <v>14</v>
      </c>
      <c r="E119" s="3" t="s">
        <v>96</v>
      </c>
      <c r="F119" s="4">
        <v>46093</v>
      </c>
      <c r="G119" s="3" t="s">
        <v>43</v>
      </c>
      <c r="H119" s="6">
        <v>-9382380</v>
      </c>
      <c r="I119" s="3" t="s">
        <v>16</v>
      </c>
      <c r="J119" s="3" t="s">
        <v>14</v>
      </c>
      <c r="K119" s="3" t="s">
        <v>14</v>
      </c>
      <c r="L119" s="3" t="s">
        <v>1269</v>
      </c>
      <c r="M119" s="4">
        <v>46093</v>
      </c>
      <c r="N119" s="3" t="s">
        <v>139</v>
      </c>
      <c r="O119" s="3" t="s">
        <v>33</v>
      </c>
      <c r="P119" t="str">
        <f t="shared" si="1"/>
        <v>450012003810</v>
      </c>
      <c r="Q119" s="7" cm="1">
        <f t="array" ref="Q119:S119">VLOOKUP(P119,Hoja1!C:F,{2,3,4},FALSE)</f>
        <v>46203</v>
      </c>
      <c r="R119" t="str">
        <v>C21</v>
      </c>
      <c r="S119" t="str">
        <v>1000000634 RAIZEN ARGENTINA S.A.U.</v>
      </c>
      <c r="T119" t="str">
        <f>VLOOKUP(P119,Hoja2!C:D,2,FALSE)</f>
        <v>RMIR</v>
      </c>
    </row>
    <row r="120" spans="1:20" x14ac:dyDescent="0.3">
      <c r="A120" s="2" t="s">
        <v>14</v>
      </c>
      <c r="B120" s="3" t="s">
        <v>14</v>
      </c>
      <c r="C120" s="3" t="s">
        <v>152</v>
      </c>
      <c r="D120" s="3" t="s">
        <v>14</v>
      </c>
      <c r="E120" s="3" t="s">
        <v>96</v>
      </c>
      <c r="F120" s="4">
        <v>46093</v>
      </c>
      <c r="G120" s="3" t="s">
        <v>43</v>
      </c>
      <c r="H120" s="6">
        <v>-1069320</v>
      </c>
      <c r="I120" s="3" t="s">
        <v>16</v>
      </c>
      <c r="J120" s="3" t="s">
        <v>14</v>
      </c>
      <c r="K120" s="3" t="s">
        <v>14</v>
      </c>
      <c r="L120" s="3" t="s">
        <v>1269</v>
      </c>
      <c r="M120" s="4">
        <v>46093</v>
      </c>
      <c r="N120" s="3" t="s">
        <v>139</v>
      </c>
      <c r="O120" s="3" t="s">
        <v>33</v>
      </c>
      <c r="P120" t="str">
        <f t="shared" si="1"/>
        <v>450012003810</v>
      </c>
      <c r="Q120" s="7" cm="1">
        <f t="array" ref="Q120:S120">VLOOKUP(P120,Hoja1!C:F,{2,3,4},FALSE)</f>
        <v>46203</v>
      </c>
      <c r="R120" t="str">
        <v>C21</v>
      </c>
      <c r="S120" t="str">
        <v>1000000634 RAIZEN ARGENTINA S.A.U.</v>
      </c>
      <c r="T120" t="str">
        <f>VLOOKUP(P120,Hoja2!C:D,2,FALSE)</f>
        <v>RMIR</v>
      </c>
    </row>
    <row r="121" spans="1:20" x14ac:dyDescent="0.3">
      <c r="A121" s="2" t="s">
        <v>14</v>
      </c>
      <c r="B121" s="3" t="s">
        <v>14</v>
      </c>
      <c r="C121" s="3" t="s">
        <v>153</v>
      </c>
      <c r="D121" s="3" t="s">
        <v>14</v>
      </c>
      <c r="E121" s="3" t="s">
        <v>96</v>
      </c>
      <c r="F121" s="4">
        <v>46093</v>
      </c>
      <c r="G121" s="3" t="s">
        <v>43</v>
      </c>
      <c r="H121" s="6">
        <v>-122772.05</v>
      </c>
      <c r="I121" s="3" t="s">
        <v>16</v>
      </c>
      <c r="J121" s="3" t="s">
        <v>14</v>
      </c>
      <c r="K121" s="3" t="s">
        <v>14</v>
      </c>
      <c r="L121" s="3" t="s">
        <v>154</v>
      </c>
      <c r="M121" s="4">
        <v>46093</v>
      </c>
      <c r="N121" s="3" t="s">
        <v>155</v>
      </c>
      <c r="O121" s="3" t="s">
        <v>33</v>
      </c>
      <c r="P121" t="str">
        <f t="shared" si="1"/>
        <v>450012221110</v>
      </c>
      <c r="Q121" s="7" cm="1">
        <f t="array" ref="Q121:S121">VLOOKUP(P121,Hoja1!C:F,{2,3,4},FALSE)</f>
        <v>46094</v>
      </c>
      <c r="R121" t="str">
        <v>C43</v>
      </c>
      <c r="S121" t="str">
        <v>1000002607 DIESEL LANGE S.R.L</v>
      </c>
      <c r="T121" t="str">
        <f>VLOOKUP(P121,Hoja2!C:D,2,FALSE)</f>
        <v>EFUNES</v>
      </c>
    </row>
    <row r="122" spans="1:20" x14ac:dyDescent="0.3">
      <c r="A122" s="2" t="s">
        <v>14</v>
      </c>
      <c r="B122" s="3" t="s">
        <v>14</v>
      </c>
      <c r="C122" s="3" t="s">
        <v>156</v>
      </c>
      <c r="D122" s="3" t="s">
        <v>14</v>
      </c>
      <c r="E122" s="3" t="s">
        <v>96</v>
      </c>
      <c r="F122" s="4">
        <v>46094</v>
      </c>
      <c r="G122" s="3" t="s">
        <v>43</v>
      </c>
      <c r="H122" s="6">
        <v>-9382380</v>
      </c>
      <c r="I122" s="3" t="s">
        <v>16</v>
      </c>
      <c r="J122" s="3" t="s">
        <v>14</v>
      </c>
      <c r="K122" s="3" t="s">
        <v>14</v>
      </c>
      <c r="L122" s="3" t="s">
        <v>1269</v>
      </c>
      <c r="M122" s="4">
        <v>46094</v>
      </c>
      <c r="N122" s="3" t="s">
        <v>139</v>
      </c>
      <c r="O122" s="3" t="s">
        <v>33</v>
      </c>
      <c r="P122" t="str">
        <f t="shared" si="1"/>
        <v>450012003810</v>
      </c>
      <c r="Q122" s="7" cm="1">
        <f t="array" ref="Q122:S122">VLOOKUP(P122,Hoja1!C:F,{2,3,4},FALSE)</f>
        <v>46203</v>
      </c>
      <c r="R122" t="str">
        <v>C21</v>
      </c>
      <c r="S122" t="str">
        <v>1000000634 RAIZEN ARGENTINA S.A.U.</v>
      </c>
      <c r="T122" t="str">
        <f>VLOOKUP(P122,Hoja2!C:D,2,FALSE)</f>
        <v>RMIR</v>
      </c>
    </row>
    <row r="123" spans="1:20" x14ac:dyDescent="0.3">
      <c r="A123" s="2" t="s">
        <v>14</v>
      </c>
      <c r="B123" s="3" t="s">
        <v>14</v>
      </c>
      <c r="C123" s="3" t="s">
        <v>156</v>
      </c>
      <c r="D123" s="3" t="s">
        <v>14</v>
      </c>
      <c r="E123" s="3" t="s">
        <v>96</v>
      </c>
      <c r="F123" s="4">
        <v>46094</v>
      </c>
      <c r="G123" s="3" t="s">
        <v>43</v>
      </c>
      <c r="H123" s="6">
        <v>-1069320</v>
      </c>
      <c r="I123" s="3" t="s">
        <v>16</v>
      </c>
      <c r="J123" s="3" t="s">
        <v>14</v>
      </c>
      <c r="K123" s="3" t="s">
        <v>14</v>
      </c>
      <c r="L123" s="3" t="s">
        <v>1269</v>
      </c>
      <c r="M123" s="4">
        <v>46094</v>
      </c>
      <c r="N123" s="3" t="s">
        <v>139</v>
      </c>
      <c r="O123" s="3" t="s">
        <v>33</v>
      </c>
      <c r="P123" t="str">
        <f t="shared" si="1"/>
        <v>450012003810</v>
      </c>
      <c r="Q123" s="7" cm="1">
        <f t="array" ref="Q123:S123">VLOOKUP(P123,Hoja1!C:F,{2,3,4},FALSE)</f>
        <v>46203</v>
      </c>
      <c r="R123" t="str">
        <v>C21</v>
      </c>
      <c r="S123" t="str">
        <v>1000000634 RAIZEN ARGENTINA S.A.U.</v>
      </c>
      <c r="T123" t="s">
        <v>860</v>
      </c>
    </row>
    <row r="124" spans="1:20" x14ac:dyDescent="0.3">
      <c r="A124" s="2" t="s">
        <v>14</v>
      </c>
      <c r="B124" s="3" t="s">
        <v>14</v>
      </c>
      <c r="C124" s="3" t="s">
        <v>157</v>
      </c>
      <c r="D124" s="3" t="s">
        <v>14</v>
      </c>
      <c r="E124" s="3" t="s">
        <v>96</v>
      </c>
      <c r="F124" s="4">
        <v>46094</v>
      </c>
      <c r="G124" s="3" t="s">
        <v>43</v>
      </c>
      <c r="H124" s="6">
        <v>-104250</v>
      </c>
      <c r="I124" s="3" t="s">
        <v>16</v>
      </c>
      <c r="J124" s="3" t="s">
        <v>14</v>
      </c>
      <c r="K124" s="3" t="s">
        <v>14</v>
      </c>
      <c r="L124" s="3" t="s">
        <v>148</v>
      </c>
      <c r="M124" s="4">
        <v>46094</v>
      </c>
      <c r="N124" s="3" t="s">
        <v>149</v>
      </c>
      <c r="O124" s="3" t="s">
        <v>20</v>
      </c>
      <c r="P124" t="str">
        <f t="shared" si="1"/>
        <v>450011780320</v>
      </c>
      <c r="Q124" s="7" cm="1">
        <f t="array" ref="Q124:S124">VLOOKUP(P124,Hoja1!C:F,{2,3,4},FALSE)</f>
        <v>46092</v>
      </c>
      <c r="R124" t="str">
        <v>C03</v>
      </c>
      <c r="S124" t="str">
        <v>1000000062 FINNING ARGENTINA S.A.</v>
      </c>
      <c r="T124" t="str">
        <f>VLOOKUP(P124,Hoja2!C:D,2,FALSE)</f>
        <v>RPEREZ</v>
      </c>
    </row>
    <row r="125" spans="1:20" x14ac:dyDescent="0.3">
      <c r="A125" s="2" t="s">
        <v>14</v>
      </c>
      <c r="B125" s="3" t="s">
        <v>14</v>
      </c>
      <c r="C125" s="3" t="s">
        <v>158</v>
      </c>
      <c r="D125" s="3" t="s">
        <v>14</v>
      </c>
      <c r="E125" s="3" t="s">
        <v>96</v>
      </c>
      <c r="F125" s="4">
        <v>46098</v>
      </c>
      <c r="G125" s="3" t="s">
        <v>43</v>
      </c>
      <c r="H125" s="6">
        <v>-9382380</v>
      </c>
      <c r="I125" s="3" t="s">
        <v>16</v>
      </c>
      <c r="J125" s="3" t="s">
        <v>14</v>
      </c>
      <c r="K125" s="3" t="s">
        <v>14</v>
      </c>
      <c r="L125" s="3" t="s">
        <v>1269</v>
      </c>
      <c r="M125" s="4">
        <v>46098</v>
      </c>
      <c r="N125" s="3" t="s">
        <v>139</v>
      </c>
      <c r="O125" s="3" t="s">
        <v>33</v>
      </c>
      <c r="P125" t="str">
        <f t="shared" si="1"/>
        <v>450012003810</v>
      </c>
      <c r="Q125" s="7" cm="1">
        <f t="array" ref="Q125:S125">VLOOKUP(P125,Hoja1!C:F,{2,3,4},FALSE)</f>
        <v>46203</v>
      </c>
      <c r="R125" t="str">
        <v>C21</v>
      </c>
      <c r="S125" t="str">
        <v>1000000634 RAIZEN ARGENTINA S.A.U.</v>
      </c>
      <c r="T125" t="str">
        <f>VLOOKUP(P125,Hoja2!C:D,2,FALSE)</f>
        <v>RMIR</v>
      </c>
    </row>
    <row r="126" spans="1:20" x14ac:dyDescent="0.3">
      <c r="A126" s="2" t="s">
        <v>14</v>
      </c>
      <c r="B126" s="3" t="s">
        <v>14</v>
      </c>
      <c r="C126" s="3" t="s">
        <v>158</v>
      </c>
      <c r="D126" s="3" t="s">
        <v>14</v>
      </c>
      <c r="E126" s="3" t="s">
        <v>96</v>
      </c>
      <c r="F126" s="4">
        <v>46098</v>
      </c>
      <c r="G126" s="3" t="s">
        <v>43</v>
      </c>
      <c r="H126" s="6">
        <v>-1069320</v>
      </c>
      <c r="I126" s="3" t="s">
        <v>16</v>
      </c>
      <c r="J126" s="3" t="s">
        <v>14</v>
      </c>
      <c r="K126" s="3" t="s">
        <v>14</v>
      </c>
      <c r="L126" s="3" t="s">
        <v>1269</v>
      </c>
      <c r="M126" s="4">
        <v>46098</v>
      </c>
      <c r="N126" s="3" t="s">
        <v>139</v>
      </c>
      <c r="O126" s="3" t="s">
        <v>33</v>
      </c>
      <c r="P126" t="str">
        <f t="shared" si="1"/>
        <v>450012003810</v>
      </c>
      <c r="Q126" s="7" cm="1">
        <f t="array" ref="Q126:S126">VLOOKUP(P126,Hoja1!C:F,{2,3,4},FALSE)</f>
        <v>46203</v>
      </c>
      <c r="R126" t="str">
        <v>C21</v>
      </c>
      <c r="S126" t="str">
        <v>1000000634 RAIZEN ARGENTINA S.A.U.</v>
      </c>
      <c r="T126" t="str">
        <f>VLOOKUP(P126,Hoja2!C:D,2,FALSE)</f>
        <v>RMIR</v>
      </c>
    </row>
    <row r="127" spans="1:20" x14ac:dyDescent="0.3">
      <c r="A127" s="2" t="s">
        <v>14</v>
      </c>
      <c r="B127" s="3" t="s">
        <v>14</v>
      </c>
      <c r="C127" s="3" t="s">
        <v>159</v>
      </c>
      <c r="D127" s="3" t="s">
        <v>14</v>
      </c>
      <c r="E127" s="3" t="s">
        <v>96</v>
      </c>
      <c r="F127" s="4">
        <v>46099</v>
      </c>
      <c r="G127" s="3" t="s">
        <v>43</v>
      </c>
      <c r="H127" s="6">
        <v>-9382380</v>
      </c>
      <c r="I127" s="3" t="s">
        <v>16</v>
      </c>
      <c r="J127" s="3" t="s">
        <v>14</v>
      </c>
      <c r="K127" s="3" t="s">
        <v>14</v>
      </c>
      <c r="L127" s="3" t="s">
        <v>1269</v>
      </c>
      <c r="M127" s="4">
        <v>46099</v>
      </c>
      <c r="N127" s="3" t="s">
        <v>139</v>
      </c>
      <c r="O127" s="3" t="s">
        <v>33</v>
      </c>
      <c r="P127" t="str">
        <f t="shared" si="1"/>
        <v>450012003810</v>
      </c>
      <c r="Q127" s="7" cm="1">
        <f t="array" ref="Q127:S127">VLOOKUP(P127,Hoja1!C:F,{2,3,4},FALSE)</f>
        <v>46203</v>
      </c>
      <c r="R127" t="str">
        <v>C21</v>
      </c>
      <c r="S127" t="str">
        <v>1000000634 RAIZEN ARGENTINA S.A.U.</v>
      </c>
      <c r="T127" t="str">
        <f>VLOOKUP(P127,Hoja2!C:D,2,FALSE)</f>
        <v>RMIR</v>
      </c>
    </row>
    <row r="128" spans="1:20" x14ac:dyDescent="0.3">
      <c r="A128" s="2" t="s">
        <v>14</v>
      </c>
      <c r="B128" s="3" t="s">
        <v>14</v>
      </c>
      <c r="C128" s="3" t="s">
        <v>159</v>
      </c>
      <c r="D128" s="3" t="s">
        <v>14</v>
      </c>
      <c r="E128" s="3" t="s">
        <v>96</v>
      </c>
      <c r="F128" s="4">
        <v>46099</v>
      </c>
      <c r="G128" s="3" t="s">
        <v>43</v>
      </c>
      <c r="H128" s="6">
        <v>-1069320</v>
      </c>
      <c r="I128" s="3" t="s">
        <v>16</v>
      </c>
      <c r="J128" s="3" t="s">
        <v>14</v>
      </c>
      <c r="K128" s="3" t="s">
        <v>14</v>
      </c>
      <c r="L128" s="3" t="s">
        <v>1269</v>
      </c>
      <c r="M128" s="4">
        <v>46099</v>
      </c>
      <c r="N128" s="3" t="s">
        <v>139</v>
      </c>
      <c r="O128" s="3" t="s">
        <v>33</v>
      </c>
      <c r="P128" t="str">
        <f t="shared" si="1"/>
        <v>450012003810</v>
      </c>
      <c r="Q128" s="7" cm="1">
        <f t="array" ref="Q128:S128">VLOOKUP(P128,Hoja1!C:F,{2,3,4},FALSE)</f>
        <v>46203</v>
      </c>
      <c r="R128" t="str">
        <v>C21</v>
      </c>
      <c r="S128" t="str">
        <v>1000000634 RAIZEN ARGENTINA S.A.U.</v>
      </c>
      <c r="T128" t="str">
        <f>VLOOKUP(P128,Hoja2!C:D,2,FALSE)</f>
        <v>RMIR</v>
      </c>
    </row>
    <row r="129" spans="1:20" x14ac:dyDescent="0.3">
      <c r="A129" s="2" t="s">
        <v>14</v>
      </c>
      <c r="B129" s="3" t="s">
        <v>14</v>
      </c>
      <c r="C129" s="3" t="s">
        <v>161</v>
      </c>
      <c r="D129" s="3" t="s">
        <v>14</v>
      </c>
      <c r="E129" s="3" t="s">
        <v>96</v>
      </c>
      <c r="F129" s="4">
        <v>46105</v>
      </c>
      <c r="G129" s="3" t="s">
        <v>43</v>
      </c>
      <c r="H129" s="6">
        <v>-9382380</v>
      </c>
      <c r="I129" s="3" t="s">
        <v>16</v>
      </c>
      <c r="J129" s="3" t="s">
        <v>14</v>
      </c>
      <c r="K129" s="3" t="s">
        <v>14</v>
      </c>
      <c r="L129" s="3" t="s">
        <v>1269</v>
      </c>
      <c r="M129" s="4">
        <v>46105</v>
      </c>
      <c r="N129" s="3" t="s">
        <v>139</v>
      </c>
      <c r="O129" s="3" t="s">
        <v>33</v>
      </c>
      <c r="P129" t="str">
        <f t="shared" si="1"/>
        <v>450012003810</v>
      </c>
      <c r="Q129" s="7" cm="1">
        <f t="array" ref="Q129:S129">VLOOKUP(P129,Hoja1!C:F,{2,3,4},FALSE)</f>
        <v>46203</v>
      </c>
      <c r="R129" t="str">
        <v>C21</v>
      </c>
      <c r="S129" t="str">
        <v>1000000634 RAIZEN ARGENTINA S.A.U.</v>
      </c>
      <c r="T129" t="str">
        <f>VLOOKUP(P129,Hoja2!C:D,2,FALSE)</f>
        <v>RMIR</v>
      </c>
    </row>
    <row r="130" spans="1:20" x14ac:dyDescent="0.3">
      <c r="A130" s="2" t="s">
        <v>14</v>
      </c>
      <c r="B130" s="3" t="s">
        <v>14</v>
      </c>
      <c r="C130" s="3" t="s">
        <v>161</v>
      </c>
      <c r="D130" s="3" t="s">
        <v>14</v>
      </c>
      <c r="E130" s="3" t="s">
        <v>96</v>
      </c>
      <c r="F130" s="4">
        <v>46105</v>
      </c>
      <c r="G130" s="3" t="s">
        <v>43</v>
      </c>
      <c r="H130" s="6">
        <v>-1069320</v>
      </c>
      <c r="I130" s="3" t="s">
        <v>16</v>
      </c>
      <c r="J130" s="3" t="s">
        <v>14</v>
      </c>
      <c r="K130" s="3" t="s">
        <v>14</v>
      </c>
      <c r="L130" s="3" t="s">
        <v>1269</v>
      </c>
      <c r="M130" s="4">
        <v>46105</v>
      </c>
      <c r="N130" s="3" t="s">
        <v>139</v>
      </c>
      <c r="O130" s="3" t="s">
        <v>33</v>
      </c>
      <c r="P130" t="str">
        <f t="shared" si="1"/>
        <v>450012003810</v>
      </c>
      <c r="Q130" s="7" cm="1">
        <f t="array" ref="Q130:S130">VLOOKUP(P130,Hoja1!C:F,{2,3,4},FALSE)</f>
        <v>46203</v>
      </c>
      <c r="R130" t="str">
        <v>C21</v>
      </c>
      <c r="S130" t="str">
        <v>1000000634 RAIZEN ARGENTINA S.A.U.</v>
      </c>
      <c r="T130" t="str">
        <f>VLOOKUP(P130,Hoja2!C:D,2,FALSE)</f>
        <v>RMIR</v>
      </c>
    </row>
    <row r="131" spans="1:20" x14ac:dyDescent="0.3">
      <c r="A131" s="2" t="s">
        <v>14</v>
      </c>
      <c r="B131" s="3" t="s">
        <v>14</v>
      </c>
      <c r="C131" s="3" t="s">
        <v>162</v>
      </c>
      <c r="D131" s="3" t="s">
        <v>14</v>
      </c>
      <c r="E131" s="3" t="s">
        <v>96</v>
      </c>
      <c r="F131" s="4">
        <v>46102</v>
      </c>
      <c r="G131" s="3" t="s">
        <v>43</v>
      </c>
      <c r="H131" s="6">
        <v>-390950</v>
      </c>
      <c r="I131" s="3" t="s">
        <v>16</v>
      </c>
      <c r="J131" s="3" t="s">
        <v>14</v>
      </c>
      <c r="K131" s="3" t="s">
        <v>14</v>
      </c>
      <c r="L131" s="3" t="s">
        <v>97</v>
      </c>
      <c r="M131" s="4">
        <v>46106</v>
      </c>
      <c r="N131" s="3" t="s">
        <v>163</v>
      </c>
      <c r="O131" s="3" t="s">
        <v>33</v>
      </c>
      <c r="P131" t="str">
        <f t="shared" ref="P131:P194" si="2">_xlfn.CONCAT(N131:O131)</f>
        <v>450011911710</v>
      </c>
      <c r="Q131" s="7" cm="1">
        <f t="array" ref="Q131:S131">VLOOKUP(P131,Hoja1!C:F,{2,3,4},FALSE)</f>
        <v>46245</v>
      </c>
      <c r="R131" t="str">
        <v>C21</v>
      </c>
      <c r="S131" t="str">
        <v>1000001020 COMBUSTIBLES BARCELO S.R.L.</v>
      </c>
      <c r="T131" t="str">
        <f>VLOOKUP(P131,Hoja2!C:D,2,FALSE)</f>
        <v>RMIR</v>
      </c>
    </row>
    <row r="132" spans="1:20" x14ac:dyDescent="0.3">
      <c r="A132" s="2" t="s">
        <v>14</v>
      </c>
      <c r="B132" s="3" t="s">
        <v>14</v>
      </c>
      <c r="C132" s="3" t="s">
        <v>162</v>
      </c>
      <c r="D132" s="3" t="s">
        <v>14</v>
      </c>
      <c r="E132" s="3" t="s">
        <v>96</v>
      </c>
      <c r="F132" s="4">
        <v>46102</v>
      </c>
      <c r="G132" s="3" t="s">
        <v>43</v>
      </c>
      <c r="H132" s="6">
        <v>-44555</v>
      </c>
      <c r="I132" s="3" t="s">
        <v>16</v>
      </c>
      <c r="J132" s="3" t="s">
        <v>14</v>
      </c>
      <c r="K132" s="3" t="s">
        <v>14</v>
      </c>
      <c r="L132" s="3" t="s">
        <v>97</v>
      </c>
      <c r="M132" s="4">
        <v>46106</v>
      </c>
      <c r="N132" s="3" t="s">
        <v>163</v>
      </c>
      <c r="O132" s="3" t="s">
        <v>33</v>
      </c>
      <c r="P132" t="str">
        <f t="shared" si="2"/>
        <v>450011911710</v>
      </c>
      <c r="Q132" s="7" cm="1">
        <f t="array" ref="Q132:S132">VLOOKUP(P132,Hoja1!C:F,{2,3,4},FALSE)</f>
        <v>46245</v>
      </c>
      <c r="R132" t="str">
        <v>C21</v>
      </c>
      <c r="S132" t="str">
        <v>1000001020 COMBUSTIBLES BARCELO S.R.L.</v>
      </c>
      <c r="T132" t="str">
        <f>VLOOKUP(P132,Hoja2!C:D,2,FALSE)</f>
        <v>RMIR</v>
      </c>
    </row>
    <row r="133" spans="1:20" x14ac:dyDescent="0.3">
      <c r="A133" s="2" t="s">
        <v>14</v>
      </c>
      <c r="B133" s="3" t="s">
        <v>14</v>
      </c>
      <c r="C133" s="3" t="s">
        <v>164</v>
      </c>
      <c r="D133" s="3" t="s">
        <v>14</v>
      </c>
      <c r="E133" s="3" t="s">
        <v>96</v>
      </c>
      <c r="F133" s="4">
        <v>46107</v>
      </c>
      <c r="G133" s="3" t="s">
        <v>43</v>
      </c>
      <c r="H133" s="6">
        <v>-223.4</v>
      </c>
      <c r="I133" s="3" t="s">
        <v>16</v>
      </c>
      <c r="J133" s="3" t="s">
        <v>14</v>
      </c>
      <c r="K133" s="3" t="s">
        <v>14</v>
      </c>
      <c r="L133" s="3" t="s">
        <v>97</v>
      </c>
      <c r="M133" s="4">
        <v>46107</v>
      </c>
      <c r="N133" s="3" t="s">
        <v>165</v>
      </c>
      <c r="O133" s="3" t="s">
        <v>33</v>
      </c>
      <c r="P133" t="str">
        <f t="shared" si="2"/>
        <v>450012338910</v>
      </c>
      <c r="Q133" s="7" cm="1">
        <f t="array" ref="Q133:S133">VLOOKUP(P133,Hoja1!C:F,{2,3,4},FALSE)</f>
        <v>46184</v>
      </c>
      <c r="R133" t="str">
        <v>C21</v>
      </c>
      <c r="S133" t="str">
        <v>1000001020 COMBUSTIBLES BARCELO S.R.L.</v>
      </c>
      <c r="T133" t="str">
        <f>VLOOKUP(P133,Hoja2!C:D,2,FALSE)</f>
        <v>JPUPULIN</v>
      </c>
    </row>
    <row r="134" spans="1:20" x14ac:dyDescent="0.3">
      <c r="A134" s="2" t="s">
        <v>14</v>
      </c>
      <c r="B134" s="3" t="s">
        <v>14</v>
      </c>
      <c r="C134" s="3" t="s">
        <v>164</v>
      </c>
      <c r="D134" s="3" t="s">
        <v>14</v>
      </c>
      <c r="E134" s="3" t="s">
        <v>96</v>
      </c>
      <c r="F134" s="4">
        <v>46107</v>
      </c>
      <c r="G134" s="3" t="s">
        <v>43</v>
      </c>
      <c r="H134" s="6">
        <v>-25.46</v>
      </c>
      <c r="I134" s="3" t="s">
        <v>16</v>
      </c>
      <c r="J134" s="3" t="s">
        <v>14</v>
      </c>
      <c r="K134" s="3" t="s">
        <v>14</v>
      </c>
      <c r="L134" s="3" t="s">
        <v>97</v>
      </c>
      <c r="M134" s="4">
        <v>46107</v>
      </c>
      <c r="N134" s="3" t="s">
        <v>165</v>
      </c>
      <c r="O134" s="3" t="s">
        <v>33</v>
      </c>
      <c r="P134" t="str">
        <f t="shared" si="2"/>
        <v>450012338910</v>
      </c>
      <c r="Q134" s="7" cm="1">
        <f t="array" ref="Q134:S134">VLOOKUP(P134,Hoja1!C:F,{2,3,4},FALSE)</f>
        <v>46184</v>
      </c>
      <c r="R134" t="str">
        <v>C21</v>
      </c>
      <c r="S134" t="str">
        <v>1000001020 COMBUSTIBLES BARCELO S.R.L.</v>
      </c>
      <c r="T134" t="str">
        <f>VLOOKUP(P134,Hoja2!C:D,2,FALSE)</f>
        <v>JPUPULIN</v>
      </c>
    </row>
    <row r="135" spans="1:20" x14ac:dyDescent="0.3">
      <c r="A135" s="2" t="s">
        <v>14</v>
      </c>
      <c r="B135" s="3" t="s">
        <v>14</v>
      </c>
      <c r="C135" s="3" t="s">
        <v>166</v>
      </c>
      <c r="D135" s="3" t="s">
        <v>14</v>
      </c>
      <c r="E135" s="3" t="s">
        <v>96</v>
      </c>
      <c r="F135" s="4">
        <v>46108</v>
      </c>
      <c r="G135" s="3" t="s">
        <v>43</v>
      </c>
      <c r="H135" s="6">
        <v>-9382380</v>
      </c>
      <c r="I135" s="3" t="s">
        <v>16</v>
      </c>
      <c r="J135" s="3" t="s">
        <v>14</v>
      </c>
      <c r="K135" s="3" t="s">
        <v>14</v>
      </c>
      <c r="L135" s="3" t="s">
        <v>1269</v>
      </c>
      <c r="M135" s="4">
        <v>46108</v>
      </c>
      <c r="N135" s="3" t="s">
        <v>139</v>
      </c>
      <c r="O135" s="3" t="s">
        <v>33</v>
      </c>
      <c r="P135" t="str">
        <f t="shared" si="2"/>
        <v>450012003810</v>
      </c>
      <c r="Q135" s="7" cm="1">
        <f t="array" ref="Q135:S135">VLOOKUP(P135,Hoja1!C:F,{2,3,4},FALSE)</f>
        <v>46203</v>
      </c>
      <c r="R135" t="str">
        <v>C21</v>
      </c>
      <c r="S135" t="str">
        <v>1000000634 RAIZEN ARGENTINA S.A.U.</v>
      </c>
      <c r="T135" t="str">
        <f>VLOOKUP(P135,Hoja2!C:D,2,FALSE)</f>
        <v>RMIR</v>
      </c>
    </row>
    <row r="136" spans="1:20" x14ac:dyDescent="0.3">
      <c r="A136" s="2" t="s">
        <v>14</v>
      </c>
      <c r="B136" s="3" t="s">
        <v>14</v>
      </c>
      <c r="C136" s="3" t="s">
        <v>166</v>
      </c>
      <c r="D136" s="3" t="s">
        <v>14</v>
      </c>
      <c r="E136" s="3" t="s">
        <v>96</v>
      </c>
      <c r="F136" s="4">
        <v>46108</v>
      </c>
      <c r="G136" s="3" t="s">
        <v>43</v>
      </c>
      <c r="H136" s="6">
        <v>-1069320</v>
      </c>
      <c r="I136" s="3" t="s">
        <v>16</v>
      </c>
      <c r="J136" s="3" t="s">
        <v>14</v>
      </c>
      <c r="K136" s="3" t="s">
        <v>14</v>
      </c>
      <c r="L136" s="3" t="s">
        <v>1269</v>
      </c>
      <c r="M136" s="4">
        <v>46108</v>
      </c>
      <c r="N136" s="3" t="s">
        <v>139</v>
      </c>
      <c r="O136" s="3" t="s">
        <v>33</v>
      </c>
      <c r="P136" t="str">
        <f t="shared" si="2"/>
        <v>450012003810</v>
      </c>
      <c r="Q136" s="7" cm="1">
        <f t="array" ref="Q136:S136">VLOOKUP(P136,Hoja1!C:F,{2,3,4},FALSE)</f>
        <v>46203</v>
      </c>
      <c r="R136" t="str">
        <v>C21</v>
      </c>
      <c r="S136" t="str">
        <v>1000000634 RAIZEN ARGENTINA S.A.U.</v>
      </c>
      <c r="T136" t="str">
        <f>VLOOKUP(P136,Hoja2!C:D,2,FALSE)</f>
        <v>RMIR</v>
      </c>
    </row>
    <row r="137" spans="1:20" x14ac:dyDescent="0.3">
      <c r="A137" s="2" t="s">
        <v>14</v>
      </c>
      <c r="B137" s="3" t="s">
        <v>14</v>
      </c>
      <c r="C137" s="3" t="s">
        <v>167</v>
      </c>
      <c r="D137" s="3" t="s">
        <v>14</v>
      </c>
      <c r="E137" s="3" t="s">
        <v>96</v>
      </c>
      <c r="F137" s="4">
        <v>46108</v>
      </c>
      <c r="G137" s="3" t="s">
        <v>43</v>
      </c>
      <c r="H137" s="6">
        <v>-420000</v>
      </c>
      <c r="I137" s="3" t="s">
        <v>16</v>
      </c>
      <c r="J137" s="3" t="s">
        <v>14</v>
      </c>
      <c r="K137" s="3" t="s">
        <v>14</v>
      </c>
      <c r="L137" s="3" t="s">
        <v>168</v>
      </c>
      <c r="M137" s="4">
        <v>46108</v>
      </c>
      <c r="N137" s="3" t="s">
        <v>169</v>
      </c>
      <c r="O137" s="3" t="s">
        <v>33</v>
      </c>
      <c r="P137" t="str">
        <f t="shared" si="2"/>
        <v>450011868210</v>
      </c>
      <c r="Q137" s="7" cm="1">
        <f t="array" ref="Q137:S137">VLOOKUP(P137,Hoja1!C:F,{2,3,4},FALSE)</f>
        <v>46108</v>
      </c>
      <c r="R137" t="str">
        <v>C04</v>
      </c>
      <c r="S137" t="str">
        <v>1000012459 GIMENEZ JUAN OMAR</v>
      </c>
      <c r="T137" t="str">
        <f>VLOOKUP(P137,Hoja2!C:D,2,FALSE)</f>
        <v>GROSES</v>
      </c>
    </row>
    <row r="138" spans="1:20" x14ac:dyDescent="0.3">
      <c r="A138" s="2" t="s">
        <v>14</v>
      </c>
      <c r="B138" s="3" t="s">
        <v>14</v>
      </c>
      <c r="C138" s="3" t="s">
        <v>170</v>
      </c>
      <c r="D138" s="3" t="s">
        <v>14</v>
      </c>
      <c r="E138" s="3" t="s">
        <v>96</v>
      </c>
      <c r="F138" s="4">
        <v>46111</v>
      </c>
      <c r="G138" s="3" t="s">
        <v>43</v>
      </c>
      <c r="H138" s="6">
        <v>-9382380</v>
      </c>
      <c r="I138" s="3" t="s">
        <v>16</v>
      </c>
      <c r="J138" s="3" t="s">
        <v>14</v>
      </c>
      <c r="K138" s="3" t="s">
        <v>14</v>
      </c>
      <c r="L138" s="3" t="s">
        <v>1269</v>
      </c>
      <c r="M138" s="4">
        <v>46111</v>
      </c>
      <c r="N138" s="3" t="s">
        <v>139</v>
      </c>
      <c r="O138" s="3" t="s">
        <v>33</v>
      </c>
      <c r="P138" t="str">
        <f t="shared" si="2"/>
        <v>450012003810</v>
      </c>
      <c r="Q138" s="7" cm="1">
        <f t="array" ref="Q138:S138">VLOOKUP(P138,Hoja1!C:F,{2,3,4},FALSE)</f>
        <v>46203</v>
      </c>
      <c r="R138" t="str">
        <v>C21</v>
      </c>
      <c r="S138" t="str">
        <v>1000000634 RAIZEN ARGENTINA S.A.U.</v>
      </c>
      <c r="T138" t="str">
        <f>VLOOKUP(P138,Hoja2!C:D,2,FALSE)</f>
        <v>RMIR</v>
      </c>
    </row>
    <row r="139" spans="1:20" x14ac:dyDescent="0.3">
      <c r="A139" s="2" t="s">
        <v>14</v>
      </c>
      <c r="B139" s="3" t="s">
        <v>14</v>
      </c>
      <c r="C139" s="3" t="s">
        <v>170</v>
      </c>
      <c r="D139" s="3" t="s">
        <v>14</v>
      </c>
      <c r="E139" s="3" t="s">
        <v>96</v>
      </c>
      <c r="F139" s="4">
        <v>46111</v>
      </c>
      <c r="G139" s="3" t="s">
        <v>43</v>
      </c>
      <c r="H139" s="6">
        <v>-1069320</v>
      </c>
      <c r="I139" s="3" t="s">
        <v>16</v>
      </c>
      <c r="J139" s="3" t="s">
        <v>14</v>
      </c>
      <c r="K139" s="3" t="s">
        <v>14</v>
      </c>
      <c r="L139" s="3" t="s">
        <v>1269</v>
      </c>
      <c r="M139" s="4">
        <v>46111</v>
      </c>
      <c r="N139" s="3" t="s">
        <v>139</v>
      </c>
      <c r="O139" s="3" t="s">
        <v>33</v>
      </c>
      <c r="P139" t="str">
        <f t="shared" si="2"/>
        <v>450012003810</v>
      </c>
      <c r="Q139" s="7" cm="1">
        <f t="array" ref="Q139:S139">VLOOKUP(P139,Hoja1!C:F,{2,3,4},FALSE)</f>
        <v>46203</v>
      </c>
      <c r="R139" t="str">
        <v>C21</v>
      </c>
      <c r="S139" t="str">
        <v>1000000634 RAIZEN ARGENTINA S.A.U.</v>
      </c>
      <c r="T139" t="str">
        <f>VLOOKUP(P139,Hoja2!C:D,2,FALSE)</f>
        <v>RMIR</v>
      </c>
    </row>
    <row r="140" spans="1:20" x14ac:dyDescent="0.3">
      <c r="A140" s="2" t="s">
        <v>14</v>
      </c>
      <c r="B140" s="3" t="s">
        <v>14</v>
      </c>
      <c r="C140" s="3" t="s">
        <v>171</v>
      </c>
      <c r="D140" s="3" t="s">
        <v>14</v>
      </c>
      <c r="E140" s="3" t="s">
        <v>96</v>
      </c>
      <c r="F140" s="4">
        <v>46114</v>
      </c>
      <c r="G140" s="3" t="s">
        <v>43</v>
      </c>
      <c r="H140" s="6">
        <v>-9382380</v>
      </c>
      <c r="I140" s="3" t="s">
        <v>16</v>
      </c>
      <c r="J140" s="3" t="s">
        <v>14</v>
      </c>
      <c r="K140" s="3" t="s">
        <v>14</v>
      </c>
      <c r="L140" s="3" t="s">
        <v>1269</v>
      </c>
      <c r="M140" s="4">
        <v>46114</v>
      </c>
      <c r="N140" s="3" t="s">
        <v>139</v>
      </c>
      <c r="O140" s="3" t="s">
        <v>33</v>
      </c>
      <c r="P140" t="str">
        <f t="shared" si="2"/>
        <v>450012003810</v>
      </c>
      <c r="Q140" s="7" cm="1">
        <f t="array" ref="Q140:S140">VLOOKUP(P140,Hoja1!C:F,{2,3,4},FALSE)</f>
        <v>46203</v>
      </c>
      <c r="R140" t="str">
        <v>C21</v>
      </c>
      <c r="S140" t="str">
        <v>1000000634 RAIZEN ARGENTINA S.A.U.</v>
      </c>
      <c r="T140" t="str">
        <f>VLOOKUP(P140,Hoja2!C:D,2,FALSE)</f>
        <v>RMIR</v>
      </c>
    </row>
    <row r="141" spans="1:20" x14ac:dyDescent="0.3">
      <c r="A141" s="2" t="s">
        <v>14</v>
      </c>
      <c r="B141" s="3" t="s">
        <v>14</v>
      </c>
      <c r="C141" s="3" t="s">
        <v>171</v>
      </c>
      <c r="D141" s="3" t="s">
        <v>14</v>
      </c>
      <c r="E141" s="3" t="s">
        <v>96</v>
      </c>
      <c r="F141" s="4">
        <v>46114</v>
      </c>
      <c r="G141" s="3" t="s">
        <v>43</v>
      </c>
      <c r="H141" s="6">
        <v>-1069320</v>
      </c>
      <c r="I141" s="3" t="s">
        <v>16</v>
      </c>
      <c r="J141" s="3" t="s">
        <v>14</v>
      </c>
      <c r="K141" s="3" t="s">
        <v>14</v>
      </c>
      <c r="L141" s="3" t="s">
        <v>1269</v>
      </c>
      <c r="M141" s="4">
        <v>46114</v>
      </c>
      <c r="N141" s="3" t="s">
        <v>139</v>
      </c>
      <c r="O141" s="3" t="s">
        <v>33</v>
      </c>
      <c r="P141" t="str">
        <f t="shared" si="2"/>
        <v>450012003810</v>
      </c>
      <c r="Q141" s="7" cm="1">
        <f t="array" ref="Q141:S141">VLOOKUP(P141,Hoja1!C:F,{2,3,4},FALSE)</f>
        <v>46203</v>
      </c>
      <c r="R141" t="str">
        <v>C21</v>
      </c>
      <c r="S141" t="str">
        <v>1000000634 RAIZEN ARGENTINA S.A.U.</v>
      </c>
      <c r="T141" t="str">
        <f>VLOOKUP(P141,Hoja2!C:D,2,FALSE)</f>
        <v>RMIR</v>
      </c>
    </row>
    <row r="142" spans="1:20" x14ac:dyDescent="0.3">
      <c r="A142" s="2" t="s">
        <v>14</v>
      </c>
      <c r="B142" s="3" t="s">
        <v>14</v>
      </c>
      <c r="C142" s="3" t="s">
        <v>172</v>
      </c>
      <c r="D142" s="3" t="s">
        <v>14</v>
      </c>
      <c r="E142" s="3" t="s">
        <v>96</v>
      </c>
      <c r="F142" s="4">
        <v>46120</v>
      </c>
      <c r="G142" s="3" t="s">
        <v>43</v>
      </c>
      <c r="H142" s="6">
        <v>-536160</v>
      </c>
      <c r="I142" s="3" t="s">
        <v>16</v>
      </c>
      <c r="J142" s="3" t="s">
        <v>14</v>
      </c>
      <c r="K142" s="3" t="s">
        <v>14</v>
      </c>
      <c r="L142" s="3" t="s">
        <v>97</v>
      </c>
      <c r="M142" s="4">
        <v>46120</v>
      </c>
      <c r="N142" s="3" t="s">
        <v>163</v>
      </c>
      <c r="O142" s="3" t="s">
        <v>33</v>
      </c>
      <c r="P142" t="str">
        <f t="shared" si="2"/>
        <v>450011911710</v>
      </c>
      <c r="Q142" s="7" cm="1">
        <f t="array" ref="Q142:S142">VLOOKUP(P142,Hoja1!C:F,{2,3,4},FALSE)</f>
        <v>46245</v>
      </c>
      <c r="R142" t="str">
        <v>C21</v>
      </c>
      <c r="S142" t="str">
        <v>1000001020 COMBUSTIBLES BARCELO S.R.L.</v>
      </c>
      <c r="T142" t="str">
        <f>VLOOKUP(P142,Hoja2!C:D,2,FALSE)</f>
        <v>RMIR</v>
      </c>
    </row>
    <row r="143" spans="1:20" x14ac:dyDescent="0.3">
      <c r="A143" s="2" t="s">
        <v>14</v>
      </c>
      <c r="B143" s="3" t="s">
        <v>14</v>
      </c>
      <c r="C143" s="3" t="s">
        <v>172</v>
      </c>
      <c r="D143" s="3" t="s">
        <v>14</v>
      </c>
      <c r="E143" s="3" t="s">
        <v>96</v>
      </c>
      <c r="F143" s="4">
        <v>46120</v>
      </c>
      <c r="G143" s="3" t="s">
        <v>43</v>
      </c>
      <c r="H143" s="6">
        <v>-61104</v>
      </c>
      <c r="I143" s="3" t="s">
        <v>16</v>
      </c>
      <c r="J143" s="3" t="s">
        <v>14</v>
      </c>
      <c r="K143" s="3" t="s">
        <v>14</v>
      </c>
      <c r="L143" s="3" t="s">
        <v>97</v>
      </c>
      <c r="M143" s="4">
        <v>46120</v>
      </c>
      <c r="N143" s="3" t="s">
        <v>163</v>
      </c>
      <c r="O143" s="3" t="s">
        <v>33</v>
      </c>
      <c r="P143" t="str">
        <f t="shared" si="2"/>
        <v>450011911710</v>
      </c>
      <c r="Q143" s="7" cm="1">
        <f t="array" ref="Q143:S143">VLOOKUP(P143,Hoja1!C:F,{2,3,4},FALSE)</f>
        <v>46245</v>
      </c>
      <c r="R143" t="str">
        <v>C21</v>
      </c>
      <c r="S143" t="str">
        <v>1000001020 COMBUSTIBLES BARCELO S.R.L.</v>
      </c>
      <c r="T143" t="str">
        <f>VLOOKUP(P143,Hoja2!C:D,2,FALSE)</f>
        <v>RMIR</v>
      </c>
    </row>
    <row r="144" spans="1:20" x14ac:dyDescent="0.3">
      <c r="A144" s="2" t="s">
        <v>14</v>
      </c>
      <c r="B144" s="3" t="s">
        <v>14</v>
      </c>
      <c r="C144" s="3" t="s">
        <v>173</v>
      </c>
      <c r="D144" s="3" t="s">
        <v>14</v>
      </c>
      <c r="E144" s="3" t="s">
        <v>96</v>
      </c>
      <c r="F144" s="4">
        <v>46120</v>
      </c>
      <c r="G144" s="3" t="s">
        <v>43</v>
      </c>
      <c r="H144" s="6">
        <v>-4439.43</v>
      </c>
      <c r="I144" s="3" t="s">
        <v>16</v>
      </c>
      <c r="J144" s="3" t="s">
        <v>14</v>
      </c>
      <c r="K144" s="3" t="s">
        <v>14</v>
      </c>
      <c r="L144" s="3" t="s">
        <v>148</v>
      </c>
      <c r="M144" s="4">
        <v>46121</v>
      </c>
      <c r="N144" s="3" t="s">
        <v>174</v>
      </c>
      <c r="O144" s="3" t="s">
        <v>175</v>
      </c>
      <c r="P144" t="str">
        <f t="shared" si="2"/>
        <v>4500122735110</v>
      </c>
      <c r="Q144" s="7" cm="1">
        <f t="array" ref="Q144:S144">VLOOKUP(P144,Hoja1!C:F,{2,3,4},FALSE)</f>
        <v>46108</v>
      </c>
      <c r="R144" t="str">
        <v>C03</v>
      </c>
      <c r="S144" t="str">
        <v>1000000062 FINNING ARGENTINA S.A.</v>
      </c>
      <c r="T144" t="str">
        <f>VLOOKUP(P144,Hoja2!C:D,2,FALSE)</f>
        <v>RPEREZ</v>
      </c>
    </row>
    <row r="145" spans="1:20" x14ac:dyDescent="0.3">
      <c r="A145" s="2" t="s">
        <v>14</v>
      </c>
      <c r="B145" s="3" t="s">
        <v>14</v>
      </c>
      <c r="C145" s="3" t="s">
        <v>176</v>
      </c>
      <c r="D145" s="3" t="s">
        <v>14</v>
      </c>
      <c r="E145" s="3" t="s">
        <v>96</v>
      </c>
      <c r="F145" s="4">
        <v>46121</v>
      </c>
      <c r="G145" s="3" t="s">
        <v>43</v>
      </c>
      <c r="H145" s="6">
        <v>-726075</v>
      </c>
      <c r="I145" s="3" t="s">
        <v>16</v>
      </c>
      <c r="J145" s="3" t="s">
        <v>14</v>
      </c>
      <c r="K145" s="3" t="s">
        <v>14</v>
      </c>
      <c r="L145" s="3" t="s">
        <v>144</v>
      </c>
      <c r="M145" s="4">
        <v>46121</v>
      </c>
      <c r="N145" s="3" t="s">
        <v>177</v>
      </c>
      <c r="O145" s="3" t="s">
        <v>21</v>
      </c>
      <c r="P145" t="str">
        <f t="shared" si="2"/>
        <v>450012444930</v>
      </c>
      <c r="Q145" s="7" cm="1">
        <f t="array" ref="Q145:S145">VLOOKUP(P145,Hoja1!C:F,{2,3,4},FALSE)</f>
        <v>46127</v>
      </c>
      <c r="R145" t="str">
        <v>EFO</v>
      </c>
      <c r="S145" t="str">
        <v>1000010438 TURBOS T&amp;T S.R.L</v>
      </c>
      <c r="T145" t="str">
        <f>VLOOKUP(P145,Hoja2!C:D,2,FALSE)</f>
        <v>EFUNES</v>
      </c>
    </row>
    <row r="146" spans="1:20" x14ac:dyDescent="0.3">
      <c r="A146" s="2" t="s">
        <v>14</v>
      </c>
      <c r="B146" s="3" t="s">
        <v>14</v>
      </c>
      <c r="C146" s="3" t="s">
        <v>178</v>
      </c>
      <c r="D146" s="3" t="s">
        <v>14</v>
      </c>
      <c r="E146" s="3" t="s">
        <v>96</v>
      </c>
      <c r="F146" s="4">
        <v>46121</v>
      </c>
      <c r="G146" s="3" t="s">
        <v>43</v>
      </c>
      <c r="H146" s="6">
        <v>-9382380</v>
      </c>
      <c r="I146" s="3" t="s">
        <v>16</v>
      </c>
      <c r="J146" s="3" t="s">
        <v>14</v>
      </c>
      <c r="K146" s="3" t="s">
        <v>14</v>
      </c>
      <c r="L146" s="3" t="s">
        <v>1269</v>
      </c>
      <c r="M146" s="4">
        <v>46121</v>
      </c>
      <c r="N146" s="3" t="s">
        <v>139</v>
      </c>
      <c r="O146" s="3" t="s">
        <v>33</v>
      </c>
      <c r="P146" t="str">
        <f t="shared" si="2"/>
        <v>450012003810</v>
      </c>
      <c r="Q146" s="7" cm="1">
        <f t="array" ref="Q146:S146">VLOOKUP(P146,Hoja1!C:F,{2,3,4},FALSE)</f>
        <v>46203</v>
      </c>
      <c r="R146" t="str">
        <v>C21</v>
      </c>
      <c r="S146" t="str">
        <v>1000000634 RAIZEN ARGENTINA S.A.U.</v>
      </c>
      <c r="T146" t="str">
        <f>VLOOKUP(P146,Hoja2!C:D,2,FALSE)</f>
        <v>RMIR</v>
      </c>
    </row>
    <row r="147" spans="1:20" x14ac:dyDescent="0.3">
      <c r="A147" s="2" t="s">
        <v>14</v>
      </c>
      <c r="B147" s="3" t="s">
        <v>14</v>
      </c>
      <c r="C147" s="3" t="s">
        <v>178</v>
      </c>
      <c r="D147" s="3" t="s">
        <v>14</v>
      </c>
      <c r="E147" s="3" t="s">
        <v>96</v>
      </c>
      <c r="F147" s="4">
        <v>46121</v>
      </c>
      <c r="G147" s="3" t="s">
        <v>43</v>
      </c>
      <c r="H147" s="6">
        <v>-1069320</v>
      </c>
      <c r="I147" s="3" t="s">
        <v>16</v>
      </c>
      <c r="J147" s="3" t="s">
        <v>14</v>
      </c>
      <c r="K147" s="3" t="s">
        <v>14</v>
      </c>
      <c r="L147" s="3" t="s">
        <v>1269</v>
      </c>
      <c r="M147" s="4">
        <v>46121</v>
      </c>
      <c r="N147" s="3" t="s">
        <v>139</v>
      </c>
      <c r="O147" s="3" t="s">
        <v>33</v>
      </c>
      <c r="P147" t="str">
        <f t="shared" si="2"/>
        <v>450012003810</v>
      </c>
      <c r="Q147" s="7" cm="1">
        <f t="array" ref="Q147:S147">VLOOKUP(P147,Hoja1!C:F,{2,3,4},FALSE)</f>
        <v>46203</v>
      </c>
      <c r="R147" t="str">
        <v>C21</v>
      </c>
      <c r="S147" t="str">
        <v>1000000634 RAIZEN ARGENTINA S.A.U.</v>
      </c>
      <c r="T147" t="str">
        <f>VLOOKUP(P147,Hoja2!C:D,2,FALSE)</f>
        <v>RMIR</v>
      </c>
    </row>
    <row r="148" spans="1:20" x14ac:dyDescent="0.3">
      <c r="A148" s="2" t="s">
        <v>14</v>
      </c>
      <c r="B148" s="3" t="s">
        <v>14</v>
      </c>
      <c r="C148" s="3" t="s">
        <v>179</v>
      </c>
      <c r="D148" s="3" t="s">
        <v>14</v>
      </c>
      <c r="E148" s="3" t="s">
        <v>96</v>
      </c>
      <c r="F148" s="4">
        <v>46121</v>
      </c>
      <c r="G148" s="3" t="s">
        <v>43</v>
      </c>
      <c r="H148" s="6">
        <v>-223.4</v>
      </c>
      <c r="I148" s="3" t="s">
        <v>16</v>
      </c>
      <c r="J148" s="3" t="s">
        <v>14</v>
      </c>
      <c r="K148" s="3" t="s">
        <v>14</v>
      </c>
      <c r="L148" s="3" t="s">
        <v>97</v>
      </c>
      <c r="M148" s="4">
        <v>46121</v>
      </c>
      <c r="N148" s="3" t="s">
        <v>180</v>
      </c>
      <c r="O148" s="3" t="s">
        <v>33</v>
      </c>
      <c r="P148" t="str">
        <f t="shared" si="2"/>
        <v>450012461310</v>
      </c>
      <c r="Q148" s="7" cm="1">
        <f t="array" ref="Q148:S148">VLOOKUP(P148,Hoja1!C:F,{2,3,4},FALSE)</f>
        <v>46184</v>
      </c>
      <c r="R148" t="str">
        <v>C21</v>
      </c>
      <c r="S148" t="str">
        <v>1000001020 COMBUSTIBLES BARCELO S.R.L.</v>
      </c>
      <c r="T148" t="str">
        <f>VLOOKUP(P148,Hoja2!C:D,2,FALSE)</f>
        <v>JPUPULIN</v>
      </c>
    </row>
    <row r="149" spans="1:20" x14ac:dyDescent="0.3">
      <c r="A149" s="2" t="s">
        <v>14</v>
      </c>
      <c r="B149" s="3" t="s">
        <v>14</v>
      </c>
      <c r="C149" s="3" t="s">
        <v>179</v>
      </c>
      <c r="D149" s="3" t="s">
        <v>14</v>
      </c>
      <c r="E149" s="3" t="s">
        <v>96</v>
      </c>
      <c r="F149" s="4">
        <v>46121</v>
      </c>
      <c r="G149" s="3" t="s">
        <v>43</v>
      </c>
      <c r="H149" s="6">
        <v>-25.46</v>
      </c>
      <c r="I149" s="3" t="s">
        <v>16</v>
      </c>
      <c r="J149" s="3" t="s">
        <v>14</v>
      </c>
      <c r="K149" s="3" t="s">
        <v>14</v>
      </c>
      <c r="L149" s="3" t="s">
        <v>97</v>
      </c>
      <c r="M149" s="4">
        <v>46121</v>
      </c>
      <c r="N149" s="3" t="s">
        <v>180</v>
      </c>
      <c r="O149" s="3" t="s">
        <v>33</v>
      </c>
      <c r="P149" t="str">
        <f t="shared" si="2"/>
        <v>450012461310</v>
      </c>
      <c r="Q149" s="7" cm="1">
        <f t="array" ref="Q149:S149">VLOOKUP(P149,Hoja1!C:F,{2,3,4},FALSE)</f>
        <v>46184</v>
      </c>
      <c r="R149" t="str">
        <v>C21</v>
      </c>
      <c r="S149" t="str">
        <v>1000001020 COMBUSTIBLES BARCELO S.R.L.</v>
      </c>
      <c r="T149" t="str">
        <f>VLOOKUP(P149,Hoja2!C:D,2,FALSE)</f>
        <v>JPUPULIN</v>
      </c>
    </row>
    <row r="150" spans="1:20" x14ac:dyDescent="0.3">
      <c r="A150" s="2" t="s">
        <v>14</v>
      </c>
      <c r="B150" s="3" t="s">
        <v>14</v>
      </c>
      <c r="C150" s="3" t="s">
        <v>181</v>
      </c>
      <c r="D150" s="3" t="s">
        <v>14</v>
      </c>
      <c r="E150" s="3" t="s">
        <v>96</v>
      </c>
      <c r="F150" s="4">
        <v>46122</v>
      </c>
      <c r="G150" s="3" t="s">
        <v>43</v>
      </c>
      <c r="H150" s="6">
        <v>-9382380</v>
      </c>
      <c r="I150" s="3" t="s">
        <v>16</v>
      </c>
      <c r="J150" s="3" t="s">
        <v>14</v>
      </c>
      <c r="K150" s="3" t="s">
        <v>14</v>
      </c>
      <c r="L150" s="3" t="s">
        <v>1269</v>
      </c>
      <c r="M150" s="4">
        <v>46122</v>
      </c>
      <c r="N150" s="3" t="s">
        <v>139</v>
      </c>
      <c r="O150" s="3" t="s">
        <v>33</v>
      </c>
      <c r="P150" t="str">
        <f t="shared" si="2"/>
        <v>450012003810</v>
      </c>
      <c r="Q150" s="7" cm="1">
        <f t="array" ref="Q150:S150">VLOOKUP(P150,Hoja1!C:F,{2,3,4},FALSE)</f>
        <v>46203</v>
      </c>
      <c r="R150" t="str">
        <v>C21</v>
      </c>
      <c r="S150" t="str">
        <v>1000000634 RAIZEN ARGENTINA S.A.U.</v>
      </c>
      <c r="T150" t="str">
        <f>VLOOKUP(P150,Hoja2!C:D,2,FALSE)</f>
        <v>RMIR</v>
      </c>
    </row>
    <row r="151" spans="1:20" x14ac:dyDescent="0.3">
      <c r="A151" s="2" t="s">
        <v>14</v>
      </c>
      <c r="B151" s="3" t="s">
        <v>14</v>
      </c>
      <c r="C151" s="3" t="s">
        <v>181</v>
      </c>
      <c r="D151" s="3" t="s">
        <v>14</v>
      </c>
      <c r="E151" s="3" t="s">
        <v>96</v>
      </c>
      <c r="F151" s="4">
        <v>46122</v>
      </c>
      <c r="G151" s="3" t="s">
        <v>43</v>
      </c>
      <c r="H151" s="6">
        <v>-1069320</v>
      </c>
      <c r="I151" s="3" t="s">
        <v>16</v>
      </c>
      <c r="J151" s="3" t="s">
        <v>14</v>
      </c>
      <c r="K151" s="3" t="s">
        <v>14</v>
      </c>
      <c r="L151" s="3" t="s">
        <v>1269</v>
      </c>
      <c r="M151" s="4">
        <v>46122</v>
      </c>
      <c r="N151" s="3" t="s">
        <v>139</v>
      </c>
      <c r="O151" s="3" t="s">
        <v>33</v>
      </c>
      <c r="P151" t="str">
        <f t="shared" si="2"/>
        <v>450012003810</v>
      </c>
      <c r="Q151" s="7" cm="1">
        <f t="array" ref="Q151:S151">VLOOKUP(P151,Hoja1!C:F,{2,3,4},FALSE)</f>
        <v>46203</v>
      </c>
      <c r="R151" t="str">
        <v>C21</v>
      </c>
      <c r="S151" t="str">
        <v>1000000634 RAIZEN ARGENTINA S.A.U.</v>
      </c>
      <c r="T151" t="str">
        <f>VLOOKUP(P151,Hoja2!C:D,2,FALSE)</f>
        <v>RMIR</v>
      </c>
    </row>
    <row r="152" spans="1:20" x14ac:dyDescent="0.3">
      <c r="A152" s="2" t="s">
        <v>14</v>
      </c>
      <c r="B152" s="3" t="s">
        <v>14</v>
      </c>
      <c r="C152" s="3" t="s">
        <v>182</v>
      </c>
      <c r="D152" s="3" t="s">
        <v>14</v>
      </c>
      <c r="E152" s="3" t="s">
        <v>96</v>
      </c>
      <c r="F152" s="4">
        <v>46127</v>
      </c>
      <c r="G152" s="3" t="s">
        <v>43</v>
      </c>
      <c r="H152" s="6">
        <v>-9382380</v>
      </c>
      <c r="I152" s="3" t="s">
        <v>16</v>
      </c>
      <c r="J152" s="3" t="s">
        <v>14</v>
      </c>
      <c r="K152" s="3" t="s">
        <v>14</v>
      </c>
      <c r="L152" s="3" t="s">
        <v>1269</v>
      </c>
      <c r="M152" s="4">
        <v>46127</v>
      </c>
      <c r="N152" s="3" t="s">
        <v>139</v>
      </c>
      <c r="O152" s="3" t="s">
        <v>33</v>
      </c>
      <c r="P152" t="str">
        <f t="shared" si="2"/>
        <v>450012003810</v>
      </c>
      <c r="Q152" s="7" cm="1">
        <f t="array" ref="Q152:S152">VLOOKUP(P152,Hoja1!C:F,{2,3,4},FALSE)</f>
        <v>46203</v>
      </c>
      <c r="R152" t="str">
        <v>C21</v>
      </c>
      <c r="S152" t="str">
        <v>1000000634 RAIZEN ARGENTINA S.A.U.</v>
      </c>
      <c r="T152" t="str">
        <f>VLOOKUP(P152,Hoja2!C:D,2,FALSE)</f>
        <v>RMIR</v>
      </c>
    </row>
    <row r="153" spans="1:20" x14ac:dyDescent="0.3">
      <c r="A153" s="2" t="s">
        <v>14</v>
      </c>
      <c r="B153" s="3" t="s">
        <v>14</v>
      </c>
      <c r="C153" s="3" t="s">
        <v>182</v>
      </c>
      <c r="D153" s="3" t="s">
        <v>14</v>
      </c>
      <c r="E153" s="3" t="s">
        <v>96</v>
      </c>
      <c r="F153" s="4">
        <v>46127</v>
      </c>
      <c r="G153" s="3" t="s">
        <v>43</v>
      </c>
      <c r="H153" s="6">
        <v>-1069320</v>
      </c>
      <c r="I153" s="3" t="s">
        <v>16</v>
      </c>
      <c r="J153" s="3" t="s">
        <v>14</v>
      </c>
      <c r="K153" s="3" t="s">
        <v>14</v>
      </c>
      <c r="L153" s="3" t="s">
        <v>1269</v>
      </c>
      <c r="M153" s="4">
        <v>46127</v>
      </c>
      <c r="N153" s="3" t="s">
        <v>139</v>
      </c>
      <c r="O153" s="3" t="s">
        <v>33</v>
      </c>
      <c r="P153" t="str">
        <f t="shared" si="2"/>
        <v>450012003810</v>
      </c>
      <c r="Q153" s="7" cm="1">
        <f t="array" ref="Q153:S153">VLOOKUP(P153,Hoja1!C:F,{2,3,4},FALSE)</f>
        <v>46203</v>
      </c>
      <c r="R153" t="str">
        <v>C21</v>
      </c>
      <c r="S153" t="str">
        <v>1000000634 RAIZEN ARGENTINA S.A.U.</v>
      </c>
      <c r="T153" t="str">
        <f>VLOOKUP(P153,Hoja2!C:D,2,FALSE)</f>
        <v>RMIR</v>
      </c>
    </row>
    <row r="154" spans="1:20" x14ac:dyDescent="0.3">
      <c r="A154" s="2" t="s">
        <v>14</v>
      </c>
      <c r="B154" s="3" t="s">
        <v>14</v>
      </c>
      <c r="C154" s="3" t="s">
        <v>183</v>
      </c>
      <c r="D154" s="3" t="s">
        <v>14</v>
      </c>
      <c r="E154" s="3" t="s">
        <v>96</v>
      </c>
      <c r="F154" s="4">
        <v>46127</v>
      </c>
      <c r="G154" s="3" t="s">
        <v>43</v>
      </c>
      <c r="H154" s="6">
        <v>-558500</v>
      </c>
      <c r="I154" s="3" t="s">
        <v>16</v>
      </c>
      <c r="J154" s="3" t="s">
        <v>14</v>
      </c>
      <c r="K154" s="3" t="s">
        <v>14</v>
      </c>
      <c r="L154" s="3" t="s">
        <v>97</v>
      </c>
      <c r="M154" s="4">
        <v>46127</v>
      </c>
      <c r="N154" s="3" t="s">
        <v>163</v>
      </c>
      <c r="O154" s="3" t="s">
        <v>33</v>
      </c>
      <c r="P154" t="str">
        <f t="shared" si="2"/>
        <v>450011911710</v>
      </c>
      <c r="Q154" s="7" cm="1">
        <f t="array" ref="Q154:S154">VLOOKUP(P154,Hoja1!C:F,{2,3,4},FALSE)</f>
        <v>46245</v>
      </c>
      <c r="R154" t="str">
        <v>C21</v>
      </c>
      <c r="S154" t="str">
        <v>1000001020 COMBUSTIBLES BARCELO S.R.L.</v>
      </c>
      <c r="T154" t="str">
        <f>VLOOKUP(P154,Hoja2!C:D,2,FALSE)</f>
        <v>RMIR</v>
      </c>
    </row>
    <row r="155" spans="1:20" x14ac:dyDescent="0.3">
      <c r="A155" s="2" t="s">
        <v>14</v>
      </c>
      <c r="B155" s="3" t="s">
        <v>14</v>
      </c>
      <c r="C155" s="3" t="s">
        <v>183</v>
      </c>
      <c r="D155" s="3" t="s">
        <v>14</v>
      </c>
      <c r="E155" s="3" t="s">
        <v>96</v>
      </c>
      <c r="F155" s="4">
        <v>46127</v>
      </c>
      <c r="G155" s="3" t="s">
        <v>43</v>
      </c>
      <c r="H155" s="6">
        <v>-63650</v>
      </c>
      <c r="I155" s="3" t="s">
        <v>16</v>
      </c>
      <c r="J155" s="3" t="s">
        <v>14</v>
      </c>
      <c r="K155" s="3" t="s">
        <v>14</v>
      </c>
      <c r="L155" s="3" t="s">
        <v>97</v>
      </c>
      <c r="M155" s="4">
        <v>46127</v>
      </c>
      <c r="N155" s="3" t="s">
        <v>163</v>
      </c>
      <c r="O155" s="3" t="s">
        <v>33</v>
      </c>
      <c r="P155" t="str">
        <f t="shared" si="2"/>
        <v>450011911710</v>
      </c>
      <c r="Q155" s="7" cm="1">
        <f t="array" ref="Q155:S155">VLOOKUP(P155,Hoja1!C:F,{2,3,4},FALSE)</f>
        <v>46245</v>
      </c>
      <c r="R155" t="str">
        <v>C21</v>
      </c>
      <c r="S155" t="str">
        <v>1000001020 COMBUSTIBLES BARCELO S.R.L.</v>
      </c>
      <c r="T155" t="str">
        <f>VLOOKUP(P155,Hoja2!C:D,2,FALSE)</f>
        <v>RMIR</v>
      </c>
    </row>
    <row r="156" spans="1:20" x14ac:dyDescent="0.3">
      <c r="A156" s="2" t="s">
        <v>14</v>
      </c>
      <c r="B156" s="3" t="s">
        <v>14</v>
      </c>
      <c r="C156" s="3" t="s">
        <v>184</v>
      </c>
      <c r="D156" s="3" t="s">
        <v>35</v>
      </c>
      <c r="E156" s="3" t="s">
        <v>96</v>
      </c>
      <c r="F156" s="4">
        <v>46123</v>
      </c>
      <c r="G156" s="3" t="s">
        <v>15</v>
      </c>
      <c r="H156" s="5">
        <v>750000</v>
      </c>
      <c r="I156" s="3" t="s">
        <v>16</v>
      </c>
      <c r="J156" s="3" t="s">
        <v>14</v>
      </c>
      <c r="K156" s="3" t="s">
        <v>14</v>
      </c>
      <c r="L156" s="3" t="s">
        <v>37</v>
      </c>
      <c r="M156" s="4">
        <v>46123</v>
      </c>
      <c r="N156" s="3" t="s">
        <v>38</v>
      </c>
      <c r="O156" s="3" t="s">
        <v>33</v>
      </c>
      <c r="P156" t="str">
        <f t="shared" si="2"/>
        <v>450011873510</v>
      </c>
      <c r="Q156" s="7" cm="1">
        <f t="array" ref="Q156:S156">VLOOKUP(P156,Hoja1!C:F,{2,3,4},FALSE)</f>
        <v>46386</v>
      </c>
      <c r="R156" t="str">
        <v>C25</v>
      </c>
      <c r="S156" t="str">
        <v>1000012227 LOPEZ RIOS FACUNDO GABRIE</v>
      </c>
      <c r="T156" t="str">
        <f>VLOOKUP(P156,Hoja2!C:D,2,FALSE)</f>
        <v>MPITTIA</v>
      </c>
    </row>
    <row r="157" spans="1:20" x14ac:dyDescent="0.3">
      <c r="A157" s="2" t="s">
        <v>14</v>
      </c>
      <c r="B157" s="3" t="s">
        <v>14</v>
      </c>
      <c r="C157" s="3" t="s">
        <v>184</v>
      </c>
      <c r="D157" s="3" t="s">
        <v>35</v>
      </c>
      <c r="E157" s="3" t="s">
        <v>96</v>
      </c>
      <c r="F157" s="4">
        <v>46123</v>
      </c>
      <c r="G157" s="3" t="s">
        <v>15</v>
      </c>
      <c r="H157" s="5">
        <v>600000</v>
      </c>
      <c r="I157" s="3" t="s">
        <v>16</v>
      </c>
      <c r="J157" s="3" t="s">
        <v>14</v>
      </c>
      <c r="K157" s="3" t="s">
        <v>14</v>
      </c>
      <c r="L157" s="3" t="s">
        <v>37</v>
      </c>
      <c r="M157" s="4">
        <v>46123</v>
      </c>
      <c r="N157" s="3" t="s">
        <v>38</v>
      </c>
      <c r="O157" s="3" t="s">
        <v>21</v>
      </c>
      <c r="P157" t="str">
        <f t="shared" si="2"/>
        <v>450011873530</v>
      </c>
      <c r="Q157" s="7" cm="1">
        <f t="array" ref="Q157:S157">VLOOKUP(P157,Hoja1!C:F,{2,3,4},FALSE)</f>
        <v>46386</v>
      </c>
      <c r="R157" t="str">
        <v>C25</v>
      </c>
      <c r="S157" t="str">
        <v>1000012227 LOPEZ RIOS FACUNDO GABRIE</v>
      </c>
      <c r="T157" t="str">
        <f>VLOOKUP(P157,Hoja2!C:D,2,FALSE)</f>
        <v>MPITTIA</v>
      </c>
    </row>
    <row r="158" spans="1:20" x14ac:dyDescent="0.3">
      <c r="A158" s="2" t="s">
        <v>14</v>
      </c>
      <c r="B158" s="3" t="s">
        <v>14</v>
      </c>
      <c r="C158" s="3" t="s">
        <v>184</v>
      </c>
      <c r="D158" s="3" t="s">
        <v>35</v>
      </c>
      <c r="E158" s="3" t="s">
        <v>96</v>
      </c>
      <c r="F158" s="4">
        <v>46123</v>
      </c>
      <c r="G158" s="3" t="s">
        <v>15</v>
      </c>
      <c r="H158" s="5">
        <v>300000</v>
      </c>
      <c r="I158" s="3" t="s">
        <v>16</v>
      </c>
      <c r="J158" s="3" t="s">
        <v>14</v>
      </c>
      <c r="K158" s="3" t="s">
        <v>14</v>
      </c>
      <c r="L158" s="3" t="s">
        <v>37</v>
      </c>
      <c r="M158" s="4">
        <v>46123</v>
      </c>
      <c r="N158" s="3" t="s">
        <v>38</v>
      </c>
      <c r="O158" s="3" t="s">
        <v>22</v>
      </c>
      <c r="P158" t="str">
        <f t="shared" si="2"/>
        <v>450011873550</v>
      </c>
      <c r="Q158" s="7" cm="1">
        <f t="array" ref="Q158:S158">VLOOKUP(P158,Hoja1!C:F,{2,3,4},FALSE)</f>
        <v>46386</v>
      </c>
      <c r="R158" t="str">
        <v>C25</v>
      </c>
      <c r="S158" t="str">
        <v>1000012227 LOPEZ RIOS FACUNDO GABRIE</v>
      </c>
      <c r="T158" t="str">
        <f>VLOOKUP(P158,Hoja2!C:D,2,FALSE)</f>
        <v>MPITTIA</v>
      </c>
    </row>
    <row r="159" spans="1:20" x14ac:dyDescent="0.3">
      <c r="A159" s="2" t="s">
        <v>14</v>
      </c>
      <c r="B159" s="3" t="s">
        <v>14</v>
      </c>
      <c r="C159" s="3" t="s">
        <v>184</v>
      </c>
      <c r="D159" s="3" t="s">
        <v>35</v>
      </c>
      <c r="E159" s="3" t="s">
        <v>96</v>
      </c>
      <c r="F159" s="4">
        <v>46123</v>
      </c>
      <c r="G159" s="3" t="s">
        <v>15</v>
      </c>
      <c r="H159" s="5">
        <v>1125000</v>
      </c>
      <c r="I159" s="3" t="s">
        <v>16</v>
      </c>
      <c r="J159" s="3" t="s">
        <v>14</v>
      </c>
      <c r="K159" s="3" t="s">
        <v>14</v>
      </c>
      <c r="L159" s="3" t="s">
        <v>37</v>
      </c>
      <c r="M159" s="4">
        <v>46123</v>
      </c>
      <c r="N159" s="3" t="s">
        <v>38</v>
      </c>
      <c r="O159" s="3" t="s">
        <v>23</v>
      </c>
      <c r="P159" t="str">
        <f t="shared" si="2"/>
        <v>450011873560</v>
      </c>
      <c r="Q159" s="7" cm="1">
        <f t="array" ref="Q159:S159">VLOOKUP(P159,Hoja1!C:F,{2,3,4},FALSE)</f>
        <v>46386</v>
      </c>
      <c r="R159" t="str">
        <v>C25</v>
      </c>
      <c r="S159" t="str">
        <v>1000012227 LOPEZ RIOS FACUNDO GABRIE</v>
      </c>
      <c r="T159" t="str">
        <f>VLOOKUP(P159,Hoja2!C:D,2,FALSE)</f>
        <v>MPITTIA</v>
      </c>
    </row>
    <row r="160" spans="1:20" x14ac:dyDescent="0.3">
      <c r="A160" s="2" t="s">
        <v>14</v>
      </c>
      <c r="B160" s="3" t="s">
        <v>14</v>
      </c>
      <c r="C160" s="3" t="s">
        <v>185</v>
      </c>
      <c r="D160" s="3" t="s">
        <v>14</v>
      </c>
      <c r="E160" s="3" t="s">
        <v>96</v>
      </c>
      <c r="F160" s="4">
        <v>46126</v>
      </c>
      <c r="G160" s="3" t="s">
        <v>43</v>
      </c>
      <c r="H160" s="6">
        <v>-583321.79</v>
      </c>
      <c r="I160" s="3" t="s">
        <v>16</v>
      </c>
      <c r="J160" s="3" t="s">
        <v>14</v>
      </c>
      <c r="K160" s="3" t="s">
        <v>14</v>
      </c>
      <c r="L160" s="3" t="s">
        <v>113</v>
      </c>
      <c r="M160" s="4">
        <v>46128</v>
      </c>
      <c r="N160" s="3" t="s">
        <v>186</v>
      </c>
      <c r="O160" s="3" t="s">
        <v>33</v>
      </c>
      <c r="P160" t="str">
        <f t="shared" si="2"/>
        <v>450012480110</v>
      </c>
      <c r="Q160" s="7" cm="1">
        <f t="array" ref="Q160:S160">VLOOKUP(P160,Hoja1!C:F,{2,3,4},FALSE)</f>
        <v>46136</v>
      </c>
      <c r="R160" t="str">
        <v>C03</v>
      </c>
      <c r="S160" t="str">
        <v>1000002106 REMOLQUES OMBU SA</v>
      </c>
      <c r="T160" t="str">
        <f>VLOOKUP(P160,Hoja2!C:D,2,FALSE)</f>
        <v>FBERARDO</v>
      </c>
    </row>
    <row r="161" spans="1:20" x14ac:dyDescent="0.3">
      <c r="A161" s="2" t="s">
        <v>14</v>
      </c>
      <c r="B161" s="3" t="s">
        <v>14</v>
      </c>
      <c r="C161" s="3" t="s">
        <v>185</v>
      </c>
      <c r="D161" s="3" t="s">
        <v>14</v>
      </c>
      <c r="E161" s="3" t="s">
        <v>96</v>
      </c>
      <c r="F161" s="4">
        <v>46126</v>
      </c>
      <c r="G161" s="3" t="s">
        <v>43</v>
      </c>
      <c r="H161" s="6">
        <v>-583321.79</v>
      </c>
      <c r="I161" s="3" t="s">
        <v>16</v>
      </c>
      <c r="J161" s="3" t="s">
        <v>14</v>
      </c>
      <c r="K161" s="3" t="s">
        <v>14</v>
      </c>
      <c r="L161" s="3" t="s">
        <v>113</v>
      </c>
      <c r="M161" s="4">
        <v>46128</v>
      </c>
      <c r="N161" s="3" t="s">
        <v>186</v>
      </c>
      <c r="O161" s="3" t="s">
        <v>20</v>
      </c>
      <c r="P161" t="str">
        <f t="shared" si="2"/>
        <v>450012480120</v>
      </c>
      <c r="Q161" s="7" cm="1">
        <f t="array" ref="Q161:S161">VLOOKUP(P161,Hoja1!C:F,{2,3,4},FALSE)</f>
        <v>46136</v>
      </c>
      <c r="R161" t="str">
        <v>C03</v>
      </c>
      <c r="S161" t="str">
        <v>1000002106 REMOLQUES OMBU SA</v>
      </c>
      <c r="T161" t="str">
        <f>VLOOKUP(P161,Hoja2!C:D,2,FALSE)</f>
        <v>FBERARDO</v>
      </c>
    </row>
    <row r="162" spans="1:20" x14ac:dyDescent="0.3">
      <c r="A162" s="2" t="s">
        <v>14</v>
      </c>
      <c r="B162" s="3" t="s">
        <v>14</v>
      </c>
      <c r="C162" s="3" t="s">
        <v>187</v>
      </c>
      <c r="D162" s="3" t="s">
        <v>14</v>
      </c>
      <c r="E162" s="3" t="s">
        <v>96</v>
      </c>
      <c r="F162" s="4">
        <v>46128</v>
      </c>
      <c r="G162" s="3" t="s">
        <v>43</v>
      </c>
      <c r="H162" s="6">
        <v>-223.4</v>
      </c>
      <c r="I162" s="3" t="s">
        <v>16</v>
      </c>
      <c r="J162" s="3" t="s">
        <v>14</v>
      </c>
      <c r="K162" s="3" t="s">
        <v>14</v>
      </c>
      <c r="L162" s="3" t="s">
        <v>97</v>
      </c>
      <c r="M162" s="4">
        <v>46128</v>
      </c>
      <c r="N162" s="3" t="s">
        <v>188</v>
      </c>
      <c r="O162" s="3" t="s">
        <v>33</v>
      </c>
      <c r="P162" t="str">
        <f t="shared" si="2"/>
        <v>450012528210</v>
      </c>
      <c r="Q162" s="7" cm="1">
        <f t="array" ref="Q162:S162">VLOOKUP(P162,Hoja1!C:F,{2,3,4},FALSE)</f>
        <v>46184</v>
      </c>
      <c r="R162" t="str">
        <v>C21</v>
      </c>
      <c r="S162" t="str">
        <v>1000001020 COMBUSTIBLES BARCELO S.R.L.</v>
      </c>
      <c r="T162" t="str">
        <f>VLOOKUP(P162,Hoja2!C:D,2,FALSE)</f>
        <v>JPUPULIN</v>
      </c>
    </row>
    <row r="163" spans="1:20" x14ac:dyDescent="0.3">
      <c r="A163" s="2" t="s">
        <v>14</v>
      </c>
      <c r="B163" s="3" t="s">
        <v>14</v>
      </c>
      <c r="C163" s="3" t="s">
        <v>187</v>
      </c>
      <c r="D163" s="3" t="s">
        <v>14</v>
      </c>
      <c r="E163" s="3" t="s">
        <v>96</v>
      </c>
      <c r="F163" s="4">
        <v>46128</v>
      </c>
      <c r="G163" s="3" t="s">
        <v>43</v>
      </c>
      <c r="H163" s="6">
        <v>-25.46</v>
      </c>
      <c r="I163" s="3" t="s">
        <v>16</v>
      </c>
      <c r="J163" s="3" t="s">
        <v>14</v>
      </c>
      <c r="K163" s="3" t="s">
        <v>14</v>
      </c>
      <c r="L163" s="3" t="s">
        <v>97</v>
      </c>
      <c r="M163" s="4">
        <v>46128</v>
      </c>
      <c r="N163" s="3" t="s">
        <v>188</v>
      </c>
      <c r="O163" s="3" t="s">
        <v>33</v>
      </c>
      <c r="P163" t="str">
        <f t="shared" si="2"/>
        <v>450012528210</v>
      </c>
      <c r="Q163" s="7" cm="1">
        <f t="array" ref="Q163:S163">VLOOKUP(P163,Hoja1!C:F,{2,3,4},FALSE)</f>
        <v>46184</v>
      </c>
      <c r="R163" t="str">
        <v>C21</v>
      </c>
      <c r="S163" t="str">
        <v>1000001020 COMBUSTIBLES BARCELO S.R.L.</v>
      </c>
      <c r="T163" t="str">
        <f>VLOOKUP(P163,Hoja2!C:D,2,FALSE)</f>
        <v>JPUPULIN</v>
      </c>
    </row>
    <row r="164" spans="1:20" x14ac:dyDescent="0.3">
      <c r="A164" s="2" t="s">
        <v>14</v>
      </c>
      <c r="B164" s="3" t="s">
        <v>14</v>
      </c>
      <c r="C164" s="3" t="s">
        <v>189</v>
      </c>
      <c r="D164" s="3" t="s">
        <v>14</v>
      </c>
      <c r="E164" s="3" t="s">
        <v>96</v>
      </c>
      <c r="F164" s="4">
        <v>46130</v>
      </c>
      <c r="G164" s="3" t="s">
        <v>43</v>
      </c>
      <c r="H164" s="6">
        <v>-9382380</v>
      </c>
      <c r="I164" s="3" t="s">
        <v>16</v>
      </c>
      <c r="J164" s="3" t="s">
        <v>14</v>
      </c>
      <c r="K164" s="3" t="s">
        <v>14</v>
      </c>
      <c r="L164" s="3" t="s">
        <v>1269</v>
      </c>
      <c r="M164" s="4">
        <v>46130</v>
      </c>
      <c r="N164" s="3" t="s">
        <v>139</v>
      </c>
      <c r="O164" s="3" t="s">
        <v>33</v>
      </c>
      <c r="P164" t="str">
        <f t="shared" si="2"/>
        <v>450012003810</v>
      </c>
      <c r="Q164" s="7" cm="1">
        <f t="array" ref="Q164:S164">VLOOKUP(P164,Hoja1!C:F,{2,3,4},FALSE)</f>
        <v>46203</v>
      </c>
      <c r="R164" t="str">
        <v>C21</v>
      </c>
      <c r="S164" t="str">
        <v>1000000634 RAIZEN ARGENTINA S.A.U.</v>
      </c>
      <c r="T164" t="str">
        <f>VLOOKUP(P164,Hoja2!C:D,2,FALSE)</f>
        <v>RMIR</v>
      </c>
    </row>
    <row r="165" spans="1:20" x14ac:dyDescent="0.3">
      <c r="A165" s="2" t="s">
        <v>14</v>
      </c>
      <c r="B165" s="3" t="s">
        <v>14</v>
      </c>
      <c r="C165" s="3" t="s">
        <v>189</v>
      </c>
      <c r="D165" s="3" t="s">
        <v>14</v>
      </c>
      <c r="E165" s="3" t="s">
        <v>96</v>
      </c>
      <c r="F165" s="4">
        <v>46130</v>
      </c>
      <c r="G165" s="3" t="s">
        <v>43</v>
      </c>
      <c r="H165" s="6">
        <v>-1069320</v>
      </c>
      <c r="I165" s="3" t="s">
        <v>16</v>
      </c>
      <c r="J165" s="3" t="s">
        <v>14</v>
      </c>
      <c r="K165" s="3" t="s">
        <v>14</v>
      </c>
      <c r="L165" s="3" t="s">
        <v>1269</v>
      </c>
      <c r="M165" s="4">
        <v>46130</v>
      </c>
      <c r="N165" s="3" t="s">
        <v>139</v>
      </c>
      <c r="O165" s="3" t="s">
        <v>33</v>
      </c>
      <c r="P165" t="str">
        <f t="shared" si="2"/>
        <v>450012003810</v>
      </c>
      <c r="Q165" s="7" cm="1">
        <f t="array" ref="Q165:S165">VLOOKUP(P165,Hoja1!C:F,{2,3,4},FALSE)</f>
        <v>46203</v>
      </c>
      <c r="R165" t="str">
        <v>C21</v>
      </c>
      <c r="S165" t="str">
        <v>1000000634 RAIZEN ARGENTINA S.A.U.</v>
      </c>
      <c r="T165" t="str">
        <f>VLOOKUP(P165,Hoja2!C:D,2,FALSE)</f>
        <v>RMIR</v>
      </c>
    </row>
    <row r="166" spans="1:20" x14ac:dyDescent="0.3">
      <c r="A166" s="2" t="s">
        <v>14</v>
      </c>
      <c r="B166" s="3" t="s">
        <v>14</v>
      </c>
      <c r="C166" s="3" t="s">
        <v>190</v>
      </c>
      <c r="D166" s="3" t="s">
        <v>14</v>
      </c>
      <c r="E166" s="3" t="s">
        <v>96</v>
      </c>
      <c r="F166" s="4">
        <v>46130</v>
      </c>
      <c r="G166" s="3" t="s">
        <v>43</v>
      </c>
      <c r="H166" s="6">
        <v>-9382380</v>
      </c>
      <c r="I166" s="3" t="s">
        <v>16</v>
      </c>
      <c r="J166" s="3" t="s">
        <v>14</v>
      </c>
      <c r="K166" s="3" t="s">
        <v>14</v>
      </c>
      <c r="L166" s="3" t="s">
        <v>1269</v>
      </c>
      <c r="M166" s="4">
        <v>46130</v>
      </c>
      <c r="N166" s="3" t="s">
        <v>139</v>
      </c>
      <c r="O166" s="3" t="s">
        <v>33</v>
      </c>
      <c r="P166" t="str">
        <f t="shared" si="2"/>
        <v>450012003810</v>
      </c>
      <c r="Q166" s="7" cm="1">
        <f t="array" ref="Q166:S166">VLOOKUP(P166,Hoja1!C:F,{2,3,4},FALSE)</f>
        <v>46203</v>
      </c>
      <c r="R166" t="str">
        <v>C21</v>
      </c>
      <c r="S166" t="str">
        <v>1000000634 RAIZEN ARGENTINA S.A.U.</v>
      </c>
      <c r="T166" t="str">
        <f>VLOOKUP(P166,Hoja2!C:D,2,FALSE)</f>
        <v>RMIR</v>
      </c>
    </row>
    <row r="167" spans="1:20" x14ac:dyDescent="0.3">
      <c r="A167" s="2" t="s">
        <v>14</v>
      </c>
      <c r="B167" s="3" t="s">
        <v>14</v>
      </c>
      <c r="C167" s="3" t="s">
        <v>190</v>
      </c>
      <c r="D167" s="3" t="s">
        <v>14</v>
      </c>
      <c r="E167" s="3" t="s">
        <v>96</v>
      </c>
      <c r="F167" s="4">
        <v>46130</v>
      </c>
      <c r="G167" s="3" t="s">
        <v>43</v>
      </c>
      <c r="H167" s="6">
        <v>-1069320</v>
      </c>
      <c r="I167" s="3" t="s">
        <v>16</v>
      </c>
      <c r="J167" s="3" t="s">
        <v>14</v>
      </c>
      <c r="K167" s="3" t="s">
        <v>14</v>
      </c>
      <c r="L167" s="3" t="s">
        <v>1269</v>
      </c>
      <c r="M167" s="4">
        <v>46130</v>
      </c>
      <c r="N167" s="3" t="s">
        <v>139</v>
      </c>
      <c r="O167" s="3" t="s">
        <v>33</v>
      </c>
      <c r="P167" t="str">
        <f t="shared" si="2"/>
        <v>450012003810</v>
      </c>
      <c r="Q167" s="7" cm="1">
        <f t="array" ref="Q167:S167">VLOOKUP(P167,Hoja1!C:F,{2,3,4},FALSE)</f>
        <v>46203</v>
      </c>
      <c r="R167" t="str">
        <v>C21</v>
      </c>
      <c r="S167" t="str">
        <v>1000000634 RAIZEN ARGENTINA S.A.U.</v>
      </c>
      <c r="T167" t="str">
        <f>VLOOKUP(P167,Hoja2!C:D,2,FALSE)</f>
        <v>RMIR</v>
      </c>
    </row>
    <row r="168" spans="1:20" x14ac:dyDescent="0.3">
      <c r="A168" s="2" t="s">
        <v>14</v>
      </c>
      <c r="B168" s="3" t="s">
        <v>14</v>
      </c>
      <c r="C168" s="3" t="s">
        <v>191</v>
      </c>
      <c r="D168" s="3" t="s">
        <v>14</v>
      </c>
      <c r="E168" s="3" t="s">
        <v>96</v>
      </c>
      <c r="F168" s="4">
        <v>46135</v>
      </c>
      <c r="G168" s="3" t="s">
        <v>43</v>
      </c>
      <c r="H168" s="6">
        <v>-9382380</v>
      </c>
      <c r="I168" s="3" t="s">
        <v>16</v>
      </c>
      <c r="J168" s="3" t="s">
        <v>14</v>
      </c>
      <c r="K168" s="3" t="s">
        <v>14</v>
      </c>
      <c r="L168" s="3" t="s">
        <v>1269</v>
      </c>
      <c r="M168" s="4">
        <v>46135</v>
      </c>
      <c r="N168" s="3" t="s">
        <v>139</v>
      </c>
      <c r="O168" s="3" t="s">
        <v>33</v>
      </c>
      <c r="P168" t="str">
        <f t="shared" si="2"/>
        <v>450012003810</v>
      </c>
      <c r="Q168" s="7" cm="1">
        <f t="array" ref="Q168:S168">VLOOKUP(P168,Hoja1!C:F,{2,3,4},FALSE)</f>
        <v>46203</v>
      </c>
      <c r="R168" t="str">
        <v>C21</v>
      </c>
      <c r="S168" t="str">
        <v>1000000634 RAIZEN ARGENTINA S.A.U.</v>
      </c>
      <c r="T168" t="str">
        <f>VLOOKUP(P168,Hoja2!C:D,2,FALSE)</f>
        <v>RMIR</v>
      </c>
    </row>
    <row r="169" spans="1:20" x14ac:dyDescent="0.3">
      <c r="A169" s="2" t="s">
        <v>14</v>
      </c>
      <c r="B169" s="3" t="s">
        <v>14</v>
      </c>
      <c r="C169" s="3" t="s">
        <v>191</v>
      </c>
      <c r="D169" s="3" t="s">
        <v>14</v>
      </c>
      <c r="E169" s="3" t="s">
        <v>96</v>
      </c>
      <c r="F169" s="4">
        <v>46135</v>
      </c>
      <c r="G169" s="3" t="s">
        <v>43</v>
      </c>
      <c r="H169" s="6">
        <v>-1069320</v>
      </c>
      <c r="I169" s="3" t="s">
        <v>16</v>
      </c>
      <c r="J169" s="3" t="s">
        <v>14</v>
      </c>
      <c r="K169" s="3" t="s">
        <v>14</v>
      </c>
      <c r="L169" s="3" t="s">
        <v>1269</v>
      </c>
      <c r="M169" s="4">
        <v>46135</v>
      </c>
      <c r="N169" s="3" t="s">
        <v>139</v>
      </c>
      <c r="O169" s="3" t="s">
        <v>33</v>
      </c>
      <c r="P169" t="str">
        <f t="shared" si="2"/>
        <v>450012003810</v>
      </c>
      <c r="Q169" s="7" cm="1">
        <f t="array" ref="Q169:S169">VLOOKUP(P169,Hoja1!C:F,{2,3,4},FALSE)</f>
        <v>46203</v>
      </c>
      <c r="R169" t="str">
        <v>C21</v>
      </c>
      <c r="S169" t="str">
        <v>1000000634 RAIZEN ARGENTINA S.A.U.</v>
      </c>
      <c r="T169" t="str">
        <f>VLOOKUP(P169,Hoja2!C:D,2,FALSE)</f>
        <v>RMIR</v>
      </c>
    </row>
    <row r="170" spans="1:20" x14ac:dyDescent="0.3">
      <c r="A170" s="2" t="s">
        <v>14</v>
      </c>
      <c r="B170" s="3" t="s">
        <v>14</v>
      </c>
      <c r="C170" s="3" t="s">
        <v>192</v>
      </c>
      <c r="D170" s="3" t="s">
        <v>55</v>
      </c>
      <c r="E170" s="3" t="s">
        <v>96</v>
      </c>
      <c r="F170" s="4">
        <v>46139</v>
      </c>
      <c r="G170" s="3" t="s">
        <v>43</v>
      </c>
      <c r="H170" s="6">
        <v>-4031890</v>
      </c>
      <c r="I170" s="3" t="s">
        <v>16</v>
      </c>
      <c r="J170" s="3" t="s">
        <v>14</v>
      </c>
      <c r="K170" s="3" t="s">
        <v>14</v>
      </c>
      <c r="L170" s="3" t="s">
        <v>193</v>
      </c>
      <c r="M170" s="4">
        <v>46139</v>
      </c>
      <c r="N170" s="3" t="s">
        <v>194</v>
      </c>
      <c r="O170" s="3" t="s">
        <v>33</v>
      </c>
      <c r="P170" t="str">
        <f t="shared" si="2"/>
        <v>450012420610</v>
      </c>
      <c r="Q170" s="7" cm="1">
        <f t="array" ref="Q170:S170">VLOOKUP(P170,Hoja1!C:F,{2,3,4},FALSE)</f>
        <v>46308</v>
      </c>
      <c r="R170" t="str">
        <v>C21</v>
      </c>
      <c r="S170" t="str">
        <v>1000002248 BIOENDESA SA</v>
      </c>
      <c r="T170" t="str">
        <f>VLOOKUP(P170,Hoja2!C:D,2,FALSE)</f>
        <v>RMIR</v>
      </c>
    </row>
    <row r="171" spans="1:20" x14ac:dyDescent="0.3">
      <c r="A171" s="2" t="s">
        <v>14</v>
      </c>
      <c r="B171" s="3" t="s">
        <v>14</v>
      </c>
      <c r="C171" s="3" t="s">
        <v>192</v>
      </c>
      <c r="D171" s="3" t="s">
        <v>55</v>
      </c>
      <c r="E171" s="3" t="s">
        <v>96</v>
      </c>
      <c r="F171" s="4">
        <v>46139</v>
      </c>
      <c r="G171" s="3" t="s">
        <v>43</v>
      </c>
      <c r="H171" s="6">
        <v>-459510</v>
      </c>
      <c r="I171" s="3" t="s">
        <v>16</v>
      </c>
      <c r="J171" s="3" t="s">
        <v>14</v>
      </c>
      <c r="K171" s="3" t="s">
        <v>14</v>
      </c>
      <c r="L171" s="3" t="s">
        <v>193</v>
      </c>
      <c r="M171" s="4">
        <v>46139</v>
      </c>
      <c r="N171" s="3" t="s">
        <v>194</v>
      </c>
      <c r="O171" s="3" t="s">
        <v>33</v>
      </c>
      <c r="P171" t="str">
        <f t="shared" si="2"/>
        <v>450012420610</v>
      </c>
      <c r="Q171" s="7" cm="1">
        <f t="array" ref="Q171:S171">VLOOKUP(P171,Hoja1!C:F,{2,3,4},FALSE)</f>
        <v>46308</v>
      </c>
      <c r="R171" t="str">
        <v>C21</v>
      </c>
      <c r="S171" t="str">
        <v>1000002248 BIOENDESA SA</v>
      </c>
      <c r="T171" t="str">
        <f>VLOOKUP(P171,Hoja2!C:D,2,FALSE)</f>
        <v>RMIR</v>
      </c>
    </row>
    <row r="172" spans="1:20" x14ac:dyDescent="0.3">
      <c r="A172" s="2" t="s">
        <v>14</v>
      </c>
      <c r="B172" s="3" t="s">
        <v>14</v>
      </c>
      <c r="C172" s="3" t="s">
        <v>195</v>
      </c>
      <c r="D172" s="3" t="s">
        <v>55</v>
      </c>
      <c r="E172" s="3" t="s">
        <v>96</v>
      </c>
      <c r="F172" s="4">
        <v>46140</v>
      </c>
      <c r="G172" s="3" t="s">
        <v>43</v>
      </c>
      <c r="H172" s="6">
        <v>-1852633.86</v>
      </c>
      <c r="I172" s="3" t="s">
        <v>16</v>
      </c>
      <c r="J172" s="3" t="s">
        <v>14</v>
      </c>
      <c r="K172" s="3" t="s">
        <v>14</v>
      </c>
      <c r="L172" s="3" t="s">
        <v>1269</v>
      </c>
      <c r="M172" s="4">
        <v>46140</v>
      </c>
      <c r="N172" s="3" t="s">
        <v>196</v>
      </c>
      <c r="O172" s="3" t="s">
        <v>33</v>
      </c>
      <c r="P172" t="str">
        <f t="shared" si="2"/>
        <v>450012592610</v>
      </c>
      <c r="Q172" s="7" cm="1">
        <f t="array" ref="Q172:S172">VLOOKUP(P172,Hoja1!C:F,{2,3,4},FALSE)</f>
        <v>46203</v>
      </c>
      <c r="R172" t="str">
        <v>C21</v>
      </c>
      <c r="S172" t="str">
        <v>1000000634 RAIZEN ARGENTINA S.A.U.</v>
      </c>
      <c r="T172" t="s">
        <v>865</v>
      </c>
    </row>
    <row r="173" spans="1:20" x14ac:dyDescent="0.3">
      <c r="A173" s="2" t="s">
        <v>14</v>
      </c>
      <c r="B173" s="3" t="s">
        <v>14</v>
      </c>
      <c r="C173" s="3" t="s">
        <v>195</v>
      </c>
      <c r="D173" s="3" t="s">
        <v>55</v>
      </c>
      <c r="E173" s="3" t="s">
        <v>96</v>
      </c>
      <c r="F173" s="4">
        <v>46140</v>
      </c>
      <c r="G173" s="3" t="s">
        <v>43</v>
      </c>
      <c r="H173" s="6">
        <v>-207189.67</v>
      </c>
      <c r="I173" s="3" t="s">
        <v>16</v>
      </c>
      <c r="J173" s="3" t="s">
        <v>14</v>
      </c>
      <c r="K173" s="3" t="s">
        <v>14</v>
      </c>
      <c r="L173" s="3" t="s">
        <v>1269</v>
      </c>
      <c r="M173" s="4">
        <v>46140</v>
      </c>
      <c r="N173" s="3" t="s">
        <v>196</v>
      </c>
      <c r="O173" s="3" t="s">
        <v>33</v>
      </c>
      <c r="P173" t="str">
        <f t="shared" si="2"/>
        <v>450012592610</v>
      </c>
      <c r="Q173" s="7" cm="1">
        <f t="array" ref="Q173:S173">VLOOKUP(P173,Hoja1!C:F,{2,3,4},FALSE)</f>
        <v>46203</v>
      </c>
      <c r="R173" t="str">
        <v>C21</v>
      </c>
      <c r="S173" t="str">
        <v>1000000634 RAIZEN ARGENTINA S.A.U.</v>
      </c>
      <c r="T173" t="s">
        <v>865</v>
      </c>
    </row>
    <row r="174" spans="1:20" x14ac:dyDescent="0.3">
      <c r="A174" s="2" t="s">
        <v>14</v>
      </c>
      <c r="B174" s="3" t="s">
        <v>14</v>
      </c>
      <c r="C174" s="3" t="s">
        <v>195</v>
      </c>
      <c r="D174" s="3" t="s">
        <v>55</v>
      </c>
      <c r="E174" s="3" t="s">
        <v>96</v>
      </c>
      <c r="F174" s="4">
        <v>46140</v>
      </c>
      <c r="G174" s="3" t="s">
        <v>43</v>
      </c>
      <c r="H174" s="6">
        <v>-1852633.86</v>
      </c>
      <c r="I174" s="3" t="s">
        <v>16</v>
      </c>
      <c r="J174" s="3" t="s">
        <v>14</v>
      </c>
      <c r="K174" s="3" t="s">
        <v>14</v>
      </c>
      <c r="L174" s="3" t="s">
        <v>1269</v>
      </c>
      <c r="M174" s="4">
        <v>46140</v>
      </c>
      <c r="N174" s="3" t="s">
        <v>196</v>
      </c>
      <c r="O174" s="3" t="s">
        <v>20</v>
      </c>
      <c r="P174" t="str">
        <f t="shared" si="2"/>
        <v>450012592620</v>
      </c>
      <c r="Q174" s="7" cm="1">
        <f t="array" ref="Q174:S174">VLOOKUP(P174,Hoja1!C:F,{2,3,4},FALSE)</f>
        <v>46203</v>
      </c>
      <c r="R174" t="str">
        <v>C21</v>
      </c>
      <c r="S174" t="str">
        <v>1000000634 RAIZEN ARGENTINA S.A.U.</v>
      </c>
      <c r="T174" t="str">
        <f>VLOOKUP(P174,Hoja2!C:D,2,FALSE)</f>
        <v>JPUPULIN</v>
      </c>
    </row>
    <row r="175" spans="1:20" x14ac:dyDescent="0.3">
      <c r="A175" s="2" t="s">
        <v>14</v>
      </c>
      <c r="B175" s="3" t="s">
        <v>14</v>
      </c>
      <c r="C175" s="3" t="s">
        <v>195</v>
      </c>
      <c r="D175" s="3" t="s">
        <v>55</v>
      </c>
      <c r="E175" s="3" t="s">
        <v>96</v>
      </c>
      <c r="F175" s="4">
        <v>46140</v>
      </c>
      <c r="G175" s="3" t="s">
        <v>43</v>
      </c>
      <c r="H175" s="6">
        <v>-207189.67</v>
      </c>
      <c r="I175" s="3" t="s">
        <v>16</v>
      </c>
      <c r="J175" s="3" t="s">
        <v>14</v>
      </c>
      <c r="K175" s="3" t="s">
        <v>14</v>
      </c>
      <c r="L175" s="3" t="s">
        <v>1269</v>
      </c>
      <c r="M175" s="4">
        <v>46140</v>
      </c>
      <c r="N175" s="3" t="s">
        <v>196</v>
      </c>
      <c r="O175" s="3" t="s">
        <v>20</v>
      </c>
      <c r="P175" t="str">
        <f t="shared" si="2"/>
        <v>450012592620</v>
      </c>
      <c r="Q175" s="7" cm="1">
        <f t="array" ref="Q175:S175">VLOOKUP(P175,Hoja1!C:F,{2,3,4},FALSE)</f>
        <v>46203</v>
      </c>
      <c r="R175" t="str">
        <v>C21</v>
      </c>
      <c r="S175" t="str">
        <v>1000000634 RAIZEN ARGENTINA S.A.U.</v>
      </c>
      <c r="T175" t="str">
        <f>VLOOKUP(P175,Hoja2!C:D,2,FALSE)</f>
        <v>JPUPULIN</v>
      </c>
    </row>
    <row r="176" spans="1:20" x14ac:dyDescent="0.3">
      <c r="A176" s="2" t="s">
        <v>14</v>
      </c>
      <c r="B176" s="3" t="s">
        <v>14</v>
      </c>
      <c r="C176" s="3" t="s">
        <v>195</v>
      </c>
      <c r="D176" s="3" t="s">
        <v>55</v>
      </c>
      <c r="E176" s="3" t="s">
        <v>96</v>
      </c>
      <c r="F176" s="4">
        <v>46140</v>
      </c>
      <c r="G176" s="3" t="s">
        <v>43</v>
      </c>
      <c r="H176" s="6">
        <v>-1852633.86</v>
      </c>
      <c r="I176" s="3" t="s">
        <v>16</v>
      </c>
      <c r="J176" s="3" t="s">
        <v>14</v>
      </c>
      <c r="K176" s="3" t="s">
        <v>14</v>
      </c>
      <c r="L176" s="3" t="s">
        <v>1269</v>
      </c>
      <c r="M176" s="4">
        <v>46140</v>
      </c>
      <c r="N176" s="3" t="s">
        <v>196</v>
      </c>
      <c r="O176" s="3" t="s">
        <v>21</v>
      </c>
      <c r="P176" t="str">
        <f t="shared" si="2"/>
        <v>450012592630</v>
      </c>
      <c r="Q176" s="7" cm="1">
        <f t="array" ref="Q176:S176">VLOOKUP(P176,Hoja1!C:F,{2,3,4},FALSE)</f>
        <v>46203</v>
      </c>
      <c r="R176" t="str">
        <v>C21</v>
      </c>
      <c r="S176" t="str">
        <v>1000000634 RAIZEN ARGENTINA S.A.U.</v>
      </c>
      <c r="T176" t="str">
        <f>VLOOKUP(P176,Hoja2!C:D,2,FALSE)</f>
        <v>JPUPULIN</v>
      </c>
    </row>
    <row r="177" spans="1:20" x14ac:dyDescent="0.3">
      <c r="A177" s="2" t="s">
        <v>14</v>
      </c>
      <c r="B177" s="3" t="s">
        <v>14</v>
      </c>
      <c r="C177" s="3" t="s">
        <v>195</v>
      </c>
      <c r="D177" s="3" t="s">
        <v>55</v>
      </c>
      <c r="E177" s="3" t="s">
        <v>96</v>
      </c>
      <c r="F177" s="4">
        <v>46140</v>
      </c>
      <c r="G177" s="3" t="s">
        <v>43</v>
      </c>
      <c r="H177" s="6">
        <v>-207189.67</v>
      </c>
      <c r="I177" s="3" t="s">
        <v>16</v>
      </c>
      <c r="J177" s="3" t="s">
        <v>14</v>
      </c>
      <c r="K177" s="3" t="s">
        <v>14</v>
      </c>
      <c r="L177" s="3" t="s">
        <v>1269</v>
      </c>
      <c r="M177" s="4">
        <v>46140</v>
      </c>
      <c r="N177" s="3" t="s">
        <v>196</v>
      </c>
      <c r="O177" s="3" t="s">
        <v>21</v>
      </c>
      <c r="P177" t="str">
        <f t="shared" si="2"/>
        <v>450012592630</v>
      </c>
      <c r="Q177" s="7" cm="1">
        <f t="array" ref="Q177:S177">VLOOKUP(P177,Hoja1!C:F,{2,3,4},FALSE)</f>
        <v>46203</v>
      </c>
      <c r="R177" t="str">
        <v>C21</v>
      </c>
      <c r="S177" t="str">
        <v>1000000634 RAIZEN ARGENTINA S.A.U.</v>
      </c>
      <c r="T177" t="str">
        <f>VLOOKUP(P177,Hoja2!C:D,2,FALSE)</f>
        <v>JPUPULIN</v>
      </c>
    </row>
    <row r="178" spans="1:20" x14ac:dyDescent="0.3">
      <c r="A178" s="2" t="s">
        <v>14</v>
      </c>
      <c r="B178" s="3" t="s">
        <v>14</v>
      </c>
      <c r="C178" s="3" t="s">
        <v>197</v>
      </c>
      <c r="D178" s="3" t="s">
        <v>14</v>
      </c>
      <c r="E178" s="3" t="s">
        <v>96</v>
      </c>
      <c r="F178" s="4">
        <v>46140</v>
      </c>
      <c r="G178" s="3" t="s">
        <v>43</v>
      </c>
      <c r="H178" s="6">
        <v>-21838</v>
      </c>
      <c r="I178" s="3" t="s">
        <v>16</v>
      </c>
      <c r="J178" s="3" t="s">
        <v>14</v>
      </c>
      <c r="K178" s="3" t="s">
        <v>14</v>
      </c>
      <c r="L178" s="3" t="s">
        <v>198</v>
      </c>
      <c r="M178" s="4">
        <v>46140</v>
      </c>
      <c r="N178" s="3" t="s">
        <v>199</v>
      </c>
      <c r="O178" s="3" t="s">
        <v>20</v>
      </c>
      <c r="P178" t="str">
        <f t="shared" si="2"/>
        <v>450012471020</v>
      </c>
      <c r="Q178" s="7" cm="1">
        <f t="array" ref="Q178:S178">VLOOKUP(P178,Hoja1!C:F,{2,3,4},FALSE)</f>
        <v>46136</v>
      </c>
      <c r="R178" t="str">
        <v>C28</v>
      </c>
      <c r="S178" t="str">
        <v>1000007102 PROTEC S.R.L.</v>
      </c>
      <c r="T178" t="str">
        <f>VLOOKUP(P178,Hoja2!C:D,2,FALSE)</f>
        <v>GJULIANI</v>
      </c>
    </row>
    <row r="179" spans="1:20" x14ac:dyDescent="0.3">
      <c r="A179" s="2" t="s">
        <v>14</v>
      </c>
      <c r="B179" s="3" t="s">
        <v>14</v>
      </c>
      <c r="C179" s="3" t="s">
        <v>200</v>
      </c>
      <c r="D179" s="3" t="s">
        <v>14</v>
      </c>
      <c r="E179" s="3" t="s">
        <v>96</v>
      </c>
      <c r="F179" s="4">
        <v>46140</v>
      </c>
      <c r="G179" s="3" t="s">
        <v>43</v>
      </c>
      <c r="H179" s="6">
        <v>-281807.88</v>
      </c>
      <c r="I179" s="3" t="s">
        <v>16</v>
      </c>
      <c r="J179" s="3" t="s">
        <v>14</v>
      </c>
      <c r="K179" s="3" t="s">
        <v>14</v>
      </c>
      <c r="L179" s="3" t="s">
        <v>148</v>
      </c>
      <c r="M179" s="4">
        <v>46140</v>
      </c>
      <c r="N179" s="3" t="s">
        <v>201</v>
      </c>
      <c r="O179" s="3" t="s">
        <v>33</v>
      </c>
      <c r="P179" t="str">
        <f t="shared" si="2"/>
        <v>450012446410</v>
      </c>
      <c r="Q179" s="7" cm="1">
        <f t="array" ref="Q179:S179">VLOOKUP(P179,Hoja1!C:F,{2,3,4},FALSE)</f>
        <v>46129</v>
      </c>
      <c r="R179" t="str">
        <v>C03</v>
      </c>
      <c r="S179" t="str">
        <v>1000000062 FINNING ARGENTINA S.A.</v>
      </c>
      <c r="T179" t="str">
        <f>VLOOKUP(P179,Hoja2!C:D,2,FALSE)</f>
        <v>RPEREZ</v>
      </c>
    </row>
    <row r="180" spans="1:20" x14ac:dyDescent="0.3">
      <c r="A180" s="2" t="s">
        <v>14</v>
      </c>
      <c r="B180" s="3" t="s">
        <v>14</v>
      </c>
      <c r="C180" s="3" t="s">
        <v>202</v>
      </c>
      <c r="D180" s="3" t="s">
        <v>14</v>
      </c>
      <c r="E180" s="3" t="s">
        <v>96</v>
      </c>
      <c r="F180" s="4">
        <v>46139</v>
      </c>
      <c r="G180" s="3" t="s">
        <v>43</v>
      </c>
      <c r="H180" s="6">
        <v>-92848</v>
      </c>
      <c r="I180" s="3" t="s">
        <v>16</v>
      </c>
      <c r="J180" s="3" t="s">
        <v>14</v>
      </c>
      <c r="K180" s="3" t="s">
        <v>14</v>
      </c>
      <c r="L180" s="3" t="s">
        <v>148</v>
      </c>
      <c r="M180" s="4">
        <v>46141</v>
      </c>
      <c r="N180" s="3" t="s">
        <v>174</v>
      </c>
      <c r="O180" s="3" t="s">
        <v>203</v>
      </c>
      <c r="P180" t="str">
        <f t="shared" si="2"/>
        <v>4500122735130</v>
      </c>
      <c r="Q180" s="7" cm="1">
        <f t="array" ref="Q180:S180">VLOOKUP(P180,Hoja1!C:F,{2,3,4},FALSE)</f>
        <v>46147</v>
      </c>
      <c r="R180" t="str">
        <v>C03</v>
      </c>
      <c r="S180" t="str">
        <v>1000000062 FINNING ARGENTINA S.A.</v>
      </c>
      <c r="T180" t="str">
        <f>VLOOKUP(P180,Hoja2!C:D,2,FALSE)</f>
        <v>RPEREZ</v>
      </c>
    </row>
    <row r="181" spans="1:20" x14ac:dyDescent="0.3">
      <c r="A181" s="2" t="s">
        <v>14</v>
      </c>
      <c r="B181" s="3" t="s">
        <v>14</v>
      </c>
      <c r="C181" s="3" t="s">
        <v>204</v>
      </c>
      <c r="D181" s="3" t="s">
        <v>14</v>
      </c>
      <c r="E181" s="3" t="s">
        <v>96</v>
      </c>
      <c r="F181" s="4">
        <v>46141</v>
      </c>
      <c r="G181" s="3" t="s">
        <v>43</v>
      </c>
      <c r="H181" s="6">
        <v>-9382380</v>
      </c>
      <c r="I181" s="3" t="s">
        <v>16</v>
      </c>
      <c r="J181" s="3" t="s">
        <v>14</v>
      </c>
      <c r="K181" s="3" t="s">
        <v>14</v>
      </c>
      <c r="L181" s="3" t="s">
        <v>1269</v>
      </c>
      <c r="M181" s="4">
        <v>46141</v>
      </c>
      <c r="N181" s="3" t="s">
        <v>139</v>
      </c>
      <c r="O181" s="3" t="s">
        <v>33</v>
      </c>
      <c r="P181" t="str">
        <f t="shared" si="2"/>
        <v>450012003810</v>
      </c>
      <c r="Q181" s="7" cm="1">
        <f t="array" ref="Q181:S181">VLOOKUP(P181,Hoja1!C:F,{2,3,4},FALSE)</f>
        <v>46203</v>
      </c>
      <c r="R181" t="str">
        <v>C21</v>
      </c>
      <c r="S181" t="str">
        <v>1000000634 RAIZEN ARGENTINA S.A.U.</v>
      </c>
      <c r="T181" t="str">
        <f>VLOOKUP(P181,Hoja2!C:D,2,FALSE)</f>
        <v>RMIR</v>
      </c>
    </row>
    <row r="182" spans="1:20" x14ac:dyDescent="0.3">
      <c r="A182" s="2" t="s">
        <v>14</v>
      </c>
      <c r="B182" s="3" t="s">
        <v>14</v>
      </c>
      <c r="C182" s="3" t="s">
        <v>204</v>
      </c>
      <c r="D182" s="3" t="s">
        <v>14</v>
      </c>
      <c r="E182" s="3" t="s">
        <v>96</v>
      </c>
      <c r="F182" s="4">
        <v>46141</v>
      </c>
      <c r="G182" s="3" t="s">
        <v>43</v>
      </c>
      <c r="H182" s="6">
        <v>-1069320</v>
      </c>
      <c r="I182" s="3" t="s">
        <v>16</v>
      </c>
      <c r="J182" s="3" t="s">
        <v>14</v>
      </c>
      <c r="K182" s="3" t="s">
        <v>14</v>
      </c>
      <c r="L182" s="3" t="s">
        <v>1269</v>
      </c>
      <c r="M182" s="4">
        <v>46141</v>
      </c>
      <c r="N182" s="3" t="s">
        <v>139</v>
      </c>
      <c r="O182" s="3" t="s">
        <v>33</v>
      </c>
      <c r="P182" t="str">
        <f t="shared" si="2"/>
        <v>450012003810</v>
      </c>
      <c r="Q182" s="7" cm="1">
        <f t="array" ref="Q182:S182">VLOOKUP(P182,Hoja1!C:F,{2,3,4},FALSE)</f>
        <v>46203</v>
      </c>
      <c r="R182" t="str">
        <v>C21</v>
      </c>
      <c r="S182" t="str">
        <v>1000000634 RAIZEN ARGENTINA S.A.U.</v>
      </c>
      <c r="T182" t="str">
        <f>VLOOKUP(P182,Hoja2!C:D,2,FALSE)</f>
        <v>RMIR</v>
      </c>
    </row>
    <row r="183" spans="1:20" x14ac:dyDescent="0.3">
      <c r="A183" s="2" t="s">
        <v>14</v>
      </c>
      <c r="B183" s="3" t="s">
        <v>14</v>
      </c>
      <c r="C183" s="3" t="s">
        <v>205</v>
      </c>
      <c r="D183" s="3" t="s">
        <v>14</v>
      </c>
      <c r="E183" s="3" t="s">
        <v>96</v>
      </c>
      <c r="F183" s="4">
        <v>46141</v>
      </c>
      <c r="G183" s="3" t="s">
        <v>43</v>
      </c>
      <c r="H183" s="6">
        <v>-9605770</v>
      </c>
      <c r="I183" s="3" t="s">
        <v>16</v>
      </c>
      <c r="J183" s="3" t="s">
        <v>14</v>
      </c>
      <c r="K183" s="3" t="s">
        <v>14</v>
      </c>
      <c r="L183" s="3" t="s">
        <v>1269</v>
      </c>
      <c r="M183" s="4">
        <v>46141</v>
      </c>
      <c r="N183" s="3" t="s">
        <v>139</v>
      </c>
      <c r="O183" s="3" t="s">
        <v>33</v>
      </c>
      <c r="P183" t="str">
        <f t="shared" si="2"/>
        <v>450012003810</v>
      </c>
      <c r="Q183" s="7" cm="1">
        <f t="array" ref="Q183:S183">VLOOKUP(P183,Hoja1!C:F,{2,3,4},FALSE)</f>
        <v>46203</v>
      </c>
      <c r="R183" t="str">
        <v>C21</v>
      </c>
      <c r="S183" t="str">
        <v>1000000634 RAIZEN ARGENTINA S.A.U.</v>
      </c>
      <c r="T183" t="str">
        <f>VLOOKUP(P183,Hoja2!C:D,2,FALSE)</f>
        <v>RMIR</v>
      </c>
    </row>
    <row r="184" spans="1:20" x14ac:dyDescent="0.3">
      <c r="A184" s="2" t="s">
        <v>14</v>
      </c>
      <c r="B184" s="3" t="s">
        <v>14</v>
      </c>
      <c r="C184" s="3" t="s">
        <v>205</v>
      </c>
      <c r="D184" s="3" t="s">
        <v>14</v>
      </c>
      <c r="E184" s="3" t="s">
        <v>96</v>
      </c>
      <c r="F184" s="4">
        <v>46141</v>
      </c>
      <c r="G184" s="3" t="s">
        <v>43</v>
      </c>
      <c r="H184" s="6">
        <v>-1094780</v>
      </c>
      <c r="I184" s="3" t="s">
        <v>16</v>
      </c>
      <c r="J184" s="3" t="s">
        <v>14</v>
      </c>
      <c r="K184" s="3" t="s">
        <v>14</v>
      </c>
      <c r="L184" s="3" t="s">
        <v>1269</v>
      </c>
      <c r="M184" s="4">
        <v>46141</v>
      </c>
      <c r="N184" s="3" t="s">
        <v>139</v>
      </c>
      <c r="O184" s="3" t="s">
        <v>33</v>
      </c>
      <c r="P184" t="str">
        <f t="shared" si="2"/>
        <v>450012003810</v>
      </c>
      <c r="Q184" s="7" cm="1">
        <f t="array" ref="Q184:S184">VLOOKUP(P184,Hoja1!C:F,{2,3,4},FALSE)</f>
        <v>46203</v>
      </c>
      <c r="R184" t="str">
        <v>C21</v>
      </c>
      <c r="S184" t="str">
        <v>1000000634 RAIZEN ARGENTINA S.A.U.</v>
      </c>
      <c r="T184" t="str">
        <f>VLOOKUP(P184,Hoja2!C:D,2,FALSE)</f>
        <v>RMIR</v>
      </c>
    </row>
    <row r="185" spans="1:20" x14ac:dyDescent="0.3">
      <c r="A185" s="2" t="s">
        <v>14</v>
      </c>
      <c r="B185" s="3" t="s">
        <v>14</v>
      </c>
      <c r="C185" s="3" t="s">
        <v>206</v>
      </c>
      <c r="D185" s="3" t="s">
        <v>14</v>
      </c>
      <c r="E185" s="3" t="s">
        <v>96</v>
      </c>
      <c r="F185" s="4">
        <v>46141</v>
      </c>
      <c r="G185" s="3" t="s">
        <v>43</v>
      </c>
      <c r="H185" s="6">
        <v>-335100</v>
      </c>
      <c r="I185" s="3" t="s">
        <v>16</v>
      </c>
      <c r="J185" s="3" t="s">
        <v>14</v>
      </c>
      <c r="K185" s="3" t="s">
        <v>14</v>
      </c>
      <c r="L185" s="3" t="s">
        <v>97</v>
      </c>
      <c r="M185" s="4">
        <v>46141</v>
      </c>
      <c r="N185" s="3" t="s">
        <v>163</v>
      </c>
      <c r="O185" s="3" t="s">
        <v>33</v>
      </c>
      <c r="P185" t="str">
        <f t="shared" si="2"/>
        <v>450011911710</v>
      </c>
      <c r="Q185" s="7" cm="1">
        <f t="array" ref="Q185:S185">VLOOKUP(P185,Hoja1!C:F,{2,3,4},FALSE)</f>
        <v>46245</v>
      </c>
      <c r="R185" t="str">
        <v>C21</v>
      </c>
      <c r="S185" t="str">
        <v>1000001020 COMBUSTIBLES BARCELO S.R.L.</v>
      </c>
      <c r="T185" t="str">
        <f>VLOOKUP(P185,Hoja2!C:D,2,FALSE)</f>
        <v>RMIR</v>
      </c>
    </row>
    <row r="186" spans="1:20" x14ac:dyDescent="0.3">
      <c r="A186" s="2" t="s">
        <v>14</v>
      </c>
      <c r="B186" s="3" t="s">
        <v>14</v>
      </c>
      <c r="C186" s="3" t="s">
        <v>206</v>
      </c>
      <c r="D186" s="3" t="s">
        <v>14</v>
      </c>
      <c r="E186" s="3" t="s">
        <v>96</v>
      </c>
      <c r="F186" s="4">
        <v>46141</v>
      </c>
      <c r="G186" s="3" t="s">
        <v>43</v>
      </c>
      <c r="H186" s="6">
        <v>-38190</v>
      </c>
      <c r="I186" s="3" t="s">
        <v>16</v>
      </c>
      <c r="J186" s="3" t="s">
        <v>14</v>
      </c>
      <c r="K186" s="3" t="s">
        <v>14</v>
      </c>
      <c r="L186" s="3" t="s">
        <v>97</v>
      </c>
      <c r="M186" s="4">
        <v>46141</v>
      </c>
      <c r="N186" s="3" t="s">
        <v>163</v>
      </c>
      <c r="O186" s="3" t="s">
        <v>33</v>
      </c>
      <c r="P186" t="str">
        <f t="shared" si="2"/>
        <v>450011911710</v>
      </c>
      <c r="Q186" s="7" cm="1">
        <f t="array" ref="Q186:S186">VLOOKUP(P186,Hoja1!C:F,{2,3,4},FALSE)</f>
        <v>46245</v>
      </c>
      <c r="R186" t="str">
        <v>C21</v>
      </c>
      <c r="S186" t="str">
        <v>1000001020 COMBUSTIBLES BARCELO S.R.L.</v>
      </c>
      <c r="T186" t="str">
        <f>VLOOKUP(P186,Hoja2!C:D,2,FALSE)</f>
        <v>RMIR</v>
      </c>
    </row>
    <row r="187" spans="1:20" x14ac:dyDescent="0.3">
      <c r="A187" s="2" t="s">
        <v>14</v>
      </c>
      <c r="B187" s="3" t="s">
        <v>14</v>
      </c>
      <c r="C187" s="3" t="s">
        <v>207</v>
      </c>
      <c r="D187" s="3" t="s">
        <v>55</v>
      </c>
      <c r="E187" s="3" t="s">
        <v>96</v>
      </c>
      <c r="F187" s="4">
        <v>46142</v>
      </c>
      <c r="G187" s="3" t="s">
        <v>43</v>
      </c>
      <c r="H187" s="6">
        <v>-1591038</v>
      </c>
      <c r="I187" s="3" t="s">
        <v>16</v>
      </c>
      <c r="J187" s="3" t="s">
        <v>14</v>
      </c>
      <c r="K187" s="3" t="s">
        <v>14</v>
      </c>
      <c r="L187" s="3" t="s">
        <v>1269</v>
      </c>
      <c r="M187" s="4">
        <v>46142</v>
      </c>
      <c r="N187" s="3" t="s">
        <v>208</v>
      </c>
      <c r="O187" s="3" t="s">
        <v>20</v>
      </c>
      <c r="P187" t="str">
        <f t="shared" si="2"/>
        <v>450012650820</v>
      </c>
      <c r="Q187" s="7" cm="1">
        <f t="array" ref="Q187:S187">VLOOKUP(P187,Hoja1!C:F,{2,3,4},FALSE)</f>
        <v>46203</v>
      </c>
      <c r="R187" t="str">
        <v>C21</v>
      </c>
      <c r="S187" t="str">
        <v>1000000634 RAIZEN ARGENTINA S.A.U.</v>
      </c>
      <c r="T187" t="str">
        <f>VLOOKUP(P187,Hoja2!C:D,2,FALSE)</f>
        <v>JPUPULIN</v>
      </c>
    </row>
    <row r="188" spans="1:20" x14ac:dyDescent="0.3">
      <c r="A188" s="2" t="s">
        <v>14</v>
      </c>
      <c r="B188" s="3" t="s">
        <v>14</v>
      </c>
      <c r="C188" s="3" t="s">
        <v>207</v>
      </c>
      <c r="D188" s="3" t="s">
        <v>55</v>
      </c>
      <c r="E188" s="3" t="s">
        <v>96</v>
      </c>
      <c r="F188" s="4">
        <v>46142</v>
      </c>
      <c r="G188" s="3" t="s">
        <v>43</v>
      </c>
      <c r="H188" s="6">
        <v>-181465.2</v>
      </c>
      <c r="I188" s="3" t="s">
        <v>16</v>
      </c>
      <c r="J188" s="3" t="s">
        <v>14</v>
      </c>
      <c r="K188" s="3" t="s">
        <v>14</v>
      </c>
      <c r="L188" s="3" t="s">
        <v>1269</v>
      </c>
      <c r="M188" s="4">
        <v>46142</v>
      </c>
      <c r="N188" s="3" t="s">
        <v>208</v>
      </c>
      <c r="O188" s="3" t="s">
        <v>20</v>
      </c>
      <c r="P188" t="str">
        <f t="shared" si="2"/>
        <v>450012650820</v>
      </c>
      <c r="Q188" s="7" cm="1">
        <f t="array" ref="Q188:S188">VLOOKUP(P188,Hoja1!C:F,{2,3,4},FALSE)</f>
        <v>46203</v>
      </c>
      <c r="R188" t="str">
        <v>C21</v>
      </c>
      <c r="S188" t="str">
        <v>1000000634 RAIZEN ARGENTINA S.A.U.</v>
      </c>
      <c r="T188" t="str">
        <f>VLOOKUP(P188,Hoja2!C:D,2,FALSE)</f>
        <v>JPUPULIN</v>
      </c>
    </row>
    <row r="189" spans="1:20" x14ac:dyDescent="0.3">
      <c r="A189" s="2" t="s">
        <v>14</v>
      </c>
      <c r="B189" s="3" t="s">
        <v>14</v>
      </c>
      <c r="C189" s="3" t="s">
        <v>209</v>
      </c>
      <c r="D189" s="3" t="s">
        <v>14</v>
      </c>
      <c r="E189" s="3" t="s">
        <v>96</v>
      </c>
      <c r="F189" s="4">
        <v>46140</v>
      </c>
      <c r="G189" s="3" t="s">
        <v>43</v>
      </c>
      <c r="H189" s="6">
        <v>-585216.80000000005</v>
      </c>
      <c r="I189" s="3" t="s">
        <v>16</v>
      </c>
      <c r="J189" s="3" t="s">
        <v>14</v>
      </c>
      <c r="K189" s="3" t="s">
        <v>14</v>
      </c>
      <c r="L189" s="3" t="s">
        <v>210</v>
      </c>
      <c r="M189" s="4">
        <v>46142</v>
      </c>
      <c r="N189" s="3" t="s">
        <v>211</v>
      </c>
      <c r="O189" s="3" t="s">
        <v>33</v>
      </c>
      <c r="P189" t="str">
        <f t="shared" si="2"/>
        <v>450012623010</v>
      </c>
      <c r="Q189" s="7" cm="1">
        <f t="array" ref="Q189:S189">VLOOKUP(P189,Hoja1!C:F,{2,3,4},FALSE)</f>
        <v>46153</v>
      </c>
      <c r="R189" t="str">
        <v>C29</v>
      </c>
      <c r="S189" t="str">
        <v>1000000488 BETA S.A.</v>
      </c>
      <c r="T189" t="str">
        <f>VLOOKUP(P189,Hoja2!C:D,2,FALSE)</f>
        <v>MFREIJOMIL</v>
      </c>
    </row>
    <row r="190" spans="1:20" x14ac:dyDescent="0.3">
      <c r="A190" s="2" t="s">
        <v>14</v>
      </c>
      <c r="B190" s="3" t="s">
        <v>14</v>
      </c>
      <c r="C190" s="3" t="s">
        <v>212</v>
      </c>
      <c r="D190" s="3" t="s">
        <v>14</v>
      </c>
      <c r="E190" s="3" t="s">
        <v>96</v>
      </c>
      <c r="F190" s="4">
        <v>46147</v>
      </c>
      <c r="G190" s="3" t="s">
        <v>43</v>
      </c>
      <c r="H190" s="6">
        <v>-9382380</v>
      </c>
      <c r="I190" s="3" t="s">
        <v>16</v>
      </c>
      <c r="J190" s="3" t="s">
        <v>14</v>
      </c>
      <c r="K190" s="3" t="s">
        <v>14</v>
      </c>
      <c r="L190" s="3" t="s">
        <v>1269</v>
      </c>
      <c r="M190" s="4">
        <v>46147</v>
      </c>
      <c r="N190" s="3" t="s">
        <v>139</v>
      </c>
      <c r="O190" s="3" t="s">
        <v>33</v>
      </c>
      <c r="P190" t="str">
        <f t="shared" si="2"/>
        <v>450012003810</v>
      </c>
      <c r="Q190" s="7" cm="1">
        <f t="array" ref="Q190:S190">VLOOKUP(P190,Hoja1!C:F,{2,3,4},FALSE)</f>
        <v>46203</v>
      </c>
      <c r="R190" t="str">
        <v>C21</v>
      </c>
      <c r="S190" t="str">
        <v>1000000634 RAIZEN ARGENTINA S.A.U.</v>
      </c>
      <c r="T190" t="str">
        <f>VLOOKUP(P190,Hoja2!C:D,2,FALSE)</f>
        <v>RMIR</v>
      </c>
    </row>
    <row r="191" spans="1:20" x14ac:dyDescent="0.3">
      <c r="A191" s="2" t="s">
        <v>14</v>
      </c>
      <c r="B191" s="3" t="s">
        <v>14</v>
      </c>
      <c r="C191" s="3" t="s">
        <v>212</v>
      </c>
      <c r="D191" s="3" t="s">
        <v>14</v>
      </c>
      <c r="E191" s="3" t="s">
        <v>96</v>
      </c>
      <c r="F191" s="4">
        <v>46147</v>
      </c>
      <c r="G191" s="3" t="s">
        <v>43</v>
      </c>
      <c r="H191" s="6">
        <v>-1069320</v>
      </c>
      <c r="I191" s="3" t="s">
        <v>16</v>
      </c>
      <c r="J191" s="3" t="s">
        <v>14</v>
      </c>
      <c r="K191" s="3" t="s">
        <v>14</v>
      </c>
      <c r="L191" s="3" t="s">
        <v>1269</v>
      </c>
      <c r="M191" s="4">
        <v>46147</v>
      </c>
      <c r="N191" s="3" t="s">
        <v>139</v>
      </c>
      <c r="O191" s="3" t="s">
        <v>33</v>
      </c>
      <c r="P191" t="str">
        <f t="shared" si="2"/>
        <v>450012003810</v>
      </c>
      <c r="Q191" s="7" cm="1">
        <f t="array" ref="Q191:S191">VLOOKUP(P191,Hoja1!C:F,{2,3,4},FALSE)</f>
        <v>46203</v>
      </c>
      <c r="R191" t="str">
        <v>C21</v>
      </c>
      <c r="S191" t="str">
        <v>1000000634 RAIZEN ARGENTINA S.A.U.</v>
      </c>
      <c r="T191" t="str">
        <f>VLOOKUP(P191,Hoja2!C:D,2,FALSE)</f>
        <v>RMIR</v>
      </c>
    </row>
    <row r="192" spans="1:20" x14ac:dyDescent="0.3">
      <c r="A192" s="2" t="s">
        <v>14</v>
      </c>
      <c r="B192" s="3" t="s">
        <v>14</v>
      </c>
      <c r="C192" s="3" t="s">
        <v>213</v>
      </c>
      <c r="D192" s="3" t="s">
        <v>55</v>
      </c>
      <c r="E192" s="3" t="s">
        <v>96</v>
      </c>
      <c r="F192" s="4">
        <v>46149</v>
      </c>
      <c r="G192" s="3" t="s">
        <v>43</v>
      </c>
      <c r="H192" s="6">
        <v>-1591038</v>
      </c>
      <c r="I192" s="3" t="s">
        <v>16</v>
      </c>
      <c r="J192" s="3" t="s">
        <v>14</v>
      </c>
      <c r="K192" s="3" t="s">
        <v>14</v>
      </c>
      <c r="L192" s="3" t="s">
        <v>1269</v>
      </c>
      <c r="M192" s="4">
        <v>46149</v>
      </c>
      <c r="N192" s="3" t="s">
        <v>214</v>
      </c>
      <c r="O192" s="3" t="s">
        <v>33</v>
      </c>
      <c r="P192" t="str">
        <f t="shared" si="2"/>
        <v>450012679210</v>
      </c>
      <c r="Q192" s="7" cm="1">
        <f t="array" ref="Q192:S192">VLOOKUP(P192,Hoja1!C:F,{2,3,4},FALSE)</f>
        <v>46203</v>
      </c>
      <c r="R192" t="str">
        <v>C21</v>
      </c>
      <c r="S192" t="str">
        <v>1000000634 RAIZEN ARGENTINA S.A.U.</v>
      </c>
      <c r="T192" t="str">
        <f>VLOOKUP(P192,Hoja2!C:D,2,FALSE)</f>
        <v>JPUPULIN</v>
      </c>
    </row>
    <row r="193" spans="1:20" x14ac:dyDescent="0.3">
      <c r="A193" s="2" t="s">
        <v>14</v>
      </c>
      <c r="B193" s="3" t="s">
        <v>14</v>
      </c>
      <c r="C193" s="3" t="s">
        <v>213</v>
      </c>
      <c r="D193" s="3" t="s">
        <v>55</v>
      </c>
      <c r="E193" s="3" t="s">
        <v>96</v>
      </c>
      <c r="F193" s="4">
        <v>46149</v>
      </c>
      <c r="G193" s="3" t="s">
        <v>43</v>
      </c>
      <c r="H193" s="6">
        <v>-181465.2</v>
      </c>
      <c r="I193" s="3" t="s">
        <v>16</v>
      </c>
      <c r="J193" s="3" t="s">
        <v>14</v>
      </c>
      <c r="K193" s="3" t="s">
        <v>14</v>
      </c>
      <c r="L193" s="3" t="s">
        <v>1269</v>
      </c>
      <c r="M193" s="4">
        <v>46149</v>
      </c>
      <c r="N193" s="3" t="s">
        <v>214</v>
      </c>
      <c r="O193" s="3" t="s">
        <v>33</v>
      </c>
      <c r="P193" t="str">
        <f t="shared" si="2"/>
        <v>450012679210</v>
      </c>
      <c r="Q193" s="7" cm="1">
        <f t="array" ref="Q193:S193">VLOOKUP(P193,Hoja1!C:F,{2,3,4},FALSE)</f>
        <v>46203</v>
      </c>
      <c r="R193" t="str">
        <v>C21</v>
      </c>
      <c r="S193" t="str">
        <v>1000000634 RAIZEN ARGENTINA S.A.U.</v>
      </c>
      <c r="T193" t="str">
        <f>VLOOKUP(P193,Hoja2!C:D,2,FALSE)</f>
        <v>JPUPULIN</v>
      </c>
    </row>
    <row r="194" spans="1:20" x14ac:dyDescent="0.3">
      <c r="A194" s="2" t="s">
        <v>14</v>
      </c>
      <c r="B194" s="3" t="s">
        <v>14</v>
      </c>
      <c r="C194" s="3" t="s">
        <v>215</v>
      </c>
      <c r="D194" s="3" t="s">
        <v>14</v>
      </c>
      <c r="E194" s="3" t="s">
        <v>96</v>
      </c>
      <c r="F194" s="4">
        <v>46149</v>
      </c>
      <c r="G194" s="3" t="s">
        <v>43</v>
      </c>
      <c r="H194" s="6">
        <v>-9382380</v>
      </c>
      <c r="I194" s="3" t="s">
        <v>16</v>
      </c>
      <c r="J194" s="3" t="s">
        <v>14</v>
      </c>
      <c r="K194" s="3" t="s">
        <v>14</v>
      </c>
      <c r="L194" s="3" t="s">
        <v>1269</v>
      </c>
      <c r="M194" s="4">
        <v>46149</v>
      </c>
      <c r="N194" s="3" t="s">
        <v>139</v>
      </c>
      <c r="O194" s="3" t="s">
        <v>33</v>
      </c>
      <c r="P194" t="str">
        <f t="shared" si="2"/>
        <v>450012003810</v>
      </c>
      <c r="Q194" s="7" cm="1">
        <f t="array" ref="Q194:S194">VLOOKUP(P194,Hoja1!C:F,{2,3,4},FALSE)</f>
        <v>46203</v>
      </c>
      <c r="R194" t="str">
        <v>C21</v>
      </c>
      <c r="S194" t="str">
        <v>1000000634 RAIZEN ARGENTINA S.A.U.</v>
      </c>
      <c r="T194" t="str">
        <f>VLOOKUP(P194,Hoja2!C:D,2,FALSE)</f>
        <v>RMIR</v>
      </c>
    </row>
    <row r="195" spans="1:20" x14ac:dyDescent="0.3">
      <c r="A195" s="2" t="s">
        <v>14</v>
      </c>
      <c r="B195" s="3" t="s">
        <v>14</v>
      </c>
      <c r="C195" s="3" t="s">
        <v>215</v>
      </c>
      <c r="D195" s="3" t="s">
        <v>14</v>
      </c>
      <c r="E195" s="3" t="s">
        <v>96</v>
      </c>
      <c r="F195" s="4">
        <v>46149</v>
      </c>
      <c r="G195" s="3" t="s">
        <v>43</v>
      </c>
      <c r="H195" s="6">
        <v>-1069320</v>
      </c>
      <c r="I195" s="3" t="s">
        <v>16</v>
      </c>
      <c r="J195" s="3" t="s">
        <v>14</v>
      </c>
      <c r="K195" s="3" t="s">
        <v>14</v>
      </c>
      <c r="L195" s="3" t="s">
        <v>1269</v>
      </c>
      <c r="M195" s="4">
        <v>46149</v>
      </c>
      <c r="N195" s="3" t="s">
        <v>139</v>
      </c>
      <c r="O195" s="3" t="s">
        <v>33</v>
      </c>
      <c r="P195" t="str">
        <f t="shared" ref="P195:P258" si="3">_xlfn.CONCAT(N195:O195)</f>
        <v>450012003810</v>
      </c>
      <c r="Q195" s="7" cm="1">
        <f t="array" ref="Q195:S195">VLOOKUP(P195,Hoja1!C:F,{2,3,4},FALSE)</f>
        <v>46203</v>
      </c>
      <c r="R195" t="str">
        <v>C21</v>
      </c>
      <c r="S195" t="str">
        <v>1000000634 RAIZEN ARGENTINA S.A.U.</v>
      </c>
      <c r="T195" t="str">
        <f>VLOOKUP(P195,Hoja2!C:D,2,FALSE)</f>
        <v>RMIR</v>
      </c>
    </row>
    <row r="196" spans="1:20" x14ac:dyDescent="0.3">
      <c r="A196" s="2" t="s">
        <v>14</v>
      </c>
      <c r="B196" s="3" t="s">
        <v>14</v>
      </c>
      <c r="C196" s="3" t="s">
        <v>216</v>
      </c>
      <c r="D196" s="3" t="s">
        <v>14</v>
      </c>
      <c r="E196" s="3" t="s">
        <v>96</v>
      </c>
      <c r="F196" s="4">
        <v>46149</v>
      </c>
      <c r="G196" s="3" t="s">
        <v>43</v>
      </c>
      <c r="H196" s="6">
        <v>-558500</v>
      </c>
      <c r="I196" s="3" t="s">
        <v>16</v>
      </c>
      <c r="J196" s="3" t="s">
        <v>14</v>
      </c>
      <c r="K196" s="3" t="s">
        <v>14</v>
      </c>
      <c r="L196" s="3" t="s">
        <v>97</v>
      </c>
      <c r="M196" s="4">
        <v>46149</v>
      </c>
      <c r="N196" s="3" t="s">
        <v>163</v>
      </c>
      <c r="O196" s="3" t="s">
        <v>33</v>
      </c>
      <c r="P196" t="str">
        <f t="shared" si="3"/>
        <v>450011911710</v>
      </c>
      <c r="Q196" s="7" cm="1">
        <f t="array" ref="Q196:S196">VLOOKUP(P196,Hoja1!C:F,{2,3,4},FALSE)</f>
        <v>46245</v>
      </c>
      <c r="R196" t="str">
        <v>C21</v>
      </c>
      <c r="S196" t="str">
        <v>1000001020 COMBUSTIBLES BARCELO S.R.L.</v>
      </c>
      <c r="T196" t="str">
        <f>VLOOKUP(P196,Hoja2!C:D,2,FALSE)</f>
        <v>RMIR</v>
      </c>
    </row>
    <row r="197" spans="1:20" x14ac:dyDescent="0.3">
      <c r="A197" s="2" t="s">
        <v>14</v>
      </c>
      <c r="B197" s="3" t="s">
        <v>14</v>
      </c>
      <c r="C197" s="3" t="s">
        <v>216</v>
      </c>
      <c r="D197" s="3" t="s">
        <v>14</v>
      </c>
      <c r="E197" s="3" t="s">
        <v>96</v>
      </c>
      <c r="F197" s="4">
        <v>46149</v>
      </c>
      <c r="G197" s="3" t="s">
        <v>43</v>
      </c>
      <c r="H197" s="6">
        <v>-63650</v>
      </c>
      <c r="I197" s="3" t="s">
        <v>16</v>
      </c>
      <c r="J197" s="3" t="s">
        <v>14</v>
      </c>
      <c r="K197" s="3" t="s">
        <v>14</v>
      </c>
      <c r="L197" s="3" t="s">
        <v>97</v>
      </c>
      <c r="M197" s="4">
        <v>46149</v>
      </c>
      <c r="N197" s="3" t="s">
        <v>163</v>
      </c>
      <c r="O197" s="3" t="s">
        <v>33</v>
      </c>
      <c r="P197" t="str">
        <f t="shared" si="3"/>
        <v>450011911710</v>
      </c>
      <c r="Q197" s="7" cm="1">
        <f t="array" ref="Q197:S197">VLOOKUP(P197,Hoja1!C:F,{2,3,4},FALSE)</f>
        <v>46245</v>
      </c>
      <c r="R197" t="str">
        <v>C21</v>
      </c>
      <c r="S197" t="str">
        <v>1000001020 COMBUSTIBLES BARCELO S.R.L.</v>
      </c>
      <c r="T197" t="str">
        <f>VLOOKUP(P197,Hoja2!C:D,2,FALSE)</f>
        <v>RMIR</v>
      </c>
    </row>
    <row r="198" spans="1:20" x14ac:dyDescent="0.3">
      <c r="A198" s="2" t="s">
        <v>14</v>
      </c>
      <c r="B198" s="3" t="s">
        <v>14</v>
      </c>
      <c r="C198" s="3" t="s">
        <v>217</v>
      </c>
      <c r="D198" s="3" t="s">
        <v>14</v>
      </c>
      <c r="E198" s="3" t="s">
        <v>96</v>
      </c>
      <c r="F198" s="4">
        <v>46151</v>
      </c>
      <c r="G198" s="3" t="s">
        <v>43</v>
      </c>
      <c r="H198" s="6">
        <v>-9382380</v>
      </c>
      <c r="I198" s="3" t="s">
        <v>16</v>
      </c>
      <c r="J198" s="3" t="s">
        <v>14</v>
      </c>
      <c r="K198" s="3" t="s">
        <v>14</v>
      </c>
      <c r="L198" s="3" t="s">
        <v>1269</v>
      </c>
      <c r="M198" s="4">
        <v>46153</v>
      </c>
      <c r="N198" s="3" t="s">
        <v>139</v>
      </c>
      <c r="O198" s="3" t="s">
        <v>33</v>
      </c>
      <c r="P198" t="str">
        <f t="shared" si="3"/>
        <v>450012003810</v>
      </c>
      <c r="Q198" s="7" cm="1">
        <f t="array" ref="Q198:S198">VLOOKUP(P198,Hoja1!C:F,{2,3,4},FALSE)</f>
        <v>46203</v>
      </c>
      <c r="R198" t="str">
        <v>C21</v>
      </c>
      <c r="S198" t="str">
        <v>1000000634 RAIZEN ARGENTINA S.A.U.</v>
      </c>
      <c r="T198" t="str">
        <f>VLOOKUP(P198,Hoja2!C:D,2,FALSE)</f>
        <v>RMIR</v>
      </c>
    </row>
    <row r="199" spans="1:20" x14ac:dyDescent="0.3">
      <c r="A199" s="2" t="s">
        <v>14</v>
      </c>
      <c r="B199" s="3" t="s">
        <v>14</v>
      </c>
      <c r="C199" s="3" t="s">
        <v>217</v>
      </c>
      <c r="D199" s="3" t="s">
        <v>14</v>
      </c>
      <c r="E199" s="3" t="s">
        <v>96</v>
      </c>
      <c r="F199" s="4">
        <v>46151</v>
      </c>
      <c r="G199" s="3" t="s">
        <v>43</v>
      </c>
      <c r="H199" s="6">
        <v>-1069320</v>
      </c>
      <c r="I199" s="3" t="s">
        <v>16</v>
      </c>
      <c r="J199" s="3" t="s">
        <v>14</v>
      </c>
      <c r="K199" s="3" t="s">
        <v>14</v>
      </c>
      <c r="L199" s="3" t="s">
        <v>1269</v>
      </c>
      <c r="M199" s="4">
        <v>46153</v>
      </c>
      <c r="N199" s="3" t="s">
        <v>139</v>
      </c>
      <c r="O199" s="3" t="s">
        <v>33</v>
      </c>
      <c r="P199" t="str">
        <f t="shared" si="3"/>
        <v>450012003810</v>
      </c>
      <c r="Q199" s="7" cm="1">
        <f t="array" ref="Q199:S199">VLOOKUP(P199,Hoja1!C:F,{2,3,4},FALSE)</f>
        <v>46203</v>
      </c>
      <c r="R199" t="str">
        <v>C21</v>
      </c>
      <c r="S199" t="str">
        <v>1000000634 RAIZEN ARGENTINA S.A.U.</v>
      </c>
      <c r="T199" t="str">
        <f>VLOOKUP(P199,Hoja2!C:D,2,FALSE)</f>
        <v>RMIR</v>
      </c>
    </row>
    <row r="200" spans="1:20" x14ac:dyDescent="0.3">
      <c r="A200" s="2" t="s">
        <v>14</v>
      </c>
      <c r="B200" s="3" t="s">
        <v>14</v>
      </c>
      <c r="C200" s="3" t="s">
        <v>218</v>
      </c>
      <c r="D200" s="3" t="s">
        <v>55</v>
      </c>
      <c r="E200" s="3" t="s">
        <v>96</v>
      </c>
      <c r="F200" s="4">
        <v>46153</v>
      </c>
      <c r="G200" s="3" t="s">
        <v>43</v>
      </c>
      <c r="H200" s="6">
        <v>-1591038</v>
      </c>
      <c r="I200" s="3" t="s">
        <v>16</v>
      </c>
      <c r="J200" s="3" t="s">
        <v>14</v>
      </c>
      <c r="K200" s="3" t="s">
        <v>14</v>
      </c>
      <c r="L200" s="3" t="s">
        <v>1269</v>
      </c>
      <c r="M200" s="4">
        <v>46153</v>
      </c>
      <c r="N200" s="3" t="s">
        <v>219</v>
      </c>
      <c r="O200" s="3" t="s">
        <v>33</v>
      </c>
      <c r="P200" t="str">
        <f t="shared" si="3"/>
        <v>450012701210</v>
      </c>
      <c r="Q200" s="7" cm="1">
        <f t="array" ref="Q200:S200">VLOOKUP(P200,Hoja1!C:F,{2,3,4},FALSE)</f>
        <v>46203</v>
      </c>
      <c r="R200" t="str">
        <v>C21</v>
      </c>
      <c r="S200" t="str">
        <v>1000000634 RAIZEN ARGENTINA S.A.U.</v>
      </c>
      <c r="T200" t="str">
        <f>VLOOKUP(P200,Hoja2!C:D,2,FALSE)</f>
        <v>JPUPULIN</v>
      </c>
    </row>
    <row r="201" spans="1:20" x14ac:dyDescent="0.3">
      <c r="A201" s="2" t="s">
        <v>14</v>
      </c>
      <c r="B201" s="3" t="s">
        <v>14</v>
      </c>
      <c r="C201" s="3" t="s">
        <v>218</v>
      </c>
      <c r="D201" s="3" t="s">
        <v>55</v>
      </c>
      <c r="E201" s="3" t="s">
        <v>96</v>
      </c>
      <c r="F201" s="4">
        <v>46153</v>
      </c>
      <c r="G201" s="3" t="s">
        <v>43</v>
      </c>
      <c r="H201" s="6">
        <v>-181465.2</v>
      </c>
      <c r="I201" s="3" t="s">
        <v>16</v>
      </c>
      <c r="J201" s="3" t="s">
        <v>14</v>
      </c>
      <c r="K201" s="3" t="s">
        <v>14</v>
      </c>
      <c r="L201" s="3" t="s">
        <v>1269</v>
      </c>
      <c r="M201" s="4">
        <v>46153</v>
      </c>
      <c r="N201" s="3" t="s">
        <v>219</v>
      </c>
      <c r="O201" s="3" t="s">
        <v>33</v>
      </c>
      <c r="P201" t="str">
        <f t="shared" si="3"/>
        <v>450012701210</v>
      </c>
      <c r="Q201" s="7" cm="1">
        <f t="array" ref="Q201:S201">VLOOKUP(P201,Hoja1!C:F,{2,3,4},FALSE)</f>
        <v>46203</v>
      </c>
      <c r="R201" t="str">
        <v>C21</v>
      </c>
      <c r="S201" t="str">
        <v>1000000634 RAIZEN ARGENTINA S.A.U.</v>
      </c>
      <c r="T201" t="str">
        <f>VLOOKUP(P201,Hoja2!C:D,2,FALSE)</f>
        <v>JPUPULIN</v>
      </c>
    </row>
    <row r="202" spans="1:20" x14ac:dyDescent="0.3">
      <c r="A202" s="2" t="s">
        <v>14</v>
      </c>
      <c r="B202" s="3" t="s">
        <v>14</v>
      </c>
      <c r="C202" s="3" t="s">
        <v>220</v>
      </c>
      <c r="D202" s="3" t="s">
        <v>14</v>
      </c>
      <c r="E202" s="3" t="s">
        <v>96</v>
      </c>
      <c r="F202" s="4">
        <v>46146</v>
      </c>
      <c r="G202" s="3" t="s">
        <v>43</v>
      </c>
      <c r="H202" s="6">
        <v>-4031890</v>
      </c>
      <c r="I202" s="3" t="s">
        <v>16</v>
      </c>
      <c r="J202" s="3" t="s">
        <v>14</v>
      </c>
      <c r="K202" s="3" t="s">
        <v>14</v>
      </c>
      <c r="L202" s="3" t="s">
        <v>193</v>
      </c>
      <c r="M202" s="4">
        <v>46154</v>
      </c>
      <c r="N202" s="3" t="s">
        <v>221</v>
      </c>
      <c r="O202" s="3" t="s">
        <v>33</v>
      </c>
      <c r="P202" t="str">
        <f t="shared" si="3"/>
        <v>450012716010</v>
      </c>
      <c r="Q202" s="7" cm="1">
        <f t="array" ref="Q202:S202">VLOOKUP(P202,Hoja1!C:F,{2,3,4},FALSE)</f>
        <v>46170</v>
      </c>
      <c r="R202" t="str">
        <v>C21</v>
      </c>
      <c r="S202" t="str">
        <v>1000002248 BIOENDESA SA</v>
      </c>
      <c r="T202" t="str">
        <f>VLOOKUP(P202,Hoja2!C:D,2,FALSE)</f>
        <v>JPUPULIN</v>
      </c>
    </row>
    <row r="203" spans="1:20" x14ac:dyDescent="0.3">
      <c r="A203" s="2" t="s">
        <v>14</v>
      </c>
      <c r="B203" s="3" t="s">
        <v>14</v>
      </c>
      <c r="C203" s="3" t="s">
        <v>220</v>
      </c>
      <c r="D203" s="3" t="s">
        <v>14</v>
      </c>
      <c r="E203" s="3" t="s">
        <v>96</v>
      </c>
      <c r="F203" s="4">
        <v>46146</v>
      </c>
      <c r="G203" s="3" t="s">
        <v>43</v>
      </c>
      <c r="H203" s="6">
        <v>-459510</v>
      </c>
      <c r="I203" s="3" t="s">
        <v>16</v>
      </c>
      <c r="J203" s="3" t="s">
        <v>14</v>
      </c>
      <c r="K203" s="3" t="s">
        <v>14</v>
      </c>
      <c r="L203" s="3" t="s">
        <v>193</v>
      </c>
      <c r="M203" s="4">
        <v>46154</v>
      </c>
      <c r="N203" s="3" t="s">
        <v>221</v>
      </c>
      <c r="O203" s="3" t="s">
        <v>33</v>
      </c>
      <c r="P203" t="str">
        <f t="shared" si="3"/>
        <v>450012716010</v>
      </c>
      <c r="Q203" s="7" cm="1">
        <f t="array" ref="Q203:S203">VLOOKUP(P203,Hoja1!C:F,{2,3,4},FALSE)</f>
        <v>46170</v>
      </c>
      <c r="R203" t="str">
        <v>C21</v>
      </c>
      <c r="S203" t="str">
        <v>1000002248 BIOENDESA SA</v>
      </c>
      <c r="T203" t="str">
        <f>VLOOKUP(P203,Hoja2!C:D,2,FALSE)</f>
        <v>JPUPULIN</v>
      </c>
    </row>
    <row r="204" spans="1:20" x14ac:dyDescent="0.3">
      <c r="A204" s="2" t="s">
        <v>14</v>
      </c>
      <c r="B204" s="3" t="s">
        <v>14</v>
      </c>
      <c r="C204" s="3" t="s">
        <v>222</v>
      </c>
      <c r="D204" s="3" t="s">
        <v>14</v>
      </c>
      <c r="E204" s="3" t="s">
        <v>96</v>
      </c>
      <c r="F204" s="4">
        <v>46150</v>
      </c>
      <c r="G204" s="3" t="s">
        <v>43</v>
      </c>
      <c r="H204" s="6">
        <v>-4031890</v>
      </c>
      <c r="I204" s="3" t="s">
        <v>16</v>
      </c>
      <c r="J204" s="3" t="s">
        <v>14</v>
      </c>
      <c r="K204" s="3" t="s">
        <v>14</v>
      </c>
      <c r="L204" s="3" t="s">
        <v>193</v>
      </c>
      <c r="M204" s="4">
        <v>46154</v>
      </c>
      <c r="N204" s="3" t="s">
        <v>221</v>
      </c>
      <c r="O204" s="3" t="s">
        <v>33</v>
      </c>
      <c r="P204" t="str">
        <f t="shared" si="3"/>
        <v>450012716010</v>
      </c>
      <c r="Q204" s="7" cm="1">
        <f t="array" ref="Q204:S204">VLOOKUP(P204,Hoja1!C:F,{2,3,4},FALSE)</f>
        <v>46170</v>
      </c>
      <c r="R204" t="str">
        <v>C21</v>
      </c>
      <c r="S204" t="str">
        <v>1000002248 BIOENDESA SA</v>
      </c>
      <c r="T204" t="str">
        <f>VLOOKUP(P204,Hoja2!C:D,2,FALSE)</f>
        <v>JPUPULIN</v>
      </c>
    </row>
    <row r="205" spans="1:20" x14ac:dyDescent="0.3">
      <c r="A205" s="2" t="s">
        <v>14</v>
      </c>
      <c r="B205" s="3" t="s">
        <v>14</v>
      </c>
      <c r="C205" s="3" t="s">
        <v>222</v>
      </c>
      <c r="D205" s="3" t="s">
        <v>14</v>
      </c>
      <c r="E205" s="3" t="s">
        <v>96</v>
      </c>
      <c r="F205" s="4">
        <v>46150</v>
      </c>
      <c r="G205" s="3" t="s">
        <v>43</v>
      </c>
      <c r="H205" s="6">
        <v>-459510</v>
      </c>
      <c r="I205" s="3" t="s">
        <v>16</v>
      </c>
      <c r="J205" s="3" t="s">
        <v>14</v>
      </c>
      <c r="K205" s="3" t="s">
        <v>14</v>
      </c>
      <c r="L205" s="3" t="s">
        <v>193</v>
      </c>
      <c r="M205" s="4">
        <v>46154</v>
      </c>
      <c r="N205" s="3" t="s">
        <v>221</v>
      </c>
      <c r="O205" s="3" t="s">
        <v>33</v>
      </c>
      <c r="P205" t="str">
        <f t="shared" si="3"/>
        <v>450012716010</v>
      </c>
      <c r="Q205" s="7" cm="1">
        <f t="array" ref="Q205:S205">VLOOKUP(P205,Hoja1!C:F,{2,3,4},FALSE)</f>
        <v>46170</v>
      </c>
      <c r="R205" t="str">
        <v>C21</v>
      </c>
      <c r="S205" t="str">
        <v>1000002248 BIOENDESA SA</v>
      </c>
      <c r="T205" t="str">
        <f>VLOOKUP(P205,Hoja2!C:D,2,FALSE)</f>
        <v>JPUPULIN</v>
      </c>
    </row>
    <row r="206" spans="1:20" x14ac:dyDescent="0.3">
      <c r="A206" s="2" t="s">
        <v>14</v>
      </c>
      <c r="B206" s="3" t="s">
        <v>14</v>
      </c>
      <c r="C206" s="3" t="s">
        <v>223</v>
      </c>
      <c r="D206" s="3" t="s">
        <v>55</v>
      </c>
      <c r="E206" s="3" t="s">
        <v>96</v>
      </c>
      <c r="F206" s="4">
        <v>46154</v>
      </c>
      <c r="G206" s="3" t="s">
        <v>43</v>
      </c>
      <c r="H206" s="6">
        <v>-1591038</v>
      </c>
      <c r="I206" s="3" t="s">
        <v>16</v>
      </c>
      <c r="J206" s="3" t="s">
        <v>14</v>
      </c>
      <c r="K206" s="3" t="s">
        <v>14</v>
      </c>
      <c r="L206" s="3" t="s">
        <v>1269</v>
      </c>
      <c r="M206" s="4">
        <v>46154</v>
      </c>
      <c r="N206" s="3" t="s">
        <v>224</v>
      </c>
      <c r="O206" s="3" t="s">
        <v>33</v>
      </c>
      <c r="P206" t="str">
        <f t="shared" si="3"/>
        <v>450012728310</v>
      </c>
      <c r="Q206" s="7" cm="1">
        <f t="array" ref="Q206:S206">VLOOKUP(P206,Hoja1!C:F,{2,3,4},FALSE)</f>
        <v>46203</v>
      </c>
      <c r="R206" t="str">
        <v>C21</v>
      </c>
      <c r="S206" t="str">
        <v>1000000634 RAIZEN ARGENTINA S.A.U.</v>
      </c>
      <c r="T206" t="str">
        <f>VLOOKUP(P206,Hoja2!C:D,2,FALSE)</f>
        <v>JPUPULIN</v>
      </c>
    </row>
    <row r="207" spans="1:20" x14ac:dyDescent="0.3">
      <c r="A207" s="2" t="s">
        <v>14</v>
      </c>
      <c r="B207" s="3" t="s">
        <v>14</v>
      </c>
      <c r="C207" s="3" t="s">
        <v>223</v>
      </c>
      <c r="D207" s="3" t="s">
        <v>55</v>
      </c>
      <c r="E207" s="3" t="s">
        <v>96</v>
      </c>
      <c r="F207" s="4">
        <v>46154</v>
      </c>
      <c r="G207" s="3" t="s">
        <v>43</v>
      </c>
      <c r="H207" s="6">
        <v>-181465.2</v>
      </c>
      <c r="I207" s="3" t="s">
        <v>16</v>
      </c>
      <c r="J207" s="3" t="s">
        <v>14</v>
      </c>
      <c r="K207" s="3" t="s">
        <v>14</v>
      </c>
      <c r="L207" s="3" t="s">
        <v>1269</v>
      </c>
      <c r="M207" s="4">
        <v>46154</v>
      </c>
      <c r="N207" s="3" t="s">
        <v>224</v>
      </c>
      <c r="O207" s="3" t="s">
        <v>33</v>
      </c>
      <c r="P207" t="str">
        <f t="shared" si="3"/>
        <v>450012728310</v>
      </c>
      <c r="Q207" s="7" cm="1">
        <f t="array" ref="Q207:S207">VLOOKUP(P207,Hoja1!C:F,{2,3,4},FALSE)</f>
        <v>46203</v>
      </c>
      <c r="R207" t="str">
        <v>C21</v>
      </c>
      <c r="S207" t="str">
        <v>1000000634 RAIZEN ARGENTINA S.A.U.</v>
      </c>
      <c r="T207" t="str">
        <f>VLOOKUP(P207,Hoja2!C:D,2,FALSE)</f>
        <v>JPUPULIN</v>
      </c>
    </row>
    <row r="208" spans="1:20" x14ac:dyDescent="0.3">
      <c r="A208" s="2" t="s">
        <v>14</v>
      </c>
      <c r="B208" s="3" t="s">
        <v>14</v>
      </c>
      <c r="C208" s="3" t="s">
        <v>225</v>
      </c>
      <c r="D208" s="3" t="s">
        <v>14</v>
      </c>
      <c r="E208" s="3" t="s">
        <v>96</v>
      </c>
      <c r="F208" s="4">
        <v>46155</v>
      </c>
      <c r="G208" s="3" t="s">
        <v>43</v>
      </c>
      <c r="H208" s="6">
        <v>-223.4</v>
      </c>
      <c r="I208" s="3" t="s">
        <v>16</v>
      </c>
      <c r="J208" s="3" t="s">
        <v>14</v>
      </c>
      <c r="K208" s="3" t="s">
        <v>14</v>
      </c>
      <c r="L208" s="3" t="s">
        <v>97</v>
      </c>
      <c r="M208" s="4">
        <v>46155</v>
      </c>
      <c r="N208" s="3" t="s">
        <v>226</v>
      </c>
      <c r="O208" s="3" t="s">
        <v>33</v>
      </c>
      <c r="P208" t="str">
        <f t="shared" si="3"/>
        <v>450012757110</v>
      </c>
      <c r="Q208" s="7" cm="1">
        <f t="array" ref="Q208:S208">VLOOKUP(P208,Hoja1!C:F,{2,3,4},FALSE)</f>
        <v>46184</v>
      </c>
      <c r="R208" t="str">
        <v>C21</v>
      </c>
      <c r="S208" t="str">
        <v>1000001020 COMBUSTIBLES BARCELO S.R.L.</v>
      </c>
      <c r="T208" t="str">
        <f>VLOOKUP(P208,Hoja2!C:D,2,FALSE)</f>
        <v>JPUPULIN</v>
      </c>
    </row>
    <row r="209" spans="1:20" x14ac:dyDescent="0.3">
      <c r="A209" s="2" t="s">
        <v>14</v>
      </c>
      <c r="B209" s="3" t="s">
        <v>14</v>
      </c>
      <c r="C209" s="3" t="s">
        <v>225</v>
      </c>
      <c r="D209" s="3" t="s">
        <v>14</v>
      </c>
      <c r="E209" s="3" t="s">
        <v>96</v>
      </c>
      <c r="F209" s="4">
        <v>46155</v>
      </c>
      <c r="G209" s="3" t="s">
        <v>43</v>
      </c>
      <c r="H209" s="6">
        <v>-25.46</v>
      </c>
      <c r="I209" s="3" t="s">
        <v>16</v>
      </c>
      <c r="J209" s="3" t="s">
        <v>14</v>
      </c>
      <c r="K209" s="3" t="s">
        <v>14</v>
      </c>
      <c r="L209" s="3" t="s">
        <v>97</v>
      </c>
      <c r="M209" s="4">
        <v>46155</v>
      </c>
      <c r="N209" s="3" t="s">
        <v>226</v>
      </c>
      <c r="O209" s="3" t="s">
        <v>33</v>
      </c>
      <c r="P209" t="str">
        <f t="shared" si="3"/>
        <v>450012757110</v>
      </c>
      <c r="Q209" s="7" cm="1">
        <f t="array" ref="Q209:S209">VLOOKUP(P209,Hoja1!C:F,{2,3,4},FALSE)</f>
        <v>46184</v>
      </c>
      <c r="R209" t="str">
        <v>C21</v>
      </c>
      <c r="S209" t="str">
        <v>1000001020 COMBUSTIBLES BARCELO S.R.L.</v>
      </c>
      <c r="T209" t="str">
        <f>VLOOKUP(P209,Hoja2!C:D,2,FALSE)</f>
        <v>JPUPULIN</v>
      </c>
    </row>
    <row r="210" spans="1:20" x14ac:dyDescent="0.3">
      <c r="A210" s="2" t="s">
        <v>14</v>
      </c>
      <c r="B210" s="3" t="s">
        <v>14</v>
      </c>
      <c r="C210" s="3" t="s">
        <v>227</v>
      </c>
      <c r="D210" s="3" t="s">
        <v>14</v>
      </c>
      <c r="E210" s="3" t="s">
        <v>96</v>
      </c>
      <c r="F210" s="4">
        <v>46155</v>
      </c>
      <c r="G210" s="3" t="s">
        <v>43</v>
      </c>
      <c r="H210" s="6">
        <v>-9382380</v>
      </c>
      <c r="I210" s="3" t="s">
        <v>16</v>
      </c>
      <c r="J210" s="3" t="s">
        <v>14</v>
      </c>
      <c r="K210" s="3" t="s">
        <v>14</v>
      </c>
      <c r="L210" s="3" t="s">
        <v>1269</v>
      </c>
      <c r="M210" s="4">
        <v>46158</v>
      </c>
      <c r="N210" s="3" t="s">
        <v>139</v>
      </c>
      <c r="O210" s="3" t="s">
        <v>33</v>
      </c>
      <c r="P210" t="str">
        <f t="shared" si="3"/>
        <v>450012003810</v>
      </c>
      <c r="Q210" s="7" cm="1">
        <f t="array" ref="Q210:S210">VLOOKUP(P210,Hoja1!C:F,{2,3,4},FALSE)</f>
        <v>46203</v>
      </c>
      <c r="R210" t="str">
        <v>C21</v>
      </c>
      <c r="S210" t="str">
        <v>1000000634 RAIZEN ARGENTINA S.A.U.</v>
      </c>
      <c r="T210" t="str">
        <f>VLOOKUP(P210,Hoja2!C:D,2,FALSE)</f>
        <v>RMIR</v>
      </c>
    </row>
    <row r="211" spans="1:20" x14ac:dyDescent="0.3">
      <c r="A211" s="2" t="s">
        <v>14</v>
      </c>
      <c r="B211" s="3" t="s">
        <v>14</v>
      </c>
      <c r="C211" s="3" t="s">
        <v>227</v>
      </c>
      <c r="D211" s="3" t="s">
        <v>14</v>
      </c>
      <c r="E211" s="3" t="s">
        <v>96</v>
      </c>
      <c r="F211" s="4">
        <v>46155</v>
      </c>
      <c r="G211" s="3" t="s">
        <v>43</v>
      </c>
      <c r="H211" s="6">
        <v>-1069320</v>
      </c>
      <c r="I211" s="3" t="s">
        <v>16</v>
      </c>
      <c r="J211" s="3" t="s">
        <v>14</v>
      </c>
      <c r="K211" s="3" t="s">
        <v>14</v>
      </c>
      <c r="L211" s="3" t="s">
        <v>1269</v>
      </c>
      <c r="M211" s="4">
        <v>46158</v>
      </c>
      <c r="N211" s="3" t="s">
        <v>139</v>
      </c>
      <c r="O211" s="3" t="s">
        <v>33</v>
      </c>
      <c r="P211" t="str">
        <f t="shared" si="3"/>
        <v>450012003810</v>
      </c>
      <c r="Q211" s="7" cm="1">
        <f t="array" ref="Q211:S211">VLOOKUP(P211,Hoja1!C:F,{2,3,4},FALSE)</f>
        <v>46203</v>
      </c>
      <c r="R211" t="str">
        <v>C21</v>
      </c>
      <c r="S211" t="str">
        <v>1000000634 RAIZEN ARGENTINA S.A.U.</v>
      </c>
      <c r="T211" t="str">
        <f>VLOOKUP(P211,Hoja2!C:D,2,FALSE)</f>
        <v>RMIR</v>
      </c>
    </row>
    <row r="212" spans="1:20" x14ac:dyDescent="0.3">
      <c r="A212" s="2" t="s">
        <v>14</v>
      </c>
      <c r="B212" s="3" t="s">
        <v>14</v>
      </c>
      <c r="C212" s="3" t="s">
        <v>228</v>
      </c>
      <c r="D212" s="3" t="s">
        <v>14</v>
      </c>
      <c r="E212" s="3" t="s">
        <v>96</v>
      </c>
      <c r="F212" s="4">
        <v>46157</v>
      </c>
      <c r="G212" s="3" t="s">
        <v>43</v>
      </c>
      <c r="H212" s="6">
        <v>-9382380</v>
      </c>
      <c r="I212" s="3" t="s">
        <v>16</v>
      </c>
      <c r="J212" s="3" t="s">
        <v>14</v>
      </c>
      <c r="K212" s="3" t="s">
        <v>14</v>
      </c>
      <c r="L212" s="3" t="s">
        <v>1269</v>
      </c>
      <c r="M212" s="4">
        <v>46158</v>
      </c>
      <c r="N212" s="3" t="s">
        <v>139</v>
      </c>
      <c r="O212" s="3" t="s">
        <v>33</v>
      </c>
      <c r="P212" t="str">
        <f t="shared" si="3"/>
        <v>450012003810</v>
      </c>
      <c r="Q212" s="7" cm="1">
        <f t="array" ref="Q212:S212">VLOOKUP(P212,Hoja1!C:F,{2,3,4},FALSE)</f>
        <v>46203</v>
      </c>
      <c r="R212" t="str">
        <v>C21</v>
      </c>
      <c r="S212" t="str">
        <v>1000000634 RAIZEN ARGENTINA S.A.U.</v>
      </c>
      <c r="T212" t="str">
        <f>VLOOKUP(P212,Hoja2!C:D,2,FALSE)</f>
        <v>RMIR</v>
      </c>
    </row>
    <row r="213" spans="1:20" x14ac:dyDescent="0.3">
      <c r="A213" s="2" t="s">
        <v>14</v>
      </c>
      <c r="B213" s="3" t="s">
        <v>14</v>
      </c>
      <c r="C213" s="3" t="s">
        <v>228</v>
      </c>
      <c r="D213" s="3" t="s">
        <v>14</v>
      </c>
      <c r="E213" s="3" t="s">
        <v>96</v>
      </c>
      <c r="F213" s="4">
        <v>46157</v>
      </c>
      <c r="G213" s="3" t="s">
        <v>43</v>
      </c>
      <c r="H213" s="6">
        <v>-1069320</v>
      </c>
      <c r="I213" s="3" t="s">
        <v>16</v>
      </c>
      <c r="J213" s="3" t="s">
        <v>14</v>
      </c>
      <c r="K213" s="3" t="s">
        <v>14</v>
      </c>
      <c r="L213" s="3" t="s">
        <v>1269</v>
      </c>
      <c r="M213" s="4">
        <v>46158</v>
      </c>
      <c r="N213" s="3" t="s">
        <v>139</v>
      </c>
      <c r="O213" s="3" t="s">
        <v>33</v>
      </c>
      <c r="P213" t="str">
        <f t="shared" si="3"/>
        <v>450012003810</v>
      </c>
      <c r="Q213" s="7" cm="1">
        <f t="array" ref="Q213:S213">VLOOKUP(P213,Hoja1!C:F,{2,3,4},FALSE)</f>
        <v>46203</v>
      </c>
      <c r="R213" t="str">
        <v>C21</v>
      </c>
      <c r="S213" t="str">
        <v>1000000634 RAIZEN ARGENTINA S.A.U.</v>
      </c>
      <c r="T213" t="str">
        <f>VLOOKUP(P213,Hoja2!C:D,2,FALSE)</f>
        <v>RMIR</v>
      </c>
    </row>
    <row r="214" spans="1:20" x14ac:dyDescent="0.3">
      <c r="A214" s="2" t="s">
        <v>14</v>
      </c>
      <c r="B214" s="3" t="s">
        <v>14</v>
      </c>
      <c r="C214" s="3" t="s">
        <v>229</v>
      </c>
      <c r="D214" s="3" t="s">
        <v>14</v>
      </c>
      <c r="E214" s="3" t="s">
        <v>96</v>
      </c>
      <c r="F214" s="4">
        <v>46158</v>
      </c>
      <c r="G214" s="3" t="s">
        <v>43</v>
      </c>
      <c r="H214" s="6">
        <v>-9382380</v>
      </c>
      <c r="I214" s="3" t="s">
        <v>16</v>
      </c>
      <c r="J214" s="3" t="s">
        <v>14</v>
      </c>
      <c r="K214" s="3" t="s">
        <v>14</v>
      </c>
      <c r="L214" s="3" t="s">
        <v>1269</v>
      </c>
      <c r="M214" s="4">
        <v>46160</v>
      </c>
      <c r="N214" s="3" t="s">
        <v>139</v>
      </c>
      <c r="O214" s="3" t="s">
        <v>33</v>
      </c>
      <c r="P214" t="str">
        <f t="shared" si="3"/>
        <v>450012003810</v>
      </c>
      <c r="Q214" s="7" cm="1">
        <f t="array" ref="Q214:S214">VLOOKUP(P214,Hoja1!C:F,{2,3,4},FALSE)</f>
        <v>46203</v>
      </c>
      <c r="R214" t="str">
        <v>C21</v>
      </c>
      <c r="S214" t="str">
        <v>1000000634 RAIZEN ARGENTINA S.A.U.</v>
      </c>
      <c r="T214" t="str">
        <f>VLOOKUP(P214,Hoja2!C:D,2,FALSE)</f>
        <v>RMIR</v>
      </c>
    </row>
    <row r="215" spans="1:20" x14ac:dyDescent="0.3">
      <c r="A215" s="2" t="s">
        <v>14</v>
      </c>
      <c r="B215" s="3" t="s">
        <v>14</v>
      </c>
      <c r="C215" s="3" t="s">
        <v>229</v>
      </c>
      <c r="D215" s="3" t="s">
        <v>14</v>
      </c>
      <c r="E215" s="3" t="s">
        <v>96</v>
      </c>
      <c r="F215" s="4">
        <v>46158</v>
      </c>
      <c r="G215" s="3" t="s">
        <v>43</v>
      </c>
      <c r="H215" s="6">
        <v>-1069320</v>
      </c>
      <c r="I215" s="3" t="s">
        <v>16</v>
      </c>
      <c r="J215" s="3" t="s">
        <v>14</v>
      </c>
      <c r="K215" s="3" t="s">
        <v>14</v>
      </c>
      <c r="L215" s="3" t="s">
        <v>1269</v>
      </c>
      <c r="M215" s="4">
        <v>46160</v>
      </c>
      <c r="N215" s="3" t="s">
        <v>139</v>
      </c>
      <c r="O215" s="3" t="s">
        <v>33</v>
      </c>
      <c r="P215" t="str">
        <f t="shared" si="3"/>
        <v>450012003810</v>
      </c>
      <c r="Q215" s="7" cm="1">
        <f t="array" ref="Q215:S215">VLOOKUP(P215,Hoja1!C:F,{2,3,4},FALSE)</f>
        <v>46203</v>
      </c>
      <c r="R215" t="str">
        <v>C21</v>
      </c>
      <c r="S215" t="str">
        <v>1000000634 RAIZEN ARGENTINA S.A.U.</v>
      </c>
      <c r="T215" t="str">
        <f>VLOOKUP(P215,Hoja2!C:D,2,FALSE)</f>
        <v>RMIR</v>
      </c>
    </row>
    <row r="216" spans="1:20" x14ac:dyDescent="0.3">
      <c r="A216" s="2" t="s">
        <v>14</v>
      </c>
      <c r="B216" s="3" t="s">
        <v>14</v>
      </c>
      <c r="C216" s="3" t="s">
        <v>230</v>
      </c>
      <c r="D216" s="3" t="s">
        <v>14</v>
      </c>
      <c r="E216" s="3" t="s">
        <v>96</v>
      </c>
      <c r="F216" s="4">
        <v>46160</v>
      </c>
      <c r="G216" s="3" t="s">
        <v>43</v>
      </c>
      <c r="H216" s="6">
        <v>-4031890</v>
      </c>
      <c r="I216" s="3" t="s">
        <v>16</v>
      </c>
      <c r="J216" s="3" t="s">
        <v>14</v>
      </c>
      <c r="K216" s="3" t="s">
        <v>14</v>
      </c>
      <c r="L216" s="3" t="s">
        <v>193</v>
      </c>
      <c r="M216" s="4">
        <v>46160</v>
      </c>
      <c r="N216" s="3" t="s">
        <v>221</v>
      </c>
      <c r="O216" s="3" t="s">
        <v>33</v>
      </c>
      <c r="P216" t="str">
        <f t="shared" si="3"/>
        <v>450012716010</v>
      </c>
      <c r="Q216" s="7" cm="1">
        <f t="array" ref="Q216:S216">VLOOKUP(P216,Hoja1!C:F,{2,3,4},FALSE)</f>
        <v>46170</v>
      </c>
      <c r="R216" t="str">
        <v>C21</v>
      </c>
      <c r="S216" t="str">
        <v>1000002248 BIOENDESA SA</v>
      </c>
      <c r="T216" t="str">
        <f>VLOOKUP(P216,Hoja2!C:D,2,FALSE)</f>
        <v>JPUPULIN</v>
      </c>
    </row>
    <row r="217" spans="1:20" x14ac:dyDescent="0.3">
      <c r="A217" s="2" t="s">
        <v>14</v>
      </c>
      <c r="B217" s="3" t="s">
        <v>14</v>
      </c>
      <c r="C217" s="3" t="s">
        <v>230</v>
      </c>
      <c r="D217" s="3" t="s">
        <v>14</v>
      </c>
      <c r="E217" s="3" t="s">
        <v>96</v>
      </c>
      <c r="F217" s="4">
        <v>46160</v>
      </c>
      <c r="G217" s="3" t="s">
        <v>43</v>
      </c>
      <c r="H217" s="6">
        <v>-459510</v>
      </c>
      <c r="I217" s="3" t="s">
        <v>16</v>
      </c>
      <c r="J217" s="3" t="s">
        <v>14</v>
      </c>
      <c r="K217" s="3" t="s">
        <v>14</v>
      </c>
      <c r="L217" s="3" t="s">
        <v>193</v>
      </c>
      <c r="M217" s="4">
        <v>46160</v>
      </c>
      <c r="N217" s="3" t="s">
        <v>221</v>
      </c>
      <c r="O217" s="3" t="s">
        <v>33</v>
      </c>
      <c r="P217" t="str">
        <f t="shared" si="3"/>
        <v>450012716010</v>
      </c>
      <c r="Q217" s="7" cm="1">
        <f t="array" ref="Q217:S217">VLOOKUP(P217,Hoja1!C:F,{2,3,4},FALSE)</f>
        <v>46170</v>
      </c>
      <c r="R217" t="str">
        <v>C21</v>
      </c>
      <c r="S217" t="str">
        <v>1000002248 BIOENDESA SA</v>
      </c>
      <c r="T217" t="str">
        <f>VLOOKUP(P217,Hoja2!C:D,2,FALSE)</f>
        <v>JPUPULIN</v>
      </c>
    </row>
    <row r="218" spans="1:20" x14ac:dyDescent="0.3">
      <c r="A218" s="2" t="s">
        <v>14</v>
      </c>
      <c r="B218" s="3" t="s">
        <v>14</v>
      </c>
      <c r="C218" s="3" t="s">
        <v>231</v>
      </c>
      <c r="D218" s="3" t="s">
        <v>55</v>
      </c>
      <c r="E218" s="3" t="s">
        <v>96</v>
      </c>
      <c r="F218" s="4">
        <v>46161</v>
      </c>
      <c r="G218" s="3" t="s">
        <v>43</v>
      </c>
      <c r="H218" s="6">
        <v>-1759774.38</v>
      </c>
      <c r="I218" s="3" t="s">
        <v>16</v>
      </c>
      <c r="J218" s="3" t="s">
        <v>14</v>
      </c>
      <c r="K218" s="3" t="s">
        <v>14</v>
      </c>
      <c r="L218" s="3" t="s">
        <v>56</v>
      </c>
      <c r="M218" s="4">
        <v>46161</v>
      </c>
      <c r="N218" s="3" t="s">
        <v>57</v>
      </c>
      <c r="O218" s="3" t="s">
        <v>33</v>
      </c>
      <c r="P218" t="str">
        <f t="shared" si="3"/>
        <v>450012122710</v>
      </c>
      <c r="Q218" s="7" cm="1">
        <f t="array" ref="Q218:S218">VLOOKUP(P218,Hoja1!C:F,{2,3,4},FALSE)</f>
        <v>46264</v>
      </c>
      <c r="R218" t="str">
        <v>C25</v>
      </c>
      <c r="S218" t="str">
        <v>1000010957 GANGAS REYES MARCELO DAVID</v>
      </c>
      <c r="T218" t="str">
        <f>VLOOKUP(P218,Hoja2!C:D,2,FALSE)</f>
        <v>MPITTIA</v>
      </c>
    </row>
    <row r="219" spans="1:20" x14ac:dyDescent="0.3">
      <c r="A219" s="2" t="s">
        <v>14</v>
      </c>
      <c r="B219" s="3" t="s">
        <v>14</v>
      </c>
      <c r="C219" s="3" t="s">
        <v>232</v>
      </c>
      <c r="D219" s="3" t="s">
        <v>55</v>
      </c>
      <c r="E219" s="3" t="s">
        <v>96</v>
      </c>
      <c r="F219" s="4">
        <v>46161</v>
      </c>
      <c r="G219" s="3" t="s">
        <v>43</v>
      </c>
      <c r="H219" s="6">
        <v>-1591038</v>
      </c>
      <c r="I219" s="3" t="s">
        <v>16</v>
      </c>
      <c r="J219" s="3" t="s">
        <v>14</v>
      </c>
      <c r="K219" s="3" t="s">
        <v>14</v>
      </c>
      <c r="L219" s="3" t="s">
        <v>1269</v>
      </c>
      <c r="M219" s="4">
        <v>46161</v>
      </c>
      <c r="N219" s="3" t="s">
        <v>233</v>
      </c>
      <c r="O219" s="3" t="s">
        <v>33</v>
      </c>
      <c r="P219" t="str">
        <f t="shared" si="3"/>
        <v>450012790310</v>
      </c>
      <c r="Q219" s="7" cm="1">
        <f t="array" ref="Q219:S219">VLOOKUP(P219,Hoja1!C:F,{2,3,4},FALSE)</f>
        <v>46203</v>
      </c>
      <c r="R219" t="str">
        <v>C21</v>
      </c>
      <c r="S219" t="str">
        <v>1000000634 RAIZEN ARGENTINA S.A.U.</v>
      </c>
      <c r="T219" t="str">
        <f>VLOOKUP(P219,Hoja2!C:D,2,FALSE)</f>
        <v>JPUPULIN</v>
      </c>
    </row>
    <row r="220" spans="1:20" x14ac:dyDescent="0.3">
      <c r="A220" s="2" t="s">
        <v>14</v>
      </c>
      <c r="B220" s="3" t="s">
        <v>14</v>
      </c>
      <c r="C220" s="3" t="s">
        <v>232</v>
      </c>
      <c r="D220" s="3" t="s">
        <v>55</v>
      </c>
      <c r="E220" s="3" t="s">
        <v>96</v>
      </c>
      <c r="F220" s="4">
        <v>46161</v>
      </c>
      <c r="G220" s="3" t="s">
        <v>43</v>
      </c>
      <c r="H220" s="6">
        <v>-181465.2</v>
      </c>
      <c r="I220" s="3" t="s">
        <v>16</v>
      </c>
      <c r="J220" s="3" t="s">
        <v>14</v>
      </c>
      <c r="K220" s="3" t="s">
        <v>14</v>
      </c>
      <c r="L220" s="3" t="s">
        <v>1269</v>
      </c>
      <c r="M220" s="4">
        <v>46161</v>
      </c>
      <c r="N220" s="3" t="s">
        <v>233</v>
      </c>
      <c r="O220" s="3" t="s">
        <v>33</v>
      </c>
      <c r="P220" t="str">
        <f t="shared" si="3"/>
        <v>450012790310</v>
      </c>
      <c r="Q220" s="7" cm="1">
        <f t="array" ref="Q220:S220">VLOOKUP(P220,Hoja1!C:F,{2,3,4},FALSE)</f>
        <v>46203</v>
      </c>
      <c r="R220" t="str">
        <v>C21</v>
      </c>
      <c r="S220" t="str">
        <v>1000000634 RAIZEN ARGENTINA S.A.U.</v>
      </c>
      <c r="T220" t="str">
        <f>VLOOKUP(P220,Hoja2!C:D,2,FALSE)</f>
        <v>JPUPULIN</v>
      </c>
    </row>
    <row r="221" spans="1:20" x14ac:dyDescent="0.3">
      <c r="A221" s="2" t="s">
        <v>14</v>
      </c>
      <c r="B221" s="3" t="s">
        <v>14</v>
      </c>
      <c r="C221" s="3" t="s">
        <v>232</v>
      </c>
      <c r="D221" s="3" t="s">
        <v>55</v>
      </c>
      <c r="E221" s="3" t="s">
        <v>96</v>
      </c>
      <c r="F221" s="4">
        <v>46161</v>
      </c>
      <c r="G221" s="3" t="s">
        <v>43</v>
      </c>
      <c r="H221" s="6">
        <v>-1591038</v>
      </c>
      <c r="I221" s="3" t="s">
        <v>16</v>
      </c>
      <c r="J221" s="3" t="s">
        <v>14</v>
      </c>
      <c r="K221" s="3" t="s">
        <v>14</v>
      </c>
      <c r="L221" s="3" t="s">
        <v>1269</v>
      </c>
      <c r="M221" s="4">
        <v>46161</v>
      </c>
      <c r="N221" s="3" t="s">
        <v>233</v>
      </c>
      <c r="O221" s="3" t="s">
        <v>20</v>
      </c>
      <c r="P221" t="str">
        <f t="shared" si="3"/>
        <v>450012790320</v>
      </c>
      <c r="Q221" s="7" cm="1">
        <f t="array" ref="Q221:S221">VLOOKUP(P221,Hoja1!C:F,{2,3,4},FALSE)</f>
        <v>46203</v>
      </c>
      <c r="R221" t="str">
        <v>C21</v>
      </c>
      <c r="S221" t="str">
        <v>1000000634 RAIZEN ARGENTINA S.A.U.</v>
      </c>
      <c r="T221" t="str">
        <f>VLOOKUP(P221,Hoja2!C:D,2,FALSE)</f>
        <v>JPUPULIN</v>
      </c>
    </row>
    <row r="222" spans="1:20" x14ac:dyDescent="0.3">
      <c r="A222" s="2" t="s">
        <v>14</v>
      </c>
      <c r="B222" s="3" t="s">
        <v>14</v>
      </c>
      <c r="C222" s="3" t="s">
        <v>232</v>
      </c>
      <c r="D222" s="3" t="s">
        <v>55</v>
      </c>
      <c r="E222" s="3" t="s">
        <v>96</v>
      </c>
      <c r="F222" s="4">
        <v>46161</v>
      </c>
      <c r="G222" s="3" t="s">
        <v>43</v>
      </c>
      <c r="H222" s="6">
        <v>-181465.2</v>
      </c>
      <c r="I222" s="3" t="s">
        <v>16</v>
      </c>
      <c r="J222" s="3" t="s">
        <v>14</v>
      </c>
      <c r="K222" s="3" t="s">
        <v>14</v>
      </c>
      <c r="L222" s="3" t="s">
        <v>1269</v>
      </c>
      <c r="M222" s="4">
        <v>46161</v>
      </c>
      <c r="N222" s="3" t="s">
        <v>233</v>
      </c>
      <c r="O222" s="3" t="s">
        <v>20</v>
      </c>
      <c r="P222" t="str">
        <f t="shared" si="3"/>
        <v>450012790320</v>
      </c>
      <c r="Q222" s="7" cm="1">
        <f t="array" ref="Q222:S222">VLOOKUP(P222,Hoja1!C:F,{2,3,4},FALSE)</f>
        <v>46203</v>
      </c>
      <c r="R222" t="str">
        <v>C21</v>
      </c>
      <c r="S222" t="str">
        <v>1000000634 RAIZEN ARGENTINA S.A.U.</v>
      </c>
      <c r="T222" t="str">
        <f>VLOOKUP(P222,Hoja2!C:D,2,FALSE)</f>
        <v>JPUPULIN</v>
      </c>
    </row>
    <row r="223" spans="1:20" x14ac:dyDescent="0.3">
      <c r="A223" s="2" t="s">
        <v>14</v>
      </c>
      <c r="B223" s="3" t="s">
        <v>14</v>
      </c>
      <c r="C223" s="3" t="s">
        <v>232</v>
      </c>
      <c r="D223" s="3" t="s">
        <v>55</v>
      </c>
      <c r="E223" s="3" t="s">
        <v>96</v>
      </c>
      <c r="F223" s="4">
        <v>46161</v>
      </c>
      <c r="G223" s="3" t="s">
        <v>43</v>
      </c>
      <c r="H223" s="6">
        <v>-1591038</v>
      </c>
      <c r="I223" s="3" t="s">
        <v>16</v>
      </c>
      <c r="J223" s="3" t="s">
        <v>14</v>
      </c>
      <c r="K223" s="3" t="s">
        <v>14</v>
      </c>
      <c r="L223" s="3" t="s">
        <v>1269</v>
      </c>
      <c r="M223" s="4">
        <v>46161</v>
      </c>
      <c r="N223" s="3" t="s">
        <v>233</v>
      </c>
      <c r="O223" s="3" t="s">
        <v>21</v>
      </c>
      <c r="P223" t="str">
        <f t="shared" si="3"/>
        <v>450012790330</v>
      </c>
      <c r="Q223" s="7" cm="1">
        <f t="array" ref="Q223:S223">VLOOKUP(P223,Hoja1!C:F,{2,3,4},FALSE)</f>
        <v>46203</v>
      </c>
      <c r="R223" t="str">
        <v>C21</v>
      </c>
      <c r="S223" t="str">
        <v>1000000634 RAIZEN ARGENTINA S.A.U.</v>
      </c>
      <c r="T223" t="str">
        <f>VLOOKUP(P223,Hoja2!C:D,2,FALSE)</f>
        <v>JPUPULIN</v>
      </c>
    </row>
    <row r="224" spans="1:20" x14ac:dyDescent="0.3">
      <c r="A224" s="2" t="s">
        <v>14</v>
      </c>
      <c r="B224" s="3" t="s">
        <v>14</v>
      </c>
      <c r="C224" s="3" t="s">
        <v>232</v>
      </c>
      <c r="D224" s="3" t="s">
        <v>55</v>
      </c>
      <c r="E224" s="3" t="s">
        <v>96</v>
      </c>
      <c r="F224" s="4">
        <v>46161</v>
      </c>
      <c r="G224" s="3" t="s">
        <v>43</v>
      </c>
      <c r="H224" s="6">
        <v>-181465.2</v>
      </c>
      <c r="I224" s="3" t="s">
        <v>16</v>
      </c>
      <c r="J224" s="3" t="s">
        <v>14</v>
      </c>
      <c r="K224" s="3" t="s">
        <v>14</v>
      </c>
      <c r="L224" s="3" t="s">
        <v>1269</v>
      </c>
      <c r="M224" s="4">
        <v>46161</v>
      </c>
      <c r="N224" s="3" t="s">
        <v>233</v>
      </c>
      <c r="O224" s="3" t="s">
        <v>21</v>
      </c>
      <c r="P224" t="str">
        <f t="shared" si="3"/>
        <v>450012790330</v>
      </c>
      <c r="Q224" s="7" cm="1">
        <f t="array" ref="Q224:S224">VLOOKUP(P224,Hoja1!C:F,{2,3,4},FALSE)</f>
        <v>46203</v>
      </c>
      <c r="R224" t="str">
        <v>C21</v>
      </c>
      <c r="S224" t="str">
        <v>1000000634 RAIZEN ARGENTINA S.A.U.</v>
      </c>
      <c r="T224" t="str">
        <f>VLOOKUP(P224,Hoja2!C:D,2,FALSE)</f>
        <v>JPUPULIN</v>
      </c>
    </row>
    <row r="225" spans="1:20" x14ac:dyDescent="0.3">
      <c r="A225" s="2" t="s">
        <v>14</v>
      </c>
      <c r="B225" s="3" t="s">
        <v>14</v>
      </c>
      <c r="C225" s="3" t="s">
        <v>234</v>
      </c>
      <c r="D225" s="3" t="s">
        <v>14</v>
      </c>
      <c r="E225" s="3" t="s">
        <v>96</v>
      </c>
      <c r="F225" s="4">
        <v>46162</v>
      </c>
      <c r="G225" s="3" t="s">
        <v>43</v>
      </c>
      <c r="H225" s="6">
        <v>-9382380</v>
      </c>
      <c r="I225" s="3" t="s">
        <v>16</v>
      </c>
      <c r="J225" s="3" t="s">
        <v>14</v>
      </c>
      <c r="K225" s="3" t="s">
        <v>14</v>
      </c>
      <c r="L225" s="3" t="s">
        <v>1269</v>
      </c>
      <c r="M225" s="4">
        <v>46162</v>
      </c>
      <c r="N225" s="3" t="s">
        <v>139</v>
      </c>
      <c r="O225" s="3" t="s">
        <v>33</v>
      </c>
      <c r="P225" t="str">
        <f t="shared" si="3"/>
        <v>450012003810</v>
      </c>
      <c r="Q225" s="7" cm="1">
        <f t="array" ref="Q225:S225">VLOOKUP(P225,Hoja1!C:F,{2,3,4},FALSE)</f>
        <v>46203</v>
      </c>
      <c r="R225" t="str">
        <v>C21</v>
      </c>
      <c r="S225" t="str">
        <v>1000000634 RAIZEN ARGENTINA S.A.U.</v>
      </c>
      <c r="T225" t="str">
        <f>VLOOKUP(P225,Hoja2!C:D,2,FALSE)</f>
        <v>RMIR</v>
      </c>
    </row>
    <row r="226" spans="1:20" x14ac:dyDescent="0.3">
      <c r="A226" s="2" t="s">
        <v>14</v>
      </c>
      <c r="B226" s="3" t="s">
        <v>14</v>
      </c>
      <c r="C226" s="3" t="s">
        <v>234</v>
      </c>
      <c r="D226" s="3" t="s">
        <v>14</v>
      </c>
      <c r="E226" s="3" t="s">
        <v>96</v>
      </c>
      <c r="F226" s="4">
        <v>46162</v>
      </c>
      <c r="G226" s="3" t="s">
        <v>43</v>
      </c>
      <c r="H226" s="6">
        <v>-1069320</v>
      </c>
      <c r="I226" s="3" t="s">
        <v>16</v>
      </c>
      <c r="J226" s="3" t="s">
        <v>14</v>
      </c>
      <c r="K226" s="3" t="s">
        <v>14</v>
      </c>
      <c r="L226" s="3" t="s">
        <v>1269</v>
      </c>
      <c r="M226" s="4">
        <v>46162</v>
      </c>
      <c r="N226" s="3" t="s">
        <v>139</v>
      </c>
      <c r="O226" s="3" t="s">
        <v>33</v>
      </c>
      <c r="P226" t="str">
        <f t="shared" si="3"/>
        <v>450012003810</v>
      </c>
      <c r="Q226" s="7" cm="1">
        <f t="array" ref="Q226:S226">VLOOKUP(P226,Hoja1!C:F,{2,3,4},FALSE)</f>
        <v>46203</v>
      </c>
      <c r="R226" t="str">
        <v>C21</v>
      </c>
      <c r="S226" t="str">
        <v>1000000634 RAIZEN ARGENTINA S.A.U.</v>
      </c>
      <c r="T226" t="str">
        <f>VLOOKUP(P226,Hoja2!C:D,2,FALSE)</f>
        <v>RMIR</v>
      </c>
    </row>
    <row r="227" spans="1:20" x14ac:dyDescent="0.3">
      <c r="A227" s="2" t="s">
        <v>14</v>
      </c>
      <c r="B227" s="3" t="s">
        <v>14</v>
      </c>
      <c r="C227" s="3" t="s">
        <v>235</v>
      </c>
      <c r="D227" s="3" t="s">
        <v>14</v>
      </c>
      <c r="E227" s="3" t="s">
        <v>96</v>
      </c>
      <c r="F227" s="4">
        <v>46163</v>
      </c>
      <c r="G227" s="3" t="s">
        <v>43</v>
      </c>
      <c r="H227" s="6">
        <v>-2345992</v>
      </c>
      <c r="I227" s="3" t="s">
        <v>16</v>
      </c>
      <c r="J227" s="3" t="s">
        <v>14</v>
      </c>
      <c r="K227" s="3" t="s">
        <v>14</v>
      </c>
      <c r="L227" s="3" t="s">
        <v>236</v>
      </c>
      <c r="M227" s="4">
        <v>46163</v>
      </c>
      <c r="N227" s="3" t="s">
        <v>237</v>
      </c>
      <c r="O227" s="3" t="s">
        <v>20</v>
      </c>
      <c r="P227" t="str">
        <f t="shared" si="3"/>
        <v>450012443320</v>
      </c>
      <c r="Q227" s="7" cm="1">
        <f t="array" ref="Q227:S227">VLOOKUP(P227,Hoja1!C:F,{2,3,4},FALSE)</f>
        <v>46149</v>
      </c>
      <c r="R227" t="str">
        <v>EFO</v>
      </c>
      <c r="S227" t="str">
        <v>1000009161 CABRAL LAUTARO MIGUEL</v>
      </c>
      <c r="T227" t="str">
        <f>VLOOKUP(P227,Hoja2!C:D,2,FALSE)</f>
        <v>GROSES</v>
      </c>
    </row>
    <row r="228" spans="1:20" x14ac:dyDescent="0.3">
      <c r="A228" s="2" t="s">
        <v>14</v>
      </c>
      <c r="B228" s="3" t="s">
        <v>14</v>
      </c>
      <c r="C228" s="3" t="s">
        <v>238</v>
      </c>
      <c r="D228" s="3" t="s">
        <v>14</v>
      </c>
      <c r="E228" s="3" t="s">
        <v>96</v>
      </c>
      <c r="F228" s="4">
        <v>46163</v>
      </c>
      <c r="G228" s="3" t="s">
        <v>43</v>
      </c>
      <c r="H228" s="6">
        <v>-1703.55</v>
      </c>
      <c r="I228" s="3" t="s">
        <v>16</v>
      </c>
      <c r="J228" s="3" t="s">
        <v>14</v>
      </c>
      <c r="K228" s="3" t="s">
        <v>14</v>
      </c>
      <c r="L228" s="3" t="s">
        <v>148</v>
      </c>
      <c r="M228" s="4">
        <v>46164</v>
      </c>
      <c r="N228" s="3" t="s">
        <v>239</v>
      </c>
      <c r="O228" s="3" t="s">
        <v>25</v>
      </c>
      <c r="P228" t="str">
        <f t="shared" si="3"/>
        <v>450012417940</v>
      </c>
      <c r="Q228" s="7" cm="1">
        <f t="array" ref="Q228:S228">VLOOKUP(P228,Hoja1!C:F,{2,3,4},FALSE)</f>
        <v>46145</v>
      </c>
      <c r="R228" t="str">
        <v>C03</v>
      </c>
      <c r="S228" t="str">
        <v>1000000062 FINNING ARGENTINA S.A.</v>
      </c>
      <c r="T228" t="str">
        <f>VLOOKUP(P228,Hoja2!C:D,2,FALSE)</f>
        <v>RPEREZ</v>
      </c>
    </row>
    <row r="229" spans="1:20" x14ac:dyDescent="0.3">
      <c r="A229" s="2" t="s">
        <v>14</v>
      </c>
      <c r="B229" s="3" t="s">
        <v>14</v>
      </c>
      <c r="C229" s="3" t="s">
        <v>240</v>
      </c>
      <c r="D229" s="3" t="s">
        <v>14</v>
      </c>
      <c r="E229" s="3" t="s">
        <v>96</v>
      </c>
      <c r="F229" s="4">
        <v>46165</v>
      </c>
      <c r="G229" s="3" t="s">
        <v>43</v>
      </c>
      <c r="H229" s="6">
        <v>-9382380</v>
      </c>
      <c r="I229" s="3" t="s">
        <v>16</v>
      </c>
      <c r="J229" s="3" t="s">
        <v>14</v>
      </c>
      <c r="K229" s="3" t="s">
        <v>14</v>
      </c>
      <c r="L229" s="3" t="s">
        <v>1269</v>
      </c>
      <c r="M229" s="4">
        <v>46165</v>
      </c>
      <c r="N229" s="3" t="s">
        <v>139</v>
      </c>
      <c r="O229" s="3" t="s">
        <v>33</v>
      </c>
      <c r="P229" t="str">
        <f t="shared" si="3"/>
        <v>450012003810</v>
      </c>
      <c r="Q229" s="7" cm="1">
        <f t="array" ref="Q229:S229">VLOOKUP(P229,Hoja1!C:F,{2,3,4},FALSE)</f>
        <v>46203</v>
      </c>
      <c r="R229" t="str">
        <v>C21</v>
      </c>
      <c r="S229" t="str">
        <v>1000000634 RAIZEN ARGENTINA S.A.U.</v>
      </c>
      <c r="T229" t="str">
        <f>VLOOKUP(P229,Hoja2!C:D,2,FALSE)</f>
        <v>RMIR</v>
      </c>
    </row>
    <row r="230" spans="1:20" x14ac:dyDescent="0.3">
      <c r="A230" s="2" t="s">
        <v>14</v>
      </c>
      <c r="B230" s="3" t="s">
        <v>14</v>
      </c>
      <c r="C230" s="3" t="s">
        <v>240</v>
      </c>
      <c r="D230" s="3" t="s">
        <v>14</v>
      </c>
      <c r="E230" s="3" t="s">
        <v>96</v>
      </c>
      <c r="F230" s="4">
        <v>46165</v>
      </c>
      <c r="G230" s="3" t="s">
        <v>43</v>
      </c>
      <c r="H230" s="6">
        <v>-1069320</v>
      </c>
      <c r="I230" s="3" t="s">
        <v>16</v>
      </c>
      <c r="J230" s="3" t="s">
        <v>14</v>
      </c>
      <c r="K230" s="3" t="s">
        <v>14</v>
      </c>
      <c r="L230" s="3" t="s">
        <v>1269</v>
      </c>
      <c r="M230" s="4">
        <v>46165</v>
      </c>
      <c r="N230" s="3" t="s">
        <v>139</v>
      </c>
      <c r="O230" s="3" t="s">
        <v>33</v>
      </c>
      <c r="P230" t="str">
        <f t="shared" si="3"/>
        <v>450012003810</v>
      </c>
      <c r="Q230" s="7" cm="1">
        <f t="array" ref="Q230:S230">VLOOKUP(P230,Hoja1!C:F,{2,3,4},FALSE)</f>
        <v>46203</v>
      </c>
      <c r="R230" t="str">
        <v>C21</v>
      </c>
      <c r="S230" t="str">
        <v>1000000634 RAIZEN ARGENTINA S.A.U.</v>
      </c>
      <c r="T230" t="str">
        <f>VLOOKUP(P230,Hoja2!C:D,2,FALSE)</f>
        <v>RMIR</v>
      </c>
    </row>
    <row r="231" spans="1:20" x14ac:dyDescent="0.3">
      <c r="A231" s="2" t="s">
        <v>14</v>
      </c>
      <c r="B231" s="3" t="s">
        <v>14</v>
      </c>
      <c r="C231" s="3" t="s">
        <v>241</v>
      </c>
      <c r="D231" s="3" t="s">
        <v>55</v>
      </c>
      <c r="E231" s="3" t="s">
        <v>96</v>
      </c>
      <c r="F231" s="4">
        <v>46168</v>
      </c>
      <c r="G231" s="3" t="s">
        <v>43</v>
      </c>
      <c r="H231" s="6">
        <v>-1591038</v>
      </c>
      <c r="I231" s="3" t="s">
        <v>16</v>
      </c>
      <c r="J231" s="3" t="s">
        <v>14</v>
      </c>
      <c r="K231" s="3" t="s">
        <v>14</v>
      </c>
      <c r="L231" s="3" t="s">
        <v>1269</v>
      </c>
      <c r="M231" s="4">
        <v>46168</v>
      </c>
      <c r="N231" s="3" t="s">
        <v>242</v>
      </c>
      <c r="O231" s="3" t="s">
        <v>33</v>
      </c>
      <c r="P231" t="str">
        <f t="shared" si="3"/>
        <v>450012834510</v>
      </c>
      <c r="Q231" s="7" cm="1">
        <f t="array" ref="Q231:S231">VLOOKUP(P231,Hoja1!C:F,{2,3,4},FALSE)</f>
        <v>46203</v>
      </c>
      <c r="R231" t="str">
        <v>C21</v>
      </c>
      <c r="S231" t="str">
        <v>1000000634 RAIZEN ARGENTINA S.A.U.</v>
      </c>
      <c r="T231" t="str">
        <f>VLOOKUP(P231,Hoja2!C:D,2,FALSE)</f>
        <v>JPUPULIN</v>
      </c>
    </row>
    <row r="232" spans="1:20" x14ac:dyDescent="0.3">
      <c r="A232" s="2" t="s">
        <v>14</v>
      </c>
      <c r="B232" s="3" t="s">
        <v>14</v>
      </c>
      <c r="C232" s="3" t="s">
        <v>241</v>
      </c>
      <c r="D232" s="3" t="s">
        <v>55</v>
      </c>
      <c r="E232" s="3" t="s">
        <v>96</v>
      </c>
      <c r="F232" s="4">
        <v>46168</v>
      </c>
      <c r="G232" s="3" t="s">
        <v>43</v>
      </c>
      <c r="H232" s="6">
        <v>-181465.2</v>
      </c>
      <c r="I232" s="3" t="s">
        <v>16</v>
      </c>
      <c r="J232" s="3" t="s">
        <v>14</v>
      </c>
      <c r="K232" s="3" t="s">
        <v>14</v>
      </c>
      <c r="L232" s="3" t="s">
        <v>1269</v>
      </c>
      <c r="M232" s="4">
        <v>46168</v>
      </c>
      <c r="N232" s="3" t="s">
        <v>242</v>
      </c>
      <c r="O232" s="3" t="s">
        <v>33</v>
      </c>
      <c r="P232" t="str">
        <f t="shared" si="3"/>
        <v>450012834510</v>
      </c>
      <c r="Q232" s="7" cm="1">
        <f t="array" ref="Q232:S232">VLOOKUP(P232,Hoja1!C:F,{2,3,4},FALSE)</f>
        <v>46203</v>
      </c>
      <c r="R232" t="str">
        <v>C21</v>
      </c>
      <c r="S232" t="str">
        <v>1000000634 RAIZEN ARGENTINA S.A.U.</v>
      </c>
      <c r="T232" t="str">
        <f>VLOOKUP(P232,Hoja2!C:D,2,FALSE)</f>
        <v>JPUPULIN</v>
      </c>
    </row>
    <row r="233" spans="1:20" x14ac:dyDescent="0.3">
      <c r="A233" s="2" t="s">
        <v>14</v>
      </c>
      <c r="B233" s="3" t="s">
        <v>14</v>
      </c>
      <c r="C233" s="3" t="s">
        <v>243</v>
      </c>
      <c r="D233" s="3" t="s">
        <v>14</v>
      </c>
      <c r="E233" s="3" t="s">
        <v>96</v>
      </c>
      <c r="F233" s="4">
        <v>46169</v>
      </c>
      <c r="G233" s="3" t="s">
        <v>43</v>
      </c>
      <c r="H233" s="6">
        <v>-446800</v>
      </c>
      <c r="I233" s="3" t="s">
        <v>16</v>
      </c>
      <c r="J233" s="3" t="s">
        <v>14</v>
      </c>
      <c r="K233" s="3" t="s">
        <v>14</v>
      </c>
      <c r="L233" s="3" t="s">
        <v>97</v>
      </c>
      <c r="M233" s="4">
        <v>46169</v>
      </c>
      <c r="N233" s="3" t="s">
        <v>163</v>
      </c>
      <c r="O233" s="3" t="s">
        <v>33</v>
      </c>
      <c r="P233" t="str">
        <f t="shared" si="3"/>
        <v>450011911710</v>
      </c>
      <c r="Q233" s="7" cm="1">
        <f t="array" ref="Q233:S233">VLOOKUP(P233,Hoja1!C:F,{2,3,4},FALSE)</f>
        <v>46245</v>
      </c>
      <c r="R233" t="str">
        <v>C21</v>
      </c>
      <c r="S233" t="str">
        <v>1000001020 COMBUSTIBLES BARCELO S.R.L.</v>
      </c>
      <c r="T233" t="str">
        <f>VLOOKUP(P233,Hoja2!C:D,2,FALSE)</f>
        <v>RMIR</v>
      </c>
    </row>
    <row r="234" spans="1:20" x14ac:dyDescent="0.3">
      <c r="A234" s="2" t="s">
        <v>14</v>
      </c>
      <c r="B234" s="3" t="s">
        <v>14</v>
      </c>
      <c r="C234" s="3" t="s">
        <v>243</v>
      </c>
      <c r="D234" s="3" t="s">
        <v>14</v>
      </c>
      <c r="E234" s="3" t="s">
        <v>96</v>
      </c>
      <c r="F234" s="4">
        <v>46169</v>
      </c>
      <c r="G234" s="3" t="s">
        <v>43</v>
      </c>
      <c r="H234" s="6">
        <v>-50920</v>
      </c>
      <c r="I234" s="3" t="s">
        <v>16</v>
      </c>
      <c r="J234" s="3" t="s">
        <v>14</v>
      </c>
      <c r="K234" s="3" t="s">
        <v>14</v>
      </c>
      <c r="L234" s="3" t="s">
        <v>97</v>
      </c>
      <c r="M234" s="4">
        <v>46169</v>
      </c>
      <c r="N234" s="3" t="s">
        <v>163</v>
      </c>
      <c r="O234" s="3" t="s">
        <v>33</v>
      </c>
      <c r="P234" t="str">
        <f t="shared" si="3"/>
        <v>450011911710</v>
      </c>
      <c r="Q234" s="7" cm="1">
        <f t="array" ref="Q234:S234">VLOOKUP(P234,Hoja1!C:F,{2,3,4},FALSE)</f>
        <v>46245</v>
      </c>
      <c r="R234" t="str">
        <v>C21</v>
      </c>
      <c r="S234" t="str">
        <v>1000001020 COMBUSTIBLES BARCELO S.R.L.</v>
      </c>
      <c r="T234" t="str">
        <f>VLOOKUP(P234,Hoja2!C:D,2,FALSE)</f>
        <v>RMIR</v>
      </c>
    </row>
    <row r="235" spans="1:20" x14ac:dyDescent="0.3">
      <c r="A235" s="2" t="s">
        <v>14</v>
      </c>
      <c r="B235" s="3" t="s">
        <v>14</v>
      </c>
      <c r="C235" s="3" t="s">
        <v>244</v>
      </c>
      <c r="D235" s="3" t="s">
        <v>14</v>
      </c>
      <c r="E235" s="3" t="s">
        <v>96</v>
      </c>
      <c r="F235" s="4">
        <v>46164</v>
      </c>
      <c r="G235" s="3" t="s">
        <v>43</v>
      </c>
      <c r="H235" s="6">
        <v>-363298.95</v>
      </c>
      <c r="I235" s="3" t="s">
        <v>16</v>
      </c>
      <c r="J235" s="3" t="s">
        <v>14</v>
      </c>
      <c r="K235" s="3" t="s">
        <v>14</v>
      </c>
      <c r="L235" s="3" t="s">
        <v>245</v>
      </c>
      <c r="M235" s="4">
        <v>46169</v>
      </c>
      <c r="N235" s="3" t="s">
        <v>246</v>
      </c>
      <c r="O235" s="3" t="s">
        <v>33</v>
      </c>
      <c r="P235" t="str">
        <f t="shared" si="3"/>
        <v>450012748610</v>
      </c>
      <c r="Q235" s="7" cm="1">
        <f t="array" ref="Q235:S235">VLOOKUP(P235,Hoja1!C:F,{2,3,4},FALSE)</f>
        <v>46172</v>
      </c>
      <c r="R235" t="str">
        <v>G05</v>
      </c>
      <c r="S235" t="str">
        <v>1000000907 SERVICIOS VIALES DE STA. FE SA</v>
      </c>
      <c r="T235" t="str">
        <f>VLOOKUP(P235,Hoja2!C:D,2,FALSE)</f>
        <v>RPEREZ</v>
      </c>
    </row>
    <row r="236" spans="1:20" x14ac:dyDescent="0.3">
      <c r="A236" s="2" t="s">
        <v>14</v>
      </c>
      <c r="B236" s="3" t="s">
        <v>14</v>
      </c>
      <c r="C236" s="3" t="s">
        <v>247</v>
      </c>
      <c r="D236" s="3" t="s">
        <v>55</v>
      </c>
      <c r="E236" s="3" t="s">
        <v>96</v>
      </c>
      <c r="F236" s="4">
        <v>46171</v>
      </c>
      <c r="G236" s="3" t="s">
        <v>43</v>
      </c>
      <c r="H236" s="6">
        <v>-3211360.8</v>
      </c>
      <c r="I236" s="3" t="s">
        <v>16</v>
      </c>
      <c r="J236" s="3" t="s">
        <v>14</v>
      </c>
      <c r="K236" s="3" t="s">
        <v>14</v>
      </c>
      <c r="L236" s="3" t="s">
        <v>1269</v>
      </c>
      <c r="M236" s="4">
        <v>46171</v>
      </c>
      <c r="N236" s="3" t="s">
        <v>248</v>
      </c>
      <c r="O236" s="3" t="s">
        <v>33</v>
      </c>
      <c r="P236" t="str">
        <f t="shared" si="3"/>
        <v>450012883010</v>
      </c>
      <c r="Q236" s="7" cm="1">
        <f t="array" ref="Q236:S236">VLOOKUP(P236,Hoja1!C:F,{2,3,4},FALSE)</f>
        <v>46203</v>
      </c>
      <c r="R236" t="str">
        <v>C21</v>
      </c>
      <c r="S236" t="str">
        <v>1000000634 RAIZEN ARGENTINA S.A.U.</v>
      </c>
      <c r="T236" t="str">
        <f>VLOOKUP(P236,Hoja2!C:D,2,FALSE)</f>
        <v>JPUPULIN</v>
      </c>
    </row>
    <row r="237" spans="1:20" x14ac:dyDescent="0.3">
      <c r="A237" s="2" t="s">
        <v>14</v>
      </c>
      <c r="B237" s="3" t="s">
        <v>14</v>
      </c>
      <c r="C237" s="3" t="s">
        <v>247</v>
      </c>
      <c r="D237" s="3" t="s">
        <v>55</v>
      </c>
      <c r="E237" s="3" t="s">
        <v>96</v>
      </c>
      <c r="F237" s="4">
        <v>46171</v>
      </c>
      <c r="G237" s="3" t="s">
        <v>43</v>
      </c>
      <c r="H237" s="6">
        <v>-361791.3</v>
      </c>
      <c r="I237" s="3" t="s">
        <v>16</v>
      </c>
      <c r="J237" s="3" t="s">
        <v>14</v>
      </c>
      <c r="K237" s="3" t="s">
        <v>14</v>
      </c>
      <c r="L237" s="3" t="s">
        <v>1269</v>
      </c>
      <c r="M237" s="4">
        <v>46171</v>
      </c>
      <c r="N237" s="3" t="s">
        <v>248</v>
      </c>
      <c r="O237" s="3" t="s">
        <v>33</v>
      </c>
      <c r="P237" t="str">
        <f t="shared" si="3"/>
        <v>450012883010</v>
      </c>
      <c r="Q237" s="7" cm="1">
        <f t="array" ref="Q237:S237">VLOOKUP(P237,Hoja1!C:F,{2,3,4},FALSE)</f>
        <v>46203</v>
      </c>
      <c r="R237" t="str">
        <v>C21</v>
      </c>
      <c r="S237" t="str">
        <v>1000000634 RAIZEN ARGENTINA S.A.U.</v>
      </c>
      <c r="T237" t="str">
        <f>VLOOKUP(P237,Hoja2!C:D,2,FALSE)</f>
        <v>JPUPULIN</v>
      </c>
    </row>
    <row r="238" spans="1:20" x14ac:dyDescent="0.3">
      <c r="A238" s="2" t="s">
        <v>14</v>
      </c>
      <c r="B238" s="3" t="s">
        <v>14</v>
      </c>
      <c r="C238" s="3" t="s">
        <v>249</v>
      </c>
      <c r="D238" s="3" t="s">
        <v>14</v>
      </c>
      <c r="E238" s="3" t="s">
        <v>96</v>
      </c>
      <c r="F238" s="4">
        <v>46171</v>
      </c>
      <c r="G238" s="3" t="s">
        <v>43</v>
      </c>
      <c r="H238" s="6">
        <v>-223.4</v>
      </c>
      <c r="I238" s="3" t="s">
        <v>16</v>
      </c>
      <c r="J238" s="3" t="s">
        <v>14</v>
      </c>
      <c r="K238" s="3" t="s">
        <v>14</v>
      </c>
      <c r="L238" s="3" t="s">
        <v>97</v>
      </c>
      <c r="M238" s="4">
        <v>46171</v>
      </c>
      <c r="N238" s="3" t="s">
        <v>250</v>
      </c>
      <c r="O238" s="3" t="s">
        <v>33</v>
      </c>
      <c r="P238" t="str">
        <f t="shared" si="3"/>
        <v>450012900510</v>
      </c>
      <c r="Q238" s="7" cm="1">
        <f t="array" ref="Q238:S238">VLOOKUP(P238,Hoja1!C:F,{2,3,4},FALSE)</f>
        <v>46184</v>
      </c>
      <c r="R238" t="str">
        <v>C21</v>
      </c>
      <c r="S238" t="str">
        <v>1000001020 COMBUSTIBLES BARCELO S.R.L.</v>
      </c>
      <c r="T238" t="str">
        <f>VLOOKUP(P238,Hoja2!C:D,2,FALSE)</f>
        <v>JPUPULIN</v>
      </c>
    </row>
    <row r="239" spans="1:20" x14ac:dyDescent="0.3">
      <c r="A239" s="2" t="s">
        <v>14</v>
      </c>
      <c r="B239" s="3" t="s">
        <v>14</v>
      </c>
      <c r="C239" s="3" t="s">
        <v>249</v>
      </c>
      <c r="D239" s="3" t="s">
        <v>14</v>
      </c>
      <c r="E239" s="3" t="s">
        <v>96</v>
      </c>
      <c r="F239" s="4">
        <v>46171</v>
      </c>
      <c r="G239" s="3" t="s">
        <v>43</v>
      </c>
      <c r="H239" s="6">
        <v>-25.46</v>
      </c>
      <c r="I239" s="3" t="s">
        <v>16</v>
      </c>
      <c r="J239" s="3" t="s">
        <v>14</v>
      </c>
      <c r="K239" s="3" t="s">
        <v>14</v>
      </c>
      <c r="L239" s="3" t="s">
        <v>97</v>
      </c>
      <c r="M239" s="4">
        <v>46171</v>
      </c>
      <c r="N239" s="3" t="s">
        <v>250</v>
      </c>
      <c r="O239" s="3" t="s">
        <v>33</v>
      </c>
      <c r="P239" t="str">
        <f t="shared" si="3"/>
        <v>450012900510</v>
      </c>
      <c r="Q239" s="7" cm="1">
        <f t="array" ref="Q239:S239">VLOOKUP(P239,Hoja1!C:F,{2,3,4},FALSE)</f>
        <v>46184</v>
      </c>
      <c r="R239" t="str">
        <v>C21</v>
      </c>
      <c r="S239" t="str">
        <v>1000001020 COMBUSTIBLES BARCELO S.R.L.</v>
      </c>
      <c r="T239" t="str">
        <f>VLOOKUP(P239,Hoja2!C:D,2,FALSE)</f>
        <v>JPUPULIN</v>
      </c>
    </row>
    <row r="240" spans="1:20" x14ac:dyDescent="0.3">
      <c r="A240" s="2" t="s">
        <v>14</v>
      </c>
      <c r="B240" s="3" t="s">
        <v>14</v>
      </c>
      <c r="C240" s="3" t="s">
        <v>251</v>
      </c>
      <c r="D240" s="3" t="s">
        <v>14</v>
      </c>
      <c r="E240" s="3" t="s">
        <v>96</v>
      </c>
      <c r="F240" s="4">
        <v>46174</v>
      </c>
      <c r="G240" s="3" t="s">
        <v>43</v>
      </c>
      <c r="H240" s="6">
        <v>-9382380</v>
      </c>
      <c r="I240" s="3" t="s">
        <v>16</v>
      </c>
      <c r="J240" s="3" t="s">
        <v>14</v>
      </c>
      <c r="K240" s="3" t="s">
        <v>14</v>
      </c>
      <c r="L240" s="3" t="s">
        <v>1269</v>
      </c>
      <c r="M240" s="4">
        <v>46172</v>
      </c>
      <c r="N240" s="3" t="s">
        <v>139</v>
      </c>
      <c r="O240" s="3" t="s">
        <v>33</v>
      </c>
      <c r="P240" t="str">
        <f t="shared" si="3"/>
        <v>450012003810</v>
      </c>
      <c r="Q240" s="7" cm="1">
        <f t="array" ref="Q240:S240">VLOOKUP(P240,Hoja1!C:F,{2,3,4},FALSE)</f>
        <v>46203</v>
      </c>
      <c r="R240" t="str">
        <v>C21</v>
      </c>
      <c r="S240" t="str">
        <v>1000000634 RAIZEN ARGENTINA S.A.U.</v>
      </c>
      <c r="T240" t="str">
        <f>VLOOKUP(P240,Hoja2!C:D,2,FALSE)</f>
        <v>RMIR</v>
      </c>
    </row>
    <row r="241" spans="1:20" x14ac:dyDescent="0.3">
      <c r="A241" s="2" t="s">
        <v>14</v>
      </c>
      <c r="B241" s="3" t="s">
        <v>14</v>
      </c>
      <c r="C241" s="3" t="s">
        <v>251</v>
      </c>
      <c r="D241" s="3" t="s">
        <v>14</v>
      </c>
      <c r="E241" s="3" t="s">
        <v>96</v>
      </c>
      <c r="F241" s="4">
        <v>46174</v>
      </c>
      <c r="G241" s="3" t="s">
        <v>43</v>
      </c>
      <c r="H241" s="6">
        <v>-1069320</v>
      </c>
      <c r="I241" s="3" t="s">
        <v>16</v>
      </c>
      <c r="J241" s="3" t="s">
        <v>14</v>
      </c>
      <c r="K241" s="3" t="s">
        <v>14</v>
      </c>
      <c r="L241" s="3" t="s">
        <v>1269</v>
      </c>
      <c r="M241" s="4">
        <v>46172</v>
      </c>
      <c r="N241" s="3" t="s">
        <v>139</v>
      </c>
      <c r="O241" s="3" t="s">
        <v>33</v>
      </c>
      <c r="P241" t="str">
        <f t="shared" si="3"/>
        <v>450012003810</v>
      </c>
      <c r="Q241" s="7" cm="1">
        <f t="array" ref="Q241:S241">VLOOKUP(P241,Hoja1!C:F,{2,3,4},FALSE)</f>
        <v>46203</v>
      </c>
      <c r="R241" t="str">
        <v>C21</v>
      </c>
      <c r="S241" t="str">
        <v>1000000634 RAIZEN ARGENTINA S.A.U.</v>
      </c>
      <c r="T241" t="str">
        <f>VLOOKUP(P241,Hoja2!C:D,2,FALSE)</f>
        <v>RMIR</v>
      </c>
    </row>
    <row r="242" spans="1:20" x14ac:dyDescent="0.3">
      <c r="A242" s="2" t="s">
        <v>14</v>
      </c>
      <c r="B242" s="3" t="s">
        <v>14</v>
      </c>
      <c r="C242" s="3" t="s">
        <v>252</v>
      </c>
      <c r="D242" s="3" t="s">
        <v>14</v>
      </c>
      <c r="E242" s="3" t="s">
        <v>96</v>
      </c>
      <c r="F242" s="4">
        <v>46195</v>
      </c>
      <c r="G242" s="3" t="s">
        <v>43</v>
      </c>
      <c r="H242" s="6">
        <v>-2043594.25</v>
      </c>
      <c r="I242" s="3" t="s">
        <v>16</v>
      </c>
      <c r="J242" s="3" t="s">
        <v>14</v>
      </c>
      <c r="K242" s="3" t="s">
        <v>14</v>
      </c>
      <c r="L242" s="3" t="s">
        <v>245</v>
      </c>
      <c r="M242" s="4">
        <v>46174</v>
      </c>
      <c r="N242" s="3" t="s">
        <v>246</v>
      </c>
      <c r="O242" s="3" t="s">
        <v>20</v>
      </c>
      <c r="P242" t="str">
        <f t="shared" si="3"/>
        <v>450012748620</v>
      </c>
      <c r="Q242" s="7" cm="1">
        <f t="array" ref="Q242:S242">VLOOKUP(P242,Hoja1!C:F,{2,3,4},FALSE)</f>
        <v>46172</v>
      </c>
      <c r="R242" t="str">
        <v>G05</v>
      </c>
      <c r="S242" t="str">
        <v>1000000907 SERVICIOS VIALES DE STA. FE SA</v>
      </c>
      <c r="T242" t="str">
        <f>VLOOKUP(P242,Hoja2!C:D,2,FALSE)</f>
        <v>RPEREZ</v>
      </c>
    </row>
    <row r="243" spans="1:20" x14ac:dyDescent="0.3">
      <c r="A243" s="2" t="s">
        <v>14</v>
      </c>
      <c r="B243" s="3" t="s">
        <v>14</v>
      </c>
      <c r="C243" s="3" t="s">
        <v>252</v>
      </c>
      <c r="D243" s="3" t="s">
        <v>14</v>
      </c>
      <c r="E243" s="3" t="s">
        <v>96</v>
      </c>
      <c r="F243" s="4">
        <v>46195</v>
      </c>
      <c r="G243" s="3" t="s">
        <v>43</v>
      </c>
      <c r="H243" s="6">
        <v>-894857.57</v>
      </c>
      <c r="I243" s="3" t="s">
        <v>16</v>
      </c>
      <c r="J243" s="3" t="s">
        <v>14</v>
      </c>
      <c r="K243" s="3" t="s">
        <v>14</v>
      </c>
      <c r="L243" s="3" t="s">
        <v>245</v>
      </c>
      <c r="M243" s="4">
        <v>46174</v>
      </c>
      <c r="N243" s="3" t="s">
        <v>246</v>
      </c>
      <c r="O243" s="3" t="s">
        <v>21</v>
      </c>
      <c r="P243" t="str">
        <f t="shared" si="3"/>
        <v>450012748630</v>
      </c>
      <c r="Q243" s="7" cm="1">
        <f t="array" ref="Q243:S243">VLOOKUP(P243,Hoja1!C:F,{2,3,4},FALSE)</f>
        <v>46287</v>
      </c>
      <c r="R243" t="str">
        <v>G05</v>
      </c>
      <c r="S243" t="str">
        <v>1000000907 SERVICIOS VIALES DE STA. FE SA</v>
      </c>
      <c r="T243" t="str">
        <f>VLOOKUP(P243,Hoja2!C:D,2,FALSE)</f>
        <v>RPEREZ</v>
      </c>
    </row>
    <row r="244" spans="1:20" x14ac:dyDescent="0.3">
      <c r="A244" s="2" t="s">
        <v>14</v>
      </c>
      <c r="B244" s="3" t="s">
        <v>14</v>
      </c>
      <c r="C244" s="3" t="s">
        <v>253</v>
      </c>
      <c r="D244" s="3" t="s">
        <v>14</v>
      </c>
      <c r="E244" s="3" t="s">
        <v>96</v>
      </c>
      <c r="F244" s="4">
        <v>46174</v>
      </c>
      <c r="G244" s="3" t="s">
        <v>43</v>
      </c>
      <c r="H244" s="6">
        <v>-9605770</v>
      </c>
      <c r="I244" s="3" t="s">
        <v>16</v>
      </c>
      <c r="J244" s="3" t="s">
        <v>14</v>
      </c>
      <c r="K244" s="3" t="s">
        <v>14</v>
      </c>
      <c r="L244" s="3" t="s">
        <v>1269</v>
      </c>
      <c r="M244" s="4">
        <v>46174</v>
      </c>
      <c r="N244" s="3" t="s">
        <v>139</v>
      </c>
      <c r="O244" s="3" t="s">
        <v>33</v>
      </c>
      <c r="P244" t="str">
        <f t="shared" si="3"/>
        <v>450012003810</v>
      </c>
      <c r="Q244" s="7" cm="1">
        <f t="array" ref="Q244:S244">VLOOKUP(P244,Hoja1!C:F,{2,3,4},FALSE)</f>
        <v>46203</v>
      </c>
      <c r="R244" t="str">
        <v>C21</v>
      </c>
      <c r="S244" t="str">
        <v>1000000634 RAIZEN ARGENTINA S.A.U.</v>
      </c>
      <c r="T244" t="str">
        <f>VLOOKUP(P244,Hoja2!C:D,2,FALSE)</f>
        <v>RMIR</v>
      </c>
    </row>
    <row r="245" spans="1:20" x14ac:dyDescent="0.3">
      <c r="A245" s="2" t="s">
        <v>14</v>
      </c>
      <c r="B245" s="3" t="s">
        <v>14</v>
      </c>
      <c r="C245" s="3" t="s">
        <v>253</v>
      </c>
      <c r="D245" s="3" t="s">
        <v>14</v>
      </c>
      <c r="E245" s="3" t="s">
        <v>96</v>
      </c>
      <c r="F245" s="4">
        <v>46174</v>
      </c>
      <c r="G245" s="3" t="s">
        <v>43</v>
      </c>
      <c r="H245" s="6">
        <v>-1094780</v>
      </c>
      <c r="I245" s="3" t="s">
        <v>16</v>
      </c>
      <c r="J245" s="3" t="s">
        <v>14</v>
      </c>
      <c r="K245" s="3" t="s">
        <v>14</v>
      </c>
      <c r="L245" s="3" t="s">
        <v>1269</v>
      </c>
      <c r="M245" s="4">
        <v>46174</v>
      </c>
      <c r="N245" s="3" t="s">
        <v>139</v>
      </c>
      <c r="O245" s="3" t="s">
        <v>33</v>
      </c>
      <c r="P245" t="str">
        <f t="shared" si="3"/>
        <v>450012003810</v>
      </c>
      <c r="Q245" s="7" cm="1">
        <f t="array" ref="Q245:S245">VLOOKUP(P245,Hoja1!C:F,{2,3,4},FALSE)</f>
        <v>46203</v>
      </c>
      <c r="R245" t="str">
        <v>C21</v>
      </c>
      <c r="S245" t="str">
        <v>1000000634 RAIZEN ARGENTINA S.A.U.</v>
      </c>
      <c r="T245" t="str">
        <f>VLOOKUP(P245,Hoja2!C:D,2,FALSE)</f>
        <v>RMIR</v>
      </c>
    </row>
    <row r="246" spans="1:20" x14ac:dyDescent="0.3">
      <c r="A246" s="2" t="s">
        <v>14</v>
      </c>
      <c r="B246" s="3" t="s">
        <v>14</v>
      </c>
      <c r="C246" s="3" t="s">
        <v>255</v>
      </c>
      <c r="D246" s="3" t="s">
        <v>55</v>
      </c>
      <c r="E246" s="3" t="s">
        <v>96</v>
      </c>
      <c r="F246" s="4">
        <v>46177</v>
      </c>
      <c r="G246" s="3" t="s">
        <v>43</v>
      </c>
      <c r="H246" s="6">
        <v>-3211360.8</v>
      </c>
      <c r="I246" s="3" t="s">
        <v>16</v>
      </c>
      <c r="J246" s="3" t="s">
        <v>14</v>
      </c>
      <c r="K246" s="3" t="s">
        <v>14</v>
      </c>
      <c r="L246" s="3" t="s">
        <v>1269</v>
      </c>
      <c r="M246" s="4">
        <v>46177</v>
      </c>
      <c r="N246" s="3" t="s">
        <v>256</v>
      </c>
      <c r="O246" s="3" t="s">
        <v>20</v>
      </c>
      <c r="P246" t="str">
        <f t="shared" si="3"/>
        <v>450012908120</v>
      </c>
      <c r="Q246" s="7" cm="1">
        <f t="array" ref="Q246:S246">VLOOKUP(P246,Hoja1!C:F,{2,3,4},FALSE)</f>
        <v>46203</v>
      </c>
      <c r="R246" t="str">
        <v>C21</v>
      </c>
      <c r="S246" t="str">
        <v>1000000634 RAIZEN ARGENTINA S.A.U.</v>
      </c>
      <c r="T246" t="str">
        <f>VLOOKUP(P246,Hoja2!C:D,2,FALSE)</f>
        <v>JPUPULIN</v>
      </c>
    </row>
    <row r="247" spans="1:20" x14ac:dyDescent="0.3">
      <c r="A247" s="2" t="s">
        <v>14</v>
      </c>
      <c r="B247" s="3" t="s">
        <v>14</v>
      </c>
      <c r="C247" s="3" t="s">
        <v>255</v>
      </c>
      <c r="D247" s="3" t="s">
        <v>55</v>
      </c>
      <c r="E247" s="3" t="s">
        <v>96</v>
      </c>
      <c r="F247" s="4">
        <v>46177</v>
      </c>
      <c r="G247" s="3" t="s">
        <v>43</v>
      </c>
      <c r="H247" s="6">
        <v>-361791.3</v>
      </c>
      <c r="I247" s="3" t="s">
        <v>16</v>
      </c>
      <c r="J247" s="3" t="s">
        <v>14</v>
      </c>
      <c r="K247" s="3" t="s">
        <v>14</v>
      </c>
      <c r="L247" s="3" t="s">
        <v>1269</v>
      </c>
      <c r="M247" s="4">
        <v>46177</v>
      </c>
      <c r="N247" s="3" t="s">
        <v>256</v>
      </c>
      <c r="O247" s="3" t="s">
        <v>20</v>
      </c>
      <c r="P247" t="str">
        <f t="shared" si="3"/>
        <v>450012908120</v>
      </c>
      <c r="Q247" s="7" cm="1">
        <f t="array" ref="Q247:S247">VLOOKUP(P247,Hoja1!C:F,{2,3,4},FALSE)</f>
        <v>46203</v>
      </c>
      <c r="R247" t="str">
        <v>C21</v>
      </c>
      <c r="S247" t="str">
        <v>1000000634 RAIZEN ARGENTINA S.A.U.</v>
      </c>
      <c r="T247" t="str">
        <f>VLOOKUP(P247,Hoja2!C:D,2,FALSE)</f>
        <v>JPUPULIN</v>
      </c>
    </row>
    <row r="248" spans="1:20" x14ac:dyDescent="0.3">
      <c r="A248" s="2" t="s">
        <v>14</v>
      </c>
      <c r="B248" s="3" t="s">
        <v>14</v>
      </c>
      <c r="C248" s="3" t="s">
        <v>257</v>
      </c>
      <c r="D248" s="3" t="s">
        <v>14</v>
      </c>
      <c r="E248" s="3" t="s">
        <v>96</v>
      </c>
      <c r="F248" s="4">
        <v>46177</v>
      </c>
      <c r="G248" s="3" t="s">
        <v>43</v>
      </c>
      <c r="H248" s="6">
        <v>-9382380</v>
      </c>
      <c r="I248" s="3" t="s">
        <v>16</v>
      </c>
      <c r="J248" s="3" t="s">
        <v>14</v>
      </c>
      <c r="K248" s="3" t="s">
        <v>14</v>
      </c>
      <c r="L248" s="3" t="s">
        <v>1269</v>
      </c>
      <c r="M248" s="4">
        <v>46177</v>
      </c>
      <c r="N248" s="3" t="s">
        <v>139</v>
      </c>
      <c r="O248" s="3" t="s">
        <v>33</v>
      </c>
      <c r="P248" t="str">
        <f t="shared" si="3"/>
        <v>450012003810</v>
      </c>
      <c r="Q248" s="7" cm="1">
        <f t="array" ref="Q248:S248">VLOOKUP(P248,Hoja1!C:F,{2,3,4},FALSE)</f>
        <v>46203</v>
      </c>
      <c r="R248" t="str">
        <v>C21</v>
      </c>
      <c r="S248" t="str">
        <v>1000000634 RAIZEN ARGENTINA S.A.U.</v>
      </c>
      <c r="T248" t="str">
        <f>VLOOKUP(P248,Hoja2!C:D,2,FALSE)</f>
        <v>RMIR</v>
      </c>
    </row>
    <row r="249" spans="1:20" x14ac:dyDescent="0.3">
      <c r="A249" s="2" t="s">
        <v>14</v>
      </c>
      <c r="B249" s="3" t="s">
        <v>14</v>
      </c>
      <c r="C249" s="3" t="s">
        <v>257</v>
      </c>
      <c r="D249" s="3" t="s">
        <v>14</v>
      </c>
      <c r="E249" s="3" t="s">
        <v>96</v>
      </c>
      <c r="F249" s="4">
        <v>46177</v>
      </c>
      <c r="G249" s="3" t="s">
        <v>43</v>
      </c>
      <c r="H249" s="6">
        <v>-1069320</v>
      </c>
      <c r="I249" s="3" t="s">
        <v>16</v>
      </c>
      <c r="J249" s="3" t="s">
        <v>14</v>
      </c>
      <c r="K249" s="3" t="s">
        <v>14</v>
      </c>
      <c r="L249" s="3" t="s">
        <v>1269</v>
      </c>
      <c r="M249" s="4">
        <v>46177</v>
      </c>
      <c r="N249" s="3" t="s">
        <v>139</v>
      </c>
      <c r="O249" s="3" t="s">
        <v>33</v>
      </c>
      <c r="P249" t="str">
        <f t="shared" si="3"/>
        <v>450012003810</v>
      </c>
      <c r="Q249" s="7" cm="1">
        <f t="array" ref="Q249:S249">VLOOKUP(P249,Hoja1!C:F,{2,3,4},FALSE)</f>
        <v>46203</v>
      </c>
      <c r="R249" t="str">
        <v>C21</v>
      </c>
      <c r="S249" t="str">
        <v>1000000634 RAIZEN ARGENTINA S.A.U.</v>
      </c>
      <c r="T249" t="str">
        <f>VLOOKUP(P249,Hoja2!C:D,2,FALSE)</f>
        <v>RMIR</v>
      </c>
    </row>
    <row r="250" spans="1:20" x14ac:dyDescent="0.3">
      <c r="A250" s="2" t="s">
        <v>14</v>
      </c>
      <c r="B250" s="3" t="s">
        <v>14</v>
      </c>
      <c r="C250" s="3" t="s">
        <v>258</v>
      </c>
      <c r="D250" s="3" t="s">
        <v>14</v>
      </c>
      <c r="E250" s="3" t="s">
        <v>96</v>
      </c>
      <c r="F250" s="4">
        <v>46183</v>
      </c>
      <c r="G250" s="3" t="s">
        <v>43</v>
      </c>
      <c r="H250" s="6">
        <v>-9382380</v>
      </c>
      <c r="I250" s="3" t="s">
        <v>16</v>
      </c>
      <c r="J250" s="3" t="s">
        <v>14</v>
      </c>
      <c r="K250" s="3" t="s">
        <v>14</v>
      </c>
      <c r="L250" s="3" t="s">
        <v>1269</v>
      </c>
      <c r="M250" s="4">
        <v>46183</v>
      </c>
      <c r="N250" s="3" t="s">
        <v>139</v>
      </c>
      <c r="O250" s="3" t="s">
        <v>33</v>
      </c>
      <c r="P250" t="str">
        <f t="shared" si="3"/>
        <v>450012003810</v>
      </c>
      <c r="Q250" s="7" cm="1">
        <f t="array" ref="Q250:S250">VLOOKUP(P250,Hoja1!C:F,{2,3,4},FALSE)</f>
        <v>46203</v>
      </c>
      <c r="R250" t="str">
        <v>C21</v>
      </c>
      <c r="S250" t="str">
        <v>1000000634 RAIZEN ARGENTINA S.A.U.</v>
      </c>
      <c r="T250" t="str">
        <f>VLOOKUP(P250,Hoja2!C:D,2,FALSE)</f>
        <v>RMIR</v>
      </c>
    </row>
    <row r="251" spans="1:20" x14ac:dyDescent="0.3">
      <c r="A251" s="2" t="s">
        <v>14</v>
      </c>
      <c r="B251" s="3" t="s">
        <v>14</v>
      </c>
      <c r="C251" s="3" t="s">
        <v>258</v>
      </c>
      <c r="D251" s="3" t="s">
        <v>14</v>
      </c>
      <c r="E251" s="3" t="s">
        <v>96</v>
      </c>
      <c r="F251" s="4">
        <v>46183</v>
      </c>
      <c r="G251" s="3" t="s">
        <v>43</v>
      </c>
      <c r="H251" s="6">
        <v>-1069320</v>
      </c>
      <c r="I251" s="3" t="s">
        <v>16</v>
      </c>
      <c r="J251" s="3" t="s">
        <v>14</v>
      </c>
      <c r="K251" s="3" t="s">
        <v>14</v>
      </c>
      <c r="L251" s="3" t="s">
        <v>1269</v>
      </c>
      <c r="M251" s="4">
        <v>46183</v>
      </c>
      <c r="N251" s="3" t="s">
        <v>139</v>
      </c>
      <c r="O251" s="3" t="s">
        <v>33</v>
      </c>
      <c r="P251" t="str">
        <f t="shared" si="3"/>
        <v>450012003810</v>
      </c>
      <c r="Q251" s="7" cm="1">
        <f t="array" ref="Q251:S251">VLOOKUP(P251,Hoja1!C:F,{2,3,4},FALSE)</f>
        <v>46203</v>
      </c>
      <c r="R251" t="str">
        <v>C21</v>
      </c>
      <c r="S251" t="str">
        <v>1000000634 RAIZEN ARGENTINA S.A.U.</v>
      </c>
      <c r="T251" t="str">
        <f>VLOOKUP(P251,Hoja2!C:D,2,FALSE)</f>
        <v>RMIR</v>
      </c>
    </row>
    <row r="252" spans="1:20" x14ac:dyDescent="0.3">
      <c r="A252" s="2" t="s">
        <v>14</v>
      </c>
      <c r="B252" s="3" t="s">
        <v>14</v>
      </c>
      <c r="C252" s="3" t="s">
        <v>259</v>
      </c>
      <c r="D252" s="3" t="s">
        <v>14</v>
      </c>
      <c r="E252" s="3" t="s">
        <v>96</v>
      </c>
      <c r="F252" s="4">
        <v>46183</v>
      </c>
      <c r="G252" s="3" t="s">
        <v>43</v>
      </c>
      <c r="H252" s="6">
        <v>-5736461.6399999997</v>
      </c>
      <c r="I252" s="3" t="s">
        <v>16</v>
      </c>
      <c r="J252" s="3" t="s">
        <v>14</v>
      </c>
      <c r="K252" s="3" t="s">
        <v>14</v>
      </c>
      <c r="L252" s="3" t="s">
        <v>260</v>
      </c>
      <c r="M252" s="4">
        <v>46183</v>
      </c>
      <c r="N252" s="3" t="s">
        <v>261</v>
      </c>
      <c r="O252" s="3" t="s">
        <v>33</v>
      </c>
      <c r="P252" t="str">
        <f t="shared" si="3"/>
        <v>450012665410</v>
      </c>
      <c r="Q252" s="7" cm="1">
        <f t="array" ref="Q252:S252">VLOOKUP(P252,Hoja1!C:F,{2,3,4},FALSE)</f>
        <v>46202</v>
      </c>
      <c r="R252" t="str">
        <v>C03</v>
      </c>
      <c r="S252" t="str">
        <v>1000003716 MEI GROUP PTY. LTD.SUC. ARG.</v>
      </c>
      <c r="T252" t="str">
        <f>VLOOKUP(P252,Hoja2!C:D,2,FALSE)</f>
        <v>RPEREZ</v>
      </c>
    </row>
    <row r="253" spans="1:20" x14ac:dyDescent="0.3">
      <c r="A253" s="2" t="s">
        <v>14</v>
      </c>
      <c r="B253" s="3" t="s">
        <v>14</v>
      </c>
      <c r="C253" s="3" t="s">
        <v>262</v>
      </c>
      <c r="D253" s="3" t="s">
        <v>14</v>
      </c>
      <c r="E253" s="3" t="s">
        <v>96</v>
      </c>
      <c r="F253" s="4">
        <v>46184</v>
      </c>
      <c r="G253" s="3" t="s">
        <v>43</v>
      </c>
      <c r="H253" s="6">
        <v>-9382380</v>
      </c>
      <c r="I253" s="3" t="s">
        <v>16</v>
      </c>
      <c r="J253" s="3" t="s">
        <v>14</v>
      </c>
      <c r="K253" s="3" t="s">
        <v>14</v>
      </c>
      <c r="L253" s="3" t="s">
        <v>1269</v>
      </c>
      <c r="M253" s="4">
        <v>46184</v>
      </c>
      <c r="N253" s="3" t="s">
        <v>139</v>
      </c>
      <c r="O253" s="3" t="s">
        <v>33</v>
      </c>
      <c r="P253" t="str">
        <f t="shared" si="3"/>
        <v>450012003810</v>
      </c>
      <c r="Q253" s="7" cm="1">
        <f t="array" ref="Q253:S253">VLOOKUP(P253,Hoja1!C:F,{2,3,4},FALSE)</f>
        <v>46203</v>
      </c>
      <c r="R253" t="str">
        <v>C21</v>
      </c>
      <c r="S253" t="str">
        <v>1000000634 RAIZEN ARGENTINA S.A.U.</v>
      </c>
      <c r="T253" t="str">
        <f>VLOOKUP(P253,Hoja2!C:D,2,FALSE)</f>
        <v>RMIR</v>
      </c>
    </row>
    <row r="254" spans="1:20" x14ac:dyDescent="0.3">
      <c r="A254" s="2" t="s">
        <v>14</v>
      </c>
      <c r="B254" s="3" t="s">
        <v>14</v>
      </c>
      <c r="C254" s="3" t="s">
        <v>262</v>
      </c>
      <c r="D254" s="3" t="s">
        <v>14</v>
      </c>
      <c r="E254" s="3" t="s">
        <v>96</v>
      </c>
      <c r="F254" s="4">
        <v>46184</v>
      </c>
      <c r="G254" s="3" t="s">
        <v>43</v>
      </c>
      <c r="H254" s="6">
        <v>-1069320</v>
      </c>
      <c r="I254" s="3" t="s">
        <v>16</v>
      </c>
      <c r="J254" s="3" t="s">
        <v>14</v>
      </c>
      <c r="K254" s="3" t="s">
        <v>14</v>
      </c>
      <c r="L254" s="3" t="s">
        <v>1269</v>
      </c>
      <c r="M254" s="4">
        <v>46184</v>
      </c>
      <c r="N254" s="3" t="s">
        <v>139</v>
      </c>
      <c r="O254" s="3" t="s">
        <v>33</v>
      </c>
      <c r="P254" t="str">
        <f t="shared" si="3"/>
        <v>450012003810</v>
      </c>
      <c r="Q254" s="7" cm="1">
        <f t="array" ref="Q254:S254">VLOOKUP(P254,Hoja1!C:F,{2,3,4},FALSE)</f>
        <v>46203</v>
      </c>
      <c r="R254" t="str">
        <v>C21</v>
      </c>
      <c r="S254" t="str">
        <v>1000000634 RAIZEN ARGENTINA S.A.U.</v>
      </c>
      <c r="T254" t="str">
        <f>VLOOKUP(P254,Hoja2!C:D,2,FALSE)</f>
        <v>RMIR</v>
      </c>
    </row>
    <row r="255" spans="1:20" x14ac:dyDescent="0.3">
      <c r="A255" s="2" t="s">
        <v>14</v>
      </c>
      <c r="B255" s="3" t="s">
        <v>14</v>
      </c>
      <c r="C255" s="3" t="s">
        <v>263</v>
      </c>
      <c r="D255" s="3" t="s">
        <v>14</v>
      </c>
      <c r="E255" s="3" t="s">
        <v>96</v>
      </c>
      <c r="F255" s="4">
        <v>46185</v>
      </c>
      <c r="G255" s="3" t="s">
        <v>43</v>
      </c>
      <c r="H255" s="6">
        <v>-446800</v>
      </c>
      <c r="I255" s="3" t="s">
        <v>16</v>
      </c>
      <c r="J255" s="3" t="s">
        <v>14</v>
      </c>
      <c r="K255" s="3" t="s">
        <v>14</v>
      </c>
      <c r="L255" s="3" t="s">
        <v>97</v>
      </c>
      <c r="M255" s="4">
        <v>46185</v>
      </c>
      <c r="N255" s="3" t="s">
        <v>163</v>
      </c>
      <c r="O255" s="3" t="s">
        <v>33</v>
      </c>
      <c r="P255" t="str">
        <f t="shared" si="3"/>
        <v>450011911710</v>
      </c>
      <c r="Q255" s="7" cm="1">
        <f t="array" ref="Q255:S255">VLOOKUP(P255,Hoja1!C:F,{2,3,4},FALSE)</f>
        <v>46245</v>
      </c>
      <c r="R255" t="str">
        <v>C21</v>
      </c>
      <c r="S255" t="str">
        <v>1000001020 COMBUSTIBLES BARCELO S.R.L.</v>
      </c>
      <c r="T255" t="str">
        <f>VLOOKUP(P255,Hoja2!C:D,2,FALSE)</f>
        <v>RMIR</v>
      </c>
    </row>
    <row r="256" spans="1:20" x14ac:dyDescent="0.3">
      <c r="A256" s="2" t="s">
        <v>14</v>
      </c>
      <c r="B256" s="3" t="s">
        <v>14</v>
      </c>
      <c r="C256" s="3" t="s">
        <v>263</v>
      </c>
      <c r="D256" s="3" t="s">
        <v>14</v>
      </c>
      <c r="E256" s="3" t="s">
        <v>96</v>
      </c>
      <c r="F256" s="4">
        <v>46185</v>
      </c>
      <c r="G256" s="3" t="s">
        <v>43</v>
      </c>
      <c r="H256" s="6">
        <v>-50920</v>
      </c>
      <c r="I256" s="3" t="s">
        <v>16</v>
      </c>
      <c r="J256" s="3" t="s">
        <v>14</v>
      </c>
      <c r="K256" s="3" t="s">
        <v>14</v>
      </c>
      <c r="L256" s="3" t="s">
        <v>97</v>
      </c>
      <c r="M256" s="4">
        <v>46185</v>
      </c>
      <c r="N256" s="3" t="s">
        <v>163</v>
      </c>
      <c r="O256" s="3" t="s">
        <v>33</v>
      </c>
      <c r="P256" t="str">
        <f t="shared" si="3"/>
        <v>450011911710</v>
      </c>
      <c r="Q256" s="7" cm="1">
        <f t="array" ref="Q256:S256">VLOOKUP(P256,Hoja1!C:F,{2,3,4},FALSE)</f>
        <v>46245</v>
      </c>
      <c r="R256" t="str">
        <v>C21</v>
      </c>
      <c r="S256" t="str">
        <v>1000001020 COMBUSTIBLES BARCELO S.R.L.</v>
      </c>
      <c r="T256" t="str">
        <f>VLOOKUP(P256,Hoja2!C:D,2,FALSE)</f>
        <v>RMIR</v>
      </c>
    </row>
    <row r="257" spans="1:20" x14ac:dyDescent="0.3">
      <c r="A257" s="2" t="s">
        <v>14</v>
      </c>
      <c r="B257" s="3" t="s">
        <v>14</v>
      </c>
      <c r="C257" s="3" t="s">
        <v>264</v>
      </c>
      <c r="D257" s="3" t="s">
        <v>14</v>
      </c>
      <c r="E257" s="3" t="s">
        <v>96</v>
      </c>
      <c r="F257" s="4">
        <v>46185</v>
      </c>
      <c r="G257" s="3" t="s">
        <v>43</v>
      </c>
      <c r="H257" s="6">
        <v>-12000</v>
      </c>
      <c r="I257" s="3" t="s">
        <v>16</v>
      </c>
      <c r="J257" s="3" t="s">
        <v>14</v>
      </c>
      <c r="K257" s="3" t="s">
        <v>14</v>
      </c>
      <c r="L257" s="3" t="s">
        <v>265</v>
      </c>
      <c r="M257" s="4">
        <v>46185</v>
      </c>
      <c r="N257" s="3" t="s">
        <v>266</v>
      </c>
      <c r="O257" s="3" t="s">
        <v>20</v>
      </c>
      <c r="P257" t="str">
        <f t="shared" si="3"/>
        <v>450012149820</v>
      </c>
      <c r="Q257" s="7" cm="1">
        <f t="array" ref="Q257:S257">VLOOKUP(P257,Hoja1!C:F,{2,3,4},FALSE)</f>
        <v>46099</v>
      </c>
      <c r="R257" t="str">
        <v>EFO</v>
      </c>
      <c r="S257" t="str">
        <v>1000010126 GINER CARLOS ALBERTO</v>
      </c>
      <c r="T257" t="str">
        <f>VLOOKUP(P257,Hoja2!C:D,2,FALSE)</f>
        <v>GROSES</v>
      </c>
    </row>
    <row r="258" spans="1:20" x14ac:dyDescent="0.3">
      <c r="A258" s="2" t="s">
        <v>14</v>
      </c>
      <c r="B258" s="3" t="s">
        <v>14</v>
      </c>
      <c r="C258" s="3" t="s">
        <v>267</v>
      </c>
      <c r="D258" s="3" t="s">
        <v>14</v>
      </c>
      <c r="E258" s="3" t="s">
        <v>96</v>
      </c>
      <c r="F258" s="4">
        <v>46185</v>
      </c>
      <c r="G258" s="3" t="s">
        <v>43</v>
      </c>
      <c r="H258" s="6">
        <v>-343400</v>
      </c>
      <c r="I258" s="3" t="s">
        <v>16</v>
      </c>
      <c r="J258" s="3" t="s">
        <v>14</v>
      </c>
      <c r="K258" s="3" t="s">
        <v>14</v>
      </c>
      <c r="L258" s="3" t="s">
        <v>268</v>
      </c>
      <c r="M258" s="4">
        <v>46185</v>
      </c>
      <c r="N258" s="3" t="s">
        <v>269</v>
      </c>
      <c r="O258" s="3" t="s">
        <v>33</v>
      </c>
      <c r="P258" t="str">
        <f t="shared" si="3"/>
        <v>450012126010</v>
      </c>
      <c r="Q258" s="7" cm="1">
        <f t="array" ref="Q258:S258">VLOOKUP(P258,Hoja1!C:F,{2,3,4},FALSE)</f>
        <v>46097</v>
      </c>
      <c r="R258" t="str">
        <v>EFO</v>
      </c>
      <c r="S258" t="str">
        <v>1000001014 ANDRE FRENO S.R.L.</v>
      </c>
      <c r="T258" t="str">
        <f>VLOOKUP(P258,Hoja2!C:D,2,FALSE)</f>
        <v>GROSES</v>
      </c>
    </row>
    <row r="259" spans="1:20" x14ac:dyDescent="0.3">
      <c r="A259" s="2" t="s">
        <v>14</v>
      </c>
      <c r="B259" s="3" t="s">
        <v>14</v>
      </c>
      <c r="C259" s="3" t="s">
        <v>270</v>
      </c>
      <c r="D259" s="3" t="s">
        <v>14</v>
      </c>
      <c r="E259" s="3" t="s">
        <v>96</v>
      </c>
      <c r="F259" s="4">
        <v>46185</v>
      </c>
      <c r="G259" s="3" t="s">
        <v>43</v>
      </c>
      <c r="H259" s="6">
        <v>-1428</v>
      </c>
      <c r="I259" s="3" t="s">
        <v>16</v>
      </c>
      <c r="J259" s="3" t="s">
        <v>14</v>
      </c>
      <c r="K259" s="3" t="s">
        <v>14</v>
      </c>
      <c r="L259" s="3" t="s">
        <v>271</v>
      </c>
      <c r="M259" s="4">
        <v>46185</v>
      </c>
      <c r="N259" s="3" t="s">
        <v>272</v>
      </c>
      <c r="O259" s="3" t="s">
        <v>33</v>
      </c>
      <c r="P259" t="str">
        <f t="shared" ref="P259:P322" si="4">_xlfn.CONCAT(N259:O259)</f>
        <v>450012336910</v>
      </c>
      <c r="Q259" s="7" cm="1">
        <f t="array" ref="Q259:S259">VLOOKUP(P259,Hoja1!C:F,{2,3,4},FALSE)</f>
        <v>46121</v>
      </c>
      <c r="R259" t="str">
        <v>EFO</v>
      </c>
      <c r="S259" t="str">
        <v>1000002978 LIRUSSI ARAGON FERNANDO ARIEL</v>
      </c>
      <c r="T259" t="str">
        <f>VLOOKUP(P259,Hoja2!C:D,2,FALSE)</f>
        <v>GROSES</v>
      </c>
    </row>
    <row r="260" spans="1:20" x14ac:dyDescent="0.3">
      <c r="A260" s="2" t="s">
        <v>14</v>
      </c>
      <c r="B260" s="3" t="s">
        <v>14</v>
      </c>
      <c r="C260" s="3" t="s">
        <v>273</v>
      </c>
      <c r="D260" s="3" t="s">
        <v>14</v>
      </c>
      <c r="E260" s="3" t="s">
        <v>96</v>
      </c>
      <c r="F260" s="4">
        <v>46185</v>
      </c>
      <c r="G260" s="3" t="s">
        <v>43</v>
      </c>
      <c r="H260" s="6">
        <v>-742560</v>
      </c>
      <c r="I260" s="3" t="s">
        <v>16</v>
      </c>
      <c r="J260" s="3" t="s">
        <v>14</v>
      </c>
      <c r="K260" s="3" t="s">
        <v>14</v>
      </c>
      <c r="L260" s="3" t="s">
        <v>271</v>
      </c>
      <c r="M260" s="4">
        <v>46185</v>
      </c>
      <c r="N260" s="3" t="s">
        <v>274</v>
      </c>
      <c r="O260" s="3" t="s">
        <v>33</v>
      </c>
      <c r="P260" t="str">
        <f t="shared" si="4"/>
        <v>450011551610</v>
      </c>
      <c r="Q260" s="7" cm="1">
        <f t="array" ref="Q260:S260">VLOOKUP(P260,Hoja1!C:F,{2,3,4},FALSE)</f>
        <v>46027</v>
      </c>
      <c r="R260" t="str">
        <v>EFO</v>
      </c>
      <c r="S260" t="str">
        <v>1000002978 LIRUSSI ARAGON FERNANDO ARIEL</v>
      </c>
      <c r="T260" t="str">
        <f>VLOOKUP(P260,Hoja2!C:D,2,FALSE)</f>
        <v>GROSES</v>
      </c>
    </row>
    <row r="261" spans="1:20" x14ac:dyDescent="0.3">
      <c r="A261" s="2" t="s">
        <v>14</v>
      </c>
      <c r="B261" s="3" t="s">
        <v>14</v>
      </c>
      <c r="C261" s="3" t="s">
        <v>275</v>
      </c>
      <c r="D261" s="3" t="s">
        <v>14</v>
      </c>
      <c r="E261" s="3" t="s">
        <v>96</v>
      </c>
      <c r="F261" s="4">
        <v>46185</v>
      </c>
      <c r="G261" s="3" t="s">
        <v>43</v>
      </c>
      <c r="H261" s="6">
        <v>-13527.4</v>
      </c>
      <c r="I261" s="3" t="s">
        <v>16</v>
      </c>
      <c r="J261" s="3" t="s">
        <v>14</v>
      </c>
      <c r="K261" s="3" t="s">
        <v>14</v>
      </c>
      <c r="L261" s="3" t="s">
        <v>70</v>
      </c>
      <c r="M261" s="4">
        <v>46185</v>
      </c>
      <c r="N261" s="3" t="s">
        <v>276</v>
      </c>
      <c r="O261" s="3" t="s">
        <v>20</v>
      </c>
      <c r="P261" t="str">
        <f t="shared" si="4"/>
        <v>450011608220</v>
      </c>
      <c r="Q261" s="7" cm="1">
        <f t="array" ref="Q261:S261">VLOOKUP(P261,Hoja1!C:F,{2,3,4},FALSE)</f>
        <v>46031</v>
      </c>
      <c r="R261" t="str">
        <v>EFO</v>
      </c>
      <c r="S261" t="str">
        <v>1000003373 MEYNIEL S.R.L.</v>
      </c>
      <c r="T261" t="str">
        <f>VLOOKUP(P261,Hoja2!C:D,2,FALSE)</f>
        <v>GROSES</v>
      </c>
    </row>
    <row r="262" spans="1:20" x14ac:dyDescent="0.3">
      <c r="A262" s="2" t="s">
        <v>14</v>
      </c>
      <c r="B262" s="3" t="s">
        <v>14</v>
      </c>
      <c r="C262" s="3" t="s">
        <v>275</v>
      </c>
      <c r="D262" s="3" t="s">
        <v>14</v>
      </c>
      <c r="E262" s="3" t="s">
        <v>96</v>
      </c>
      <c r="F262" s="4">
        <v>46185</v>
      </c>
      <c r="G262" s="3" t="s">
        <v>43</v>
      </c>
      <c r="H262" s="6">
        <v>-16327</v>
      </c>
      <c r="I262" s="3" t="s">
        <v>16</v>
      </c>
      <c r="J262" s="3" t="s">
        <v>14</v>
      </c>
      <c r="K262" s="3" t="s">
        <v>14</v>
      </c>
      <c r="L262" s="3" t="s">
        <v>70</v>
      </c>
      <c r="M262" s="4">
        <v>46185</v>
      </c>
      <c r="N262" s="3" t="s">
        <v>276</v>
      </c>
      <c r="O262" s="3" t="s">
        <v>21</v>
      </c>
      <c r="P262" t="str">
        <f t="shared" si="4"/>
        <v>450011608230</v>
      </c>
      <c r="Q262" s="7" cm="1">
        <f t="array" ref="Q262:S262">VLOOKUP(P262,Hoja1!C:F,{2,3,4},FALSE)</f>
        <v>46031</v>
      </c>
      <c r="R262" t="str">
        <v>EFO</v>
      </c>
      <c r="S262" t="str">
        <v>1000003373 MEYNIEL S.R.L.</v>
      </c>
      <c r="T262" t="str">
        <f>VLOOKUP(P262,Hoja2!C:D,2,FALSE)</f>
        <v>GROSES</v>
      </c>
    </row>
    <row r="263" spans="1:20" x14ac:dyDescent="0.3">
      <c r="A263" s="2" t="s">
        <v>14</v>
      </c>
      <c r="B263" s="3" t="s">
        <v>14</v>
      </c>
      <c r="C263" s="3" t="s">
        <v>277</v>
      </c>
      <c r="D263" s="3" t="s">
        <v>14</v>
      </c>
      <c r="E263" s="3" t="s">
        <v>96</v>
      </c>
      <c r="F263" s="4">
        <v>46185</v>
      </c>
      <c r="G263" s="3" t="s">
        <v>43</v>
      </c>
      <c r="H263" s="6">
        <v>-1296866.76</v>
      </c>
      <c r="I263" s="3" t="s">
        <v>16</v>
      </c>
      <c r="J263" s="3" t="s">
        <v>14</v>
      </c>
      <c r="K263" s="3" t="s">
        <v>14</v>
      </c>
      <c r="L263" s="3" t="s">
        <v>278</v>
      </c>
      <c r="M263" s="4">
        <v>46185</v>
      </c>
      <c r="N263" s="3" t="s">
        <v>279</v>
      </c>
      <c r="O263" s="3" t="s">
        <v>33</v>
      </c>
      <c r="P263" t="str">
        <f t="shared" si="4"/>
        <v>450011435610</v>
      </c>
      <c r="Q263" s="7" cm="1">
        <f t="array" ref="Q263:S263">VLOOKUP(P263,Hoja1!C:F,{2,3,4},FALSE)</f>
        <v>46203</v>
      </c>
      <c r="R263" t="str">
        <v>C03</v>
      </c>
      <c r="S263" t="str">
        <v>2000000032 ANNCAR EQUIPMENT &amp; PARTS</v>
      </c>
      <c r="T263" t="str">
        <f>VLOOKUP(P263,Hoja2!C:D,2,FALSE)</f>
        <v>EFUNES</v>
      </c>
    </row>
    <row r="264" spans="1:20" x14ac:dyDescent="0.3">
      <c r="A264" s="2" t="s">
        <v>14</v>
      </c>
      <c r="B264" s="3" t="s">
        <v>14</v>
      </c>
      <c r="C264" s="3" t="s">
        <v>280</v>
      </c>
      <c r="D264" s="3" t="s">
        <v>14</v>
      </c>
      <c r="E264" s="3" t="s">
        <v>96</v>
      </c>
      <c r="F264" s="4">
        <v>46189</v>
      </c>
      <c r="G264" s="3" t="s">
        <v>43</v>
      </c>
      <c r="H264" s="6">
        <v>-9605770</v>
      </c>
      <c r="I264" s="3" t="s">
        <v>16</v>
      </c>
      <c r="J264" s="3" t="s">
        <v>14</v>
      </c>
      <c r="K264" s="3" t="s">
        <v>14</v>
      </c>
      <c r="L264" s="3" t="s">
        <v>1269</v>
      </c>
      <c r="M264" s="4">
        <v>46189</v>
      </c>
      <c r="N264" s="3" t="s">
        <v>139</v>
      </c>
      <c r="O264" s="3" t="s">
        <v>33</v>
      </c>
      <c r="P264" t="str">
        <f t="shared" si="4"/>
        <v>450012003810</v>
      </c>
      <c r="Q264" s="7" cm="1">
        <f t="array" ref="Q264:S264">VLOOKUP(P264,Hoja1!C:F,{2,3,4},FALSE)</f>
        <v>46203</v>
      </c>
      <c r="R264" t="str">
        <v>C21</v>
      </c>
      <c r="S264" t="str">
        <v>1000000634 RAIZEN ARGENTINA S.A.U.</v>
      </c>
      <c r="T264" t="str">
        <f>VLOOKUP(P264,Hoja2!C:D,2,FALSE)</f>
        <v>RMIR</v>
      </c>
    </row>
    <row r="265" spans="1:20" x14ac:dyDescent="0.3">
      <c r="A265" s="2" t="s">
        <v>14</v>
      </c>
      <c r="B265" s="3" t="s">
        <v>14</v>
      </c>
      <c r="C265" s="3" t="s">
        <v>280</v>
      </c>
      <c r="D265" s="3" t="s">
        <v>14</v>
      </c>
      <c r="E265" s="3" t="s">
        <v>96</v>
      </c>
      <c r="F265" s="4">
        <v>46189</v>
      </c>
      <c r="G265" s="3" t="s">
        <v>43</v>
      </c>
      <c r="H265" s="6">
        <v>-1094780</v>
      </c>
      <c r="I265" s="3" t="s">
        <v>16</v>
      </c>
      <c r="J265" s="3" t="s">
        <v>14</v>
      </c>
      <c r="K265" s="3" t="s">
        <v>14</v>
      </c>
      <c r="L265" s="3" t="s">
        <v>1269</v>
      </c>
      <c r="M265" s="4">
        <v>46189</v>
      </c>
      <c r="N265" s="3" t="s">
        <v>139</v>
      </c>
      <c r="O265" s="3" t="s">
        <v>33</v>
      </c>
      <c r="P265" t="str">
        <f t="shared" si="4"/>
        <v>450012003810</v>
      </c>
      <c r="Q265" s="7" cm="1">
        <f t="array" ref="Q265:S265">VLOOKUP(P265,Hoja1!C:F,{2,3,4},FALSE)</f>
        <v>46203</v>
      </c>
      <c r="R265" t="str">
        <v>C21</v>
      </c>
      <c r="S265" t="str">
        <v>1000000634 RAIZEN ARGENTINA S.A.U.</v>
      </c>
      <c r="T265" t="str">
        <f>VLOOKUP(P265,Hoja2!C:D,2,FALSE)</f>
        <v>RMIR</v>
      </c>
    </row>
    <row r="266" spans="1:20" x14ac:dyDescent="0.3">
      <c r="A266" s="2" t="s">
        <v>14</v>
      </c>
      <c r="B266" s="3" t="s">
        <v>14</v>
      </c>
      <c r="C266" s="3" t="s">
        <v>281</v>
      </c>
      <c r="D266" s="3" t="s">
        <v>14</v>
      </c>
      <c r="E266" s="3" t="s">
        <v>96</v>
      </c>
      <c r="F266" s="4">
        <v>46191</v>
      </c>
      <c r="G266" s="3" t="s">
        <v>43</v>
      </c>
      <c r="H266" s="6">
        <v>-9605770</v>
      </c>
      <c r="I266" s="3" t="s">
        <v>16</v>
      </c>
      <c r="J266" s="3" t="s">
        <v>14</v>
      </c>
      <c r="K266" s="3" t="s">
        <v>14</v>
      </c>
      <c r="L266" s="3" t="s">
        <v>1269</v>
      </c>
      <c r="M266" s="4">
        <v>46191</v>
      </c>
      <c r="N266" s="3" t="s">
        <v>139</v>
      </c>
      <c r="O266" s="3" t="s">
        <v>33</v>
      </c>
      <c r="P266" t="str">
        <f t="shared" si="4"/>
        <v>450012003810</v>
      </c>
      <c r="Q266" s="7" cm="1">
        <f t="array" ref="Q266:S266">VLOOKUP(P266,Hoja1!C:F,{2,3,4},FALSE)</f>
        <v>46203</v>
      </c>
      <c r="R266" t="str">
        <v>C21</v>
      </c>
      <c r="S266" t="str">
        <v>1000000634 RAIZEN ARGENTINA S.A.U.</v>
      </c>
      <c r="T266" t="str">
        <f>VLOOKUP(P266,Hoja2!C:D,2,FALSE)</f>
        <v>RMIR</v>
      </c>
    </row>
    <row r="267" spans="1:20" x14ac:dyDescent="0.3">
      <c r="A267" s="2" t="s">
        <v>14</v>
      </c>
      <c r="B267" s="3" t="s">
        <v>14</v>
      </c>
      <c r="C267" s="3" t="s">
        <v>281</v>
      </c>
      <c r="D267" s="3" t="s">
        <v>14</v>
      </c>
      <c r="E267" s="3" t="s">
        <v>96</v>
      </c>
      <c r="F267" s="4">
        <v>46191</v>
      </c>
      <c r="G267" s="3" t="s">
        <v>43</v>
      </c>
      <c r="H267" s="6">
        <v>-1094780</v>
      </c>
      <c r="I267" s="3" t="s">
        <v>16</v>
      </c>
      <c r="J267" s="3" t="s">
        <v>14</v>
      </c>
      <c r="K267" s="3" t="s">
        <v>14</v>
      </c>
      <c r="L267" s="3" t="s">
        <v>1269</v>
      </c>
      <c r="M267" s="4">
        <v>46191</v>
      </c>
      <c r="N267" s="3" t="s">
        <v>139</v>
      </c>
      <c r="O267" s="3" t="s">
        <v>33</v>
      </c>
      <c r="P267" t="str">
        <f t="shared" si="4"/>
        <v>450012003810</v>
      </c>
      <c r="Q267" s="7" cm="1">
        <f t="array" ref="Q267:S267">VLOOKUP(P267,Hoja1!C:F,{2,3,4},FALSE)</f>
        <v>46203</v>
      </c>
      <c r="R267" t="str">
        <v>C21</v>
      </c>
      <c r="S267" t="str">
        <v>1000000634 RAIZEN ARGENTINA S.A.U.</v>
      </c>
      <c r="T267" t="str">
        <f>VLOOKUP(P267,Hoja2!C:D,2,FALSE)</f>
        <v>RMIR</v>
      </c>
    </row>
    <row r="268" spans="1:20" x14ac:dyDescent="0.3">
      <c r="A268" s="2" t="s">
        <v>14</v>
      </c>
      <c r="B268" s="3" t="s">
        <v>14</v>
      </c>
      <c r="C268" s="3" t="s">
        <v>283</v>
      </c>
      <c r="D268" s="3" t="s">
        <v>14</v>
      </c>
      <c r="E268" s="3" t="s">
        <v>96</v>
      </c>
      <c r="F268" s="4">
        <v>46192</v>
      </c>
      <c r="G268" s="3" t="s">
        <v>43</v>
      </c>
      <c r="H268" s="6">
        <v>-42800</v>
      </c>
      <c r="I268" s="3" t="s">
        <v>16</v>
      </c>
      <c r="J268" s="3" t="s">
        <v>14</v>
      </c>
      <c r="K268" s="3" t="s">
        <v>14</v>
      </c>
      <c r="L268" s="3" t="s">
        <v>284</v>
      </c>
      <c r="M268" s="4">
        <v>46195</v>
      </c>
      <c r="N268" s="3" t="s">
        <v>285</v>
      </c>
      <c r="O268" s="3" t="s">
        <v>33</v>
      </c>
      <c r="P268" t="str">
        <f t="shared" si="4"/>
        <v>450013045310</v>
      </c>
      <c r="Q268" s="7" cm="1">
        <f t="array" ref="Q268:S268">VLOOKUP(P268,Hoja1!C:F,{2,3,4},FALSE)</f>
        <v>46198</v>
      </c>
      <c r="R268" t="str">
        <v>C03</v>
      </c>
      <c r="S268" t="str">
        <v>1000000929 ANTINORO FRANCISCO ERNESTO</v>
      </c>
      <c r="T268" t="str">
        <f>VLOOKUP(P268,Hoja2!C:D,2,FALSE)</f>
        <v>FBERARDO</v>
      </c>
    </row>
    <row r="269" spans="1:20" x14ac:dyDescent="0.3">
      <c r="A269" s="2" t="s">
        <v>14</v>
      </c>
      <c r="B269" s="3" t="s">
        <v>14</v>
      </c>
      <c r="C269" s="3" t="s">
        <v>286</v>
      </c>
      <c r="D269" s="3" t="s">
        <v>14</v>
      </c>
      <c r="E269" s="3" t="s">
        <v>96</v>
      </c>
      <c r="F269" s="4">
        <v>46192</v>
      </c>
      <c r="G269" s="3" t="s">
        <v>43</v>
      </c>
      <c r="H269" s="6">
        <v>-123450</v>
      </c>
      <c r="I269" s="3" t="s">
        <v>16</v>
      </c>
      <c r="J269" s="3" t="s">
        <v>14</v>
      </c>
      <c r="K269" s="3" t="s">
        <v>14</v>
      </c>
      <c r="L269" s="3" t="s">
        <v>284</v>
      </c>
      <c r="M269" s="4">
        <v>46195</v>
      </c>
      <c r="N269" s="3" t="s">
        <v>287</v>
      </c>
      <c r="O269" s="3" t="s">
        <v>33</v>
      </c>
      <c r="P269" t="str">
        <f t="shared" si="4"/>
        <v>450013017110</v>
      </c>
      <c r="Q269" s="7" cm="1">
        <f t="array" ref="Q269:S269">VLOOKUP(P269,Hoja1!C:F,{2,3,4},FALSE)</f>
        <v>46198</v>
      </c>
      <c r="R269" t="str">
        <v>L03</v>
      </c>
      <c r="S269" t="str">
        <v>1000000929 ANTINORO FRANCISCO ERNESTO</v>
      </c>
      <c r="T269" t="str">
        <f>VLOOKUP(P269,Hoja2!C:D,2,FALSE)</f>
        <v>FBERARDO</v>
      </c>
    </row>
    <row r="270" spans="1:20" x14ac:dyDescent="0.3">
      <c r="A270" s="2" t="s">
        <v>14</v>
      </c>
      <c r="B270" s="3" t="s">
        <v>14</v>
      </c>
      <c r="C270" s="3" t="s">
        <v>288</v>
      </c>
      <c r="D270" s="3" t="s">
        <v>14</v>
      </c>
      <c r="E270" s="3" t="s">
        <v>96</v>
      </c>
      <c r="F270" s="4">
        <v>46196</v>
      </c>
      <c r="G270" s="3" t="s">
        <v>43</v>
      </c>
      <c r="H270" s="6">
        <v>-14992.53</v>
      </c>
      <c r="I270" s="3" t="s">
        <v>16</v>
      </c>
      <c r="J270" s="3" t="s">
        <v>14</v>
      </c>
      <c r="K270" s="3" t="s">
        <v>14</v>
      </c>
      <c r="L270" s="3" t="s">
        <v>148</v>
      </c>
      <c r="M270" s="4">
        <v>46196</v>
      </c>
      <c r="N270" s="3" t="s">
        <v>289</v>
      </c>
      <c r="O270" s="3" t="s">
        <v>33</v>
      </c>
      <c r="P270" t="str">
        <f t="shared" si="4"/>
        <v>450012822310</v>
      </c>
      <c r="Q270" s="7" cm="1">
        <f t="array" ref="Q270:S270">VLOOKUP(P270,Hoja1!C:F,{2,3,4},FALSE)</f>
        <v>46203</v>
      </c>
      <c r="R270" t="str">
        <v>C03</v>
      </c>
      <c r="S270" t="str">
        <v>1000000062 FINNING ARGENTINA S.A.</v>
      </c>
      <c r="T270" t="str">
        <f>VLOOKUP(P270,Hoja2!C:D,2,FALSE)</f>
        <v>RPEREZ</v>
      </c>
    </row>
    <row r="271" spans="1:20" x14ac:dyDescent="0.3">
      <c r="A271" s="2" t="s">
        <v>14</v>
      </c>
      <c r="B271" s="3" t="s">
        <v>14</v>
      </c>
      <c r="C271" s="3" t="s">
        <v>288</v>
      </c>
      <c r="D271" s="3" t="s">
        <v>14</v>
      </c>
      <c r="E271" s="3" t="s">
        <v>96</v>
      </c>
      <c r="F271" s="4">
        <v>46196</v>
      </c>
      <c r="G271" s="3" t="s">
        <v>43</v>
      </c>
      <c r="H271" s="6">
        <v>-13331.55</v>
      </c>
      <c r="I271" s="3" t="s">
        <v>16</v>
      </c>
      <c r="J271" s="3" t="s">
        <v>14</v>
      </c>
      <c r="K271" s="3" t="s">
        <v>14</v>
      </c>
      <c r="L271" s="3" t="s">
        <v>148</v>
      </c>
      <c r="M271" s="4">
        <v>46196</v>
      </c>
      <c r="N271" s="3" t="s">
        <v>289</v>
      </c>
      <c r="O271" s="3" t="s">
        <v>20</v>
      </c>
      <c r="P271" t="str">
        <f t="shared" si="4"/>
        <v>450012822320</v>
      </c>
      <c r="Q271" s="7" cm="1">
        <f t="array" ref="Q271:S271">VLOOKUP(P271,Hoja1!C:F,{2,3,4},FALSE)</f>
        <v>46203</v>
      </c>
      <c r="R271" t="str">
        <v>C03</v>
      </c>
      <c r="S271" t="str">
        <v>1000000062 FINNING ARGENTINA S.A.</v>
      </c>
      <c r="T271" t="str">
        <f>VLOOKUP(P271,Hoja2!C:D,2,FALSE)</f>
        <v>RPEREZ</v>
      </c>
    </row>
    <row r="272" spans="1:20" x14ac:dyDescent="0.3">
      <c r="A272" s="2" t="s">
        <v>14</v>
      </c>
      <c r="B272" s="3" t="s">
        <v>14</v>
      </c>
      <c r="C272" s="3" t="s">
        <v>290</v>
      </c>
      <c r="D272" s="3" t="s">
        <v>14</v>
      </c>
      <c r="E272" s="3" t="s">
        <v>96</v>
      </c>
      <c r="F272" s="4">
        <v>46196</v>
      </c>
      <c r="G272" s="3" t="s">
        <v>43</v>
      </c>
      <c r="H272" s="6">
        <v>-10042200</v>
      </c>
      <c r="I272" s="3" t="s">
        <v>16</v>
      </c>
      <c r="J272" s="3" t="s">
        <v>14</v>
      </c>
      <c r="K272" s="3" t="s">
        <v>14</v>
      </c>
      <c r="L272" s="3" t="s">
        <v>1269</v>
      </c>
      <c r="M272" s="4">
        <v>46196</v>
      </c>
      <c r="N272" s="3" t="s">
        <v>291</v>
      </c>
      <c r="O272" s="3" t="s">
        <v>33</v>
      </c>
      <c r="P272" t="str">
        <f t="shared" si="4"/>
        <v>450012941210</v>
      </c>
      <c r="Q272" s="7" cm="1">
        <f t="array" ref="Q272:S272">VLOOKUP(P272,Hoja1!C:F,{2,3,4},FALSE)</f>
        <v>46325</v>
      </c>
      <c r="R272" t="str">
        <v>C21</v>
      </c>
      <c r="S272" t="str">
        <v>1000000634 RAIZEN ARGENTINA S.A.U.</v>
      </c>
      <c r="T272" t="str">
        <f>VLOOKUP(P272,Hoja2!C:D,2,FALSE)</f>
        <v>JPUPULIN</v>
      </c>
    </row>
    <row r="273" spans="1:20" x14ac:dyDescent="0.3">
      <c r="A273" s="2" t="s">
        <v>14</v>
      </c>
      <c r="B273" s="3" t="s">
        <v>14</v>
      </c>
      <c r="C273" s="3" t="s">
        <v>290</v>
      </c>
      <c r="D273" s="3" t="s">
        <v>14</v>
      </c>
      <c r="E273" s="3" t="s">
        <v>96</v>
      </c>
      <c r="F273" s="4">
        <v>46196</v>
      </c>
      <c r="G273" s="3" t="s">
        <v>43</v>
      </c>
      <c r="H273" s="6">
        <v>-1144500</v>
      </c>
      <c r="I273" s="3" t="s">
        <v>16</v>
      </c>
      <c r="J273" s="3" t="s">
        <v>14</v>
      </c>
      <c r="K273" s="3" t="s">
        <v>14</v>
      </c>
      <c r="L273" s="3" t="s">
        <v>1269</v>
      </c>
      <c r="M273" s="4">
        <v>46196</v>
      </c>
      <c r="N273" s="3" t="s">
        <v>291</v>
      </c>
      <c r="O273" s="3" t="s">
        <v>33</v>
      </c>
      <c r="P273" t="str">
        <f t="shared" si="4"/>
        <v>450012941210</v>
      </c>
      <c r="Q273" s="7" cm="1">
        <f t="array" ref="Q273:S273">VLOOKUP(P273,Hoja1!C:F,{2,3,4},FALSE)</f>
        <v>46325</v>
      </c>
      <c r="R273" t="str">
        <v>C21</v>
      </c>
      <c r="S273" t="str">
        <v>1000000634 RAIZEN ARGENTINA S.A.U.</v>
      </c>
      <c r="T273" t="str">
        <f>VLOOKUP(P273,Hoja2!C:D,2,FALSE)</f>
        <v>JPUPULIN</v>
      </c>
    </row>
    <row r="274" spans="1:20" x14ac:dyDescent="0.3">
      <c r="A274" s="2" t="s">
        <v>14</v>
      </c>
      <c r="B274" s="3" t="s">
        <v>14</v>
      </c>
      <c r="C274" s="3" t="s">
        <v>292</v>
      </c>
      <c r="D274" s="3" t="s">
        <v>14</v>
      </c>
      <c r="E274" s="3" t="s">
        <v>96</v>
      </c>
      <c r="F274" s="4">
        <v>46196</v>
      </c>
      <c r="G274" s="3" t="s">
        <v>43</v>
      </c>
      <c r="H274" s="6">
        <v>-1721256.53</v>
      </c>
      <c r="I274" s="3" t="s">
        <v>16</v>
      </c>
      <c r="J274" s="3" t="s">
        <v>14</v>
      </c>
      <c r="K274" s="3" t="s">
        <v>14</v>
      </c>
      <c r="L274" s="3" t="s">
        <v>46</v>
      </c>
      <c r="M274" s="4">
        <v>46196</v>
      </c>
      <c r="N274" s="3" t="s">
        <v>47</v>
      </c>
      <c r="O274" s="3" t="s">
        <v>33</v>
      </c>
      <c r="P274" t="str">
        <f t="shared" si="4"/>
        <v>450012764410</v>
      </c>
      <c r="Q274" s="7" cm="1">
        <f t="array" ref="Q274:S274">VLOOKUP(P274,Hoja1!C:F,{2,3,4},FALSE)</f>
        <v>46203</v>
      </c>
      <c r="R274" t="str">
        <v>C39</v>
      </c>
      <c r="S274" t="str">
        <v>1000001841 AONA SA</v>
      </c>
      <c r="T274" t="str">
        <f>VLOOKUP(P274,Hoja2!C:D,2,FALSE)</f>
        <v>GROSES</v>
      </c>
    </row>
    <row r="275" spans="1:20" x14ac:dyDescent="0.3">
      <c r="A275" s="2" t="s">
        <v>14</v>
      </c>
      <c r="B275" s="3" t="s">
        <v>14</v>
      </c>
      <c r="C275" s="3" t="s">
        <v>293</v>
      </c>
      <c r="D275" s="3" t="s">
        <v>14</v>
      </c>
      <c r="E275" s="3" t="s">
        <v>96</v>
      </c>
      <c r="F275" s="4">
        <v>46196</v>
      </c>
      <c r="G275" s="3" t="s">
        <v>43</v>
      </c>
      <c r="H275" s="6">
        <v>-1792303.02</v>
      </c>
      <c r="I275" s="3" t="s">
        <v>16</v>
      </c>
      <c r="J275" s="3" t="s">
        <v>14</v>
      </c>
      <c r="K275" s="3" t="s">
        <v>14</v>
      </c>
      <c r="L275" s="3" t="s">
        <v>46</v>
      </c>
      <c r="M275" s="4">
        <v>46196</v>
      </c>
      <c r="N275" s="3" t="s">
        <v>49</v>
      </c>
      <c r="O275" s="3" t="s">
        <v>33</v>
      </c>
      <c r="P275" t="str">
        <f t="shared" si="4"/>
        <v>450012764510</v>
      </c>
      <c r="Q275" s="7" cm="1">
        <f t="array" ref="Q275:S275">VLOOKUP(P275,Hoja1!C:F,{2,3,4},FALSE)</f>
        <v>46203</v>
      </c>
      <c r="R275" t="str">
        <v>C39</v>
      </c>
      <c r="S275" t="str">
        <v>1000001841 AONA SA</v>
      </c>
      <c r="T275" t="str">
        <f>VLOOKUP(P275,Hoja2!C:D,2,FALSE)</f>
        <v>GROSES</v>
      </c>
    </row>
    <row r="276" spans="1:20" x14ac:dyDescent="0.3">
      <c r="A276" s="2" t="s">
        <v>14</v>
      </c>
      <c r="B276" s="3" t="s">
        <v>14</v>
      </c>
      <c r="C276" s="3" t="s">
        <v>294</v>
      </c>
      <c r="D276" s="3" t="s">
        <v>14</v>
      </c>
      <c r="E276" s="3" t="s">
        <v>96</v>
      </c>
      <c r="F276" s="4">
        <v>46196</v>
      </c>
      <c r="G276" s="3" t="s">
        <v>43</v>
      </c>
      <c r="H276" s="6">
        <v>-1980220.79</v>
      </c>
      <c r="I276" s="3" t="s">
        <v>16</v>
      </c>
      <c r="J276" s="3" t="s">
        <v>14</v>
      </c>
      <c r="K276" s="3" t="s">
        <v>14</v>
      </c>
      <c r="L276" s="3" t="s">
        <v>46</v>
      </c>
      <c r="M276" s="4">
        <v>46196</v>
      </c>
      <c r="N276" s="3" t="s">
        <v>60</v>
      </c>
      <c r="O276" s="3" t="s">
        <v>33</v>
      </c>
      <c r="P276" t="str">
        <f t="shared" si="4"/>
        <v>450012764610</v>
      </c>
      <c r="Q276" s="7" cm="1">
        <f t="array" ref="Q276:S276">VLOOKUP(P276,Hoja1!C:F,{2,3,4},FALSE)</f>
        <v>46203</v>
      </c>
      <c r="R276" t="str">
        <v>C39</v>
      </c>
      <c r="S276" t="str">
        <v>1000001841 AONA SA</v>
      </c>
      <c r="T276" t="str">
        <f>VLOOKUP(P276,Hoja2!C:D,2,FALSE)</f>
        <v>GROSES</v>
      </c>
    </row>
    <row r="277" spans="1:20" x14ac:dyDescent="0.3">
      <c r="A277" s="2" t="s">
        <v>14</v>
      </c>
      <c r="B277" s="3" t="s">
        <v>14</v>
      </c>
      <c r="C277" s="3" t="s">
        <v>295</v>
      </c>
      <c r="D277" s="3" t="s">
        <v>14</v>
      </c>
      <c r="E277" s="3" t="s">
        <v>96</v>
      </c>
      <c r="F277" s="4">
        <v>46196</v>
      </c>
      <c r="G277" s="3" t="s">
        <v>43</v>
      </c>
      <c r="H277" s="6">
        <v>-12350</v>
      </c>
      <c r="I277" s="3" t="s">
        <v>16</v>
      </c>
      <c r="J277" s="3" t="s">
        <v>14</v>
      </c>
      <c r="K277" s="3" t="s">
        <v>14</v>
      </c>
      <c r="L277" s="3" t="s">
        <v>28</v>
      </c>
      <c r="M277" s="4">
        <v>46196</v>
      </c>
      <c r="N277" s="3" t="s">
        <v>296</v>
      </c>
      <c r="O277" s="3" t="s">
        <v>20</v>
      </c>
      <c r="P277" t="str">
        <f t="shared" si="4"/>
        <v>450011173220</v>
      </c>
      <c r="Q277" s="7" cm="1">
        <f t="array" ref="Q277:S277">VLOOKUP(P277,Hoja1!C:F,{2,3,4},FALSE)</f>
        <v>45971</v>
      </c>
      <c r="R277" t="str">
        <v>EFO</v>
      </c>
      <c r="S277" t="str">
        <v>1000007436 RODRIGUEZ MARTINEZ EMILIO JOAQUIN</v>
      </c>
      <c r="T277" t="str">
        <f>VLOOKUP(P277,Hoja2!C:D,2,FALSE)</f>
        <v>GROSES</v>
      </c>
    </row>
    <row r="278" spans="1:20" x14ac:dyDescent="0.3">
      <c r="A278" s="2" t="s">
        <v>14</v>
      </c>
      <c r="B278" s="3" t="s">
        <v>14</v>
      </c>
      <c r="C278" s="3" t="s">
        <v>295</v>
      </c>
      <c r="D278" s="3" t="s">
        <v>14</v>
      </c>
      <c r="E278" s="3" t="s">
        <v>96</v>
      </c>
      <c r="F278" s="4">
        <v>46196</v>
      </c>
      <c r="G278" s="3" t="s">
        <v>43</v>
      </c>
      <c r="H278" s="6">
        <v>-18500</v>
      </c>
      <c r="I278" s="3" t="s">
        <v>16</v>
      </c>
      <c r="J278" s="3" t="s">
        <v>14</v>
      </c>
      <c r="K278" s="3" t="s">
        <v>14</v>
      </c>
      <c r="L278" s="3" t="s">
        <v>28</v>
      </c>
      <c r="M278" s="4">
        <v>46196</v>
      </c>
      <c r="N278" s="3" t="s">
        <v>296</v>
      </c>
      <c r="O278" s="3" t="s">
        <v>21</v>
      </c>
      <c r="P278" t="str">
        <f t="shared" si="4"/>
        <v>450011173230</v>
      </c>
      <c r="Q278" s="7" cm="1">
        <f t="array" ref="Q278:S278">VLOOKUP(P278,Hoja1!C:F,{2,3,4},FALSE)</f>
        <v>45971</v>
      </c>
      <c r="R278" t="str">
        <v>EFO</v>
      </c>
      <c r="S278" t="str">
        <v>1000007436 RODRIGUEZ MARTINEZ EMILIO JOAQUIN</v>
      </c>
      <c r="T278" t="str">
        <f>VLOOKUP(P278,Hoja2!C:D,2,FALSE)</f>
        <v>GROSES</v>
      </c>
    </row>
    <row r="279" spans="1:20" x14ac:dyDescent="0.3">
      <c r="A279" s="2" t="s">
        <v>14</v>
      </c>
      <c r="B279" s="3" t="s">
        <v>14</v>
      </c>
      <c r="C279" s="3" t="s">
        <v>297</v>
      </c>
      <c r="D279" s="3" t="s">
        <v>14</v>
      </c>
      <c r="E279" s="3" t="s">
        <v>96</v>
      </c>
      <c r="F279" s="4">
        <v>46196</v>
      </c>
      <c r="G279" s="3" t="s">
        <v>43</v>
      </c>
      <c r="H279" s="6">
        <v>-1787.4</v>
      </c>
      <c r="I279" s="3" t="s">
        <v>16</v>
      </c>
      <c r="J279" s="3" t="s">
        <v>14</v>
      </c>
      <c r="K279" s="3" t="s">
        <v>14</v>
      </c>
      <c r="L279" s="3" t="s">
        <v>117</v>
      </c>
      <c r="M279" s="4">
        <v>46196</v>
      </c>
      <c r="N279" s="3" t="s">
        <v>298</v>
      </c>
      <c r="O279" s="3" t="s">
        <v>22</v>
      </c>
      <c r="P279" t="str">
        <f t="shared" si="4"/>
        <v>450011181950</v>
      </c>
      <c r="Q279" s="7" cm="1">
        <f t="array" ref="Q279:S279">VLOOKUP(P279,Hoja1!C:F,{2,3,4},FALSE)</f>
        <v>45974</v>
      </c>
      <c r="R279" t="str">
        <v>EFO</v>
      </c>
      <c r="S279" t="str">
        <v>1000010401 BASUALDO NECCHI MARCOS GABRIEL</v>
      </c>
      <c r="T279" t="str">
        <f>VLOOKUP(P279,Hoja2!C:D,2,FALSE)</f>
        <v>GROSES</v>
      </c>
    </row>
    <row r="280" spans="1:20" x14ac:dyDescent="0.3">
      <c r="A280" s="2" t="s">
        <v>14</v>
      </c>
      <c r="B280" s="3" t="s">
        <v>14</v>
      </c>
      <c r="C280" s="3" t="s">
        <v>297</v>
      </c>
      <c r="D280" s="3" t="s">
        <v>14</v>
      </c>
      <c r="E280" s="3" t="s">
        <v>96</v>
      </c>
      <c r="F280" s="4">
        <v>46196</v>
      </c>
      <c r="G280" s="3" t="s">
        <v>43</v>
      </c>
      <c r="H280" s="6">
        <v>-3195</v>
      </c>
      <c r="I280" s="3" t="s">
        <v>16</v>
      </c>
      <c r="J280" s="3" t="s">
        <v>14</v>
      </c>
      <c r="K280" s="3" t="s">
        <v>14</v>
      </c>
      <c r="L280" s="3" t="s">
        <v>117</v>
      </c>
      <c r="M280" s="4">
        <v>46196</v>
      </c>
      <c r="N280" s="3" t="s">
        <v>298</v>
      </c>
      <c r="O280" s="3" t="s">
        <v>23</v>
      </c>
      <c r="P280" t="str">
        <f t="shared" si="4"/>
        <v>450011181960</v>
      </c>
      <c r="Q280" s="7" cm="1">
        <f t="array" ref="Q280:S280">VLOOKUP(P280,Hoja1!C:F,{2,3,4},FALSE)</f>
        <v>45974</v>
      </c>
      <c r="R280" t="str">
        <v>EFO</v>
      </c>
      <c r="S280" t="str">
        <v>1000010401 BASUALDO NECCHI MARCOS GABRIEL</v>
      </c>
      <c r="T280" t="str">
        <f>VLOOKUP(P280,Hoja2!C:D,2,FALSE)</f>
        <v>GROSES</v>
      </c>
    </row>
    <row r="281" spans="1:20" x14ac:dyDescent="0.3">
      <c r="A281" s="2" t="s">
        <v>14</v>
      </c>
      <c r="B281" s="3" t="s">
        <v>14</v>
      </c>
      <c r="C281" s="3" t="s">
        <v>299</v>
      </c>
      <c r="D281" s="3" t="s">
        <v>14</v>
      </c>
      <c r="E281" s="3" t="s">
        <v>96</v>
      </c>
      <c r="F281" s="4">
        <v>46198</v>
      </c>
      <c r="G281" s="3" t="s">
        <v>43</v>
      </c>
      <c r="H281" s="6">
        <v>-10042200</v>
      </c>
      <c r="I281" s="3" t="s">
        <v>16</v>
      </c>
      <c r="J281" s="3" t="s">
        <v>14</v>
      </c>
      <c r="K281" s="3" t="s">
        <v>14</v>
      </c>
      <c r="L281" s="3" t="s">
        <v>1269</v>
      </c>
      <c r="M281" s="4">
        <v>46198</v>
      </c>
      <c r="N281" s="3" t="s">
        <v>291</v>
      </c>
      <c r="O281" s="3" t="s">
        <v>33</v>
      </c>
      <c r="P281" t="str">
        <f t="shared" si="4"/>
        <v>450012941210</v>
      </c>
      <c r="Q281" s="7" cm="1">
        <f t="array" ref="Q281:S281">VLOOKUP(P281,Hoja1!C:F,{2,3,4},FALSE)</f>
        <v>46325</v>
      </c>
      <c r="R281" t="str">
        <v>C21</v>
      </c>
      <c r="S281" t="str">
        <v>1000000634 RAIZEN ARGENTINA S.A.U.</v>
      </c>
      <c r="T281" t="str">
        <f>VLOOKUP(P281,Hoja2!C:D,2,FALSE)</f>
        <v>JPUPULIN</v>
      </c>
    </row>
    <row r="282" spans="1:20" x14ac:dyDescent="0.3">
      <c r="A282" s="2" t="s">
        <v>14</v>
      </c>
      <c r="B282" s="3" t="s">
        <v>14</v>
      </c>
      <c r="C282" s="3" t="s">
        <v>299</v>
      </c>
      <c r="D282" s="3" t="s">
        <v>14</v>
      </c>
      <c r="E282" s="3" t="s">
        <v>96</v>
      </c>
      <c r="F282" s="4">
        <v>46198</v>
      </c>
      <c r="G282" s="3" t="s">
        <v>43</v>
      </c>
      <c r="H282" s="6">
        <v>-1144500</v>
      </c>
      <c r="I282" s="3" t="s">
        <v>16</v>
      </c>
      <c r="J282" s="3" t="s">
        <v>14</v>
      </c>
      <c r="K282" s="3" t="s">
        <v>14</v>
      </c>
      <c r="L282" s="3" t="s">
        <v>1269</v>
      </c>
      <c r="M282" s="4">
        <v>46198</v>
      </c>
      <c r="N282" s="3" t="s">
        <v>291</v>
      </c>
      <c r="O282" s="3" t="s">
        <v>33</v>
      </c>
      <c r="P282" t="str">
        <f t="shared" si="4"/>
        <v>450012941210</v>
      </c>
      <c r="Q282" s="7" cm="1">
        <f t="array" ref="Q282:S282">VLOOKUP(P282,Hoja1!C:F,{2,3,4},FALSE)</f>
        <v>46325</v>
      </c>
      <c r="R282" t="str">
        <v>C21</v>
      </c>
      <c r="S282" t="str">
        <v>1000000634 RAIZEN ARGENTINA S.A.U.</v>
      </c>
      <c r="T282" t="str">
        <f>VLOOKUP(P282,Hoja2!C:D,2,FALSE)</f>
        <v>JPUPULIN</v>
      </c>
    </row>
    <row r="283" spans="1:20" x14ac:dyDescent="0.3">
      <c r="A283" s="2" t="s">
        <v>14</v>
      </c>
      <c r="B283" s="3" t="s">
        <v>14</v>
      </c>
      <c r="C283" s="3" t="s">
        <v>300</v>
      </c>
      <c r="D283" s="3" t="s">
        <v>14</v>
      </c>
      <c r="E283" s="3" t="s">
        <v>96</v>
      </c>
      <c r="F283" s="4">
        <v>46198</v>
      </c>
      <c r="G283" s="3" t="s">
        <v>43</v>
      </c>
      <c r="H283" s="6">
        <v>-558500</v>
      </c>
      <c r="I283" s="3" t="s">
        <v>16</v>
      </c>
      <c r="J283" s="3" t="s">
        <v>14</v>
      </c>
      <c r="K283" s="3" t="s">
        <v>14</v>
      </c>
      <c r="L283" s="3" t="s">
        <v>97</v>
      </c>
      <c r="M283" s="4">
        <v>46198</v>
      </c>
      <c r="N283" s="3" t="s">
        <v>163</v>
      </c>
      <c r="O283" s="3" t="s">
        <v>33</v>
      </c>
      <c r="P283" t="str">
        <f t="shared" si="4"/>
        <v>450011911710</v>
      </c>
      <c r="Q283" s="7" cm="1">
        <f t="array" ref="Q283:S283">VLOOKUP(P283,Hoja1!C:F,{2,3,4},FALSE)</f>
        <v>46245</v>
      </c>
      <c r="R283" t="str">
        <v>C21</v>
      </c>
      <c r="S283" t="str">
        <v>1000001020 COMBUSTIBLES BARCELO S.R.L.</v>
      </c>
      <c r="T283" t="str">
        <f>VLOOKUP(P283,Hoja2!C:D,2,FALSE)</f>
        <v>RMIR</v>
      </c>
    </row>
    <row r="284" spans="1:20" x14ac:dyDescent="0.3">
      <c r="A284" s="2" t="s">
        <v>14</v>
      </c>
      <c r="B284" s="3" t="s">
        <v>14</v>
      </c>
      <c r="C284" s="3" t="s">
        <v>300</v>
      </c>
      <c r="D284" s="3" t="s">
        <v>14</v>
      </c>
      <c r="E284" s="3" t="s">
        <v>96</v>
      </c>
      <c r="F284" s="4">
        <v>46198</v>
      </c>
      <c r="G284" s="3" t="s">
        <v>43</v>
      </c>
      <c r="H284" s="6">
        <v>-63650</v>
      </c>
      <c r="I284" s="3" t="s">
        <v>16</v>
      </c>
      <c r="J284" s="3" t="s">
        <v>14</v>
      </c>
      <c r="K284" s="3" t="s">
        <v>14</v>
      </c>
      <c r="L284" s="3" t="s">
        <v>97</v>
      </c>
      <c r="M284" s="4">
        <v>46198</v>
      </c>
      <c r="N284" s="3" t="s">
        <v>163</v>
      </c>
      <c r="O284" s="3" t="s">
        <v>33</v>
      </c>
      <c r="P284" t="str">
        <f t="shared" si="4"/>
        <v>450011911710</v>
      </c>
      <c r="Q284" s="7" cm="1">
        <f t="array" ref="Q284:S284">VLOOKUP(P284,Hoja1!C:F,{2,3,4},FALSE)</f>
        <v>46245</v>
      </c>
      <c r="R284" t="str">
        <v>C21</v>
      </c>
      <c r="S284" t="str">
        <v>1000001020 COMBUSTIBLES BARCELO S.R.L.</v>
      </c>
      <c r="T284" t="str">
        <f>VLOOKUP(P284,Hoja2!C:D,2,FALSE)</f>
        <v>RMIR</v>
      </c>
    </row>
    <row r="285" spans="1:20" x14ac:dyDescent="0.3">
      <c r="A285" s="2" t="s">
        <v>14</v>
      </c>
      <c r="B285" s="3" t="s">
        <v>14</v>
      </c>
      <c r="C285" s="3" t="s">
        <v>301</v>
      </c>
      <c r="D285" s="3" t="s">
        <v>14</v>
      </c>
      <c r="E285" s="3" t="s">
        <v>96</v>
      </c>
      <c r="F285" s="4">
        <v>46195</v>
      </c>
      <c r="G285" s="3" t="s">
        <v>43</v>
      </c>
      <c r="H285" s="6">
        <v>-9648</v>
      </c>
      <c r="I285" s="3" t="s">
        <v>16</v>
      </c>
      <c r="J285" s="3" t="s">
        <v>14</v>
      </c>
      <c r="K285" s="3" t="s">
        <v>14</v>
      </c>
      <c r="L285" s="3" t="s">
        <v>284</v>
      </c>
      <c r="M285" s="4">
        <v>46198</v>
      </c>
      <c r="N285" s="3" t="s">
        <v>302</v>
      </c>
      <c r="O285" s="3" t="s">
        <v>33</v>
      </c>
      <c r="P285" t="str">
        <f t="shared" si="4"/>
        <v>450013077310</v>
      </c>
      <c r="Q285" s="7" cm="1">
        <f t="array" ref="Q285:S285">VLOOKUP(P285,Hoja1!C:F,{2,3,4},FALSE)</f>
        <v>46205</v>
      </c>
      <c r="R285" t="str">
        <v>C03</v>
      </c>
      <c r="S285" t="str">
        <v>1000000929 ANTINORO FRANCISCO ERNESTO</v>
      </c>
      <c r="T285" t="str">
        <f>VLOOKUP(P285,Hoja2!C:D,2,FALSE)</f>
        <v>FBERARDO</v>
      </c>
    </row>
    <row r="286" spans="1:20" x14ac:dyDescent="0.3">
      <c r="A286" s="2" t="s">
        <v>14</v>
      </c>
      <c r="B286" s="3" t="s">
        <v>14</v>
      </c>
      <c r="C286" s="3" t="s">
        <v>303</v>
      </c>
      <c r="D286" s="3" t="s">
        <v>14</v>
      </c>
      <c r="E286" s="3" t="s">
        <v>96</v>
      </c>
      <c r="F286" s="4">
        <v>46199</v>
      </c>
      <c r="G286" s="3" t="s">
        <v>43</v>
      </c>
      <c r="H286" s="6">
        <v>-254150</v>
      </c>
      <c r="I286" s="3" t="s">
        <v>16</v>
      </c>
      <c r="J286" s="3" t="s">
        <v>14</v>
      </c>
      <c r="K286" s="3" t="s">
        <v>14</v>
      </c>
      <c r="L286" s="3" t="s">
        <v>304</v>
      </c>
      <c r="M286" s="4">
        <v>46199</v>
      </c>
      <c r="N286" s="3" t="s">
        <v>305</v>
      </c>
      <c r="O286" s="3" t="s">
        <v>33</v>
      </c>
      <c r="P286" t="str">
        <f t="shared" si="4"/>
        <v>450013130110</v>
      </c>
      <c r="Q286" s="7" cm="1">
        <f t="array" ref="Q286:S286">VLOOKUP(P286,Hoja1!C:F,{2,3,4},FALSE)</f>
        <v>46199</v>
      </c>
      <c r="R286" t="str">
        <v>C39</v>
      </c>
      <c r="S286" t="str">
        <v>1000003665 TRIGUY Y LOMBARDI SRL</v>
      </c>
      <c r="T286" t="str">
        <f>VLOOKUP(P286,Hoja2!C:D,2,FALSE)</f>
        <v>EFUNES</v>
      </c>
    </row>
    <row r="287" spans="1:20" x14ac:dyDescent="0.3">
      <c r="A287" s="2" t="s">
        <v>14</v>
      </c>
      <c r="B287" s="3" t="s">
        <v>14</v>
      </c>
      <c r="C287" s="3" t="s">
        <v>306</v>
      </c>
      <c r="D287" s="3" t="s">
        <v>14</v>
      </c>
      <c r="E287" s="3" t="s">
        <v>96</v>
      </c>
      <c r="F287" s="4">
        <v>46199</v>
      </c>
      <c r="G287" s="3" t="s">
        <v>43</v>
      </c>
      <c r="H287" s="6">
        <v>-223.4</v>
      </c>
      <c r="I287" s="3" t="s">
        <v>16</v>
      </c>
      <c r="J287" s="3" t="s">
        <v>14</v>
      </c>
      <c r="K287" s="3" t="s">
        <v>14</v>
      </c>
      <c r="L287" s="3" t="s">
        <v>97</v>
      </c>
      <c r="M287" s="4">
        <v>46199</v>
      </c>
      <c r="N287" s="3" t="s">
        <v>307</v>
      </c>
      <c r="O287" s="3" t="s">
        <v>20</v>
      </c>
      <c r="P287" t="str">
        <f t="shared" si="4"/>
        <v>450013135620</v>
      </c>
      <c r="Q287" s="7" cm="1">
        <f t="array" ref="Q287:S287">VLOOKUP(P287,Hoja1!C:F,{2,3,4},FALSE)</f>
        <v>46245</v>
      </c>
      <c r="R287" t="str">
        <v>C21</v>
      </c>
      <c r="S287" t="str">
        <v>1000001020 COMBUSTIBLES BARCELO S.R.L.</v>
      </c>
      <c r="T287" t="str">
        <f>VLOOKUP(P287,Hoja2!C:D,2,FALSE)</f>
        <v>JPUPULIN</v>
      </c>
    </row>
    <row r="288" spans="1:20" x14ac:dyDescent="0.3">
      <c r="A288" s="2" t="s">
        <v>14</v>
      </c>
      <c r="B288" s="3" t="s">
        <v>14</v>
      </c>
      <c r="C288" s="3" t="s">
        <v>306</v>
      </c>
      <c r="D288" s="3" t="s">
        <v>14</v>
      </c>
      <c r="E288" s="3" t="s">
        <v>96</v>
      </c>
      <c r="F288" s="4">
        <v>46199</v>
      </c>
      <c r="G288" s="3" t="s">
        <v>43</v>
      </c>
      <c r="H288" s="6">
        <v>-25.46</v>
      </c>
      <c r="I288" s="3" t="s">
        <v>16</v>
      </c>
      <c r="J288" s="3" t="s">
        <v>14</v>
      </c>
      <c r="K288" s="3" t="s">
        <v>14</v>
      </c>
      <c r="L288" s="3" t="s">
        <v>97</v>
      </c>
      <c r="M288" s="4">
        <v>46199</v>
      </c>
      <c r="N288" s="3" t="s">
        <v>307</v>
      </c>
      <c r="O288" s="3" t="s">
        <v>20</v>
      </c>
      <c r="P288" t="str">
        <f t="shared" si="4"/>
        <v>450013135620</v>
      </c>
      <c r="Q288" s="7" cm="1">
        <f t="array" ref="Q288:S288">VLOOKUP(P288,Hoja1!C:F,{2,3,4},FALSE)</f>
        <v>46245</v>
      </c>
      <c r="R288" t="str">
        <v>C21</v>
      </c>
      <c r="S288" t="str">
        <v>1000001020 COMBUSTIBLES BARCELO S.R.L.</v>
      </c>
      <c r="T288" t="str">
        <f>VLOOKUP(P288,Hoja2!C:D,2,FALSE)</f>
        <v>JPUPULIN</v>
      </c>
    </row>
    <row r="289" spans="1:20" x14ac:dyDescent="0.3">
      <c r="A289" s="2" t="s">
        <v>14</v>
      </c>
      <c r="B289" s="3" t="s">
        <v>14</v>
      </c>
      <c r="C289" s="3" t="s">
        <v>308</v>
      </c>
      <c r="D289" s="3" t="s">
        <v>14</v>
      </c>
      <c r="E289" s="3" t="s">
        <v>96</v>
      </c>
      <c r="F289" s="4">
        <v>46143</v>
      </c>
      <c r="G289" s="3" t="s">
        <v>43</v>
      </c>
      <c r="H289" s="6">
        <v>-950000</v>
      </c>
      <c r="I289" s="3" t="s">
        <v>16</v>
      </c>
      <c r="J289" s="3" t="s">
        <v>14</v>
      </c>
      <c r="K289" s="3" t="s">
        <v>14</v>
      </c>
      <c r="L289" s="3" t="s">
        <v>309</v>
      </c>
      <c r="M289" s="4">
        <v>46143</v>
      </c>
      <c r="N289" s="3" t="s">
        <v>310</v>
      </c>
      <c r="O289" s="3" t="s">
        <v>33</v>
      </c>
      <c r="P289" t="str">
        <f t="shared" si="4"/>
        <v>450010123710</v>
      </c>
      <c r="Q289" s="7" cm="1">
        <f t="array" ref="Q289:S289">VLOOKUP(P289,Hoja1!C:F,{2,3,4},FALSE)</f>
        <v>45824</v>
      </c>
      <c r="R289" t="str">
        <v>C04</v>
      </c>
      <c r="S289" t="str">
        <v>1000001248 RUSSO E HIJAS SERV.LOG Y T SRL</v>
      </c>
      <c r="T289" t="str">
        <f>VLOOKUP(P289,Hoja2!C:D,2,FALSE)</f>
        <v>EREGALADO</v>
      </c>
    </row>
    <row r="290" spans="1:20" x14ac:dyDescent="0.3">
      <c r="A290" s="2" t="s">
        <v>14</v>
      </c>
      <c r="B290" s="3" t="s">
        <v>14</v>
      </c>
      <c r="C290" s="3" t="s">
        <v>311</v>
      </c>
      <c r="D290" s="3" t="s">
        <v>14</v>
      </c>
      <c r="E290" s="3" t="s">
        <v>96</v>
      </c>
      <c r="F290" s="4">
        <v>46203</v>
      </c>
      <c r="G290" s="3" t="s">
        <v>43</v>
      </c>
      <c r="H290" s="6">
        <v>-10042200</v>
      </c>
      <c r="I290" s="3" t="s">
        <v>16</v>
      </c>
      <c r="J290" s="3" t="s">
        <v>14</v>
      </c>
      <c r="K290" s="3" t="s">
        <v>14</v>
      </c>
      <c r="L290" s="3" t="s">
        <v>1269</v>
      </c>
      <c r="M290" s="4">
        <v>46203</v>
      </c>
      <c r="N290" s="3" t="s">
        <v>291</v>
      </c>
      <c r="O290" s="3" t="s">
        <v>33</v>
      </c>
      <c r="P290" t="str">
        <f t="shared" si="4"/>
        <v>450012941210</v>
      </c>
      <c r="Q290" s="7" cm="1">
        <f t="array" ref="Q290:S290">VLOOKUP(P290,Hoja1!C:F,{2,3,4},FALSE)</f>
        <v>46325</v>
      </c>
      <c r="R290" t="str">
        <v>C21</v>
      </c>
      <c r="S290" t="str">
        <v>1000000634 RAIZEN ARGENTINA S.A.U.</v>
      </c>
      <c r="T290" t="str">
        <f>VLOOKUP(P290,Hoja2!C:D,2,FALSE)</f>
        <v>JPUPULIN</v>
      </c>
    </row>
    <row r="291" spans="1:20" x14ac:dyDescent="0.3">
      <c r="A291" s="2" t="s">
        <v>14</v>
      </c>
      <c r="B291" s="3" t="s">
        <v>14</v>
      </c>
      <c r="C291" s="3" t="s">
        <v>311</v>
      </c>
      <c r="D291" s="3" t="s">
        <v>14</v>
      </c>
      <c r="E291" s="3" t="s">
        <v>96</v>
      </c>
      <c r="F291" s="4">
        <v>46203</v>
      </c>
      <c r="G291" s="3" t="s">
        <v>43</v>
      </c>
      <c r="H291" s="6">
        <v>-1144500</v>
      </c>
      <c r="I291" s="3" t="s">
        <v>16</v>
      </c>
      <c r="J291" s="3" t="s">
        <v>14</v>
      </c>
      <c r="K291" s="3" t="s">
        <v>14</v>
      </c>
      <c r="L291" s="3" t="s">
        <v>1269</v>
      </c>
      <c r="M291" s="4">
        <v>46203</v>
      </c>
      <c r="N291" s="3" t="s">
        <v>291</v>
      </c>
      <c r="O291" s="3" t="s">
        <v>33</v>
      </c>
      <c r="P291" t="str">
        <f t="shared" si="4"/>
        <v>450012941210</v>
      </c>
      <c r="Q291" s="7" cm="1">
        <f t="array" ref="Q291:S291">VLOOKUP(P291,Hoja1!C:F,{2,3,4},FALSE)</f>
        <v>46325</v>
      </c>
      <c r="R291" t="str">
        <v>C21</v>
      </c>
      <c r="S291" t="str">
        <v>1000000634 RAIZEN ARGENTINA S.A.U.</v>
      </c>
      <c r="T291" t="str">
        <f>VLOOKUP(P291,Hoja2!C:D,2,FALSE)</f>
        <v>JPUPULIN</v>
      </c>
    </row>
    <row r="292" spans="1:20" x14ac:dyDescent="0.3">
      <c r="A292" s="2" t="s">
        <v>14</v>
      </c>
      <c r="B292" s="3" t="s">
        <v>14</v>
      </c>
      <c r="C292" s="3" t="s">
        <v>312</v>
      </c>
      <c r="D292" s="3" t="s">
        <v>14</v>
      </c>
      <c r="E292" s="3" t="s">
        <v>96</v>
      </c>
      <c r="F292" s="4">
        <v>46203</v>
      </c>
      <c r="G292" s="3" t="s">
        <v>43</v>
      </c>
      <c r="H292" s="6">
        <v>-158677.68</v>
      </c>
      <c r="I292" s="3" t="s">
        <v>16</v>
      </c>
      <c r="J292" s="3" t="s">
        <v>14</v>
      </c>
      <c r="K292" s="3" t="s">
        <v>14</v>
      </c>
      <c r="L292" s="3" t="s">
        <v>313</v>
      </c>
      <c r="M292" s="4">
        <v>46203</v>
      </c>
      <c r="N292" s="3" t="s">
        <v>314</v>
      </c>
      <c r="O292" s="3" t="s">
        <v>20</v>
      </c>
      <c r="P292" t="str">
        <f t="shared" si="4"/>
        <v>450013159920</v>
      </c>
      <c r="Q292" s="7" cm="1">
        <f t="array" ref="Q292:S292">VLOOKUP(P292,Hoja1!C:F,{2,3,4},FALSE)</f>
        <v>46223</v>
      </c>
      <c r="R292" t="str">
        <v>C43</v>
      </c>
      <c r="S292" t="str">
        <v>1000003384 NEUMAGOM SAS</v>
      </c>
      <c r="T292" t="str">
        <f>VLOOKUP(P292,Hoja2!C:D,2,FALSE)</f>
        <v>EFUNES</v>
      </c>
    </row>
    <row r="293" spans="1:20" x14ac:dyDescent="0.3">
      <c r="A293" s="2" t="s">
        <v>14</v>
      </c>
      <c r="B293" s="3" t="s">
        <v>14</v>
      </c>
      <c r="C293" s="3" t="s">
        <v>315</v>
      </c>
      <c r="D293" s="3" t="s">
        <v>14</v>
      </c>
      <c r="E293" s="3" t="s">
        <v>96</v>
      </c>
      <c r="F293" s="4">
        <v>46202</v>
      </c>
      <c r="G293" s="3" t="s">
        <v>43</v>
      </c>
      <c r="H293" s="6">
        <v>-120889.05</v>
      </c>
      <c r="I293" s="3" t="s">
        <v>16</v>
      </c>
      <c r="J293" s="3" t="s">
        <v>14</v>
      </c>
      <c r="K293" s="3" t="s">
        <v>14</v>
      </c>
      <c r="L293" s="3" t="s">
        <v>148</v>
      </c>
      <c r="M293" s="4">
        <v>46204</v>
      </c>
      <c r="N293" s="3" t="s">
        <v>316</v>
      </c>
      <c r="O293" s="3" t="s">
        <v>33</v>
      </c>
      <c r="P293" t="str">
        <f t="shared" si="4"/>
        <v>450012873510</v>
      </c>
      <c r="Q293" s="7" cm="1">
        <f t="array" ref="Q293:S293">VLOOKUP(P293,Hoja1!C:F,{2,3,4},FALSE)</f>
        <v>46189</v>
      </c>
      <c r="R293" t="str">
        <v>C29</v>
      </c>
      <c r="S293" t="str">
        <v>1000000062 FINNING ARGENTINA S.A.</v>
      </c>
      <c r="T293" t="str">
        <f>VLOOKUP(P293,Hoja2!C:D,2,FALSE)</f>
        <v>MFREIJOMIL</v>
      </c>
    </row>
    <row r="294" spans="1:20" x14ac:dyDescent="0.3">
      <c r="A294" s="2" t="s">
        <v>14</v>
      </c>
      <c r="B294" s="3" t="s">
        <v>14</v>
      </c>
      <c r="C294" s="3" t="s">
        <v>317</v>
      </c>
      <c r="D294" s="3" t="s">
        <v>14</v>
      </c>
      <c r="E294" s="3" t="s">
        <v>96</v>
      </c>
      <c r="F294" s="4">
        <v>46204</v>
      </c>
      <c r="G294" s="3" t="s">
        <v>43</v>
      </c>
      <c r="H294" s="6">
        <v>-10281300</v>
      </c>
      <c r="I294" s="3" t="s">
        <v>16</v>
      </c>
      <c r="J294" s="3" t="s">
        <v>14</v>
      </c>
      <c r="K294" s="3" t="s">
        <v>14</v>
      </c>
      <c r="L294" s="3" t="s">
        <v>1269</v>
      </c>
      <c r="M294" s="4">
        <v>46204</v>
      </c>
      <c r="N294" s="3" t="s">
        <v>291</v>
      </c>
      <c r="O294" s="3" t="s">
        <v>33</v>
      </c>
      <c r="P294" t="str">
        <f t="shared" si="4"/>
        <v>450012941210</v>
      </c>
      <c r="Q294" s="7" cm="1">
        <f t="array" ref="Q294:S294">VLOOKUP(P294,Hoja1!C:F,{2,3,4},FALSE)</f>
        <v>46325</v>
      </c>
      <c r="R294" t="str">
        <v>C21</v>
      </c>
      <c r="S294" t="str">
        <v>1000000634 RAIZEN ARGENTINA S.A.U.</v>
      </c>
      <c r="T294" t="str">
        <f>VLOOKUP(P294,Hoja2!C:D,2,FALSE)</f>
        <v>JPUPULIN</v>
      </c>
    </row>
    <row r="295" spans="1:20" x14ac:dyDescent="0.3">
      <c r="A295" s="2" t="s">
        <v>14</v>
      </c>
      <c r="B295" s="3" t="s">
        <v>14</v>
      </c>
      <c r="C295" s="3" t="s">
        <v>317</v>
      </c>
      <c r="D295" s="3" t="s">
        <v>14</v>
      </c>
      <c r="E295" s="3" t="s">
        <v>96</v>
      </c>
      <c r="F295" s="4">
        <v>46204</v>
      </c>
      <c r="G295" s="3" t="s">
        <v>43</v>
      </c>
      <c r="H295" s="6">
        <v>-1171750</v>
      </c>
      <c r="I295" s="3" t="s">
        <v>16</v>
      </c>
      <c r="J295" s="3" t="s">
        <v>14</v>
      </c>
      <c r="K295" s="3" t="s">
        <v>14</v>
      </c>
      <c r="L295" s="3" t="s">
        <v>1269</v>
      </c>
      <c r="M295" s="4">
        <v>46204</v>
      </c>
      <c r="N295" s="3" t="s">
        <v>291</v>
      </c>
      <c r="O295" s="3" t="s">
        <v>33</v>
      </c>
      <c r="P295" t="str">
        <f t="shared" si="4"/>
        <v>450012941210</v>
      </c>
      <c r="Q295" s="7" cm="1">
        <f t="array" ref="Q295:S295">VLOOKUP(P295,Hoja1!C:F,{2,3,4},FALSE)</f>
        <v>46325</v>
      </c>
      <c r="R295" t="str">
        <v>C21</v>
      </c>
      <c r="S295" t="str">
        <v>1000000634 RAIZEN ARGENTINA S.A.U.</v>
      </c>
      <c r="T295" t="str">
        <f>VLOOKUP(P295,Hoja2!C:D,2,FALSE)</f>
        <v>JPUPULIN</v>
      </c>
    </row>
    <row r="296" spans="1:20" x14ac:dyDescent="0.3">
      <c r="A296" s="2" t="s">
        <v>14</v>
      </c>
      <c r="B296" s="3" t="s">
        <v>14</v>
      </c>
      <c r="C296" s="3" t="s">
        <v>318</v>
      </c>
      <c r="D296" s="3" t="s">
        <v>14</v>
      </c>
      <c r="E296" s="3" t="s">
        <v>96</v>
      </c>
      <c r="F296" s="4">
        <v>46204</v>
      </c>
      <c r="G296" s="3" t="s">
        <v>43</v>
      </c>
      <c r="H296" s="6">
        <v>-524990</v>
      </c>
      <c r="I296" s="3" t="s">
        <v>16</v>
      </c>
      <c r="J296" s="3" t="s">
        <v>14</v>
      </c>
      <c r="K296" s="3" t="s">
        <v>14</v>
      </c>
      <c r="L296" s="3" t="s">
        <v>97</v>
      </c>
      <c r="M296" s="4">
        <v>46204</v>
      </c>
      <c r="N296" s="3" t="s">
        <v>163</v>
      </c>
      <c r="O296" s="3" t="s">
        <v>33</v>
      </c>
      <c r="P296" t="str">
        <f t="shared" si="4"/>
        <v>450011911710</v>
      </c>
      <c r="Q296" s="7" cm="1">
        <f t="array" ref="Q296:S296">VLOOKUP(P296,Hoja1!C:F,{2,3,4},FALSE)</f>
        <v>46245</v>
      </c>
      <c r="R296" t="str">
        <v>C21</v>
      </c>
      <c r="S296" t="str">
        <v>1000001020 COMBUSTIBLES BARCELO S.R.L.</v>
      </c>
      <c r="T296" t="str">
        <f>VLOOKUP(P296,Hoja2!C:D,2,FALSE)</f>
        <v>RMIR</v>
      </c>
    </row>
    <row r="297" spans="1:20" x14ac:dyDescent="0.3">
      <c r="A297" s="2" t="s">
        <v>14</v>
      </c>
      <c r="B297" s="3" t="s">
        <v>14</v>
      </c>
      <c r="C297" s="3" t="s">
        <v>318</v>
      </c>
      <c r="D297" s="3" t="s">
        <v>14</v>
      </c>
      <c r="E297" s="3" t="s">
        <v>96</v>
      </c>
      <c r="F297" s="4">
        <v>46204</v>
      </c>
      <c r="G297" s="3" t="s">
        <v>43</v>
      </c>
      <c r="H297" s="6">
        <v>-59831</v>
      </c>
      <c r="I297" s="3" t="s">
        <v>16</v>
      </c>
      <c r="J297" s="3" t="s">
        <v>14</v>
      </c>
      <c r="K297" s="3" t="s">
        <v>14</v>
      </c>
      <c r="L297" s="3" t="s">
        <v>97</v>
      </c>
      <c r="M297" s="4">
        <v>46204</v>
      </c>
      <c r="N297" s="3" t="s">
        <v>163</v>
      </c>
      <c r="O297" s="3" t="s">
        <v>33</v>
      </c>
      <c r="P297" t="str">
        <f t="shared" si="4"/>
        <v>450011911710</v>
      </c>
      <c r="Q297" s="7" cm="1">
        <f t="array" ref="Q297:S297">VLOOKUP(P297,Hoja1!C:F,{2,3,4},FALSE)</f>
        <v>46245</v>
      </c>
      <c r="R297" t="str">
        <v>C21</v>
      </c>
      <c r="S297" t="str">
        <v>1000001020 COMBUSTIBLES BARCELO S.R.L.</v>
      </c>
      <c r="T297" t="str">
        <f>VLOOKUP(P297,Hoja2!C:D,2,FALSE)</f>
        <v>RMIR</v>
      </c>
    </row>
    <row r="298" spans="1:20" x14ac:dyDescent="0.3">
      <c r="A298" s="2" t="s">
        <v>14</v>
      </c>
      <c r="B298" s="3" t="s">
        <v>14</v>
      </c>
      <c r="C298" s="3" t="s">
        <v>319</v>
      </c>
      <c r="D298" s="3" t="s">
        <v>14</v>
      </c>
      <c r="E298" s="3" t="s">
        <v>96</v>
      </c>
      <c r="F298" s="4">
        <v>46203</v>
      </c>
      <c r="G298" s="3" t="s">
        <v>43</v>
      </c>
      <c r="H298" s="6">
        <v>-262522.2</v>
      </c>
      <c r="I298" s="3" t="s">
        <v>16</v>
      </c>
      <c r="J298" s="3" t="s">
        <v>14</v>
      </c>
      <c r="K298" s="3" t="s">
        <v>14</v>
      </c>
      <c r="L298" s="3" t="s">
        <v>148</v>
      </c>
      <c r="M298" s="4">
        <v>46204</v>
      </c>
      <c r="N298" s="3" t="s">
        <v>320</v>
      </c>
      <c r="O298" s="3" t="s">
        <v>33</v>
      </c>
      <c r="P298" t="str">
        <f t="shared" si="4"/>
        <v>450013085510</v>
      </c>
      <c r="Q298" s="7" cm="1">
        <f t="array" ref="Q298:S298">VLOOKUP(P298,Hoja1!C:F,{2,3,4},FALSE)</f>
        <v>46205</v>
      </c>
      <c r="R298" t="str">
        <v>C03</v>
      </c>
      <c r="S298" t="str">
        <v>1000000062 FINNING ARGENTINA S.A.</v>
      </c>
      <c r="T298" t="str">
        <f>VLOOKUP(P298,Hoja2!C:D,2,FALSE)</f>
        <v>RPEREZ</v>
      </c>
    </row>
    <row r="299" spans="1:20" x14ac:dyDescent="0.3">
      <c r="A299" s="2" t="s">
        <v>14</v>
      </c>
      <c r="B299" s="3" t="s">
        <v>14</v>
      </c>
      <c r="C299" s="3" t="s">
        <v>319</v>
      </c>
      <c r="D299" s="3" t="s">
        <v>14</v>
      </c>
      <c r="E299" s="3" t="s">
        <v>96</v>
      </c>
      <c r="F299" s="4">
        <v>46203</v>
      </c>
      <c r="G299" s="3" t="s">
        <v>43</v>
      </c>
      <c r="H299" s="6">
        <v>-52717.2</v>
      </c>
      <c r="I299" s="3" t="s">
        <v>16</v>
      </c>
      <c r="J299" s="3" t="s">
        <v>14</v>
      </c>
      <c r="K299" s="3" t="s">
        <v>14</v>
      </c>
      <c r="L299" s="3" t="s">
        <v>148</v>
      </c>
      <c r="M299" s="4">
        <v>46204</v>
      </c>
      <c r="N299" s="3" t="s">
        <v>320</v>
      </c>
      <c r="O299" s="3" t="s">
        <v>20</v>
      </c>
      <c r="P299" t="str">
        <f t="shared" si="4"/>
        <v>450013085520</v>
      </c>
      <c r="Q299" s="7" cm="1">
        <f t="array" ref="Q299:S299">VLOOKUP(P299,Hoja1!C:F,{2,3,4},FALSE)</f>
        <v>46205</v>
      </c>
      <c r="R299" t="str">
        <v>C03</v>
      </c>
      <c r="S299" t="str">
        <v>1000000062 FINNING ARGENTINA S.A.</v>
      </c>
      <c r="T299" t="str">
        <f>VLOOKUP(P299,Hoja2!C:D,2,FALSE)</f>
        <v>RPEREZ</v>
      </c>
    </row>
    <row r="300" spans="1:20" x14ac:dyDescent="0.3">
      <c r="A300" s="2" t="s">
        <v>14</v>
      </c>
      <c r="B300" s="3" t="s">
        <v>14</v>
      </c>
      <c r="C300" s="3" t="s">
        <v>319</v>
      </c>
      <c r="D300" s="3" t="s">
        <v>14</v>
      </c>
      <c r="E300" s="3" t="s">
        <v>96</v>
      </c>
      <c r="F300" s="4">
        <v>46203</v>
      </c>
      <c r="G300" s="3" t="s">
        <v>43</v>
      </c>
      <c r="H300" s="6">
        <v>-233592.75</v>
      </c>
      <c r="I300" s="3" t="s">
        <v>16</v>
      </c>
      <c r="J300" s="3" t="s">
        <v>14</v>
      </c>
      <c r="K300" s="3" t="s">
        <v>14</v>
      </c>
      <c r="L300" s="3" t="s">
        <v>148</v>
      </c>
      <c r="M300" s="4">
        <v>46204</v>
      </c>
      <c r="N300" s="3" t="s">
        <v>320</v>
      </c>
      <c r="O300" s="3" t="s">
        <v>21</v>
      </c>
      <c r="P300" t="str">
        <f t="shared" si="4"/>
        <v>450013085530</v>
      </c>
      <c r="Q300" s="7" cm="1">
        <f t="array" ref="Q300:S300">VLOOKUP(P300,Hoja1!C:F,{2,3,4},FALSE)</f>
        <v>46217</v>
      </c>
      <c r="R300" t="str">
        <v>C03</v>
      </c>
      <c r="S300" t="str">
        <v>1000000062 FINNING ARGENTINA S.A.</v>
      </c>
      <c r="T300" t="str">
        <f>VLOOKUP(P300,Hoja2!C:D,2,FALSE)</f>
        <v>RPEREZ</v>
      </c>
    </row>
    <row r="301" spans="1:20" x14ac:dyDescent="0.3">
      <c r="A301" s="2" t="s">
        <v>14</v>
      </c>
      <c r="B301" s="3" t="s">
        <v>14</v>
      </c>
      <c r="C301" s="3" t="s">
        <v>319</v>
      </c>
      <c r="D301" s="3" t="s">
        <v>14</v>
      </c>
      <c r="E301" s="3" t="s">
        <v>96</v>
      </c>
      <c r="F301" s="4">
        <v>46203</v>
      </c>
      <c r="G301" s="3" t="s">
        <v>43</v>
      </c>
      <c r="H301" s="6">
        <v>-38119.5</v>
      </c>
      <c r="I301" s="3" t="s">
        <v>16</v>
      </c>
      <c r="J301" s="3" t="s">
        <v>14</v>
      </c>
      <c r="K301" s="3" t="s">
        <v>14</v>
      </c>
      <c r="L301" s="3" t="s">
        <v>148</v>
      </c>
      <c r="M301" s="4">
        <v>46204</v>
      </c>
      <c r="N301" s="3" t="s">
        <v>320</v>
      </c>
      <c r="O301" s="3" t="s">
        <v>25</v>
      </c>
      <c r="P301" t="str">
        <f t="shared" si="4"/>
        <v>450013085540</v>
      </c>
      <c r="Q301" s="7" cm="1">
        <f t="array" ref="Q301:S301">VLOOKUP(P301,Hoja1!C:F,{2,3,4},FALSE)</f>
        <v>46205</v>
      </c>
      <c r="R301" t="str">
        <v>C03</v>
      </c>
      <c r="S301" t="str">
        <v>1000000062 FINNING ARGENTINA S.A.</v>
      </c>
      <c r="T301" t="str">
        <f>VLOOKUP(P301,Hoja2!C:D,2,FALSE)</f>
        <v>RPEREZ</v>
      </c>
    </row>
    <row r="302" spans="1:20" x14ac:dyDescent="0.3">
      <c r="A302" s="2" t="s">
        <v>14</v>
      </c>
      <c r="B302" s="3" t="s">
        <v>14</v>
      </c>
      <c r="C302" s="3" t="s">
        <v>319</v>
      </c>
      <c r="D302" s="3" t="s">
        <v>14</v>
      </c>
      <c r="E302" s="3" t="s">
        <v>96</v>
      </c>
      <c r="F302" s="4">
        <v>46203</v>
      </c>
      <c r="G302" s="3" t="s">
        <v>43</v>
      </c>
      <c r="H302" s="6">
        <v>-499158.6</v>
      </c>
      <c r="I302" s="3" t="s">
        <v>16</v>
      </c>
      <c r="J302" s="3" t="s">
        <v>14</v>
      </c>
      <c r="K302" s="3" t="s">
        <v>14</v>
      </c>
      <c r="L302" s="3" t="s">
        <v>148</v>
      </c>
      <c r="M302" s="4">
        <v>46204</v>
      </c>
      <c r="N302" s="3" t="s">
        <v>320</v>
      </c>
      <c r="O302" s="3" t="s">
        <v>22</v>
      </c>
      <c r="P302" t="str">
        <f t="shared" si="4"/>
        <v>450013085550</v>
      </c>
      <c r="Q302" s="7" cm="1">
        <f t="array" ref="Q302:S302">VLOOKUP(P302,Hoja1!C:F,{2,3,4},FALSE)</f>
        <v>46205</v>
      </c>
      <c r="R302" t="str">
        <v>C03</v>
      </c>
      <c r="S302" t="str">
        <v>1000000062 FINNING ARGENTINA S.A.</v>
      </c>
      <c r="T302" t="str">
        <f>VLOOKUP(P302,Hoja2!C:D,2,FALSE)</f>
        <v>RPEREZ</v>
      </c>
    </row>
    <row r="303" spans="1:20" x14ac:dyDescent="0.3">
      <c r="A303" s="2" t="s">
        <v>14</v>
      </c>
      <c r="B303" s="3" t="s">
        <v>14</v>
      </c>
      <c r="C303" s="3" t="s">
        <v>319</v>
      </c>
      <c r="D303" s="3" t="s">
        <v>14</v>
      </c>
      <c r="E303" s="3" t="s">
        <v>96</v>
      </c>
      <c r="F303" s="4">
        <v>46203</v>
      </c>
      <c r="G303" s="3" t="s">
        <v>43</v>
      </c>
      <c r="H303" s="6">
        <v>-3305758.5</v>
      </c>
      <c r="I303" s="3" t="s">
        <v>16</v>
      </c>
      <c r="J303" s="3" t="s">
        <v>14</v>
      </c>
      <c r="K303" s="3" t="s">
        <v>14</v>
      </c>
      <c r="L303" s="3" t="s">
        <v>148</v>
      </c>
      <c r="M303" s="4">
        <v>46204</v>
      </c>
      <c r="N303" s="3" t="s">
        <v>320</v>
      </c>
      <c r="O303" s="3" t="s">
        <v>24</v>
      </c>
      <c r="P303" t="str">
        <f t="shared" si="4"/>
        <v>450013085570</v>
      </c>
      <c r="Q303" s="7" cm="1">
        <f t="array" ref="Q303:S303">VLOOKUP(P303,Hoja1!C:F,{2,3,4},FALSE)</f>
        <v>46205</v>
      </c>
      <c r="R303" t="str">
        <v>C03</v>
      </c>
      <c r="S303" t="str">
        <v>1000000062 FINNING ARGENTINA S.A.</v>
      </c>
      <c r="T303" t="str">
        <f>VLOOKUP(P303,Hoja2!C:D,2,FALSE)</f>
        <v>RPEREZ</v>
      </c>
    </row>
    <row r="304" spans="1:20" x14ac:dyDescent="0.3">
      <c r="A304" s="2" t="s">
        <v>14</v>
      </c>
      <c r="B304" s="3" t="s">
        <v>14</v>
      </c>
      <c r="C304" s="3" t="s">
        <v>319</v>
      </c>
      <c r="D304" s="3" t="s">
        <v>14</v>
      </c>
      <c r="E304" s="3" t="s">
        <v>96</v>
      </c>
      <c r="F304" s="4">
        <v>46203</v>
      </c>
      <c r="G304" s="3" t="s">
        <v>43</v>
      </c>
      <c r="H304" s="6">
        <v>-288555.75</v>
      </c>
      <c r="I304" s="3" t="s">
        <v>16</v>
      </c>
      <c r="J304" s="3" t="s">
        <v>14</v>
      </c>
      <c r="K304" s="3" t="s">
        <v>14</v>
      </c>
      <c r="L304" s="3" t="s">
        <v>148</v>
      </c>
      <c r="M304" s="4">
        <v>46204</v>
      </c>
      <c r="N304" s="3" t="s">
        <v>320</v>
      </c>
      <c r="O304" s="3" t="s">
        <v>321</v>
      </c>
      <c r="P304" t="str">
        <f t="shared" si="4"/>
        <v>450013085580</v>
      </c>
      <c r="Q304" s="7" cm="1">
        <f t="array" ref="Q304:S304">VLOOKUP(P304,Hoja1!C:F,{2,3,4},FALSE)</f>
        <v>46205</v>
      </c>
      <c r="R304" t="str">
        <v>C03</v>
      </c>
      <c r="S304" t="str">
        <v>1000000062 FINNING ARGENTINA S.A.</v>
      </c>
      <c r="T304" t="str">
        <f>VLOOKUP(P304,Hoja2!C:D,2,FALSE)</f>
        <v>RPEREZ</v>
      </c>
    </row>
    <row r="305" spans="1:20" x14ac:dyDescent="0.3">
      <c r="A305" s="2" t="s">
        <v>14</v>
      </c>
      <c r="B305" s="3" t="s">
        <v>14</v>
      </c>
      <c r="C305" s="3" t="s">
        <v>319</v>
      </c>
      <c r="D305" s="3" t="s">
        <v>14</v>
      </c>
      <c r="E305" s="3" t="s">
        <v>96</v>
      </c>
      <c r="F305" s="4">
        <v>46203</v>
      </c>
      <c r="G305" s="3" t="s">
        <v>43</v>
      </c>
      <c r="H305" s="6">
        <v>-196507.5</v>
      </c>
      <c r="I305" s="3" t="s">
        <v>16</v>
      </c>
      <c r="J305" s="3" t="s">
        <v>14</v>
      </c>
      <c r="K305" s="3" t="s">
        <v>14</v>
      </c>
      <c r="L305" s="3" t="s">
        <v>148</v>
      </c>
      <c r="M305" s="4">
        <v>46204</v>
      </c>
      <c r="N305" s="3" t="s">
        <v>320</v>
      </c>
      <c r="O305" s="3" t="s">
        <v>322</v>
      </c>
      <c r="P305" t="str">
        <f t="shared" si="4"/>
        <v>450013085590</v>
      </c>
      <c r="Q305" s="7" cm="1">
        <f t="array" ref="Q305:S305">VLOOKUP(P305,Hoja1!C:F,{2,3,4},FALSE)</f>
        <v>46205</v>
      </c>
      <c r="R305" t="str">
        <v>C03</v>
      </c>
      <c r="S305" t="str">
        <v>1000000062 FINNING ARGENTINA S.A.</v>
      </c>
      <c r="T305" t="str">
        <f>VLOOKUP(P305,Hoja2!C:D,2,FALSE)</f>
        <v>RPEREZ</v>
      </c>
    </row>
    <row r="306" spans="1:20" x14ac:dyDescent="0.3">
      <c r="A306" s="2" t="s">
        <v>14</v>
      </c>
      <c r="B306" s="3" t="s">
        <v>14</v>
      </c>
      <c r="C306" s="3" t="s">
        <v>319</v>
      </c>
      <c r="D306" s="3" t="s">
        <v>14</v>
      </c>
      <c r="E306" s="3" t="s">
        <v>96</v>
      </c>
      <c r="F306" s="4">
        <v>46203</v>
      </c>
      <c r="G306" s="3" t="s">
        <v>43</v>
      </c>
      <c r="H306" s="6">
        <v>-260631</v>
      </c>
      <c r="I306" s="3" t="s">
        <v>16</v>
      </c>
      <c r="J306" s="3" t="s">
        <v>14</v>
      </c>
      <c r="K306" s="3" t="s">
        <v>14</v>
      </c>
      <c r="L306" s="3" t="s">
        <v>148</v>
      </c>
      <c r="M306" s="4">
        <v>46204</v>
      </c>
      <c r="N306" s="3" t="s">
        <v>320</v>
      </c>
      <c r="O306" s="3" t="s">
        <v>323</v>
      </c>
      <c r="P306" t="str">
        <f t="shared" si="4"/>
        <v>4500130855100</v>
      </c>
      <c r="Q306" s="7" cm="1">
        <f t="array" ref="Q306:S306">VLOOKUP(P306,Hoja1!C:F,{2,3,4},FALSE)</f>
        <v>46205</v>
      </c>
      <c r="R306" t="str">
        <v>C03</v>
      </c>
      <c r="S306" t="str">
        <v>1000000062 FINNING ARGENTINA S.A.</v>
      </c>
      <c r="T306" t="str">
        <f>VLOOKUP(P306,Hoja2!C:D,2,FALSE)</f>
        <v>RPEREZ</v>
      </c>
    </row>
    <row r="307" spans="1:20" x14ac:dyDescent="0.3">
      <c r="A307" s="2" t="s">
        <v>14</v>
      </c>
      <c r="B307" s="3" t="s">
        <v>14</v>
      </c>
      <c r="C307" s="3" t="s">
        <v>319</v>
      </c>
      <c r="D307" s="3" t="s">
        <v>14</v>
      </c>
      <c r="E307" s="3" t="s">
        <v>96</v>
      </c>
      <c r="F307" s="4">
        <v>46203</v>
      </c>
      <c r="G307" s="3" t="s">
        <v>43</v>
      </c>
      <c r="H307" s="6">
        <v>-17050.349999999999</v>
      </c>
      <c r="I307" s="3" t="s">
        <v>16</v>
      </c>
      <c r="J307" s="3" t="s">
        <v>14</v>
      </c>
      <c r="K307" s="3" t="s">
        <v>14</v>
      </c>
      <c r="L307" s="3" t="s">
        <v>148</v>
      </c>
      <c r="M307" s="4">
        <v>46204</v>
      </c>
      <c r="N307" s="3" t="s">
        <v>320</v>
      </c>
      <c r="O307" s="3" t="s">
        <v>175</v>
      </c>
      <c r="P307" t="str">
        <f t="shared" si="4"/>
        <v>4500130855110</v>
      </c>
      <c r="Q307" s="7" cm="1">
        <f t="array" ref="Q307:S307">VLOOKUP(P307,Hoja1!C:F,{2,3,4},FALSE)</f>
        <v>46205</v>
      </c>
      <c r="R307" t="str">
        <v>C03</v>
      </c>
      <c r="S307" t="str">
        <v>1000000062 FINNING ARGENTINA S.A.</v>
      </c>
      <c r="T307" t="str">
        <f>VLOOKUP(P307,Hoja2!C:D,2,FALSE)</f>
        <v>RPEREZ</v>
      </c>
    </row>
    <row r="308" spans="1:20" x14ac:dyDescent="0.3">
      <c r="A308" s="2" t="s">
        <v>14</v>
      </c>
      <c r="B308" s="3" t="s">
        <v>14</v>
      </c>
      <c r="C308" s="3" t="s">
        <v>319</v>
      </c>
      <c r="D308" s="3" t="s">
        <v>14</v>
      </c>
      <c r="E308" s="3" t="s">
        <v>96</v>
      </c>
      <c r="F308" s="4">
        <v>46203</v>
      </c>
      <c r="G308" s="3" t="s">
        <v>43</v>
      </c>
      <c r="H308" s="6">
        <v>-143583.45000000001</v>
      </c>
      <c r="I308" s="3" t="s">
        <v>16</v>
      </c>
      <c r="J308" s="3" t="s">
        <v>14</v>
      </c>
      <c r="K308" s="3" t="s">
        <v>14</v>
      </c>
      <c r="L308" s="3" t="s">
        <v>148</v>
      </c>
      <c r="M308" s="4">
        <v>46204</v>
      </c>
      <c r="N308" s="3" t="s">
        <v>320</v>
      </c>
      <c r="O308" s="3" t="s">
        <v>203</v>
      </c>
      <c r="P308" t="str">
        <f t="shared" si="4"/>
        <v>4500130855130</v>
      </c>
      <c r="Q308" s="7" cm="1">
        <f t="array" ref="Q308:S308">VLOOKUP(P308,Hoja1!C:F,{2,3,4},FALSE)</f>
        <v>46205</v>
      </c>
      <c r="R308" t="str">
        <v>C03</v>
      </c>
      <c r="S308" t="str">
        <v>1000000062 FINNING ARGENTINA S.A.</v>
      </c>
      <c r="T308" t="str">
        <f>VLOOKUP(P308,Hoja2!C:D,2,FALSE)</f>
        <v>RPEREZ</v>
      </c>
    </row>
    <row r="309" spans="1:20" x14ac:dyDescent="0.3">
      <c r="A309" s="2" t="s">
        <v>14</v>
      </c>
      <c r="B309" s="3" t="s">
        <v>14</v>
      </c>
      <c r="C309" s="3" t="s">
        <v>319</v>
      </c>
      <c r="D309" s="3" t="s">
        <v>14</v>
      </c>
      <c r="E309" s="3" t="s">
        <v>96</v>
      </c>
      <c r="F309" s="4">
        <v>46203</v>
      </c>
      <c r="G309" s="3" t="s">
        <v>43</v>
      </c>
      <c r="H309" s="6">
        <v>-820086.38</v>
      </c>
      <c r="I309" s="3" t="s">
        <v>16</v>
      </c>
      <c r="J309" s="3" t="s">
        <v>14</v>
      </c>
      <c r="K309" s="3" t="s">
        <v>14</v>
      </c>
      <c r="L309" s="3" t="s">
        <v>148</v>
      </c>
      <c r="M309" s="4">
        <v>46204</v>
      </c>
      <c r="N309" s="3" t="s">
        <v>320</v>
      </c>
      <c r="O309" s="3" t="s">
        <v>324</v>
      </c>
      <c r="P309" t="str">
        <f t="shared" si="4"/>
        <v>4500130855170</v>
      </c>
      <c r="Q309" s="7" cm="1">
        <f t="array" ref="Q309:S309">VLOOKUP(P309,Hoja1!C:F,{2,3,4},FALSE)</f>
        <v>46205</v>
      </c>
      <c r="R309" t="str">
        <v>C03</v>
      </c>
      <c r="S309" t="str">
        <v>1000000062 FINNING ARGENTINA S.A.</v>
      </c>
      <c r="T309" t="str">
        <f>VLOOKUP(P309,Hoja2!C:D,2,FALSE)</f>
        <v>RPEREZ</v>
      </c>
    </row>
    <row r="310" spans="1:20" x14ac:dyDescent="0.3">
      <c r="A310" s="2" t="s">
        <v>14</v>
      </c>
      <c r="B310" s="3" t="s">
        <v>14</v>
      </c>
      <c r="C310" s="3" t="s">
        <v>319</v>
      </c>
      <c r="D310" s="3" t="s">
        <v>14</v>
      </c>
      <c r="E310" s="3" t="s">
        <v>96</v>
      </c>
      <c r="F310" s="4">
        <v>46203</v>
      </c>
      <c r="G310" s="3" t="s">
        <v>43</v>
      </c>
      <c r="H310" s="6">
        <v>-823410.75</v>
      </c>
      <c r="I310" s="3" t="s">
        <v>16</v>
      </c>
      <c r="J310" s="3" t="s">
        <v>14</v>
      </c>
      <c r="K310" s="3" t="s">
        <v>14</v>
      </c>
      <c r="L310" s="3" t="s">
        <v>148</v>
      </c>
      <c r="M310" s="4">
        <v>46204</v>
      </c>
      <c r="N310" s="3" t="s">
        <v>320</v>
      </c>
      <c r="O310" s="3" t="s">
        <v>325</v>
      </c>
      <c r="P310" t="str">
        <f t="shared" si="4"/>
        <v>4500130855180</v>
      </c>
      <c r="Q310" s="7" cm="1">
        <f t="array" ref="Q310:S310">VLOOKUP(P310,Hoja1!C:F,{2,3,4},FALSE)</f>
        <v>46205</v>
      </c>
      <c r="R310" t="str">
        <v>C03</v>
      </c>
      <c r="S310" t="str">
        <v>1000000062 FINNING ARGENTINA S.A.</v>
      </c>
      <c r="T310" t="str">
        <f>VLOOKUP(P310,Hoja2!C:D,2,FALSE)</f>
        <v>RPEREZ</v>
      </c>
    </row>
    <row r="311" spans="1:20" x14ac:dyDescent="0.3">
      <c r="A311" s="2" t="s">
        <v>14</v>
      </c>
      <c r="B311" s="3" t="s">
        <v>14</v>
      </c>
      <c r="C311" s="3" t="s">
        <v>319</v>
      </c>
      <c r="D311" s="3" t="s">
        <v>14</v>
      </c>
      <c r="E311" s="3" t="s">
        <v>96</v>
      </c>
      <c r="F311" s="4">
        <v>46203</v>
      </c>
      <c r="G311" s="3" t="s">
        <v>43</v>
      </c>
      <c r="H311" s="6">
        <v>-270456.38</v>
      </c>
      <c r="I311" s="3" t="s">
        <v>16</v>
      </c>
      <c r="J311" s="3" t="s">
        <v>14</v>
      </c>
      <c r="K311" s="3" t="s">
        <v>14</v>
      </c>
      <c r="L311" s="3" t="s">
        <v>148</v>
      </c>
      <c r="M311" s="4">
        <v>46204</v>
      </c>
      <c r="N311" s="3" t="s">
        <v>320</v>
      </c>
      <c r="O311" s="3" t="s">
        <v>326</v>
      </c>
      <c r="P311" t="str">
        <f t="shared" si="4"/>
        <v>4500130855210</v>
      </c>
      <c r="Q311" s="7" cm="1">
        <f t="array" ref="Q311:S311">VLOOKUP(P311,Hoja1!C:F,{2,3,4},FALSE)</f>
        <v>46205</v>
      </c>
      <c r="R311" t="str">
        <v>C03</v>
      </c>
      <c r="S311" t="str">
        <v>1000000062 FINNING ARGENTINA S.A.</v>
      </c>
      <c r="T311" t="str">
        <f>VLOOKUP(P311,Hoja2!C:D,2,FALSE)</f>
        <v>RPEREZ</v>
      </c>
    </row>
    <row r="312" spans="1:20" x14ac:dyDescent="0.3">
      <c r="A312" s="2" t="s">
        <v>14</v>
      </c>
      <c r="B312" s="3" t="s">
        <v>14</v>
      </c>
      <c r="C312" s="3" t="s">
        <v>319</v>
      </c>
      <c r="D312" s="3" t="s">
        <v>14</v>
      </c>
      <c r="E312" s="3" t="s">
        <v>96</v>
      </c>
      <c r="F312" s="4">
        <v>46203</v>
      </c>
      <c r="G312" s="3" t="s">
        <v>43</v>
      </c>
      <c r="H312" s="6">
        <v>-1321741.95</v>
      </c>
      <c r="I312" s="3" t="s">
        <v>16</v>
      </c>
      <c r="J312" s="3" t="s">
        <v>14</v>
      </c>
      <c r="K312" s="3" t="s">
        <v>14</v>
      </c>
      <c r="L312" s="3" t="s">
        <v>148</v>
      </c>
      <c r="M312" s="4">
        <v>46204</v>
      </c>
      <c r="N312" s="3" t="s">
        <v>320</v>
      </c>
      <c r="O312" s="3" t="s">
        <v>327</v>
      </c>
      <c r="P312" t="str">
        <f t="shared" si="4"/>
        <v>4500130855230</v>
      </c>
      <c r="Q312" s="7" cm="1">
        <f t="array" ref="Q312:S312">VLOOKUP(P312,Hoja1!C:F,{2,3,4},FALSE)</f>
        <v>46205</v>
      </c>
      <c r="R312" t="str">
        <v>C03</v>
      </c>
      <c r="S312" t="str">
        <v>1000000062 FINNING ARGENTINA S.A.</v>
      </c>
      <c r="T312" t="str">
        <f>VLOOKUP(P312,Hoja2!C:D,2,FALSE)</f>
        <v>RPEREZ</v>
      </c>
    </row>
    <row r="313" spans="1:20" x14ac:dyDescent="0.3">
      <c r="A313" s="2" t="s">
        <v>14</v>
      </c>
      <c r="B313" s="3" t="s">
        <v>14</v>
      </c>
      <c r="C313" s="3" t="s">
        <v>319</v>
      </c>
      <c r="D313" s="3" t="s">
        <v>14</v>
      </c>
      <c r="E313" s="3" t="s">
        <v>96</v>
      </c>
      <c r="F313" s="4">
        <v>46203</v>
      </c>
      <c r="G313" s="3" t="s">
        <v>43</v>
      </c>
      <c r="H313" s="6">
        <v>-372699.38</v>
      </c>
      <c r="I313" s="3" t="s">
        <v>16</v>
      </c>
      <c r="J313" s="3" t="s">
        <v>14</v>
      </c>
      <c r="K313" s="3" t="s">
        <v>14</v>
      </c>
      <c r="L313" s="3" t="s">
        <v>148</v>
      </c>
      <c r="M313" s="4">
        <v>46204</v>
      </c>
      <c r="N313" s="3" t="s">
        <v>320</v>
      </c>
      <c r="O313" s="3" t="s">
        <v>328</v>
      </c>
      <c r="P313" t="str">
        <f t="shared" si="4"/>
        <v>4500130855240</v>
      </c>
      <c r="Q313" s="7" cm="1">
        <f t="array" ref="Q313:S313">VLOOKUP(P313,Hoja1!C:F,{2,3,4},FALSE)</f>
        <v>46205</v>
      </c>
      <c r="R313" t="str">
        <v>C03</v>
      </c>
      <c r="S313" t="str">
        <v>1000000062 FINNING ARGENTINA S.A.</v>
      </c>
      <c r="T313" t="str">
        <f>VLOOKUP(P313,Hoja2!C:D,2,FALSE)</f>
        <v>RPEREZ</v>
      </c>
    </row>
    <row r="314" spans="1:20" x14ac:dyDescent="0.3">
      <c r="A314" s="2" t="s">
        <v>14</v>
      </c>
      <c r="B314" s="3" t="s">
        <v>14</v>
      </c>
      <c r="C314" s="3" t="s">
        <v>319</v>
      </c>
      <c r="D314" s="3" t="s">
        <v>14</v>
      </c>
      <c r="E314" s="3" t="s">
        <v>96</v>
      </c>
      <c r="F314" s="4">
        <v>46203</v>
      </c>
      <c r="G314" s="3" t="s">
        <v>43</v>
      </c>
      <c r="H314" s="6">
        <v>-234095.1</v>
      </c>
      <c r="I314" s="3" t="s">
        <v>16</v>
      </c>
      <c r="J314" s="3" t="s">
        <v>14</v>
      </c>
      <c r="K314" s="3" t="s">
        <v>14</v>
      </c>
      <c r="L314" s="3" t="s">
        <v>148</v>
      </c>
      <c r="M314" s="4">
        <v>46204</v>
      </c>
      <c r="N314" s="3" t="s">
        <v>320</v>
      </c>
      <c r="O314" s="3" t="s">
        <v>329</v>
      </c>
      <c r="P314" t="str">
        <f t="shared" si="4"/>
        <v>4500130855250</v>
      </c>
      <c r="Q314" s="7" cm="1">
        <f t="array" ref="Q314:S314">VLOOKUP(P314,Hoja1!C:F,{2,3,4},FALSE)</f>
        <v>46205</v>
      </c>
      <c r="R314" t="str">
        <v>C03</v>
      </c>
      <c r="S314" t="str">
        <v>1000000062 FINNING ARGENTINA S.A.</v>
      </c>
      <c r="T314" t="str">
        <f>VLOOKUP(P314,Hoja2!C:D,2,FALSE)</f>
        <v>RPEREZ</v>
      </c>
    </row>
    <row r="315" spans="1:20" x14ac:dyDescent="0.3">
      <c r="A315" s="2" t="s">
        <v>14</v>
      </c>
      <c r="B315" s="3" t="s">
        <v>14</v>
      </c>
      <c r="C315" s="3" t="s">
        <v>319</v>
      </c>
      <c r="D315" s="3" t="s">
        <v>14</v>
      </c>
      <c r="E315" s="3" t="s">
        <v>96</v>
      </c>
      <c r="F315" s="4">
        <v>46203</v>
      </c>
      <c r="G315" s="3" t="s">
        <v>43</v>
      </c>
      <c r="H315" s="6">
        <v>-213557.85</v>
      </c>
      <c r="I315" s="3" t="s">
        <v>16</v>
      </c>
      <c r="J315" s="3" t="s">
        <v>14</v>
      </c>
      <c r="K315" s="3" t="s">
        <v>14</v>
      </c>
      <c r="L315" s="3" t="s">
        <v>148</v>
      </c>
      <c r="M315" s="4">
        <v>46204</v>
      </c>
      <c r="N315" s="3" t="s">
        <v>320</v>
      </c>
      <c r="O315" s="3" t="s">
        <v>330</v>
      </c>
      <c r="P315" t="str">
        <f t="shared" si="4"/>
        <v>4500130855260</v>
      </c>
      <c r="Q315" s="7" cm="1">
        <f t="array" ref="Q315:S315">VLOOKUP(P315,Hoja1!C:F,{2,3,4},FALSE)</f>
        <v>46205</v>
      </c>
      <c r="R315" t="str">
        <v>C03</v>
      </c>
      <c r="S315" t="str">
        <v>1000000062 FINNING ARGENTINA S.A.</v>
      </c>
      <c r="T315" t="str">
        <f>VLOOKUP(P315,Hoja2!C:D,2,FALSE)</f>
        <v>RPEREZ</v>
      </c>
    </row>
    <row r="316" spans="1:20" x14ac:dyDescent="0.3">
      <c r="A316" s="2" t="s">
        <v>14</v>
      </c>
      <c r="B316" s="3" t="s">
        <v>14</v>
      </c>
      <c r="C316" s="3" t="s">
        <v>331</v>
      </c>
      <c r="D316" s="3" t="s">
        <v>14</v>
      </c>
      <c r="E316" s="3" t="s">
        <v>96</v>
      </c>
      <c r="F316" s="4">
        <v>46205</v>
      </c>
      <c r="G316" s="3" t="s">
        <v>43</v>
      </c>
      <c r="H316" s="6">
        <v>-223.4</v>
      </c>
      <c r="I316" s="3" t="s">
        <v>16</v>
      </c>
      <c r="J316" s="3" t="s">
        <v>14</v>
      </c>
      <c r="K316" s="3" t="s">
        <v>14</v>
      </c>
      <c r="L316" s="3" t="s">
        <v>97</v>
      </c>
      <c r="M316" s="4">
        <v>46205</v>
      </c>
      <c r="N316" s="3" t="s">
        <v>332</v>
      </c>
      <c r="O316" s="3" t="s">
        <v>33</v>
      </c>
      <c r="P316" t="str">
        <f t="shared" si="4"/>
        <v>450013188410</v>
      </c>
      <c r="Q316" s="7" cm="1">
        <f t="array" ref="Q316:S316">VLOOKUP(P316,Hoja1!C:F,{2,3,4},FALSE)</f>
        <v>46245</v>
      </c>
      <c r="R316" t="str">
        <v>C21</v>
      </c>
      <c r="S316" t="str">
        <v>1000001020 COMBUSTIBLES BARCELO S.R.L.</v>
      </c>
      <c r="T316" t="str">
        <f>VLOOKUP(P316,Hoja2!C:D,2,FALSE)</f>
        <v>JPUPULIN</v>
      </c>
    </row>
    <row r="317" spans="1:20" x14ac:dyDescent="0.3">
      <c r="A317" s="2" t="s">
        <v>14</v>
      </c>
      <c r="B317" s="3" t="s">
        <v>14</v>
      </c>
      <c r="C317" s="3" t="s">
        <v>331</v>
      </c>
      <c r="D317" s="3" t="s">
        <v>14</v>
      </c>
      <c r="E317" s="3" t="s">
        <v>96</v>
      </c>
      <c r="F317" s="4">
        <v>46205</v>
      </c>
      <c r="G317" s="3" t="s">
        <v>43</v>
      </c>
      <c r="H317" s="6">
        <v>-25.46</v>
      </c>
      <c r="I317" s="3" t="s">
        <v>16</v>
      </c>
      <c r="J317" s="3" t="s">
        <v>14</v>
      </c>
      <c r="K317" s="3" t="s">
        <v>14</v>
      </c>
      <c r="L317" s="3" t="s">
        <v>97</v>
      </c>
      <c r="M317" s="4">
        <v>46205</v>
      </c>
      <c r="N317" s="3" t="s">
        <v>332</v>
      </c>
      <c r="O317" s="3" t="s">
        <v>33</v>
      </c>
      <c r="P317" t="str">
        <f t="shared" si="4"/>
        <v>450013188410</v>
      </c>
      <c r="Q317" s="7" cm="1">
        <f t="array" ref="Q317:S317">VLOOKUP(P317,Hoja1!C:F,{2,3,4},FALSE)</f>
        <v>46245</v>
      </c>
      <c r="R317" t="str">
        <v>C21</v>
      </c>
      <c r="S317" t="str">
        <v>1000001020 COMBUSTIBLES BARCELO S.R.L.</v>
      </c>
      <c r="T317" t="str">
        <f>VLOOKUP(P317,Hoja2!C:D,2,FALSE)</f>
        <v>JPUPULIN</v>
      </c>
    </row>
    <row r="318" spans="1:20" x14ac:dyDescent="0.3">
      <c r="A318" s="2" t="s">
        <v>14</v>
      </c>
      <c r="B318" s="3" t="s">
        <v>14</v>
      </c>
      <c r="C318" s="3" t="s">
        <v>333</v>
      </c>
      <c r="D318" s="3" t="s">
        <v>14</v>
      </c>
      <c r="E318" s="3" t="s">
        <v>96</v>
      </c>
      <c r="F318" s="4">
        <v>46206</v>
      </c>
      <c r="G318" s="3" t="s">
        <v>43</v>
      </c>
      <c r="H318" s="6">
        <v>-10281300</v>
      </c>
      <c r="I318" s="3" t="s">
        <v>16</v>
      </c>
      <c r="J318" s="3" t="s">
        <v>14</v>
      </c>
      <c r="K318" s="3" t="s">
        <v>14</v>
      </c>
      <c r="L318" s="3" t="s">
        <v>1269</v>
      </c>
      <c r="M318" s="4">
        <v>46206</v>
      </c>
      <c r="N318" s="3" t="s">
        <v>291</v>
      </c>
      <c r="O318" s="3" t="s">
        <v>33</v>
      </c>
      <c r="P318" t="str">
        <f t="shared" si="4"/>
        <v>450012941210</v>
      </c>
      <c r="Q318" s="7" cm="1">
        <f t="array" ref="Q318:S318">VLOOKUP(P318,Hoja1!C:F,{2,3,4},FALSE)</f>
        <v>46325</v>
      </c>
      <c r="R318" t="str">
        <v>C21</v>
      </c>
      <c r="S318" t="str">
        <v>1000000634 RAIZEN ARGENTINA S.A.U.</v>
      </c>
      <c r="T318" t="str">
        <f>VLOOKUP(P318,Hoja2!C:D,2,FALSE)</f>
        <v>JPUPULIN</v>
      </c>
    </row>
    <row r="319" spans="1:20" x14ac:dyDescent="0.3">
      <c r="A319" s="2" t="s">
        <v>14</v>
      </c>
      <c r="B319" s="3" t="s">
        <v>14</v>
      </c>
      <c r="C319" s="3" t="s">
        <v>333</v>
      </c>
      <c r="D319" s="3" t="s">
        <v>14</v>
      </c>
      <c r="E319" s="3" t="s">
        <v>96</v>
      </c>
      <c r="F319" s="4">
        <v>46206</v>
      </c>
      <c r="G319" s="3" t="s">
        <v>43</v>
      </c>
      <c r="H319" s="6">
        <v>-1171750</v>
      </c>
      <c r="I319" s="3" t="s">
        <v>16</v>
      </c>
      <c r="J319" s="3" t="s">
        <v>14</v>
      </c>
      <c r="K319" s="3" t="s">
        <v>14</v>
      </c>
      <c r="L319" s="3" t="s">
        <v>1269</v>
      </c>
      <c r="M319" s="4">
        <v>46206</v>
      </c>
      <c r="N319" s="3" t="s">
        <v>291</v>
      </c>
      <c r="O319" s="3" t="s">
        <v>33</v>
      </c>
      <c r="P319" t="str">
        <f t="shared" si="4"/>
        <v>450012941210</v>
      </c>
      <c r="Q319" s="7" cm="1">
        <f t="array" ref="Q319:S319">VLOOKUP(P319,Hoja1!C:F,{2,3,4},FALSE)</f>
        <v>46325</v>
      </c>
      <c r="R319" t="str">
        <v>C21</v>
      </c>
      <c r="S319" t="str">
        <v>1000000634 RAIZEN ARGENTINA S.A.U.</v>
      </c>
      <c r="T319" t="str">
        <f>VLOOKUP(P319,Hoja2!C:D,2,FALSE)</f>
        <v>JPUPULIN</v>
      </c>
    </row>
    <row r="320" spans="1:20" x14ac:dyDescent="0.3">
      <c r="A320" s="2" t="s">
        <v>14</v>
      </c>
      <c r="B320" s="3" t="s">
        <v>14</v>
      </c>
      <c r="C320" s="3" t="s">
        <v>334</v>
      </c>
      <c r="D320" s="3" t="s">
        <v>14</v>
      </c>
      <c r="E320" s="3" t="s">
        <v>96</v>
      </c>
      <c r="F320" s="4">
        <v>46206</v>
      </c>
      <c r="G320" s="3" t="s">
        <v>43</v>
      </c>
      <c r="H320" s="6">
        <v>-19715.72</v>
      </c>
      <c r="I320" s="3" t="s">
        <v>16</v>
      </c>
      <c r="J320" s="3" t="s">
        <v>14</v>
      </c>
      <c r="K320" s="3" t="s">
        <v>14</v>
      </c>
      <c r="L320" s="3" t="s">
        <v>335</v>
      </c>
      <c r="M320" s="4">
        <v>46206</v>
      </c>
      <c r="N320" s="3" t="s">
        <v>336</v>
      </c>
      <c r="O320" s="3" t="s">
        <v>33</v>
      </c>
      <c r="P320" t="str">
        <f t="shared" si="4"/>
        <v>450013196510</v>
      </c>
      <c r="Q320" s="7" cm="1">
        <f t="array" ref="Q320:S320">VLOOKUP(P320,Hoja1!C:F,{2,3,4},FALSE)</f>
        <v>46213</v>
      </c>
      <c r="R320" t="str">
        <v>C43</v>
      </c>
      <c r="S320" t="str">
        <v>1000000183 SEGUFER S.A.</v>
      </c>
      <c r="T320" t="str">
        <f>VLOOKUP(P320,Hoja2!C:D,2,FALSE)</f>
        <v>EFUNES</v>
      </c>
    </row>
    <row r="321" spans="1:20" x14ac:dyDescent="0.3">
      <c r="A321" s="2" t="s">
        <v>14</v>
      </c>
      <c r="B321" s="3" t="s">
        <v>14</v>
      </c>
      <c r="C321" s="3" t="s">
        <v>334</v>
      </c>
      <c r="D321" s="3" t="s">
        <v>14</v>
      </c>
      <c r="E321" s="3" t="s">
        <v>96</v>
      </c>
      <c r="F321" s="4">
        <v>46206</v>
      </c>
      <c r="G321" s="3" t="s">
        <v>43</v>
      </c>
      <c r="H321" s="6">
        <v>-24804.12</v>
      </c>
      <c r="I321" s="3" t="s">
        <v>16</v>
      </c>
      <c r="J321" s="3" t="s">
        <v>14</v>
      </c>
      <c r="K321" s="3" t="s">
        <v>14</v>
      </c>
      <c r="L321" s="3" t="s">
        <v>335</v>
      </c>
      <c r="M321" s="4">
        <v>46206</v>
      </c>
      <c r="N321" s="3" t="s">
        <v>336</v>
      </c>
      <c r="O321" s="3" t="s">
        <v>20</v>
      </c>
      <c r="P321" t="str">
        <f t="shared" si="4"/>
        <v>450013196520</v>
      </c>
      <c r="Q321" s="7" cm="1">
        <f t="array" ref="Q321:S321">VLOOKUP(P321,Hoja1!C:F,{2,3,4},FALSE)</f>
        <v>46213</v>
      </c>
      <c r="R321" t="str">
        <v>C43</v>
      </c>
      <c r="S321" t="str">
        <v>1000000183 SEGUFER S.A.</v>
      </c>
      <c r="T321" t="str">
        <f>VLOOKUP(P321,Hoja2!C:D,2,FALSE)</f>
        <v>EFUNES</v>
      </c>
    </row>
    <row r="322" spans="1:20" x14ac:dyDescent="0.3">
      <c r="A322" s="2" t="s">
        <v>14</v>
      </c>
      <c r="B322" s="3" t="s">
        <v>14</v>
      </c>
      <c r="C322" s="3" t="s">
        <v>337</v>
      </c>
      <c r="D322" s="3" t="s">
        <v>14</v>
      </c>
      <c r="E322" s="3" t="s">
        <v>96</v>
      </c>
      <c r="F322" s="4">
        <v>46206</v>
      </c>
      <c r="G322" s="3" t="s">
        <v>43</v>
      </c>
      <c r="H322" s="6">
        <v>-330723.12</v>
      </c>
      <c r="I322" s="3" t="s">
        <v>16</v>
      </c>
      <c r="J322" s="3" t="s">
        <v>14</v>
      </c>
      <c r="K322" s="3" t="s">
        <v>14</v>
      </c>
      <c r="L322" s="3" t="s">
        <v>148</v>
      </c>
      <c r="M322" s="4">
        <v>46210</v>
      </c>
      <c r="N322" s="3" t="s">
        <v>338</v>
      </c>
      <c r="O322" s="3" t="s">
        <v>21</v>
      </c>
      <c r="P322" t="str">
        <f t="shared" si="4"/>
        <v>450013023830</v>
      </c>
      <c r="Q322" s="7" cm="1">
        <f t="array" ref="Q322:S322">VLOOKUP(P322,Hoja1!C:F,{2,3,4},FALSE)</f>
        <v>46206</v>
      </c>
      <c r="R322" t="str">
        <v>C03</v>
      </c>
      <c r="S322" t="str">
        <v>1000000062 FINNING ARGENTINA S.A.</v>
      </c>
      <c r="T322" t="str">
        <f>VLOOKUP(P322,Hoja2!C:D,2,FALSE)</f>
        <v>RPEREZ</v>
      </c>
    </row>
    <row r="323" spans="1:20" x14ac:dyDescent="0.3">
      <c r="A323" s="2" t="s">
        <v>14</v>
      </c>
      <c r="B323" s="3" t="s">
        <v>14</v>
      </c>
      <c r="C323" s="3" t="s">
        <v>337</v>
      </c>
      <c r="D323" s="3" t="s">
        <v>14</v>
      </c>
      <c r="E323" s="3" t="s">
        <v>96</v>
      </c>
      <c r="F323" s="4">
        <v>46206</v>
      </c>
      <c r="G323" s="3" t="s">
        <v>43</v>
      </c>
      <c r="H323" s="6">
        <v>-165361.56</v>
      </c>
      <c r="I323" s="3" t="s">
        <v>16</v>
      </c>
      <c r="J323" s="3" t="s">
        <v>14</v>
      </c>
      <c r="K323" s="3" t="s">
        <v>14</v>
      </c>
      <c r="L323" s="3" t="s">
        <v>148</v>
      </c>
      <c r="M323" s="4">
        <v>46210</v>
      </c>
      <c r="N323" s="3" t="s">
        <v>338</v>
      </c>
      <c r="O323" s="3" t="s">
        <v>25</v>
      </c>
      <c r="P323" t="str">
        <f t="shared" ref="P323:P386" si="5">_xlfn.CONCAT(N323:O323)</f>
        <v>450013023840</v>
      </c>
      <c r="Q323" s="7" cm="1">
        <f t="array" ref="Q323:S323">VLOOKUP(P323,Hoja1!C:F,{2,3,4},FALSE)</f>
        <v>46206</v>
      </c>
      <c r="R323" t="str">
        <v>C03</v>
      </c>
      <c r="S323" t="str">
        <v>1000000062 FINNING ARGENTINA S.A.</v>
      </c>
      <c r="T323" t="str">
        <f>VLOOKUP(P323,Hoja2!C:D,2,FALSE)</f>
        <v>RPEREZ</v>
      </c>
    </row>
    <row r="324" spans="1:20" x14ac:dyDescent="0.3">
      <c r="A324" s="2" t="s">
        <v>14</v>
      </c>
      <c r="B324" s="3" t="s">
        <v>14</v>
      </c>
      <c r="C324" s="3" t="s">
        <v>339</v>
      </c>
      <c r="D324" s="3" t="s">
        <v>14</v>
      </c>
      <c r="E324" s="3" t="s">
        <v>96</v>
      </c>
      <c r="F324" s="4">
        <v>46210</v>
      </c>
      <c r="G324" s="3" t="s">
        <v>43</v>
      </c>
      <c r="H324" s="6">
        <v>-888000</v>
      </c>
      <c r="I324" s="3" t="s">
        <v>16</v>
      </c>
      <c r="J324" s="3" t="s">
        <v>14</v>
      </c>
      <c r="K324" s="3" t="s">
        <v>14</v>
      </c>
      <c r="L324" s="3" t="s">
        <v>340</v>
      </c>
      <c r="M324" s="4">
        <v>46211</v>
      </c>
      <c r="N324" s="3" t="s">
        <v>341</v>
      </c>
      <c r="O324" s="3" t="s">
        <v>33</v>
      </c>
      <c r="P324" t="str">
        <f t="shared" si="5"/>
        <v>450013169610</v>
      </c>
      <c r="Q324" s="7" cm="1">
        <f t="array" ref="Q324:S324">VLOOKUP(P324,Hoja1!C:F,{2,3,4},FALSE)</f>
        <v>46213</v>
      </c>
      <c r="R324" t="str">
        <v>C43</v>
      </c>
      <c r="S324" t="str">
        <v>1000008168 MADERAS GÜIDO SRL</v>
      </c>
      <c r="T324" t="str">
        <f>VLOOKUP(P324,Hoja2!C:D,2,FALSE)</f>
        <v>EFUNES</v>
      </c>
    </row>
    <row r="325" spans="1:20" x14ac:dyDescent="0.3">
      <c r="A325" s="2" t="s">
        <v>14</v>
      </c>
      <c r="B325" s="3" t="s">
        <v>14</v>
      </c>
      <c r="C325" s="3" t="s">
        <v>342</v>
      </c>
      <c r="D325" s="3" t="s">
        <v>14</v>
      </c>
      <c r="E325" s="3" t="s">
        <v>96</v>
      </c>
      <c r="F325" s="4">
        <v>46211</v>
      </c>
      <c r="G325" s="3" t="s">
        <v>43</v>
      </c>
      <c r="H325" s="6">
        <v>-218752.16</v>
      </c>
      <c r="I325" s="3" t="s">
        <v>16</v>
      </c>
      <c r="J325" s="3" t="s">
        <v>14</v>
      </c>
      <c r="K325" s="3" t="s">
        <v>14</v>
      </c>
      <c r="L325" s="3" t="s">
        <v>65</v>
      </c>
      <c r="M325" s="4">
        <v>46211</v>
      </c>
      <c r="N325" s="3" t="s">
        <v>343</v>
      </c>
      <c r="O325" s="3" t="s">
        <v>33</v>
      </c>
      <c r="P325" t="str">
        <f t="shared" si="5"/>
        <v>450013225710</v>
      </c>
      <c r="Q325" s="7" cm="1">
        <f t="array" ref="Q325:S325">VLOOKUP(P325,Hoja1!C:F,{2,3,4},FALSE)</f>
        <v>46231</v>
      </c>
      <c r="R325" t="str">
        <v>C43</v>
      </c>
      <c r="S325" t="str">
        <v>1000003378 PINTURERIA CENTRAL SRL</v>
      </c>
      <c r="T325" t="str">
        <f>VLOOKUP(P325,Hoja2!C:D,2,FALSE)</f>
        <v>EFUNES</v>
      </c>
    </row>
    <row r="326" spans="1:20" x14ac:dyDescent="0.3">
      <c r="A326" s="2" t="s">
        <v>14</v>
      </c>
      <c r="B326" s="3" t="s">
        <v>14</v>
      </c>
      <c r="C326" s="3" t="s">
        <v>344</v>
      </c>
      <c r="D326" s="3" t="s">
        <v>14</v>
      </c>
      <c r="E326" s="3" t="s">
        <v>96</v>
      </c>
      <c r="F326" s="4">
        <v>46212</v>
      </c>
      <c r="G326" s="3" t="s">
        <v>43</v>
      </c>
      <c r="H326" s="6">
        <v>-10042200</v>
      </c>
      <c r="I326" s="3" t="s">
        <v>16</v>
      </c>
      <c r="J326" s="3" t="s">
        <v>14</v>
      </c>
      <c r="K326" s="3" t="s">
        <v>14</v>
      </c>
      <c r="L326" s="3" t="s">
        <v>1269</v>
      </c>
      <c r="M326" s="4">
        <v>46212</v>
      </c>
      <c r="N326" s="3" t="s">
        <v>291</v>
      </c>
      <c r="O326" s="3" t="s">
        <v>33</v>
      </c>
      <c r="P326" t="str">
        <f t="shared" si="5"/>
        <v>450012941210</v>
      </c>
      <c r="Q326" s="7" cm="1">
        <f t="array" ref="Q326:S326">VLOOKUP(P326,Hoja1!C:F,{2,3,4},FALSE)</f>
        <v>46325</v>
      </c>
      <c r="R326" t="str">
        <v>C21</v>
      </c>
      <c r="S326" t="str">
        <v>1000000634 RAIZEN ARGENTINA S.A.U.</v>
      </c>
      <c r="T326" t="str">
        <f>VLOOKUP(P326,Hoja2!C:D,2,FALSE)</f>
        <v>JPUPULIN</v>
      </c>
    </row>
    <row r="327" spans="1:20" x14ac:dyDescent="0.3">
      <c r="A327" s="2" t="s">
        <v>14</v>
      </c>
      <c r="B327" s="3" t="s">
        <v>14</v>
      </c>
      <c r="C327" s="3" t="s">
        <v>344</v>
      </c>
      <c r="D327" s="3" t="s">
        <v>14</v>
      </c>
      <c r="E327" s="3" t="s">
        <v>96</v>
      </c>
      <c r="F327" s="4">
        <v>46212</v>
      </c>
      <c r="G327" s="3" t="s">
        <v>43</v>
      </c>
      <c r="H327" s="6">
        <v>-1144500</v>
      </c>
      <c r="I327" s="3" t="s">
        <v>16</v>
      </c>
      <c r="J327" s="3" t="s">
        <v>14</v>
      </c>
      <c r="K327" s="3" t="s">
        <v>14</v>
      </c>
      <c r="L327" s="3" t="s">
        <v>1269</v>
      </c>
      <c r="M327" s="4">
        <v>46212</v>
      </c>
      <c r="N327" s="3" t="s">
        <v>291</v>
      </c>
      <c r="O327" s="3" t="s">
        <v>33</v>
      </c>
      <c r="P327" t="str">
        <f t="shared" si="5"/>
        <v>450012941210</v>
      </c>
      <c r="Q327" s="7" cm="1">
        <f t="array" ref="Q327:S327">VLOOKUP(P327,Hoja1!C:F,{2,3,4},FALSE)</f>
        <v>46325</v>
      </c>
      <c r="R327" t="str">
        <v>C21</v>
      </c>
      <c r="S327" t="str">
        <v>1000000634 RAIZEN ARGENTINA S.A.U.</v>
      </c>
      <c r="T327" t="str">
        <f>VLOOKUP(P327,Hoja2!C:D,2,FALSE)</f>
        <v>JPUPULIN</v>
      </c>
    </row>
    <row r="328" spans="1:20" x14ac:dyDescent="0.3">
      <c r="A328" s="2" t="s">
        <v>14</v>
      </c>
      <c r="B328" s="3" t="s">
        <v>14</v>
      </c>
      <c r="C328" s="3" t="s">
        <v>345</v>
      </c>
      <c r="D328" s="3" t="s">
        <v>14</v>
      </c>
      <c r="E328" s="3" t="s">
        <v>96</v>
      </c>
      <c r="F328" s="4">
        <v>46217</v>
      </c>
      <c r="G328" s="3" t="s">
        <v>43</v>
      </c>
      <c r="H328" s="6">
        <v>-818181.82</v>
      </c>
      <c r="I328" s="3" t="s">
        <v>16</v>
      </c>
      <c r="J328" s="3" t="s">
        <v>14</v>
      </c>
      <c r="K328" s="3" t="s">
        <v>14</v>
      </c>
      <c r="L328" s="3" t="s">
        <v>346</v>
      </c>
      <c r="M328" s="4">
        <v>46217</v>
      </c>
      <c r="N328" s="3" t="s">
        <v>347</v>
      </c>
      <c r="O328" s="3" t="s">
        <v>33</v>
      </c>
      <c r="P328" t="str">
        <f t="shared" si="5"/>
        <v>450012187310</v>
      </c>
      <c r="Q328" s="7" cm="1">
        <f t="array" ref="Q328:S328">VLOOKUP(P328,Hoja1!C:F,{2,3,4},FALSE)</f>
        <v>46095</v>
      </c>
      <c r="R328" t="str">
        <v>EFO</v>
      </c>
      <c r="S328" t="str">
        <v>1000009851 CUPER S. R. L.</v>
      </c>
      <c r="T328" t="str">
        <f>VLOOKUP(P328,Hoja2!C:D,2,FALSE)</f>
        <v>GROSES</v>
      </c>
    </row>
    <row r="329" spans="1:20" x14ac:dyDescent="0.3">
      <c r="A329" s="2" t="s">
        <v>14</v>
      </c>
      <c r="B329" s="3" t="s">
        <v>14</v>
      </c>
      <c r="C329" s="3" t="s">
        <v>348</v>
      </c>
      <c r="D329" s="3" t="s">
        <v>14</v>
      </c>
      <c r="E329" s="3" t="s">
        <v>96</v>
      </c>
      <c r="F329" s="4">
        <v>46217</v>
      </c>
      <c r="G329" s="3" t="s">
        <v>43</v>
      </c>
      <c r="H329" s="6">
        <v>-10281300</v>
      </c>
      <c r="I329" s="3" t="s">
        <v>16</v>
      </c>
      <c r="J329" s="3" t="s">
        <v>14</v>
      </c>
      <c r="K329" s="3" t="s">
        <v>14</v>
      </c>
      <c r="L329" s="3" t="s">
        <v>1269</v>
      </c>
      <c r="M329" s="4">
        <v>46217</v>
      </c>
      <c r="N329" s="3" t="s">
        <v>291</v>
      </c>
      <c r="O329" s="3" t="s">
        <v>33</v>
      </c>
      <c r="P329" t="str">
        <f t="shared" si="5"/>
        <v>450012941210</v>
      </c>
      <c r="Q329" s="7" cm="1">
        <f t="array" ref="Q329:S329">VLOOKUP(P329,Hoja1!C:F,{2,3,4},FALSE)</f>
        <v>46325</v>
      </c>
      <c r="R329" t="str">
        <v>C21</v>
      </c>
      <c r="S329" t="str">
        <v>1000000634 RAIZEN ARGENTINA S.A.U.</v>
      </c>
      <c r="T329" t="str">
        <f>VLOOKUP(P329,Hoja2!C:D,2,FALSE)</f>
        <v>JPUPULIN</v>
      </c>
    </row>
    <row r="330" spans="1:20" x14ac:dyDescent="0.3">
      <c r="A330" s="2" t="s">
        <v>14</v>
      </c>
      <c r="B330" s="3" t="s">
        <v>14</v>
      </c>
      <c r="C330" s="3" t="s">
        <v>348</v>
      </c>
      <c r="D330" s="3" t="s">
        <v>14</v>
      </c>
      <c r="E330" s="3" t="s">
        <v>96</v>
      </c>
      <c r="F330" s="4">
        <v>46217</v>
      </c>
      <c r="G330" s="3" t="s">
        <v>43</v>
      </c>
      <c r="H330" s="6">
        <v>-1171750</v>
      </c>
      <c r="I330" s="3" t="s">
        <v>16</v>
      </c>
      <c r="J330" s="3" t="s">
        <v>14</v>
      </c>
      <c r="K330" s="3" t="s">
        <v>14</v>
      </c>
      <c r="L330" s="3" t="s">
        <v>1269</v>
      </c>
      <c r="M330" s="4">
        <v>46217</v>
      </c>
      <c r="N330" s="3" t="s">
        <v>291</v>
      </c>
      <c r="O330" s="3" t="s">
        <v>33</v>
      </c>
      <c r="P330" t="str">
        <f t="shared" si="5"/>
        <v>450012941210</v>
      </c>
      <c r="Q330" s="7" cm="1">
        <f t="array" ref="Q330:S330">VLOOKUP(P330,Hoja1!C:F,{2,3,4},FALSE)</f>
        <v>46325</v>
      </c>
      <c r="R330" t="str">
        <v>C21</v>
      </c>
      <c r="S330" t="str">
        <v>1000000634 RAIZEN ARGENTINA S.A.U.</v>
      </c>
      <c r="T330" t="str">
        <f>VLOOKUP(P330,Hoja2!C:D,2,FALSE)</f>
        <v>JPUPULIN</v>
      </c>
    </row>
    <row r="331" spans="1:20" x14ac:dyDescent="0.3">
      <c r="A331" s="2" t="s">
        <v>14</v>
      </c>
      <c r="B331" s="3" t="s">
        <v>14</v>
      </c>
      <c r="C331" s="3" t="s">
        <v>349</v>
      </c>
      <c r="D331" s="3" t="s">
        <v>14</v>
      </c>
      <c r="E331" s="3" t="s">
        <v>96</v>
      </c>
      <c r="F331" s="4">
        <v>46219</v>
      </c>
      <c r="G331" s="3" t="s">
        <v>43</v>
      </c>
      <c r="H331" s="6">
        <v>-10281300</v>
      </c>
      <c r="I331" s="3" t="s">
        <v>16</v>
      </c>
      <c r="J331" s="3" t="s">
        <v>14</v>
      </c>
      <c r="K331" s="3" t="s">
        <v>14</v>
      </c>
      <c r="L331" s="3" t="s">
        <v>1269</v>
      </c>
      <c r="M331" s="4">
        <v>46219</v>
      </c>
      <c r="N331" s="3" t="s">
        <v>291</v>
      </c>
      <c r="O331" s="3" t="s">
        <v>33</v>
      </c>
      <c r="P331" t="str">
        <f t="shared" si="5"/>
        <v>450012941210</v>
      </c>
      <c r="Q331" s="7" cm="1">
        <f t="array" ref="Q331:S331">VLOOKUP(P331,Hoja1!C:F,{2,3,4},FALSE)</f>
        <v>46325</v>
      </c>
      <c r="R331" t="str">
        <v>C21</v>
      </c>
      <c r="S331" t="str">
        <v>1000000634 RAIZEN ARGENTINA S.A.U.</v>
      </c>
      <c r="T331" t="str">
        <f>VLOOKUP(P331,Hoja2!C:D,2,FALSE)</f>
        <v>JPUPULIN</v>
      </c>
    </row>
    <row r="332" spans="1:20" x14ac:dyDescent="0.3">
      <c r="A332" s="2" t="s">
        <v>14</v>
      </c>
      <c r="B332" s="3" t="s">
        <v>14</v>
      </c>
      <c r="C332" s="3" t="s">
        <v>349</v>
      </c>
      <c r="D332" s="3" t="s">
        <v>14</v>
      </c>
      <c r="E332" s="3" t="s">
        <v>96</v>
      </c>
      <c r="F332" s="4">
        <v>46219</v>
      </c>
      <c r="G332" s="3" t="s">
        <v>43</v>
      </c>
      <c r="H332" s="6">
        <v>-1171750</v>
      </c>
      <c r="I332" s="3" t="s">
        <v>16</v>
      </c>
      <c r="J332" s="3" t="s">
        <v>14</v>
      </c>
      <c r="K332" s="3" t="s">
        <v>14</v>
      </c>
      <c r="L332" s="3" t="s">
        <v>1269</v>
      </c>
      <c r="M332" s="4">
        <v>46219</v>
      </c>
      <c r="N332" s="3" t="s">
        <v>291</v>
      </c>
      <c r="O332" s="3" t="s">
        <v>33</v>
      </c>
      <c r="P332" t="str">
        <f t="shared" si="5"/>
        <v>450012941210</v>
      </c>
      <c r="Q332" s="7" cm="1">
        <f t="array" ref="Q332:S332">VLOOKUP(P332,Hoja1!C:F,{2,3,4},FALSE)</f>
        <v>46325</v>
      </c>
      <c r="R332" t="str">
        <v>C21</v>
      </c>
      <c r="S332" t="str">
        <v>1000000634 RAIZEN ARGENTINA S.A.U.</v>
      </c>
      <c r="T332" t="str">
        <f>VLOOKUP(P332,Hoja2!C:D,2,FALSE)</f>
        <v>JPUPULIN</v>
      </c>
    </row>
    <row r="333" spans="1:20" x14ac:dyDescent="0.3">
      <c r="A333" s="2" t="s">
        <v>14</v>
      </c>
      <c r="B333" s="3" t="s">
        <v>14</v>
      </c>
      <c r="C333" s="3" t="s">
        <v>350</v>
      </c>
      <c r="D333" s="3" t="s">
        <v>14</v>
      </c>
      <c r="E333" s="3" t="s">
        <v>96</v>
      </c>
      <c r="F333" s="4">
        <v>46224</v>
      </c>
      <c r="G333" s="3" t="s">
        <v>43</v>
      </c>
      <c r="H333" s="6">
        <v>-184304.4</v>
      </c>
      <c r="I333" s="3" t="s">
        <v>16</v>
      </c>
      <c r="J333" s="3" t="s">
        <v>14</v>
      </c>
      <c r="K333" s="3" t="s">
        <v>14</v>
      </c>
      <c r="L333" s="3" t="s">
        <v>65</v>
      </c>
      <c r="M333" s="4">
        <v>46224</v>
      </c>
      <c r="N333" s="3" t="s">
        <v>351</v>
      </c>
      <c r="O333" s="3" t="s">
        <v>33</v>
      </c>
      <c r="P333" t="str">
        <f t="shared" si="5"/>
        <v>450013317710</v>
      </c>
      <c r="Q333" s="7" cm="1">
        <f t="array" ref="Q333:S333">VLOOKUP(P333,Hoja1!C:F,{2,3,4},FALSE)</f>
        <v>46301</v>
      </c>
      <c r="R333" t="str">
        <v>C43</v>
      </c>
      <c r="S333" t="str">
        <v>1000003378 PINTURERIA CENTRAL SRL</v>
      </c>
      <c r="T333" t="str">
        <f>VLOOKUP(P333,Hoja2!C:D,2,FALSE)</f>
        <v>EFUNES</v>
      </c>
    </row>
    <row r="334" spans="1:20" x14ac:dyDescent="0.3">
      <c r="A334" s="2" t="s">
        <v>14</v>
      </c>
      <c r="B334" s="3" t="s">
        <v>14</v>
      </c>
      <c r="C334" s="3" t="s">
        <v>352</v>
      </c>
      <c r="D334" s="3" t="s">
        <v>14</v>
      </c>
      <c r="E334" s="3" t="s">
        <v>96</v>
      </c>
      <c r="F334" s="4">
        <v>46223</v>
      </c>
      <c r="G334" s="3" t="s">
        <v>43</v>
      </c>
      <c r="H334" s="6">
        <v>-540628</v>
      </c>
      <c r="I334" s="3" t="s">
        <v>16</v>
      </c>
      <c r="J334" s="3" t="s">
        <v>14</v>
      </c>
      <c r="K334" s="3" t="s">
        <v>14</v>
      </c>
      <c r="L334" s="3" t="s">
        <v>97</v>
      </c>
      <c r="M334" s="4">
        <v>46224</v>
      </c>
      <c r="N334" s="3" t="s">
        <v>353</v>
      </c>
      <c r="O334" s="3" t="s">
        <v>33</v>
      </c>
      <c r="P334" t="str">
        <f t="shared" si="5"/>
        <v>450013040410</v>
      </c>
      <c r="Q334" s="7" cm="1">
        <f t="array" ref="Q334:S334">VLOOKUP(P334,Hoja1!C:F,{2,3,4},FALSE)</f>
        <v>46296</v>
      </c>
      <c r="R334" t="str">
        <v>C21</v>
      </c>
      <c r="S334" t="str">
        <v>1000001020 COMBUSTIBLES BARCELO S.R.L.</v>
      </c>
      <c r="T334" t="str">
        <f>VLOOKUP(P334,Hoja2!C:D,2,FALSE)</f>
        <v>JPUPULIN</v>
      </c>
    </row>
    <row r="335" spans="1:20" x14ac:dyDescent="0.3">
      <c r="A335" s="2" t="s">
        <v>14</v>
      </c>
      <c r="B335" s="3" t="s">
        <v>14</v>
      </c>
      <c r="C335" s="3" t="s">
        <v>352</v>
      </c>
      <c r="D335" s="3" t="s">
        <v>14</v>
      </c>
      <c r="E335" s="3" t="s">
        <v>96</v>
      </c>
      <c r="F335" s="4">
        <v>46223</v>
      </c>
      <c r="G335" s="3" t="s">
        <v>43</v>
      </c>
      <c r="H335" s="6">
        <v>-61622</v>
      </c>
      <c r="I335" s="3" t="s">
        <v>16</v>
      </c>
      <c r="J335" s="3" t="s">
        <v>14</v>
      </c>
      <c r="K335" s="3" t="s">
        <v>14</v>
      </c>
      <c r="L335" s="3" t="s">
        <v>97</v>
      </c>
      <c r="M335" s="4">
        <v>46224</v>
      </c>
      <c r="N335" s="3" t="s">
        <v>353</v>
      </c>
      <c r="O335" s="3" t="s">
        <v>33</v>
      </c>
      <c r="P335" t="str">
        <f t="shared" si="5"/>
        <v>450013040410</v>
      </c>
      <c r="Q335" s="7" cm="1">
        <f t="array" ref="Q335:S335">VLOOKUP(P335,Hoja1!C:F,{2,3,4},FALSE)</f>
        <v>46296</v>
      </c>
      <c r="R335" t="str">
        <v>C21</v>
      </c>
      <c r="S335" t="str">
        <v>1000001020 COMBUSTIBLES BARCELO S.R.L.</v>
      </c>
      <c r="T335" t="str">
        <f>VLOOKUP(P335,Hoja2!C:D,2,FALSE)</f>
        <v>JPUPULIN</v>
      </c>
    </row>
    <row r="336" spans="1:20" x14ac:dyDescent="0.3">
      <c r="A336" s="2" t="s">
        <v>14</v>
      </c>
      <c r="B336" s="3" t="s">
        <v>14</v>
      </c>
      <c r="C336" s="3" t="s">
        <v>354</v>
      </c>
      <c r="D336" s="3" t="s">
        <v>14</v>
      </c>
      <c r="E336" s="3" t="s">
        <v>96</v>
      </c>
      <c r="F336" s="4">
        <v>46223</v>
      </c>
      <c r="G336" s="3" t="s">
        <v>43</v>
      </c>
      <c r="H336" s="6">
        <v>-64463.99</v>
      </c>
      <c r="I336" s="3" t="s">
        <v>16</v>
      </c>
      <c r="J336" s="3" t="s">
        <v>14</v>
      </c>
      <c r="K336" s="3" t="s">
        <v>14</v>
      </c>
      <c r="L336" s="3" t="s">
        <v>18</v>
      </c>
      <c r="M336" s="4">
        <v>46224</v>
      </c>
      <c r="N336" s="3" t="s">
        <v>355</v>
      </c>
      <c r="O336" s="3" t="s">
        <v>33</v>
      </c>
      <c r="P336" t="str">
        <f t="shared" si="5"/>
        <v>450013213710</v>
      </c>
      <c r="Q336" s="7" cm="1">
        <f t="array" ref="Q336:S336">VLOOKUP(P336,Hoja1!C:F,{2,3,4},FALSE)</f>
        <v>46226</v>
      </c>
      <c r="R336" t="str">
        <v>C29</v>
      </c>
      <c r="S336" t="str">
        <v>1000001470 SUDAMERICANA CAMIONES SA</v>
      </c>
      <c r="T336" t="str">
        <f>VLOOKUP(P336,Hoja2!C:D,2,FALSE)</f>
        <v>FBERARDO</v>
      </c>
    </row>
    <row r="337" spans="1:20" x14ac:dyDescent="0.3">
      <c r="A337" s="2" t="s">
        <v>14</v>
      </c>
      <c r="B337" s="3" t="s">
        <v>14</v>
      </c>
      <c r="C337" s="3" t="s">
        <v>354</v>
      </c>
      <c r="D337" s="3" t="s">
        <v>14</v>
      </c>
      <c r="E337" s="3" t="s">
        <v>96</v>
      </c>
      <c r="F337" s="4">
        <v>46223</v>
      </c>
      <c r="G337" s="3" t="s">
        <v>43</v>
      </c>
      <c r="H337" s="6">
        <v>-411589.14</v>
      </c>
      <c r="I337" s="3" t="s">
        <v>16</v>
      </c>
      <c r="J337" s="3" t="s">
        <v>14</v>
      </c>
      <c r="K337" s="3" t="s">
        <v>14</v>
      </c>
      <c r="L337" s="3" t="s">
        <v>18</v>
      </c>
      <c r="M337" s="4">
        <v>46224</v>
      </c>
      <c r="N337" s="3" t="s">
        <v>355</v>
      </c>
      <c r="O337" s="3" t="s">
        <v>22</v>
      </c>
      <c r="P337" t="str">
        <f t="shared" si="5"/>
        <v>450013213750</v>
      </c>
      <c r="Q337" s="7" cm="1">
        <f t="array" ref="Q337:S337">VLOOKUP(P337,Hoja1!C:F,{2,3,4},FALSE)</f>
        <v>46226</v>
      </c>
      <c r="R337" t="str">
        <v>C29</v>
      </c>
      <c r="S337" t="str">
        <v>1000001470 SUDAMERICANA CAMIONES SA</v>
      </c>
      <c r="T337" t="str">
        <f>VLOOKUP(P337,Hoja2!C:D,2,FALSE)</f>
        <v>FBERARDO</v>
      </c>
    </row>
    <row r="338" spans="1:20" x14ac:dyDescent="0.3">
      <c r="A338" s="2" t="s">
        <v>14</v>
      </c>
      <c r="B338" s="3" t="s">
        <v>14</v>
      </c>
      <c r="C338" s="3" t="s">
        <v>356</v>
      </c>
      <c r="D338" s="3" t="s">
        <v>14</v>
      </c>
      <c r="E338" s="3" t="s">
        <v>96</v>
      </c>
      <c r="F338" s="4">
        <v>46225</v>
      </c>
      <c r="G338" s="3" t="s">
        <v>43</v>
      </c>
      <c r="H338" s="6">
        <v>-722355.37</v>
      </c>
      <c r="I338" s="3" t="s">
        <v>16</v>
      </c>
      <c r="J338" s="3" t="s">
        <v>14</v>
      </c>
      <c r="K338" s="3" t="s">
        <v>14</v>
      </c>
      <c r="L338" s="3" t="s">
        <v>346</v>
      </c>
      <c r="M338" s="4">
        <v>46225</v>
      </c>
      <c r="N338" s="3" t="s">
        <v>357</v>
      </c>
      <c r="O338" s="3" t="s">
        <v>33</v>
      </c>
      <c r="P338" t="str">
        <f t="shared" si="5"/>
        <v>450013334610</v>
      </c>
      <c r="Q338" s="7" cm="1">
        <f t="array" ref="Q338:S338">VLOOKUP(P338,Hoja1!C:F,{2,3,4},FALSE)</f>
        <v>46228</v>
      </c>
      <c r="R338" t="str">
        <v>C39</v>
      </c>
      <c r="S338" t="str">
        <v>1000009851 CUPER S. R. L.</v>
      </c>
      <c r="T338" t="str">
        <f>VLOOKUP(P338,Hoja2!C:D,2,FALSE)</f>
        <v>EFUNES</v>
      </c>
    </row>
    <row r="339" spans="1:20" x14ac:dyDescent="0.3">
      <c r="A339" s="2" t="s">
        <v>14</v>
      </c>
      <c r="B339" s="3" t="s">
        <v>14</v>
      </c>
      <c r="C339" s="3" t="s">
        <v>358</v>
      </c>
      <c r="D339" s="3" t="s">
        <v>14</v>
      </c>
      <c r="E339" s="3" t="s">
        <v>96</v>
      </c>
      <c r="F339" s="4">
        <v>46225</v>
      </c>
      <c r="G339" s="3" t="s">
        <v>43</v>
      </c>
      <c r="H339" s="6">
        <v>-10042200</v>
      </c>
      <c r="I339" s="3" t="s">
        <v>16</v>
      </c>
      <c r="J339" s="3" t="s">
        <v>14</v>
      </c>
      <c r="K339" s="3" t="s">
        <v>14</v>
      </c>
      <c r="L339" s="3" t="s">
        <v>1269</v>
      </c>
      <c r="M339" s="4">
        <v>46225</v>
      </c>
      <c r="N339" s="3" t="s">
        <v>291</v>
      </c>
      <c r="O339" s="3" t="s">
        <v>33</v>
      </c>
      <c r="P339" t="str">
        <f t="shared" si="5"/>
        <v>450012941210</v>
      </c>
      <c r="Q339" s="7" cm="1">
        <f t="array" ref="Q339:S339">VLOOKUP(P339,Hoja1!C:F,{2,3,4},FALSE)</f>
        <v>46325</v>
      </c>
      <c r="R339" t="str">
        <v>C21</v>
      </c>
      <c r="S339" t="str">
        <v>1000000634 RAIZEN ARGENTINA S.A.U.</v>
      </c>
      <c r="T339" t="str">
        <f>VLOOKUP(P339,Hoja2!C:D,2,FALSE)</f>
        <v>JPUPULIN</v>
      </c>
    </row>
    <row r="340" spans="1:20" x14ac:dyDescent="0.3">
      <c r="A340" s="2" t="s">
        <v>14</v>
      </c>
      <c r="B340" s="3" t="s">
        <v>14</v>
      </c>
      <c r="C340" s="3" t="s">
        <v>358</v>
      </c>
      <c r="D340" s="3" t="s">
        <v>14</v>
      </c>
      <c r="E340" s="3" t="s">
        <v>96</v>
      </c>
      <c r="F340" s="4">
        <v>46225</v>
      </c>
      <c r="G340" s="3" t="s">
        <v>43</v>
      </c>
      <c r="H340" s="6">
        <v>-1144500</v>
      </c>
      <c r="I340" s="3" t="s">
        <v>16</v>
      </c>
      <c r="J340" s="3" t="s">
        <v>14</v>
      </c>
      <c r="K340" s="3" t="s">
        <v>14</v>
      </c>
      <c r="L340" s="3" t="s">
        <v>1269</v>
      </c>
      <c r="M340" s="4">
        <v>46225</v>
      </c>
      <c r="N340" s="3" t="s">
        <v>291</v>
      </c>
      <c r="O340" s="3" t="s">
        <v>33</v>
      </c>
      <c r="P340" t="str">
        <f t="shared" si="5"/>
        <v>450012941210</v>
      </c>
      <c r="Q340" s="7" cm="1">
        <f t="array" ref="Q340:S340">VLOOKUP(P340,Hoja1!C:F,{2,3,4},FALSE)</f>
        <v>46325</v>
      </c>
      <c r="R340" t="str">
        <v>C21</v>
      </c>
      <c r="S340" t="str">
        <v>1000000634 RAIZEN ARGENTINA S.A.U.</v>
      </c>
      <c r="T340" t="str">
        <f>VLOOKUP(P340,Hoja2!C:D,2,FALSE)</f>
        <v>JPUPULIN</v>
      </c>
    </row>
    <row r="341" spans="1:20" x14ac:dyDescent="0.3">
      <c r="A341" s="2" t="s">
        <v>14</v>
      </c>
      <c r="B341" s="3" t="s">
        <v>14</v>
      </c>
      <c r="C341" s="3" t="s">
        <v>359</v>
      </c>
      <c r="D341" s="3" t="s">
        <v>14</v>
      </c>
      <c r="E341" s="3" t="s">
        <v>96</v>
      </c>
      <c r="F341" s="4">
        <v>46225</v>
      </c>
      <c r="G341" s="3" t="s">
        <v>43</v>
      </c>
      <c r="H341" s="6">
        <v>-204752.07</v>
      </c>
      <c r="I341" s="3" t="s">
        <v>16</v>
      </c>
      <c r="J341" s="3" t="s">
        <v>14</v>
      </c>
      <c r="K341" s="3" t="s">
        <v>14</v>
      </c>
      <c r="L341" s="3" t="s">
        <v>346</v>
      </c>
      <c r="M341" s="4">
        <v>46225</v>
      </c>
      <c r="N341" s="3" t="s">
        <v>360</v>
      </c>
      <c r="O341" s="3" t="s">
        <v>33</v>
      </c>
      <c r="P341" t="str">
        <f t="shared" si="5"/>
        <v>450013346210</v>
      </c>
      <c r="Q341" s="7" cm="1">
        <f t="array" ref="Q341:S341">VLOOKUP(P341,Hoja1!C:F,{2,3,4},FALSE)</f>
        <v>46234</v>
      </c>
      <c r="R341" t="str">
        <v>C39</v>
      </c>
      <c r="S341" t="str">
        <v>1000009851 CUPER S. R. L.</v>
      </c>
      <c r="T341" t="str">
        <f>VLOOKUP(P341,Hoja2!C:D,2,FALSE)</f>
        <v>EFUNES</v>
      </c>
    </row>
    <row r="342" spans="1:20" x14ac:dyDescent="0.3">
      <c r="A342" s="2" t="s">
        <v>14</v>
      </c>
      <c r="B342" s="3" t="s">
        <v>14</v>
      </c>
      <c r="C342" s="3" t="s">
        <v>361</v>
      </c>
      <c r="D342" s="3" t="s">
        <v>14</v>
      </c>
      <c r="E342" s="3" t="s">
        <v>96</v>
      </c>
      <c r="F342" s="4">
        <v>46226</v>
      </c>
      <c r="G342" s="3" t="s">
        <v>43</v>
      </c>
      <c r="H342" s="6">
        <v>-10042200</v>
      </c>
      <c r="I342" s="3" t="s">
        <v>16</v>
      </c>
      <c r="J342" s="3" t="s">
        <v>14</v>
      </c>
      <c r="K342" s="3" t="s">
        <v>14</v>
      </c>
      <c r="L342" s="3" t="s">
        <v>1269</v>
      </c>
      <c r="M342" s="4">
        <v>46226</v>
      </c>
      <c r="N342" s="3" t="s">
        <v>291</v>
      </c>
      <c r="O342" s="3" t="s">
        <v>33</v>
      </c>
      <c r="P342" t="str">
        <f t="shared" si="5"/>
        <v>450012941210</v>
      </c>
      <c r="Q342" s="7" cm="1">
        <f t="array" ref="Q342:S342">VLOOKUP(P342,Hoja1!C:F,{2,3,4},FALSE)</f>
        <v>46325</v>
      </c>
      <c r="R342" t="str">
        <v>C21</v>
      </c>
      <c r="S342" t="str">
        <v>1000000634 RAIZEN ARGENTINA S.A.U.</v>
      </c>
      <c r="T342" t="str">
        <f>VLOOKUP(P342,Hoja2!C:D,2,FALSE)</f>
        <v>JPUPULIN</v>
      </c>
    </row>
    <row r="343" spans="1:20" x14ac:dyDescent="0.3">
      <c r="A343" s="2" t="s">
        <v>14</v>
      </c>
      <c r="B343" s="3" t="s">
        <v>14</v>
      </c>
      <c r="C343" s="3" t="s">
        <v>361</v>
      </c>
      <c r="D343" s="3" t="s">
        <v>14</v>
      </c>
      <c r="E343" s="3" t="s">
        <v>96</v>
      </c>
      <c r="F343" s="4">
        <v>46226</v>
      </c>
      <c r="G343" s="3" t="s">
        <v>43</v>
      </c>
      <c r="H343" s="6">
        <v>-1144500</v>
      </c>
      <c r="I343" s="3" t="s">
        <v>16</v>
      </c>
      <c r="J343" s="3" t="s">
        <v>14</v>
      </c>
      <c r="K343" s="3" t="s">
        <v>14</v>
      </c>
      <c r="L343" s="3" t="s">
        <v>1269</v>
      </c>
      <c r="M343" s="4">
        <v>46226</v>
      </c>
      <c r="N343" s="3" t="s">
        <v>291</v>
      </c>
      <c r="O343" s="3" t="s">
        <v>33</v>
      </c>
      <c r="P343" t="str">
        <f t="shared" si="5"/>
        <v>450012941210</v>
      </c>
      <c r="Q343" s="7" cm="1">
        <f t="array" ref="Q343:S343">VLOOKUP(P343,Hoja1!C:F,{2,3,4},FALSE)</f>
        <v>46325</v>
      </c>
      <c r="R343" t="str">
        <v>C21</v>
      </c>
      <c r="S343" t="str">
        <v>1000000634 RAIZEN ARGENTINA S.A.U.</v>
      </c>
      <c r="T343" t="str">
        <f>VLOOKUP(P343,Hoja2!C:D,2,FALSE)</f>
        <v>JPUPULIN</v>
      </c>
    </row>
    <row r="344" spans="1:20" x14ac:dyDescent="0.3">
      <c r="A344" s="2" t="s">
        <v>14</v>
      </c>
      <c r="B344" s="3" t="s">
        <v>14</v>
      </c>
      <c r="C344" s="3" t="s">
        <v>362</v>
      </c>
      <c r="D344" s="3" t="s">
        <v>14</v>
      </c>
      <c r="E344" s="3" t="s">
        <v>96</v>
      </c>
      <c r="F344" s="4">
        <v>46226</v>
      </c>
      <c r="G344" s="3" t="s">
        <v>43</v>
      </c>
      <c r="H344" s="6">
        <v>-22452.639999999999</v>
      </c>
      <c r="I344" s="3" t="s">
        <v>16</v>
      </c>
      <c r="J344" s="3" t="s">
        <v>14</v>
      </c>
      <c r="K344" s="3" t="s">
        <v>14</v>
      </c>
      <c r="L344" s="3" t="s">
        <v>65</v>
      </c>
      <c r="M344" s="4">
        <v>46226</v>
      </c>
      <c r="N344" s="3" t="s">
        <v>363</v>
      </c>
      <c r="O344" s="3" t="s">
        <v>33</v>
      </c>
      <c r="P344" t="str">
        <f t="shared" si="5"/>
        <v>450013343710</v>
      </c>
      <c r="Q344" s="7" cm="1">
        <f t="array" ref="Q344:S344">VLOOKUP(P344,Hoja1!C:F,{2,3,4},FALSE)</f>
        <v>46244</v>
      </c>
      <c r="R344" t="str">
        <v>C43</v>
      </c>
      <c r="S344" t="str">
        <v>1000003378 PINTURERIA CENTRAL SRL</v>
      </c>
      <c r="T344" t="str">
        <f>VLOOKUP(P344,Hoja2!C:D,2,FALSE)</f>
        <v>EFUNES</v>
      </c>
    </row>
    <row r="345" spans="1:20" x14ac:dyDescent="0.3">
      <c r="A345" s="2" t="s">
        <v>14</v>
      </c>
      <c r="B345" s="3" t="s">
        <v>14</v>
      </c>
      <c r="C345" s="3" t="s">
        <v>365</v>
      </c>
      <c r="D345" s="3" t="s">
        <v>14</v>
      </c>
      <c r="E345" s="3" t="s">
        <v>96</v>
      </c>
      <c r="F345" s="4">
        <v>46227</v>
      </c>
      <c r="G345" s="3" t="s">
        <v>43</v>
      </c>
      <c r="H345" s="6">
        <v>-959838</v>
      </c>
      <c r="I345" s="3" t="s">
        <v>16</v>
      </c>
      <c r="J345" s="3" t="s">
        <v>14</v>
      </c>
      <c r="K345" s="3" t="s">
        <v>14</v>
      </c>
      <c r="L345" s="3" t="s">
        <v>366</v>
      </c>
      <c r="M345" s="4">
        <v>46230</v>
      </c>
      <c r="N345" s="3" t="s">
        <v>367</v>
      </c>
      <c r="O345" s="3" t="s">
        <v>33</v>
      </c>
      <c r="P345" t="str">
        <f t="shared" si="5"/>
        <v>450013216210</v>
      </c>
      <c r="Q345" s="7" cm="1">
        <f t="array" ref="Q345:S345">VLOOKUP(P345,Hoja1!C:F,{2,3,4},FALSE)</f>
        <v>46231</v>
      </c>
      <c r="R345" t="str">
        <v>C43</v>
      </c>
      <c r="S345" t="str">
        <v>1000003377 ROYON HNOS SRL</v>
      </c>
      <c r="T345" t="str">
        <f>VLOOKUP(P345,Hoja2!C:D,2,FALSE)</f>
        <v>EFUNES</v>
      </c>
    </row>
    <row r="346" spans="1:20" x14ac:dyDescent="0.3">
      <c r="A346" s="2" t="s">
        <v>14</v>
      </c>
      <c r="B346" s="3" t="s">
        <v>14</v>
      </c>
      <c r="C346" s="3" t="s">
        <v>369</v>
      </c>
      <c r="D346" s="3" t="s">
        <v>14</v>
      </c>
      <c r="E346" s="3" t="s">
        <v>96</v>
      </c>
      <c r="F346" s="4">
        <v>46231</v>
      </c>
      <c r="G346" s="3" t="s">
        <v>43</v>
      </c>
      <c r="H346" s="6">
        <v>-10042200</v>
      </c>
      <c r="I346" s="3" t="s">
        <v>16</v>
      </c>
      <c r="J346" s="3" t="s">
        <v>14</v>
      </c>
      <c r="K346" s="3" t="s">
        <v>14</v>
      </c>
      <c r="L346" s="3" t="s">
        <v>1269</v>
      </c>
      <c r="M346" s="4">
        <v>46231</v>
      </c>
      <c r="N346" s="3" t="s">
        <v>291</v>
      </c>
      <c r="O346" s="3" t="s">
        <v>33</v>
      </c>
      <c r="P346" t="str">
        <f t="shared" si="5"/>
        <v>450012941210</v>
      </c>
      <c r="Q346" s="7" cm="1">
        <f t="array" ref="Q346:S346">VLOOKUP(P346,Hoja1!C:F,{2,3,4},FALSE)</f>
        <v>46325</v>
      </c>
      <c r="R346" t="str">
        <v>C21</v>
      </c>
      <c r="S346" t="str">
        <v>1000000634 RAIZEN ARGENTINA S.A.U.</v>
      </c>
      <c r="T346" t="str">
        <f>VLOOKUP(P346,Hoja2!C:D,2,FALSE)</f>
        <v>JPUPULIN</v>
      </c>
    </row>
    <row r="347" spans="1:20" x14ac:dyDescent="0.3">
      <c r="A347" s="2" t="s">
        <v>14</v>
      </c>
      <c r="B347" s="3" t="s">
        <v>14</v>
      </c>
      <c r="C347" s="3" t="s">
        <v>369</v>
      </c>
      <c r="D347" s="3" t="s">
        <v>14</v>
      </c>
      <c r="E347" s="3" t="s">
        <v>96</v>
      </c>
      <c r="F347" s="4">
        <v>46231</v>
      </c>
      <c r="G347" s="3" t="s">
        <v>43</v>
      </c>
      <c r="H347" s="6">
        <v>-1144500</v>
      </c>
      <c r="I347" s="3" t="s">
        <v>16</v>
      </c>
      <c r="J347" s="3" t="s">
        <v>14</v>
      </c>
      <c r="K347" s="3" t="s">
        <v>14</v>
      </c>
      <c r="L347" s="3" t="s">
        <v>1269</v>
      </c>
      <c r="M347" s="4">
        <v>46231</v>
      </c>
      <c r="N347" s="3" t="s">
        <v>291</v>
      </c>
      <c r="O347" s="3" t="s">
        <v>33</v>
      </c>
      <c r="P347" t="str">
        <f t="shared" si="5"/>
        <v>450012941210</v>
      </c>
      <c r="Q347" s="7" cm="1">
        <f t="array" ref="Q347:S347">VLOOKUP(P347,Hoja1!C:F,{2,3,4},FALSE)</f>
        <v>46325</v>
      </c>
      <c r="R347" t="str">
        <v>C21</v>
      </c>
      <c r="S347" t="str">
        <v>1000000634 RAIZEN ARGENTINA S.A.U.</v>
      </c>
      <c r="T347" t="str">
        <f>VLOOKUP(P347,Hoja2!C:D,2,FALSE)</f>
        <v>JPUPULIN</v>
      </c>
    </row>
    <row r="348" spans="1:20" x14ac:dyDescent="0.3">
      <c r="A348" s="2" t="s">
        <v>14</v>
      </c>
      <c r="B348" s="3" t="s">
        <v>14</v>
      </c>
      <c r="C348" s="3" t="s">
        <v>370</v>
      </c>
      <c r="D348" s="3" t="s">
        <v>14</v>
      </c>
      <c r="E348" s="3" t="s">
        <v>96</v>
      </c>
      <c r="F348" s="4">
        <v>46231</v>
      </c>
      <c r="G348" s="3" t="s">
        <v>43</v>
      </c>
      <c r="H348" s="6">
        <v>-899038.92</v>
      </c>
      <c r="I348" s="3" t="s">
        <v>16</v>
      </c>
      <c r="J348" s="3" t="s">
        <v>14</v>
      </c>
      <c r="K348" s="3" t="s">
        <v>14</v>
      </c>
      <c r="L348" s="3" t="s">
        <v>18</v>
      </c>
      <c r="M348" s="4">
        <v>46233</v>
      </c>
      <c r="N348" s="3" t="s">
        <v>355</v>
      </c>
      <c r="O348" s="3" t="s">
        <v>21</v>
      </c>
      <c r="P348" t="str">
        <f t="shared" si="5"/>
        <v>450013213730</v>
      </c>
      <c r="Q348" s="7" cm="1">
        <f t="array" ref="Q348:S348">VLOOKUP(P348,Hoja1!C:F,{2,3,4},FALSE)</f>
        <v>46226</v>
      </c>
      <c r="R348" t="str">
        <v>C29</v>
      </c>
      <c r="S348" t="str">
        <v>1000001470 SUDAMERICANA CAMIONES SA</v>
      </c>
      <c r="T348" t="str">
        <f>VLOOKUP(P348,Hoja2!C:D,2,FALSE)</f>
        <v>FBERARDO</v>
      </c>
    </row>
    <row r="349" spans="1:20" x14ac:dyDescent="0.3">
      <c r="A349" s="2" t="s">
        <v>14</v>
      </c>
      <c r="B349" s="3" t="s">
        <v>14</v>
      </c>
      <c r="C349" s="3" t="s">
        <v>371</v>
      </c>
      <c r="D349" s="3" t="s">
        <v>14</v>
      </c>
      <c r="E349" s="3" t="s">
        <v>96</v>
      </c>
      <c r="F349" s="4">
        <v>46233</v>
      </c>
      <c r="G349" s="3" t="s">
        <v>43</v>
      </c>
      <c r="H349" s="6">
        <v>-10281300</v>
      </c>
      <c r="I349" s="3" t="s">
        <v>16</v>
      </c>
      <c r="J349" s="3" t="s">
        <v>14</v>
      </c>
      <c r="K349" s="3" t="s">
        <v>14</v>
      </c>
      <c r="L349" s="3" t="s">
        <v>1269</v>
      </c>
      <c r="M349" s="4">
        <v>46233</v>
      </c>
      <c r="N349" s="3" t="s">
        <v>291</v>
      </c>
      <c r="O349" s="3" t="s">
        <v>33</v>
      </c>
      <c r="P349" t="str">
        <f t="shared" si="5"/>
        <v>450012941210</v>
      </c>
      <c r="Q349" s="7" cm="1">
        <f t="array" ref="Q349:S349">VLOOKUP(P349,Hoja1!C:F,{2,3,4},FALSE)</f>
        <v>46325</v>
      </c>
      <c r="R349" t="str">
        <v>C21</v>
      </c>
      <c r="S349" t="str">
        <v>1000000634 RAIZEN ARGENTINA S.A.U.</v>
      </c>
      <c r="T349" t="str">
        <f>VLOOKUP(P349,Hoja2!C:D,2,FALSE)</f>
        <v>JPUPULIN</v>
      </c>
    </row>
    <row r="350" spans="1:20" x14ac:dyDescent="0.3">
      <c r="A350" s="2" t="s">
        <v>14</v>
      </c>
      <c r="B350" s="3" t="s">
        <v>14</v>
      </c>
      <c r="C350" s="3" t="s">
        <v>371</v>
      </c>
      <c r="D350" s="3" t="s">
        <v>14</v>
      </c>
      <c r="E350" s="3" t="s">
        <v>96</v>
      </c>
      <c r="F350" s="4">
        <v>46233</v>
      </c>
      <c r="G350" s="3" t="s">
        <v>43</v>
      </c>
      <c r="H350" s="6">
        <v>-1171750</v>
      </c>
      <c r="I350" s="3" t="s">
        <v>16</v>
      </c>
      <c r="J350" s="3" t="s">
        <v>14</v>
      </c>
      <c r="K350" s="3" t="s">
        <v>14</v>
      </c>
      <c r="L350" s="3" t="s">
        <v>1269</v>
      </c>
      <c r="M350" s="4">
        <v>46233</v>
      </c>
      <c r="N350" s="3" t="s">
        <v>291</v>
      </c>
      <c r="O350" s="3" t="s">
        <v>33</v>
      </c>
      <c r="P350" t="str">
        <f t="shared" si="5"/>
        <v>450012941210</v>
      </c>
      <c r="Q350" s="7" cm="1">
        <f t="array" ref="Q350:S350">VLOOKUP(P350,Hoja1!C:F,{2,3,4},FALSE)</f>
        <v>46325</v>
      </c>
      <c r="R350" t="str">
        <v>C21</v>
      </c>
      <c r="S350" t="str">
        <v>1000000634 RAIZEN ARGENTINA S.A.U.</v>
      </c>
      <c r="T350" t="str">
        <f>VLOOKUP(P350,Hoja2!C:D,2,FALSE)</f>
        <v>JPUPULIN</v>
      </c>
    </row>
    <row r="351" spans="1:20" x14ac:dyDescent="0.3">
      <c r="A351" s="2" t="s">
        <v>14</v>
      </c>
      <c r="B351" s="3" t="s">
        <v>14</v>
      </c>
      <c r="C351" s="3" t="s">
        <v>372</v>
      </c>
      <c r="D351" s="3" t="s">
        <v>14</v>
      </c>
      <c r="E351" s="3" t="s">
        <v>96</v>
      </c>
      <c r="F351" s="4">
        <v>46234</v>
      </c>
      <c r="G351" s="3" t="s">
        <v>43</v>
      </c>
      <c r="H351" s="6">
        <v>-10042200</v>
      </c>
      <c r="I351" s="3" t="s">
        <v>16</v>
      </c>
      <c r="J351" s="3" t="s">
        <v>14</v>
      </c>
      <c r="K351" s="3" t="s">
        <v>14</v>
      </c>
      <c r="L351" s="3" t="s">
        <v>1269</v>
      </c>
      <c r="M351" s="4">
        <v>46234</v>
      </c>
      <c r="N351" s="3" t="s">
        <v>291</v>
      </c>
      <c r="O351" s="3" t="s">
        <v>33</v>
      </c>
      <c r="P351" t="str">
        <f t="shared" si="5"/>
        <v>450012941210</v>
      </c>
      <c r="Q351" s="7" cm="1">
        <f t="array" ref="Q351:S351">VLOOKUP(P351,Hoja1!C:F,{2,3,4},FALSE)</f>
        <v>46325</v>
      </c>
      <c r="R351" t="str">
        <v>C21</v>
      </c>
      <c r="S351" t="str">
        <v>1000000634 RAIZEN ARGENTINA S.A.U.</v>
      </c>
      <c r="T351" t="str">
        <f>VLOOKUP(P351,Hoja2!C:D,2,FALSE)</f>
        <v>JPUPULIN</v>
      </c>
    </row>
    <row r="352" spans="1:20" x14ac:dyDescent="0.3">
      <c r="A352" s="2" t="s">
        <v>14</v>
      </c>
      <c r="B352" s="3" t="s">
        <v>14</v>
      </c>
      <c r="C352" s="3" t="s">
        <v>372</v>
      </c>
      <c r="D352" s="3" t="s">
        <v>14</v>
      </c>
      <c r="E352" s="3" t="s">
        <v>96</v>
      </c>
      <c r="F352" s="4">
        <v>46234</v>
      </c>
      <c r="G352" s="3" t="s">
        <v>43</v>
      </c>
      <c r="H352" s="6">
        <v>-1144500</v>
      </c>
      <c r="I352" s="3" t="s">
        <v>16</v>
      </c>
      <c r="J352" s="3" t="s">
        <v>14</v>
      </c>
      <c r="K352" s="3" t="s">
        <v>14</v>
      </c>
      <c r="L352" s="3" t="s">
        <v>1269</v>
      </c>
      <c r="M352" s="4">
        <v>46234</v>
      </c>
      <c r="N352" s="3" t="s">
        <v>291</v>
      </c>
      <c r="O352" s="3" t="s">
        <v>33</v>
      </c>
      <c r="P352" t="str">
        <f t="shared" si="5"/>
        <v>450012941210</v>
      </c>
      <c r="Q352" s="7" cm="1">
        <f t="array" ref="Q352:S352">VLOOKUP(P352,Hoja1!C:F,{2,3,4},FALSE)</f>
        <v>46325</v>
      </c>
      <c r="R352" t="str">
        <v>C21</v>
      </c>
      <c r="S352" t="str">
        <v>1000000634 RAIZEN ARGENTINA S.A.U.</v>
      </c>
      <c r="T352" t="str">
        <f>VLOOKUP(P352,Hoja2!C:D,2,FALSE)</f>
        <v>JPUPULIN</v>
      </c>
    </row>
    <row r="353" spans="1:20" x14ac:dyDescent="0.3">
      <c r="A353" s="2" t="s">
        <v>14</v>
      </c>
      <c r="B353" s="3" t="s">
        <v>14</v>
      </c>
      <c r="C353" s="3" t="s">
        <v>373</v>
      </c>
      <c r="D353" s="3" t="s">
        <v>14</v>
      </c>
      <c r="E353" s="3" t="s">
        <v>96</v>
      </c>
      <c r="F353" s="4">
        <v>46233</v>
      </c>
      <c r="G353" s="3" t="s">
        <v>43</v>
      </c>
      <c r="H353" s="6">
        <v>-595773.6</v>
      </c>
      <c r="I353" s="3" t="s">
        <v>16</v>
      </c>
      <c r="J353" s="3" t="s">
        <v>14</v>
      </c>
      <c r="K353" s="3" t="s">
        <v>14</v>
      </c>
      <c r="L353" s="3" t="s">
        <v>18</v>
      </c>
      <c r="M353" s="4">
        <v>46234</v>
      </c>
      <c r="N353" s="3" t="s">
        <v>374</v>
      </c>
      <c r="O353" s="3" t="s">
        <v>33</v>
      </c>
      <c r="P353" t="str">
        <f t="shared" si="5"/>
        <v>450013279110</v>
      </c>
      <c r="Q353" s="7" cm="1">
        <f t="array" ref="Q353:S353">VLOOKUP(P353,Hoja1!C:F,{2,3,4},FALSE)</f>
        <v>46238</v>
      </c>
      <c r="R353" t="str">
        <v>C03</v>
      </c>
      <c r="S353" t="str">
        <v>1000001470 SUDAMERICANA CAMIONES SA</v>
      </c>
      <c r="T353" t="str">
        <f>VLOOKUP(P353,Hoja2!C:D,2,FALSE)</f>
        <v>FBERARDO</v>
      </c>
    </row>
    <row r="354" spans="1:20" x14ac:dyDescent="0.3">
      <c r="A354" s="2" t="s">
        <v>14</v>
      </c>
      <c r="B354" s="3" t="s">
        <v>14</v>
      </c>
      <c r="C354" s="3" t="s">
        <v>373</v>
      </c>
      <c r="D354" s="3" t="s">
        <v>14</v>
      </c>
      <c r="E354" s="3" t="s">
        <v>96</v>
      </c>
      <c r="F354" s="4">
        <v>46233</v>
      </c>
      <c r="G354" s="3" t="s">
        <v>43</v>
      </c>
      <c r="H354" s="6">
        <v>-171354.14</v>
      </c>
      <c r="I354" s="3" t="s">
        <v>16</v>
      </c>
      <c r="J354" s="3" t="s">
        <v>14</v>
      </c>
      <c r="K354" s="3" t="s">
        <v>14</v>
      </c>
      <c r="L354" s="3" t="s">
        <v>18</v>
      </c>
      <c r="M354" s="4">
        <v>46234</v>
      </c>
      <c r="N354" s="3" t="s">
        <v>374</v>
      </c>
      <c r="O354" s="3" t="s">
        <v>20</v>
      </c>
      <c r="P354" t="str">
        <f t="shared" si="5"/>
        <v>450013279120</v>
      </c>
      <c r="Q354" s="7" cm="1">
        <f t="array" ref="Q354:S354">VLOOKUP(P354,Hoja1!C:F,{2,3,4},FALSE)</f>
        <v>46238</v>
      </c>
      <c r="R354" t="str">
        <v>C03</v>
      </c>
      <c r="S354" t="str">
        <v>1000001470 SUDAMERICANA CAMIONES SA</v>
      </c>
      <c r="T354" t="str">
        <f>VLOOKUP(P354,Hoja2!C:D,2,FALSE)</f>
        <v>FBERARDO</v>
      </c>
    </row>
    <row r="355" spans="1:20" x14ac:dyDescent="0.3">
      <c r="A355" s="2" t="s">
        <v>14</v>
      </c>
      <c r="B355" s="3" t="s">
        <v>14</v>
      </c>
      <c r="C355" s="3" t="s">
        <v>373</v>
      </c>
      <c r="D355" s="3" t="s">
        <v>14</v>
      </c>
      <c r="E355" s="3" t="s">
        <v>96</v>
      </c>
      <c r="F355" s="4">
        <v>46233</v>
      </c>
      <c r="G355" s="3" t="s">
        <v>43</v>
      </c>
      <c r="H355" s="6">
        <v>-1668121.58</v>
      </c>
      <c r="I355" s="3" t="s">
        <v>16</v>
      </c>
      <c r="J355" s="3" t="s">
        <v>14</v>
      </c>
      <c r="K355" s="3" t="s">
        <v>14</v>
      </c>
      <c r="L355" s="3" t="s">
        <v>18</v>
      </c>
      <c r="M355" s="4">
        <v>46234</v>
      </c>
      <c r="N355" s="3" t="s">
        <v>374</v>
      </c>
      <c r="O355" s="3" t="s">
        <v>21</v>
      </c>
      <c r="P355" t="str">
        <f t="shared" si="5"/>
        <v>450013279130</v>
      </c>
      <c r="Q355" s="7" cm="1">
        <f t="array" ref="Q355:S355">VLOOKUP(P355,Hoja1!C:F,{2,3,4},FALSE)</f>
        <v>46238</v>
      </c>
      <c r="R355" t="str">
        <v>C03</v>
      </c>
      <c r="S355" t="str">
        <v>1000001470 SUDAMERICANA CAMIONES SA</v>
      </c>
      <c r="T355" t="str">
        <f>VLOOKUP(P355,Hoja2!C:D,2,FALSE)</f>
        <v>FBERARDO</v>
      </c>
    </row>
    <row r="356" spans="1:20" x14ac:dyDescent="0.3">
      <c r="A356" s="2" t="s">
        <v>14</v>
      </c>
      <c r="B356" s="3" t="s">
        <v>14</v>
      </c>
      <c r="C356" s="3" t="s">
        <v>373</v>
      </c>
      <c r="D356" s="3" t="s">
        <v>14</v>
      </c>
      <c r="E356" s="3" t="s">
        <v>96</v>
      </c>
      <c r="F356" s="4">
        <v>46233</v>
      </c>
      <c r="G356" s="3" t="s">
        <v>43</v>
      </c>
      <c r="H356" s="6">
        <v>-390457.2</v>
      </c>
      <c r="I356" s="3" t="s">
        <v>16</v>
      </c>
      <c r="J356" s="3" t="s">
        <v>14</v>
      </c>
      <c r="K356" s="3" t="s">
        <v>14</v>
      </c>
      <c r="L356" s="3" t="s">
        <v>18</v>
      </c>
      <c r="M356" s="4">
        <v>46234</v>
      </c>
      <c r="N356" s="3" t="s">
        <v>374</v>
      </c>
      <c r="O356" s="3" t="s">
        <v>25</v>
      </c>
      <c r="P356" t="str">
        <f t="shared" si="5"/>
        <v>450013279140</v>
      </c>
      <c r="Q356" s="7" cm="1">
        <f t="array" ref="Q356:S356">VLOOKUP(P356,Hoja1!C:F,{2,3,4},FALSE)</f>
        <v>46238</v>
      </c>
      <c r="R356" t="str">
        <v>C03</v>
      </c>
      <c r="S356" t="str">
        <v>1000001470 SUDAMERICANA CAMIONES SA</v>
      </c>
      <c r="T356" t="str">
        <f>VLOOKUP(P356,Hoja2!C:D,2,FALSE)</f>
        <v>FBERARDO</v>
      </c>
    </row>
    <row r="357" spans="1:20" x14ac:dyDescent="0.3">
      <c r="A357" s="2" t="s">
        <v>14</v>
      </c>
      <c r="B357" s="3" t="s">
        <v>14</v>
      </c>
      <c r="C357" s="3" t="s">
        <v>373</v>
      </c>
      <c r="D357" s="3" t="s">
        <v>14</v>
      </c>
      <c r="E357" s="3" t="s">
        <v>96</v>
      </c>
      <c r="F357" s="4">
        <v>46233</v>
      </c>
      <c r="G357" s="3" t="s">
        <v>43</v>
      </c>
      <c r="H357" s="6">
        <v>-2753479.85</v>
      </c>
      <c r="I357" s="3" t="s">
        <v>16</v>
      </c>
      <c r="J357" s="3" t="s">
        <v>14</v>
      </c>
      <c r="K357" s="3" t="s">
        <v>14</v>
      </c>
      <c r="L357" s="3" t="s">
        <v>18</v>
      </c>
      <c r="M357" s="4">
        <v>46234</v>
      </c>
      <c r="N357" s="3" t="s">
        <v>374</v>
      </c>
      <c r="O357" s="3" t="s">
        <v>22</v>
      </c>
      <c r="P357" t="str">
        <f t="shared" si="5"/>
        <v>450013279150</v>
      </c>
      <c r="Q357" s="7" cm="1">
        <f t="array" ref="Q357:S357">VLOOKUP(P357,Hoja1!C:F,{2,3,4},FALSE)</f>
        <v>46238</v>
      </c>
      <c r="R357" t="str">
        <v>C03</v>
      </c>
      <c r="S357" t="str">
        <v>1000001470 SUDAMERICANA CAMIONES SA</v>
      </c>
      <c r="T357" t="str">
        <f>VLOOKUP(P357,Hoja2!C:D,2,FALSE)</f>
        <v>FBERARDO</v>
      </c>
    </row>
    <row r="358" spans="1:20" x14ac:dyDescent="0.3">
      <c r="A358" s="2" t="s">
        <v>14</v>
      </c>
      <c r="B358" s="3" t="s">
        <v>14</v>
      </c>
      <c r="C358" s="3" t="s">
        <v>373</v>
      </c>
      <c r="D358" s="3" t="s">
        <v>14</v>
      </c>
      <c r="E358" s="3" t="s">
        <v>96</v>
      </c>
      <c r="F358" s="4">
        <v>46233</v>
      </c>
      <c r="G358" s="3" t="s">
        <v>43</v>
      </c>
      <c r="H358" s="6">
        <v>-201444.47</v>
      </c>
      <c r="I358" s="3" t="s">
        <v>16</v>
      </c>
      <c r="J358" s="3" t="s">
        <v>14</v>
      </c>
      <c r="K358" s="3" t="s">
        <v>14</v>
      </c>
      <c r="L358" s="3" t="s">
        <v>18</v>
      </c>
      <c r="M358" s="4">
        <v>46234</v>
      </c>
      <c r="N358" s="3" t="s">
        <v>374</v>
      </c>
      <c r="O358" s="3" t="s">
        <v>23</v>
      </c>
      <c r="P358" t="str">
        <f t="shared" si="5"/>
        <v>450013279160</v>
      </c>
      <c r="Q358" s="7" cm="1">
        <f t="array" ref="Q358:S358">VLOOKUP(P358,Hoja1!C:F,{2,3,4},FALSE)</f>
        <v>46238</v>
      </c>
      <c r="R358" t="str">
        <v>C03</v>
      </c>
      <c r="S358" t="str">
        <v>1000001470 SUDAMERICANA CAMIONES SA</v>
      </c>
      <c r="T358" t="str">
        <f>VLOOKUP(P358,Hoja2!C:D,2,FALSE)</f>
        <v>FBERARDO</v>
      </c>
    </row>
    <row r="359" spans="1:20" x14ac:dyDescent="0.3">
      <c r="A359" s="2" t="s">
        <v>14</v>
      </c>
      <c r="B359" s="3" t="s">
        <v>14</v>
      </c>
      <c r="C359" s="3" t="s">
        <v>373</v>
      </c>
      <c r="D359" s="3" t="s">
        <v>14</v>
      </c>
      <c r="E359" s="3" t="s">
        <v>96</v>
      </c>
      <c r="F359" s="4">
        <v>46233</v>
      </c>
      <c r="G359" s="3" t="s">
        <v>43</v>
      </c>
      <c r="H359" s="6">
        <v>-104126.87</v>
      </c>
      <c r="I359" s="3" t="s">
        <v>16</v>
      </c>
      <c r="J359" s="3" t="s">
        <v>14</v>
      </c>
      <c r="K359" s="3" t="s">
        <v>14</v>
      </c>
      <c r="L359" s="3" t="s">
        <v>18</v>
      </c>
      <c r="M359" s="4">
        <v>46234</v>
      </c>
      <c r="N359" s="3" t="s">
        <v>374</v>
      </c>
      <c r="O359" s="3" t="s">
        <v>24</v>
      </c>
      <c r="P359" t="str">
        <f t="shared" si="5"/>
        <v>450013279170</v>
      </c>
      <c r="Q359" s="7" cm="1">
        <f t="array" ref="Q359:S359">VLOOKUP(P359,Hoja1!C:F,{2,3,4},FALSE)</f>
        <v>46238</v>
      </c>
      <c r="R359" t="str">
        <v>C03</v>
      </c>
      <c r="S359" t="str">
        <v>1000001470 SUDAMERICANA CAMIONES SA</v>
      </c>
      <c r="T359" t="str">
        <f>VLOOKUP(P359,Hoja2!C:D,2,FALSE)</f>
        <v>FBERARDO</v>
      </c>
    </row>
    <row r="360" spans="1:20" x14ac:dyDescent="0.3">
      <c r="A360" s="2" t="s">
        <v>14</v>
      </c>
      <c r="B360" s="3" t="s">
        <v>14</v>
      </c>
      <c r="C360" s="3" t="s">
        <v>373</v>
      </c>
      <c r="D360" s="3" t="s">
        <v>14</v>
      </c>
      <c r="E360" s="3" t="s">
        <v>96</v>
      </c>
      <c r="F360" s="4">
        <v>46233</v>
      </c>
      <c r="G360" s="3" t="s">
        <v>43</v>
      </c>
      <c r="H360" s="6">
        <v>-919799.67</v>
      </c>
      <c r="I360" s="3" t="s">
        <v>16</v>
      </c>
      <c r="J360" s="3" t="s">
        <v>14</v>
      </c>
      <c r="K360" s="3" t="s">
        <v>14</v>
      </c>
      <c r="L360" s="3" t="s">
        <v>18</v>
      </c>
      <c r="M360" s="4">
        <v>46234</v>
      </c>
      <c r="N360" s="3" t="s">
        <v>374</v>
      </c>
      <c r="O360" s="3" t="s">
        <v>321</v>
      </c>
      <c r="P360" t="str">
        <f t="shared" si="5"/>
        <v>450013279180</v>
      </c>
      <c r="Q360" s="7" cm="1">
        <f t="array" ref="Q360:S360">VLOOKUP(P360,Hoja1!C:F,{2,3,4},FALSE)</f>
        <v>46238</v>
      </c>
      <c r="R360" t="str">
        <v>C03</v>
      </c>
      <c r="S360" t="str">
        <v>1000001470 SUDAMERICANA CAMIONES SA</v>
      </c>
      <c r="T360" t="str">
        <f>VLOOKUP(P360,Hoja2!C:D,2,FALSE)</f>
        <v>FBERARDO</v>
      </c>
    </row>
    <row r="361" spans="1:20" x14ac:dyDescent="0.3">
      <c r="A361" s="2" t="s">
        <v>14</v>
      </c>
      <c r="B361" s="3" t="s">
        <v>14</v>
      </c>
      <c r="C361" s="3" t="s">
        <v>373</v>
      </c>
      <c r="D361" s="3" t="s">
        <v>14</v>
      </c>
      <c r="E361" s="3" t="s">
        <v>96</v>
      </c>
      <c r="F361" s="4">
        <v>46233</v>
      </c>
      <c r="G361" s="3" t="s">
        <v>43</v>
      </c>
      <c r="H361" s="6">
        <v>-216872.87</v>
      </c>
      <c r="I361" s="3" t="s">
        <v>16</v>
      </c>
      <c r="J361" s="3" t="s">
        <v>14</v>
      </c>
      <c r="K361" s="3" t="s">
        <v>14</v>
      </c>
      <c r="L361" s="3" t="s">
        <v>18</v>
      </c>
      <c r="M361" s="4">
        <v>46234</v>
      </c>
      <c r="N361" s="3" t="s">
        <v>374</v>
      </c>
      <c r="O361" s="3" t="s">
        <v>175</v>
      </c>
      <c r="P361" t="str">
        <f t="shared" si="5"/>
        <v>4500132791110</v>
      </c>
      <c r="Q361" s="7" cm="1">
        <f t="array" ref="Q361:S361">VLOOKUP(P361,Hoja1!C:F,{2,3,4},FALSE)</f>
        <v>46266</v>
      </c>
      <c r="R361" t="str">
        <v>C03</v>
      </c>
      <c r="S361" t="str">
        <v>1000001470 SUDAMERICANA CAMIONES SA</v>
      </c>
      <c r="T361" t="str">
        <f>VLOOKUP(P361,Hoja2!C:D,2,FALSE)</f>
        <v>FBERARDO</v>
      </c>
    </row>
    <row r="362" spans="1:20" x14ac:dyDescent="0.3">
      <c r="A362" s="2" t="s">
        <v>14</v>
      </c>
      <c r="B362" s="3" t="s">
        <v>14</v>
      </c>
      <c r="C362" s="3" t="s">
        <v>373</v>
      </c>
      <c r="D362" s="3" t="s">
        <v>14</v>
      </c>
      <c r="E362" s="3" t="s">
        <v>96</v>
      </c>
      <c r="F362" s="4">
        <v>46233</v>
      </c>
      <c r="G362" s="3" t="s">
        <v>43</v>
      </c>
      <c r="H362" s="6">
        <v>-214914.65</v>
      </c>
      <c r="I362" s="3" t="s">
        <v>16</v>
      </c>
      <c r="J362" s="3" t="s">
        <v>14</v>
      </c>
      <c r="K362" s="3" t="s">
        <v>14</v>
      </c>
      <c r="L362" s="3" t="s">
        <v>18</v>
      </c>
      <c r="M362" s="4">
        <v>46234</v>
      </c>
      <c r="N362" s="3" t="s">
        <v>374</v>
      </c>
      <c r="O362" s="3" t="s">
        <v>375</v>
      </c>
      <c r="P362" t="str">
        <f t="shared" si="5"/>
        <v>4500132791120</v>
      </c>
      <c r="Q362" s="7" cm="1">
        <f t="array" ref="Q362:S362">VLOOKUP(P362,Hoja1!C:F,{2,3,4},FALSE)</f>
        <v>46315</v>
      </c>
      <c r="R362" t="str">
        <v>C03</v>
      </c>
      <c r="S362" t="str">
        <v>1000001470 SUDAMERICANA CAMIONES SA</v>
      </c>
      <c r="T362" t="str">
        <f>VLOOKUP(P362,Hoja2!C:D,2,FALSE)</f>
        <v>FBERARDO</v>
      </c>
    </row>
    <row r="363" spans="1:20" x14ac:dyDescent="0.3">
      <c r="A363" s="2" t="s">
        <v>14</v>
      </c>
      <c r="B363" s="3" t="s">
        <v>14</v>
      </c>
      <c r="C363" s="3" t="s">
        <v>373</v>
      </c>
      <c r="D363" s="3" t="s">
        <v>14</v>
      </c>
      <c r="E363" s="3" t="s">
        <v>96</v>
      </c>
      <c r="F363" s="4">
        <v>46233</v>
      </c>
      <c r="G363" s="3" t="s">
        <v>43</v>
      </c>
      <c r="H363" s="6">
        <v>-128441.43</v>
      </c>
      <c r="I363" s="3" t="s">
        <v>16</v>
      </c>
      <c r="J363" s="3" t="s">
        <v>14</v>
      </c>
      <c r="K363" s="3" t="s">
        <v>14</v>
      </c>
      <c r="L363" s="3" t="s">
        <v>18</v>
      </c>
      <c r="M363" s="4">
        <v>46234</v>
      </c>
      <c r="N363" s="3" t="s">
        <v>374</v>
      </c>
      <c r="O363" s="3" t="s">
        <v>203</v>
      </c>
      <c r="P363" t="str">
        <f t="shared" si="5"/>
        <v>4500132791130</v>
      </c>
      <c r="Q363" s="7" cm="1">
        <f t="array" ref="Q363:S363">VLOOKUP(P363,Hoja1!C:F,{2,3,4},FALSE)</f>
        <v>46238</v>
      </c>
      <c r="R363" t="str">
        <v>C03</v>
      </c>
      <c r="S363" t="str">
        <v>1000001470 SUDAMERICANA CAMIONES SA</v>
      </c>
      <c r="T363" t="str">
        <f>VLOOKUP(P363,Hoja2!C:D,2,FALSE)</f>
        <v>FBERARDO</v>
      </c>
    </row>
    <row r="364" spans="1:20" x14ac:dyDescent="0.3">
      <c r="A364" s="2" t="s">
        <v>14</v>
      </c>
      <c r="B364" s="3" t="s">
        <v>14</v>
      </c>
      <c r="C364" s="3" t="s">
        <v>373</v>
      </c>
      <c r="D364" s="3" t="s">
        <v>14</v>
      </c>
      <c r="E364" s="3" t="s">
        <v>96</v>
      </c>
      <c r="F364" s="4">
        <v>46233</v>
      </c>
      <c r="G364" s="3" t="s">
        <v>43</v>
      </c>
      <c r="H364" s="6">
        <v>-931326.47</v>
      </c>
      <c r="I364" s="3" t="s">
        <v>16</v>
      </c>
      <c r="J364" s="3" t="s">
        <v>14</v>
      </c>
      <c r="K364" s="3" t="s">
        <v>14</v>
      </c>
      <c r="L364" s="3" t="s">
        <v>18</v>
      </c>
      <c r="M364" s="4">
        <v>46234</v>
      </c>
      <c r="N364" s="3" t="s">
        <v>374</v>
      </c>
      <c r="O364" s="3" t="s">
        <v>376</v>
      </c>
      <c r="P364" t="str">
        <f t="shared" si="5"/>
        <v>4500132791140</v>
      </c>
      <c r="Q364" s="7" cm="1">
        <f t="array" ref="Q364:S364">VLOOKUP(P364,Hoja1!C:F,{2,3,4},FALSE)</f>
        <v>46238</v>
      </c>
      <c r="R364" t="str">
        <v>C03</v>
      </c>
      <c r="S364" t="str">
        <v>1000001470 SUDAMERICANA CAMIONES SA</v>
      </c>
      <c r="T364" t="str">
        <f>VLOOKUP(P364,Hoja2!C:D,2,FALSE)</f>
        <v>FBERARDO</v>
      </c>
    </row>
    <row r="365" spans="1:20" x14ac:dyDescent="0.3">
      <c r="A365" s="2" t="s">
        <v>14</v>
      </c>
      <c r="B365" s="3" t="s">
        <v>14</v>
      </c>
      <c r="C365" s="3" t="s">
        <v>373</v>
      </c>
      <c r="D365" s="3" t="s">
        <v>14</v>
      </c>
      <c r="E365" s="3" t="s">
        <v>96</v>
      </c>
      <c r="F365" s="4">
        <v>46233</v>
      </c>
      <c r="G365" s="3" t="s">
        <v>43</v>
      </c>
      <c r="H365" s="6">
        <v>-681327.05</v>
      </c>
      <c r="I365" s="3" t="s">
        <v>16</v>
      </c>
      <c r="J365" s="3" t="s">
        <v>14</v>
      </c>
      <c r="K365" s="3" t="s">
        <v>14</v>
      </c>
      <c r="L365" s="3" t="s">
        <v>18</v>
      </c>
      <c r="M365" s="4">
        <v>46234</v>
      </c>
      <c r="N365" s="3" t="s">
        <v>374</v>
      </c>
      <c r="O365" s="3" t="s">
        <v>377</v>
      </c>
      <c r="P365" t="str">
        <f t="shared" si="5"/>
        <v>4500132791150</v>
      </c>
      <c r="Q365" s="7" cm="1">
        <f t="array" ref="Q365:S365">VLOOKUP(P365,Hoja1!C:F,{2,3,4},FALSE)</f>
        <v>46238</v>
      </c>
      <c r="R365" t="str">
        <v>C03</v>
      </c>
      <c r="S365" t="str">
        <v>1000001470 SUDAMERICANA CAMIONES SA</v>
      </c>
      <c r="T365" t="str">
        <f>VLOOKUP(P365,Hoja2!C:D,2,FALSE)</f>
        <v>FBERARDO</v>
      </c>
    </row>
    <row r="366" spans="1:20" x14ac:dyDescent="0.3">
      <c r="A366" s="2" t="s">
        <v>14</v>
      </c>
      <c r="B366" s="3" t="s">
        <v>14</v>
      </c>
      <c r="C366" s="3" t="s">
        <v>373</v>
      </c>
      <c r="D366" s="3" t="s">
        <v>14</v>
      </c>
      <c r="E366" s="3" t="s">
        <v>96</v>
      </c>
      <c r="F366" s="4">
        <v>46233</v>
      </c>
      <c r="G366" s="3" t="s">
        <v>43</v>
      </c>
      <c r="H366" s="6">
        <v>-420216.21</v>
      </c>
      <c r="I366" s="3" t="s">
        <v>16</v>
      </c>
      <c r="J366" s="3" t="s">
        <v>14</v>
      </c>
      <c r="K366" s="3" t="s">
        <v>14</v>
      </c>
      <c r="L366" s="3" t="s">
        <v>18</v>
      </c>
      <c r="M366" s="4">
        <v>46234</v>
      </c>
      <c r="N366" s="3" t="s">
        <v>374</v>
      </c>
      <c r="O366" s="3" t="s">
        <v>378</v>
      </c>
      <c r="P366" t="str">
        <f t="shared" si="5"/>
        <v>4500132791160</v>
      </c>
      <c r="Q366" s="7" cm="1">
        <f t="array" ref="Q366:S366">VLOOKUP(P366,Hoja1!C:F,{2,3,4},FALSE)</f>
        <v>46238</v>
      </c>
      <c r="R366" t="str">
        <v>C03</v>
      </c>
      <c r="S366" t="str">
        <v>1000001470 SUDAMERICANA CAMIONES SA</v>
      </c>
      <c r="T366" t="str">
        <f>VLOOKUP(P366,Hoja2!C:D,2,FALSE)</f>
        <v>FBERARDO</v>
      </c>
    </row>
    <row r="367" spans="1:20" x14ac:dyDescent="0.3">
      <c r="A367" s="2" t="s">
        <v>14</v>
      </c>
      <c r="B367" s="3" t="s">
        <v>14</v>
      </c>
      <c r="C367" s="3" t="s">
        <v>373</v>
      </c>
      <c r="D367" s="3" t="s">
        <v>14</v>
      </c>
      <c r="E367" s="3" t="s">
        <v>96</v>
      </c>
      <c r="F367" s="4">
        <v>46233</v>
      </c>
      <c r="G367" s="3" t="s">
        <v>43</v>
      </c>
      <c r="H367" s="6">
        <v>-1062972.26</v>
      </c>
      <c r="I367" s="3" t="s">
        <v>16</v>
      </c>
      <c r="J367" s="3" t="s">
        <v>14</v>
      </c>
      <c r="K367" s="3" t="s">
        <v>14</v>
      </c>
      <c r="L367" s="3" t="s">
        <v>18</v>
      </c>
      <c r="M367" s="4">
        <v>46234</v>
      </c>
      <c r="N367" s="3" t="s">
        <v>374</v>
      </c>
      <c r="O367" s="3" t="s">
        <v>324</v>
      </c>
      <c r="P367" t="str">
        <f t="shared" si="5"/>
        <v>4500132791170</v>
      </c>
      <c r="Q367" s="7" cm="1">
        <f t="array" ref="Q367:S367">VLOOKUP(P367,Hoja1!C:F,{2,3,4},FALSE)</f>
        <v>46238</v>
      </c>
      <c r="R367" t="str">
        <v>C03</v>
      </c>
      <c r="S367" t="str">
        <v>1000001470 SUDAMERICANA CAMIONES SA</v>
      </c>
      <c r="T367" t="str">
        <f>VLOOKUP(P367,Hoja2!C:D,2,FALSE)</f>
        <v>FBERARDO</v>
      </c>
    </row>
    <row r="368" spans="1:20" x14ac:dyDescent="0.3">
      <c r="A368" s="2" t="s">
        <v>14</v>
      </c>
      <c r="B368" s="3" t="s">
        <v>14</v>
      </c>
      <c r="C368" s="3" t="s">
        <v>373</v>
      </c>
      <c r="D368" s="3" t="s">
        <v>14</v>
      </c>
      <c r="E368" s="3" t="s">
        <v>96</v>
      </c>
      <c r="F368" s="4">
        <v>46233</v>
      </c>
      <c r="G368" s="3" t="s">
        <v>43</v>
      </c>
      <c r="H368" s="6">
        <v>-1172232.03</v>
      </c>
      <c r="I368" s="3" t="s">
        <v>16</v>
      </c>
      <c r="J368" s="3" t="s">
        <v>14</v>
      </c>
      <c r="K368" s="3" t="s">
        <v>14</v>
      </c>
      <c r="L368" s="3" t="s">
        <v>18</v>
      </c>
      <c r="M368" s="4">
        <v>46234</v>
      </c>
      <c r="N368" s="3" t="s">
        <v>374</v>
      </c>
      <c r="O368" s="3" t="s">
        <v>325</v>
      </c>
      <c r="P368" t="str">
        <f t="shared" si="5"/>
        <v>4500132791180</v>
      </c>
      <c r="Q368" s="7" cm="1">
        <f t="array" ref="Q368:S368">VLOOKUP(P368,Hoja1!C:F,{2,3,4},FALSE)</f>
        <v>46238</v>
      </c>
      <c r="R368" t="str">
        <v>C03</v>
      </c>
      <c r="S368" t="str">
        <v>1000001470 SUDAMERICANA CAMIONES SA</v>
      </c>
      <c r="T368" t="str">
        <f>VLOOKUP(P368,Hoja2!C:D,2,FALSE)</f>
        <v>FBERARDO</v>
      </c>
    </row>
    <row r="369" spans="1:20" x14ac:dyDescent="0.3">
      <c r="A369" s="2" t="s">
        <v>14</v>
      </c>
      <c r="B369" s="3" t="s">
        <v>14</v>
      </c>
      <c r="C369" s="3" t="s">
        <v>373</v>
      </c>
      <c r="D369" s="3" t="s">
        <v>14</v>
      </c>
      <c r="E369" s="3" t="s">
        <v>96</v>
      </c>
      <c r="F369" s="4">
        <v>46233</v>
      </c>
      <c r="G369" s="3" t="s">
        <v>43</v>
      </c>
      <c r="H369" s="6">
        <v>-16526.189999999999</v>
      </c>
      <c r="I369" s="3" t="s">
        <v>16</v>
      </c>
      <c r="J369" s="3" t="s">
        <v>14</v>
      </c>
      <c r="K369" s="3" t="s">
        <v>14</v>
      </c>
      <c r="L369" s="3" t="s">
        <v>18</v>
      </c>
      <c r="M369" s="4">
        <v>46234</v>
      </c>
      <c r="N369" s="3" t="s">
        <v>374</v>
      </c>
      <c r="O369" s="3" t="s">
        <v>379</v>
      </c>
      <c r="P369" t="str">
        <f t="shared" si="5"/>
        <v>4500132791190</v>
      </c>
      <c r="Q369" s="7" cm="1">
        <f t="array" ref="Q369:S369">VLOOKUP(P369,Hoja1!C:F,{2,3,4},FALSE)</f>
        <v>46238</v>
      </c>
      <c r="R369" t="str">
        <v>C03</v>
      </c>
      <c r="S369" t="str">
        <v>1000001470 SUDAMERICANA CAMIONES SA</v>
      </c>
      <c r="T369" t="str">
        <f>VLOOKUP(P369,Hoja2!C:D,2,FALSE)</f>
        <v>FBERARDO</v>
      </c>
    </row>
    <row r="370" spans="1:20" x14ac:dyDescent="0.3">
      <c r="A370" s="2" t="s">
        <v>14</v>
      </c>
      <c r="B370" s="3" t="s">
        <v>14</v>
      </c>
      <c r="C370" s="3" t="s">
        <v>373</v>
      </c>
      <c r="D370" s="3" t="s">
        <v>14</v>
      </c>
      <c r="E370" s="3" t="s">
        <v>96</v>
      </c>
      <c r="F370" s="4">
        <v>46233</v>
      </c>
      <c r="G370" s="3" t="s">
        <v>43</v>
      </c>
      <c r="H370" s="6">
        <v>-43451.72</v>
      </c>
      <c r="I370" s="3" t="s">
        <v>16</v>
      </c>
      <c r="J370" s="3" t="s">
        <v>14</v>
      </c>
      <c r="K370" s="3" t="s">
        <v>14</v>
      </c>
      <c r="L370" s="3" t="s">
        <v>18</v>
      </c>
      <c r="M370" s="4">
        <v>46234</v>
      </c>
      <c r="N370" s="3" t="s">
        <v>374</v>
      </c>
      <c r="O370" s="3" t="s">
        <v>380</v>
      </c>
      <c r="P370" t="str">
        <f t="shared" si="5"/>
        <v>4500132791200</v>
      </c>
      <c r="Q370" s="7" cm="1">
        <f t="array" ref="Q370:S370">VLOOKUP(P370,Hoja1!C:F,{2,3,4},FALSE)</f>
        <v>46238</v>
      </c>
      <c r="R370" t="str">
        <v>C03</v>
      </c>
      <c r="S370" t="str">
        <v>1000001470 SUDAMERICANA CAMIONES SA</v>
      </c>
      <c r="T370" t="str">
        <f>VLOOKUP(P370,Hoja2!C:D,2,FALSE)</f>
        <v>FBERARDO</v>
      </c>
    </row>
    <row r="371" spans="1:20" x14ac:dyDescent="0.3">
      <c r="A371" s="2" t="s">
        <v>14</v>
      </c>
      <c r="B371" s="3" t="s">
        <v>14</v>
      </c>
      <c r="C371" s="3" t="s">
        <v>373</v>
      </c>
      <c r="D371" s="3" t="s">
        <v>14</v>
      </c>
      <c r="E371" s="3" t="s">
        <v>96</v>
      </c>
      <c r="F371" s="4">
        <v>46233</v>
      </c>
      <c r="G371" s="3" t="s">
        <v>43</v>
      </c>
      <c r="H371" s="6">
        <v>-13544.36</v>
      </c>
      <c r="I371" s="3" t="s">
        <v>16</v>
      </c>
      <c r="J371" s="3" t="s">
        <v>14</v>
      </c>
      <c r="K371" s="3" t="s">
        <v>14</v>
      </c>
      <c r="L371" s="3" t="s">
        <v>18</v>
      </c>
      <c r="M371" s="4">
        <v>46234</v>
      </c>
      <c r="N371" s="3" t="s">
        <v>374</v>
      </c>
      <c r="O371" s="3" t="s">
        <v>326</v>
      </c>
      <c r="P371" t="str">
        <f t="shared" si="5"/>
        <v>4500132791210</v>
      </c>
      <c r="Q371" s="7" cm="1">
        <f t="array" ref="Q371:S371">VLOOKUP(P371,Hoja1!C:F,{2,3,4},FALSE)</f>
        <v>46238</v>
      </c>
      <c r="R371" t="str">
        <v>C03</v>
      </c>
      <c r="S371" t="str">
        <v>1000001470 SUDAMERICANA CAMIONES SA</v>
      </c>
      <c r="T371" t="str">
        <f>VLOOKUP(P371,Hoja2!C:D,2,FALSE)</f>
        <v>FBERARDO</v>
      </c>
    </row>
    <row r="372" spans="1:20" x14ac:dyDescent="0.3">
      <c r="A372" s="2" t="s">
        <v>14</v>
      </c>
      <c r="B372" s="3" t="s">
        <v>14</v>
      </c>
      <c r="C372" s="3" t="s">
        <v>381</v>
      </c>
      <c r="D372" s="3" t="s">
        <v>14</v>
      </c>
      <c r="E372" s="3" t="s">
        <v>96</v>
      </c>
      <c r="F372" s="4">
        <v>46233</v>
      </c>
      <c r="G372" s="3" t="s">
        <v>43</v>
      </c>
      <c r="H372" s="6">
        <v>-677573.04</v>
      </c>
      <c r="I372" s="3" t="s">
        <v>16</v>
      </c>
      <c r="J372" s="3" t="s">
        <v>14</v>
      </c>
      <c r="K372" s="3" t="s">
        <v>14</v>
      </c>
      <c r="L372" s="3" t="s">
        <v>18</v>
      </c>
      <c r="M372" s="4">
        <v>46237</v>
      </c>
      <c r="N372" s="3" t="s">
        <v>374</v>
      </c>
      <c r="O372" s="3" t="s">
        <v>322</v>
      </c>
      <c r="P372" t="str">
        <f t="shared" si="5"/>
        <v>450013279190</v>
      </c>
      <c r="Q372" s="7" cm="1">
        <f t="array" ref="Q372:S372">VLOOKUP(P372,Hoja1!C:F,{2,3,4},FALSE)</f>
        <v>46266</v>
      </c>
      <c r="R372" t="str">
        <v>C03</v>
      </c>
      <c r="S372" t="str">
        <v>1000001470 SUDAMERICANA CAMIONES SA</v>
      </c>
      <c r="T372" t="str">
        <f>VLOOKUP(P372,Hoja2!C:D,2,FALSE)</f>
        <v>FBERARDO</v>
      </c>
    </row>
    <row r="373" spans="1:20" x14ac:dyDescent="0.3">
      <c r="A373" s="2" t="s">
        <v>14</v>
      </c>
      <c r="B373" s="3" t="s">
        <v>14</v>
      </c>
      <c r="C373" s="3" t="s">
        <v>382</v>
      </c>
      <c r="D373" s="3" t="s">
        <v>14</v>
      </c>
      <c r="E373" s="3" t="s">
        <v>96</v>
      </c>
      <c r="F373" s="4">
        <v>46238</v>
      </c>
      <c r="G373" s="3" t="s">
        <v>43</v>
      </c>
      <c r="H373" s="6">
        <v>-761794</v>
      </c>
      <c r="I373" s="3" t="s">
        <v>16</v>
      </c>
      <c r="J373" s="3" t="s">
        <v>14</v>
      </c>
      <c r="K373" s="3" t="s">
        <v>14</v>
      </c>
      <c r="L373" s="3" t="s">
        <v>97</v>
      </c>
      <c r="M373" s="4">
        <v>46238</v>
      </c>
      <c r="N373" s="3" t="s">
        <v>353</v>
      </c>
      <c r="O373" s="3" t="s">
        <v>33</v>
      </c>
      <c r="P373" t="str">
        <f t="shared" si="5"/>
        <v>450013040410</v>
      </c>
      <c r="Q373" s="7" cm="1">
        <f t="array" ref="Q373:S373">VLOOKUP(P373,Hoja1!C:F,{2,3,4},FALSE)</f>
        <v>46296</v>
      </c>
      <c r="R373" t="str">
        <v>C21</v>
      </c>
      <c r="S373" t="str">
        <v>1000001020 COMBUSTIBLES BARCELO S.R.L.</v>
      </c>
      <c r="T373" t="str">
        <f>VLOOKUP(P373,Hoja2!C:D,2,FALSE)</f>
        <v>JPUPULIN</v>
      </c>
    </row>
    <row r="374" spans="1:20" x14ac:dyDescent="0.3">
      <c r="A374" s="2" t="s">
        <v>14</v>
      </c>
      <c r="B374" s="3" t="s">
        <v>14</v>
      </c>
      <c r="C374" s="3" t="s">
        <v>382</v>
      </c>
      <c r="D374" s="3" t="s">
        <v>14</v>
      </c>
      <c r="E374" s="3" t="s">
        <v>96</v>
      </c>
      <c r="F374" s="4">
        <v>46238</v>
      </c>
      <c r="G374" s="3" t="s">
        <v>43</v>
      </c>
      <c r="H374" s="6">
        <v>-86831</v>
      </c>
      <c r="I374" s="3" t="s">
        <v>16</v>
      </c>
      <c r="J374" s="3" t="s">
        <v>14</v>
      </c>
      <c r="K374" s="3" t="s">
        <v>14</v>
      </c>
      <c r="L374" s="3" t="s">
        <v>97</v>
      </c>
      <c r="M374" s="4">
        <v>46238</v>
      </c>
      <c r="N374" s="3" t="s">
        <v>353</v>
      </c>
      <c r="O374" s="3" t="s">
        <v>33</v>
      </c>
      <c r="P374" t="str">
        <f t="shared" si="5"/>
        <v>450013040410</v>
      </c>
      <c r="Q374" s="7" cm="1">
        <f t="array" ref="Q374:S374">VLOOKUP(P374,Hoja1!C:F,{2,3,4},FALSE)</f>
        <v>46296</v>
      </c>
      <c r="R374" t="str">
        <v>C21</v>
      </c>
      <c r="S374" t="str">
        <v>1000001020 COMBUSTIBLES BARCELO S.R.L.</v>
      </c>
      <c r="T374" t="str">
        <f>VLOOKUP(P374,Hoja2!C:D,2,FALSE)</f>
        <v>JPUPULIN</v>
      </c>
    </row>
    <row r="375" spans="1:20" x14ac:dyDescent="0.3">
      <c r="A375" s="2" t="s">
        <v>14</v>
      </c>
      <c r="B375" s="3" t="s">
        <v>14</v>
      </c>
      <c r="C375" s="3" t="s">
        <v>383</v>
      </c>
      <c r="D375" s="3" t="s">
        <v>14</v>
      </c>
      <c r="E375" s="3" t="s">
        <v>96</v>
      </c>
      <c r="F375" s="4">
        <v>46238</v>
      </c>
      <c r="G375" s="3" t="s">
        <v>43</v>
      </c>
      <c r="H375" s="6">
        <v>-2202135</v>
      </c>
      <c r="I375" s="3" t="s">
        <v>16</v>
      </c>
      <c r="J375" s="3" t="s">
        <v>14</v>
      </c>
      <c r="K375" s="3" t="s">
        <v>14</v>
      </c>
      <c r="L375" s="3" t="s">
        <v>46</v>
      </c>
      <c r="M375" s="4">
        <v>46238</v>
      </c>
      <c r="N375" s="3" t="s">
        <v>73</v>
      </c>
      <c r="O375" s="3" t="s">
        <v>33</v>
      </c>
      <c r="P375" t="str">
        <f t="shared" si="5"/>
        <v>450013335210</v>
      </c>
      <c r="Q375" s="7" cm="1">
        <f t="array" ref="Q375:S375">VLOOKUP(P375,Hoja1!C:F,{2,3,4},FALSE)</f>
        <v>46240</v>
      </c>
      <c r="R375" t="str">
        <v>C43</v>
      </c>
      <c r="S375" t="str">
        <v>1000001841 AONA SA</v>
      </c>
      <c r="T375" t="str">
        <f>VLOOKUP(P375,Hoja2!C:D,2,FALSE)</f>
        <v>GROSES</v>
      </c>
    </row>
    <row r="376" spans="1:20" x14ac:dyDescent="0.3">
      <c r="A376" s="2" t="s">
        <v>14</v>
      </c>
      <c r="B376" s="3" t="s">
        <v>14</v>
      </c>
      <c r="C376" s="3" t="s">
        <v>384</v>
      </c>
      <c r="D376" s="3" t="s">
        <v>14</v>
      </c>
      <c r="E376" s="3" t="s">
        <v>96</v>
      </c>
      <c r="F376" s="4">
        <v>46238</v>
      </c>
      <c r="G376" s="3" t="s">
        <v>43</v>
      </c>
      <c r="H376" s="6">
        <v>-2202135</v>
      </c>
      <c r="I376" s="3" t="s">
        <v>16</v>
      </c>
      <c r="J376" s="3" t="s">
        <v>14</v>
      </c>
      <c r="K376" s="3" t="s">
        <v>14</v>
      </c>
      <c r="L376" s="3" t="s">
        <v>46</v>
      </c>
      <c r="M376" s="4">
        <v>46238</v>
      </c>
      <c r="N376" s="3" t="s">
        <v>74</v>
      </c>
      <c r="O376" s="3" t="s">
        <v>33</v>
      </c>
      <c r="P376" t="str">
        <f t="shared" si="5"/>
        <v>450013335310</v>
      </c>
      <c r="Q376" s="7" cm="1">
        <f t="array" ref="Q376:S376">VLOOKUP(P376,Hoja1!C:F,{2,3,4},FALSE)</f>
        <v>46240</v>
      </c>
      <c r="R376" t="str">
        <v>C43</v>
      </c>
      <c r="S376" t="str">
        <v>1000001841 AONA SA</v>
      </c>
      <c r="T376" t="str">
        <f>VLOOKUP(P376,Hoja2!C:D,2,FALSE)</f>
        <v>GROSES</v>
      </c>
    </row>
    <row r="377" spans="1:20" x14ac:dyDescent="0.3">
      <c r="A377" s="2" t="s">
        <v>14</v>
      </c>
      <c r="B377" s="3" t="s">
        <v>14</v>
      </c>
      <c r="C377" s="3" t="s">
        <v>385</v>
      </c>
      <c r="D377" s="3" t="s">
        <v>14</v>
      </c>
      <c r="E377" s="3" t="s">
        <v>96</v>
      </c>
      <c r="F377" s="4">
        <v>46238</v>
      </c>
      <c r="G377" s="3" t="s">
        <v>43</v>
      </c>
      <c r="H377" s="6">
        <v>-2202135</v>
      </c>
      <c r="I377" s="3" t="s">
        <v>16</v>
      </c>
      <c r="J377" s="3" t="s">
        <v>14</v>
      </c>
      <c r="K377" s="3" t="s">
        <v>14</v>
      </c>
      <c r="L377" s="3" t="s">
        <v>46</v>
      </c>
      <c r="M377" s="4">
        <v>46238</v>
      </c>
      <c r="N377" s="3" t="s">
        <v>75</v>
      </c>
      <c r="O377" s="3" t="s">
        <v>33</v>
      </c>
      <c r="P377" t="str">
        <f t="shared" si="5"/>
        <v>450013335410</v>
      </c>
      <c r="Q377" s="7" cm="1">
        <f t="array" ref="Q377:S377">VLOOKUP(P377,Hoja1!C:F,{2,3,4},FALSE)</f>
        <v>46240</v>
      </c>
      <c r="R377" t="str">
        <v>C43</v>
      </c>
      <c r="S377" t="str">
        <v>1000001841 AONA SA</v>
      </c>
      <c r="T377" t="str">
        <f>VLOOKUP(P377,Hoja2!C:D,2,FALSE)</f>
        <v>GROSES</v>
      </c>
    </row>
    <row r="378" spans="1:20" x14ac:dyDescent="0.3">
      <c r="A378" s="2" t="s">
        <v>14</v>
      </c>
      <c r="B378" s="3" t="s">
        <v>14</v>
      </c>
      <c r="C378" s="3" t="s">
        <v>386</v>
      </c>
      <c r="D378" s="3" t="s">
        <v>14</v>
      </c>
      <c r="E378" s="3" t="s">
        <v>96</v>
      </c>
      <c r="F378" s="4">
        <v>46237</v>
      </c>
      <c r="G378" s="3" t="s">
        <v>43</v>
      </c>
      <c r="H378" s="6">
        <v>-214761.09</v>
      </c>
      <c r="I378" s="3" t="s">
        <v>16</v>
      </c>
      <c r="J378" s="3" t="s">
        <v>14</v>
      </c>
      <c r="K378" s="3" t="s">
        <v>14</v>
      </c>
      <c r="L378" s="3" t="s">
        <v>86</v>
      </c>
      <c r="M378" s="4">
        <v>46239</v>
      </c>
      <c r="N378" s="3" t="s">
        <v>87</v>
      </c>
      <c r="O378" s="3" t="s">
        <v>33</v>
      </c>
      <c r="P378" t="str">
        <f t="shared" si="5"/>
        <v>450013335110</v>
      </c>
      <c r="Q378" s="7" cm="1">
        <f t="array" ref="Q378:S378">VLOOKUP(P378,Hoja1!C:F,{2,3,4},FALSE)</f>
        <v>46245</v>
      </c>
      <c r="R378" t="str">
        <v>C28</v>
      </c>
      <c r="S378" t="str">
        <v>1000001028 SOSTEN S.A.</v>
      </c>
      <c r="T378" t="str">
        <f>VLOOKUP(P378,Hoja2!C:D,2,FALSE)</f>
        <v>GJULIANI</v>
      </c>
    </row>
    <row r="379" spans="1:20" x14ac:dyDescent="0.3">
      <c r="A379" s="2" t="s">
        <v>14</v>
      </c>
      <c r="B379" s="3" t="s">
        <v>14</v>
      </c>
      <c r="C379" s="3" t="s">
        <v>387</v>
      </c>
      <c r="D379" s="3" t="s">
        <v>14</v>
      </c>
      <c r="E379" s="3" t="s">
        <v>96</v>
      </c>
      <c r="F379" s="4">
        <v>46239</v>
      </c>
      <c r="G379" s="3" t="s">
        <v>43</v>
      </c>
      <c r="H379" s="6">
        <v>-10563.36</v>
      </c>
      <c r="I379" s="3" t="s">
        <v>16</v>
      </c>
      <c r="J379" s="3" t="s">
        <v>14</v>
      </c>
      <c r="K379" s="3" t="s">
        <v>14</v>
      </c>
      <c r="L379" s="3" t="s">
        <v>148</v>
      </c>
      <c r="M379" s="4">
        <v>46240</v>
      </c>
      <c r="N379" s="3" t="s">
        <v>388</v>
      </c>
      <c r="O379" s="3" t="s">
        <v>323</v>
      </c>
      <c r="P379" t="str">
        <f t="shared" si="5"/>
        <v>4500124041100</v>
      </c>
      <c r="Q379" s="7" cm="1">
        <f t="array" ref="Q379:S379">VLOOKUP(P379,Hoja1!C:F,{2,3,4},FALSE)</f>
        <v>46240</v>
      </c>
      <c r="R379" t="str">
        <v>C03</v>
      </c>
      <c r="S379" t="str">
        <v>1000000062 FINNING ARGENTINA S.A.</v>
      </c>
      <c r="T379" t="str">
        <f>VLOOKUP(P379,Hoja2!C:D,2,FALSE)</f>
        <v>RPEREZ</v>
      </c>
    </row>
    <row r="380" spans="1:20" x14ac:dyDescent="0.3">
      <c r="A380" s="2" t="s">
        <v>14</v>
      </c>
      <c r="B380" s="3" t="s">
        <v>14</v>
      </c>
      <c r="C380" s="3" t="s">
        <v>389</v>
      </c>
      <c r="D380" s="3" t="s">
        <v>14</v>
      </c>
      <c r="E380" s="3" t="s">
        <v>96</v>
      </c>
      <c r="F380" s="4">
        <v>46240</v>
      </c>
      <c r="G380" s="3" t="s">
        <v>43</v>
      </c>
      <c r="H380" s="6">
        <v>-10281300</v>
      </c>
      <c r="I380" s="3" t="s">
        <v>16</v>
      </c>
      <c r="J380" s="3" t="s">
        <v>14</v>
      </c>
      <c r="K380" s="3" t="s">
        <v>14</v>
      </c>
      <c r="L380" s="3" t="s">
        <v>1269</v>
      </c>
      <c r="M380" s="4">
        <v>46240</v>
      </c>
      <c r="N380" s="3" t="s">
        <v>291</v>
      </c>
      <c r="O380" s="3" t="s">
        <v>33</v>
      </c>
      <c r="P380" t="str">
        <f t="shared" si="5"/>
        <v>450012941210</v>
      </c>
      <c r="Q380" s="7" cm="1">
        <f t="array" ref="Q380:S380">VLOOKUP(P380,Hoja1!C:F,{2,3,4},FALSE)</f>
        <v>46325</v>
      </c>
      <c r="R380" t="str">
        <v>C21</v>
      </c>
      <c r="S380" t="str">
        <v>1000000634 RAIZEN ARGENTINA S.A.U.</v>
      </c>
      <c r="T380" t="str">
        <f>VLOOKUP(P380,Hoja2!C:D,2,FALSE)</f>
        <v>JPUPULIN</v>
      </c>
    </row>
    <row r="381" spans="1:20" x14ac:dyDescent="0.3">
      <c r="A381" s="2" t="s">
        <v>14</v>
      </c>
      <c r="B381" s="3" t="s">
        <v>14</v>
      </c>
      <c r="C381" s="3" t="s">
        <v>389</v>
      </c>
      <c r="D381" s="3" t="s">
        <v>14</v>
      </c>
      <c r="E381" s="3" t="s">
        <v>96</v>
      </c>
      <c r="F381" s="4">
        <v>46240</v>
      </c>
      <c r="G381" s="3" t="s">
        <v>43</v>
      </c>
      <c r="H381" s="6">
        <v>-1171750</v>
      </c>
      <c r="I381" s="3" t="s">
        <v>16</v>
      </c>
      <c r="J381" s="3" t="s">
        <v>14</v>
      </c>
      <c r="K381" s="3" t="s">
        <v>14</v>
      </c>
      <c r="L381" s="3" t="s">
        <v>1269</v>
      </c>
      <c r="M381" s="4">
        <v>46240</v>
      </c>
      <c r="N381" s="3" t="s">
        <v>291</v>
      </c>
      <c r="O381" s="3" t="s">
        <v>33</v>
      </c>
      <c r="P381" t="str">
        <f t="shared" si="5"/>
        <v>450012941210</v>
      </c>
      <c r="Q381" s="7" cm="1">
        <f t="array" ref="Q381:S381">VLOOKUP(P381,Hoja1!C:F,{2,3,4},FALSE)</f>
        <v>46325</v>
      </c>
      <c r="R381" t="str">
        <v>C21</v>
      </c>
      <c r="S381" t="str">
        <v>1000000634 RAIZEN ARGENTINA S.A.U.</v>
      </c>
      <c r="T381" t="str">
        <f>VLOOKUP(P381,Hoja2!C:D,2,FALSE)</f>
        <v>JPUPULIN</v>
      </c>
    </row>
    <row r="382" spans="1:20" x14ac:dyDescent="0.3">
      <c r="A382" s="2" t="s">
        <v>14</v>
      </c>
      <c r="B382" s="3" t="s">
        <v>14</v>
      </c>
      <c r="C382" s="3" t="s">
        <v>390</v>
      </c>
      <c r="D382" s="3" t="s">
        <v>14</v>
      </c>
      <c r="E382" s="3" t="s">
        <v>96</v>
      </c>
      <c r="F382" s="4">
        <v>46241</v>
      </c>
      <c r="G382" s="3" t="s">
        <v>43</v>
      </c>
      <c r="H382" s="6">
        <v>-589776</v>
      </c>
      <c r="I382" s="3" t="s">
        <v>16</v>
      </c>
      <c r="J382" s="3" t="s">
        <v>14</v>
      </c>
      <c r="K382" s="3" t="s">
        <v>14</v>
      </c>
      <c r="L382" s="3" t="s">
        <v>97</v>
      </c>
      <c r="M382" s="4">
        <v>46241</v>
      </c>
      <c r="N382" s="3" t="s">
        <v>353</v>
      </c>
      <c r="O382" s="3" t="s">
        <v>33</v>
      </c>
      <c r="P382" t="str">
        <f t="shared" si="5"/>
        <v>450013040410</v>
      </c>
      <c r="Q382" s="7" cm="1">
        <f t="array" ref="Q382:S382">VLOOKUP(P382,Hoja1!C:F,{2,3,4},FALSE)</f>
        <v>46296</v>
      </c>
      <c r="R382" t="str">
        <v>C21</v>
      </c>
      <c r="S382" t="str">
        <v>1000001020 COMBUSTIBLES BARCELO S.R.L.</v>
      </c>
      <c r="T382" t="str">
        <f>VLOOKUP(P382,Hoja2!C:D,2,FALSE)</f>
        <v>JPUPULIN</v>
      </c>
    </row>
    <row r="383" spans="1:20" x14ac:dyDescent="0.3">
      <c r="A383" s="2" t="s">
        <v>14</v>
      </c>
      <c r="B383" s="3" t="s">
        <v>14</v>
      </c>
      <c r="C383" s="3" t="s">
        <v>390</v>
      </c>
      <c r="D383" s="3" t="s">
        <v>14</v>
      </c>
      <c r="E383" s="3" t="s">
        <v>96</v>
      </c>
      <c r="F383" s="4">
        <v>46241</v>
      </c>
      <c r="G383" s="3" t="s">
        <v>43</v>
      </c>
      <c r="H383" s="6">
        <v>-67224</v>
      </c>
      <c r="I383" s="3" t="s">
        <v>16</v>
      </c>
      <c r="J383" s="3" t="s">
        <v>14</v>
      </c>
      <c r="K383" s="3" t="s">
        <v>14</v>
      </c>
      <c r="L383" s="3" t="s">
        <v>97</v>
      </c>
      <c r="M383" s="4">
        <v>46241</v>
      </c>
      <c r="N383" s="3" t="s">
        <v>353</v>
      </c>
      <c r="O383" s="3" t="s">
        <v>33</v>
      </c>
      <c r="P383" t="str">
        <f t="shared" si="5"/>
        <v>450013040410</v>
      </c>
      <c r="Q383" s="7" cm="1">
        <f t="array" ref="Q383:S383">VLOOKUP(P383,Hoja1!C:F,{2,3,4},FALSE)</f>
        <v>46296</v>
      </c>
      <c r="R383" t="str">
        <v>C21</v>
      </c>
      <c r="S383" t="str">
        <v>1000001020 COMBUSTIBLES BARCELO S.R.L.</v>
      </c>
      <c r="T383" t="str">
        <f>VLOOKUP(P383,Hoja2!C:D,2,FALSE)</f>
        <v>JPUPULIN</v>
      </c>
    </row>
    <row r="384" spans="1:20" x14ac:dyDescent="0.3">
      <c r="A384" s="2" t="s">
        <v>14</v>
      </c>
      <c r="B384" s="3" t="s">
        <v>14</v>
      </c>
      <c r="C384" s="3" t="s">
        <v>391</v>
      </c>
      <c r="D384" s="3" t="s">
        <v>14</v>
      </c>
      <c r="E384" s="3" t="s">
        <v>96</v>
      </c>
      <c r="F384" s="4">
        <v>46241</v>
      </c>
      <c r="G384" s="3" t="s">
        <v>43</v>
      </c>
      <c r="H384" s="6">
        <v>-10896694.199999999</v>
      </c>
      <c r="I384" s="3" t="s">
        <v>16</v>
      </c>
      <c r="J384" s="3" t="s">
        <v>14</v>
      </c>
      <c r="K384" s="3" t="s">
        <v>14</v>
      </c>
      <c r="L384" s="3" t="s">
        <v>392</v>
      </c>
      <c r="M384" s="4">
        <v>46241</v>
      </c>
      <c r="N384" s="3" t="s">
        <v>393</v>
      </c>
      <c r="O384" s="3" t="s">
        <v>33</v>
      </c>
      <c r="P384" t="str">
        <f t="shared" si="5"/>
        <v>450013443810</v>
      </c>
      <c r="Q384" s="7" cm="1">
        <f t="array" ref="Q384:S384">VLOOKUP(P384,Hoja1!C:F,{2,3,4},FALSE)</f>
        <v>46264</v>
      </c>
      <c r="R384" t="str">
        <v>C48</v>
      </c>
      <c r="S384" t="str">
        <v>1000000279 NEUMATICOS VERONA S.R.L.</v>
      </c>
      <c r="T384" t="str">
        <f>VLOOKUP(P384,Hoja2!C:D,2,FALSE)</f>
        <v>WVENTURINI</v>
      </c>
    </row>
    <row r="385" spans="1:20" x14ac:dyDescent="0.3">
      <c r="A385" s="2" t="s">
        <v>14</v>
      </c>
      <c r="B385" s="3" t="s">
        <v>14</v>
      </c>
      <c r="C385" s="3" t="s">
        <v>394</v>
      </c>
      <c r="D385" s="3" t="s">
        <v>14</v>
      </c>
      <c r="E385" s="3" t="s">
        <v>96</v>
      </c>
      <c r="F385" s="4">
        <v>46241</v>
      </c>
      <c r="G385" s="3" t="s">
        <v>43</v>
      </c>
      <c r="H385" s="6">
        <v>-1076400</v>
      </c>
      <c r="I385" s="3" t="s">
        <v>16</v>
      </c>
      <c r="J385" s="3" t="s">
        <v>14</v>
      </c>
      <c r="K385" s="3" t="s">
        <v>14</v>
      </c>
      <c r="L385" s="3" t="s">
        <v>144</v>
      </c>
      <c r="M385" s="4">
        <v>46241</v>
      </c>
      <c r="N385" s="3" t="s">
        <v>395</v>
      </c>
      <c r="O385" s="3" t="s">
        <v>33</v>
      </c>
      <c r="P385" t="str">
        <f t="shared" si="5"/>
        <v>450013482110</v>
      </c>
      <c r="Q385" s="7" cm="1">
        <f t="array" ref="Q385:S385">VLOOKUP(P385,Hoja1!C:F,{2,3,4},FALSE)</f>
        <v>46244</v>
      </c>
      <c r="R385" t="str">
        <v>C39</v>
      </c>
      <c r="S385" t="str">
        <v>1000010438 TURBOS T&amp;T S.R.L</v>
      </c>
      <c r="T385" t="str">
        <f>VLOOKUP(P385,Hoja2!C:D,2,FALSE)</f>
        <v>EFUNES</v>
      </c>
    </row>
    <row r="386" spans="1:20" x14ac:dyDescent="0.3">
      <c r="A386" s="2" t="s">
        <v>14</v>
      </c>
      <c r="B386" s="3" t="s">
        <v>14</v>
      </c>
      <c r="C386" s="3" t="s">
        <v>396</v>
      </c>
      <c r="D386" s="3" t="s">
        <v>14</v>
      </c>
      <c r="E386" s="3" t="s">
        <v>96</v>
      </c>
      <c r="F386" s="4">
        <v>46241</v>
      </c>
      <c r="G386" s="3" t="s">
        <v>43</v>
      </c>
      <c r="H386" s="6">
        <v>-672300</v>
      </c>
      <c r="I386" s="3" t="s">
        <v>16</v>
      </c>
      <c r="J386" s="3" t="s">
        <v>14</v>
      </c>
      <c r="K386" s="3" t="s">
        <v>14</v>
      </c>
      <c r="L386" s="3" t="s">
        <v>144</v>
      </c>
      <c r="M386" s="4">
        <v>46242</v>
      </c>
      <c r="N386" s="3" t="s">
        <v>397</v>
      </c>
      <c r="O386" s="3" t="s">
        <v>33</v>
      </c>
      <c r="P386" t="str">
        <f t="shared" si="5"/>
        <v>450013482310</v>
      </c>
      <c r="Q386" s="7" cm="1">
        <f t="array" ref="Q386:S386">VLOOKUP(P386,Hoja1!C:F,{2,3,4},FALSE)</f>
        <v>46252</v>
      </c>
      <c r="R386" t="str">
        <v>C39</v>
      </c>
      <c r="S386" t="str">
        <v>1000010438 TURBOS T&amp;T S.R.L</v>
      </c>
      <c r="T386" t="str">
        <f>VLOOKUP(P386,Hoja2!C:D,2,FALSE)</f>
        <v>EFUNES</v>
      </c>
    </row>
    <row r="387" spans="1:20" x14ac:dyDescent="0.3">
      <c r="A387" s="2" t="s">
        <v>14</v>
      </c>
      <c r="B387" s="3" t="s">
        <v>14</v>
      </c>
      <c r="C387" s="3" t="s">
        <v>399</v>
      </c>
      <c r="D387" s="3" t="s">
        <v>14</v>
      </c>
      <c r="E387" s="3" t="s">
        <v>96</v>
      </c>
      <c r="F387" s="4">
        <v>46242</v>
      </c>
      <c r="G387" s="3" t="s">
        <v>43</v>
      </c>
      <c r="H387" s="6">
        <v>-10281300</v>
      </c>
      <c r="I387" s="3" t="s">
        <v>16</v>
      </c>
      <c r="J387" s="3" t="s">
        <v>14</v>
      </c>
      <c r="K387" s="3" t="s">
        <v>14</v>
      </c>
      <c r="L387" s="3" t="s">
        <v>1269</v>
      </c>
      <c r="M387" s="4">
        <v>46242</v>
      </c>
      <c r="N387" s="3" t="s">
        <v>291</v>
      </c>
      <c r="O387" s="3" t="s">
        <v>33</v>
      </c>
      <c r="P387" t="str">
        <f t="shared" ref="P387:P450" si="6">_xlfn.CONCAT(N387:O387)</f>
        <v>450012941210</v>
      </c>
      <c r="Q387" s="7" cm="1">
        <f t="array" ref="Q387:S387">VLOOKUP(P387,Hoja1!C:F,{2,3,4},FALSE)</f>
        <v>46325</v>
      </c>
      <c r="R387" t="str">
        <v>C21</v>
      </c>
      <c r="S387" t="str">
        <v>1000000634 RAIZEN ARGENTINA S.A.U.</v>
      </c>
      <c r="T387" t="str">
        <f>VLOOKUP(P387,Hoja2!C:D,2,FALSE)</f>
        <v>JPUPULIN</v>
      </c>
    </row>
    <row r="388" spans="1:20" x14ac:dyDescent="0.3">
      <c r="A388" s="2" t="s">
        <v>14</v>
      </c>
      <c r="B388" s="3" t="s">
        <v>14</v>
      </c>
      <c r="C388" s="3" t="s">
        <v>399</v>
      </c>
      <c r="D388" s="3" t="s">
        <v>14</v>
      </c>
      <c r="E388" s="3" t="s">
        <v>96</v>
      </c>
      <c r="F388" s="4">
        <v>46242</v>
      </c>
      <c r="G388" s="3" t="s">
        <v>43</v>
      </c>
      <c r="H388" s="6">
        <v>-1171750</v>
      </c>
      <c r="I388" s="3" t="s">
        <v>16</v>
      </c>
      <c r="J388" s="3" t="s">
        <v>14</v>
      </c>
      <c r="K388" s="3" t="s">
        <v>14</v>
      </c>
      <c r="L388" s="3" t="s">
        <v>1269</v>
      </c>
      <c r="M388" s="4">
        <v>46242</v>
      </c>
      <c r="N388" s="3" t="s">
        <v>291</v>
      </c>
      <c r="O388" s="3" t="s">
        <v>33</v>
      </c>
      <c r="P388" t="str">
        <f t="shared" si="6"/>
        <v>450012941210</v>
      </c>
      <c r="Q388" s="7" cm="1">
        <f t="array" ref="Q388:S388">VLOOKUP(P388,Hoja1!C:F,{2,3,4},FALSE)</f>
        <v>46325</v>
      </c>
      <c r="R388" t="str">
        <v>C21</v>
      </c>
      <c r="S388" t="str">
        <v>1000000634 RAIZEN ARGENTINA S.A.U.</v>
      </c>
      <c r="T388" t="str">
        <f>VLOOKUP(P388,Hoja2!C:D,2,FALSE)</f>
        <v>JPUPULIN</v>
      </c>
    </row>
    <row r="389" spans="1:20" x14ac:dyDescent="0.3">
      <c r="A389" s="2" t="s">
        <v>14</v>
      </c>
      <c r="B389" s="3" t="s">
        <v>14</v>
      </c>
      <c r="C389" s="3" t="s">
        <v>400</v>
      </c>
      <c r="D389" s="3" t="s">
        <v>14</v>
      </c>
      <c r="E389" s="3" t="s">
        <v>96</v>
      </c>
      <c r="F389" s="4">
        <v>46244</v>
      </c>
      <c r="G389" s="3" t="s">
        <v>43</v>
      </c>
      <c r="H389" s="6">
        <v>-1016846.28</v>
      </c>
      <c r="I389" s="3" t="s">
        <v>16</v>
      </c>
      <c r="J389" s="3" t="s">
        <v>14</v>
      </c>
      <c r="K389" s="3" t="s">
        <v>14</v>
      </c>
      <c r="L389" s="3" t="s">
        <v>148</v>
      </c>
      <c r="M389" s="4">
        <v>46244</v>
      </c>
      <c r="N389" s="3" t="s">
        <v>401</v>
      </c>
      <c r="O389" s="3" t="s">
        <v>20</v>
      </c>
      <c r="P389" t="str">
        <f t="shared" si="6"/>
        <v>450013402120</v>
      </c>
      <c r="Q389" s="7" cm="1">
        <f t="array" ref="Q389:S389">VLOOKUP(P389,Hoja1!C:F,{2,3,4},FALSE)</f>
        <v>46237</v>
      </c>
      <c r="R389" t="str">
        <v>C03</v>
      </c>
      <c r="S389" t="str">
        <v>1000000062 FINNING ARGENTINA S.A.</v>
      </c>
      <c r="T389" t="str">
        <f>VLOOKUP(P389,Hoja2!C:D,2,FALSE)</f>
        <v>ANAVARRO</v>
      </c>
    </row>
    <row r="390" spans="1:20" x14ac:dyDescent="0.3">
      <c r="A390" s="2" t="s">
        <v>14</v>
      </c>
      <c r="B390" s="3" t="s">
        <v>14</v>
      </c>
      <c r="C390" s="3" t="s">
        <v>402</v>
      </c>
      <c r="D390" s="3" t="s">
        <v>14</v>
      </c>
      <c r="E390" s="3" t="s">
        <v>96</v>
      </c>
      <c r="F390" s="4">
        <v>46245</v>
      </c>
      <c r="G390" s="3" t="s">
        <v>43</v>
      </c>
      <c r="H390" s="6">
        <v>-1446270</v>
      </c>
      <c r="I390" s="3" t="s">
        <v>16</v>
      </c>
      <c r="J390" s="3" t="s">
        <v>14</v>
      </c>
      <c r="K390" s="3" t="s">
        <v>14</v>
      </c>
      <c r="L390" s="3" t="s">
        <v>144</v>
      </c>
      <c r="M390" s="4">
        <v>46245</v>
      </c>
      <c r="N390" s="3" t="s">
        <v>403</v>
      </c>
      <c r="O390" s="3" t="s">
        <v>20</v>
      </c>
      <c r="P390" t="str">
        <f t="shared" si="6"/>
        <v>450013527520</v>
      </c>
      <c r="Q390" s="7" cm="1">
        <f t="array" ref="Q390:S390">VLOOKUP(P390,Hoja1!C:F,{2,3,4},FALSE)</f>
        <v>46254</v>
      </c>
      <c r="R390" t="str">
        <v>C38</v>
      </c>
      <c r="S390" t="str">
        <v>1000010438 TURBOS T&amp;T S.R.L</v>
      </c>
      <c r="T390" t="str">
        <f>VLOOKUP(P390,Hoja2!C:D,2,FALSE)</f>
        <v>EFUNES</v>
      </c>
    </row>
    <row r="391" spans="1:20" x14ac:dyDescent="0.3">
      <c r="A391" s="2" t="s">
        <v>14</v>
      </c>
      <c r="B391" s="3" t="s">
        <v>14</v>
      </c>
      <c r="C391" s="3" t="s">
        <v>404</v>
      </c>
      <c r="D391" s="3" t="s">
        <v>14</v>
      </c>
      <c r="E391" s="3" t="s">
        <v>96</v>
      </c>
      <c r="F391" s="4">
        <v>46246</v>
      </c>
      <c r="G391" s="3" t="s">
        <v>43</v>
      </c>
      <c r="H391" s="6">
        <v>-10042200</v>
      </c>
      <c r="I391" s="3" t="s">
        <v>16</v>
      </c>
      <c r="J391" s="3" t="s">
        <v>14</v>
      </c>
      <c r="K391" s="3" t="s">
        <v>14</v>
      </c>
      <c r="L391" s="3" t="s">
        <v>1269</v>
      </c>
      <c r="M391" s="4">
        <v>46246</v>
      </c>
      <c r="N391" s="3" t="s">
        <v>291</v>
      </c>
      <c r="O391" s="3" t="s">
        <v>33</v>
      </c>
      <c r="P391" t="str">
        <f t="shared" si="6"/>
        <v>450012941210</v>
      </c>
      <c r="Q391" s="7" cm="1">
        <f t="array" ref="Q391:S391">VLOOKUP(P391,Hoja1!C:F,{2,3,4},FALSE)</f>
        <v>46325</v>
      </c>
      <c r="R391" t="str">
        <v>C21</v>
      </c>
      <c r="S391" t="str">
        <v>1000000634 RAIZEN ARGENTINA S.A.U.</v>
      </c>
      <c r="T391" t="str">
        <f>VLOOKUP(P391,Hoja2!C:D,2,FALSE)</f>
        <v>JPUPULIN</v>
      </c>
    </row>
    <row r="392" spans="1:20" x14ac:dyDescent="0.3">
      <c r="A392" s="2" t="s">
        <v>14</v>
      </c>
      <c r="B392" s="3" t="s">
        <v>14</v>
      </c>
      <c r="C392" s="3" t="s">
        <v>404</v>
      </c>
      <c r="D392" s="3" t="s">
        <v>14</v>
      </c>
      <c r="E392" s="3" t="s">
        <v>96</v>
      </c>
      <c r="F392" s="4">
        <v>46246</v>
      </c>
      <c r="G392" s="3" t="s">
        <v>43</v>
      </c>
      <c r="H392" s="6">
        <v>-1144500</v>
      </c>
      <c r="I392" s="3" t="s">
        <v>16</v>
      </c>
      <c r="J392" s="3" t="s">
        <v>14</v>
      </c>
      <c r="K392" s="3" t="s">
        <v>14</v>
      </c>
      <c r="L392" s="3" t="s">
        <v>1269</v>
      </c>
      <c r="M392" s="4">
        <v>46246</v>
      </c>
      <c r="N392" s="3" t="s">
        <v>291</v>
      </c>
      <c r="O392" s="3" t="s">
        <v>33</v>
      </c>
      <c r="P392" t="str">
        <f t="shared" si="6"/>
        <v>450012941210</v>
      </c>
      <c r="Q392" s="7" cm="1">
        <f t="array" ref="Q392:S392">VLOOKUP(P392,Hoja1!C:F,{2,3,4},FALSE)</f>
        <v>46325</v>
      </c>
      <c r="R392" t="str">
        <v>C21</v>
      </c>
      <c r="S392" t="str">
        <v>1000000634 RAIZEN ARGENTINA S.A.U.</v>
      </c>
      <c r="T392" t="str">
        <f>VLOOKUP(P392,Hoja2!C:D,2,FALSE)</f>
        <v>JPUPULIN</v>
      </c>
    </row>
    <row r="393" spans="1:20" x14ac:dyDescent="0.3">
      <c r="A393" s="2" t="s">
        <v>14</v>
      </c>
      <c r="B393" s="3" t="s">
        <v>14</v>
      </c>
      <c r="C393" s="3" t="s">
        <v>405</v>
      </c>
      <c r="D393" s="3" t="s">
        <v>14</v>
      </c>
      <c r="E393" s="3" t="s">
        <v>96</v>
      </c>
      <c r="F393" s="4">
        <v>46246</v>
      </c>
      <c r="G393" s="3" t="s">
        <v>43</v>
      </c>
      <c r="H393" s="6">
        <v>-726446.28</v>
      </c>
      <c r="I393" s="3" t="s">
        <v>16</v>
      </c>
      <c r="J393" s="3" t="s">
        <v>14</v>
      </c>
      <c r="K393" s="3" t="s">
        <v>14</v>
      </c>
      <c r="L393" s="3" t="s">
        <v>392</v>
      </c>
      <c r="M393" s="4">
        <v>46246</v>
      </c>
      <c r="N393" s="3" t="s">
        <v>393</v>
      </c>
      <c r="O393" s="3" t="s">
        <v>33</v>
      </c>
      <c r="P393" t="str">
        <f t="shared" si="6"/>
        <v>450013443810</v>
      </c>
      <c r="Q393" s="7" cm="1">
        <f t="array" ref="Q393:S393">VLOOKUP(P393,Hoja1!C:F,{2,3,4},FALSE)</f>
        <v>46264</v>
      </c>
      <c r="R393" t="str">
        <v>C48</v>
      </c>
      <c r="S393" t="str">
        <v>1000000279 NEUMATICOS VERONA S.R.L.</v>
      </c>
      <c r="T393" t="str">
        <f>VLOOKUP(P393,Hoja2!C:D,2,FALSE)</f>
        <v>WVENTURINI</v>
      </c>
    </row>
    <row r="394" spans="1:20" x14ac:dyDescent="0.3">
      <c r="A394" s="2" t="s">
        <v>14</v>
      </c>
      <c r="B394" s="3" t="s">
        <v>14</v>
      </c>
      <c r="C394" s="3" t="s">
        <v>406</v>
      </c>
      <c r="D394" s="3" t="s">
        <v>14</v>
      </c>
      <c r="E394" s="3" t="s">
        <v>96</v>
      </c>
      <c r="F394" s="4">
        <v>46248</v>
      </c>
      <c r="G394" s="3" t="s">
        <v>43</v>
      </c>
      <c r="H394" s="6">
        <v>-2156875</v>
      </c>
      <c r="I394" s="3" t="s">
        <v>16</v>
      </c>
      <c r="J394" s="3" t="s">
        <v>14</v>
      </c>
      <c r="K394" s="3" t="s">
        <v>14</v>
      </c>
      <c r="L394" s="3" t="s">
        <v>144</v>
      </c>
      <c r="M394" s="4">
        <v>46248</v>
      </c>
      <c r="N394" s="3" t="s">
        <v>407</v>
      </c>
      <c r="O394" s="3" t="s">
        <v>33</v>
      </c>
      <c r="P394" t="str">
        <f t="shared" si="6"/>
        <v>450013552910</v>
      </c>
      <c r="Q394" s="7" cm="1">
        <f t="array" ref="Q394:S394">VLOOKUP(P394,Hoja1!C:F,{2,3,4},FALSE)</f>
        <v>46254</v>
      </c>
      <c r="R394" t="str">
        <v>C39</v>
      </c>
      <c r="S394" t="str">
        <v>1000010438 TURBOS T&amp;T S.R.L</v>
      </c>
      <c r="T394" t="str">
        <f>VLOOKUP(P394,Hoja2!C:D,2,FALSE)</f>
        <v>EFUNES</v>
      </c>
    </row>
    <row r="395" spans="1:20" x14ac:dyDescent="0.3">
      <c r="A395" s="2" t="s">
        <v>14</v>
      </c>
      <c r="B395" s="3" t="s">
        <v>14</v>
      </c>
      <c r="C395" s="3" t="s">
        <v>408</v>
      </c>
      <c r="D395" s="3" t="s">
        <v>14</v>
      </c>
      <c r="E395" s="3" t="s">
        <v>96</v>
      </c>
      <c r="F395" s="4">
        <v>46246</v>
      </c>
      <c r="G395" s="3" t="s">
        <v>43</v>
      </c>
      <c r="H395" s="6">
        <v>-1264375</v>
      </c>
      <c r="I395" s="3" t="s">
        <v>16</v>
      </c>
      <c r="J395" s="3" t="s">
        <v>14</v>
      </c>
      <c r="K395" s="3" t="s">
        <v>14</v>
      </c>
      <c r="L395" s="3" t="s">
        <v>144</v>
      </c>
      <c r="M395" s="4">
        <v>46248</v>
      </c>
      <c r="N395" s="3" t="s">
        <v>409</v>
      </c>
      <c r="O395" s="3" t="s">
        <v>33</v>
      </c>
      <c r="P395" t="str">
        <f t="shared" si="6"/>
        <v>450013528210</v>
      </c>
      <c r="Q395" s="7" cm="1">
        <f t="array" ref="Q395:S395">VLOOKUP(P395,Hoja1!C:F,{2,3,4},FALSE)</f>
        <v>46254</v>
      </c>
      <c r="R395" t="str">
        <v>C39</v>
      </c>
      <c r="S395" t="str">
        <v>1000010438 TURBOS T&amp;T S.R.L</v>
      </c>
      <c r="T395" t="str">
        <f>VLOOKUP(P395,Hoja2!C:D,2,FALSE)</f>
        <v>EFUNES</v>
      </c>
    </row>
    <row r="396" spans="1:20" x14ac:dyDescent="0.3">
      <c r="A396" s="2" t="s">
        <v>14</v>
      </c>
      <c r="B396" s="3" t="s">
        <v>14</v>
      </c>
      <c r="C396" s="3" t="s">
        <v>410</v>
      </c>
      <c r="D396" s="3" t="s">
        <v>14</v>
      </c>
      <c r="E396" s="3" t="s">
        <v>96</v>
      </c>
      <c r="F396" s="4">
        <v>46248</v>
      </c>
      <c r="G396" s="3" t="s">
        <v>43</v>
      </c>
      <c r="H396" s="6">
        <v>-10042200</v>
      </c>
      <c r="I396" s="3" t="s">
        <v>16</v>
      </c>
      <c r="J396" s="3" t="s">
        <v>14</v>
      </c>
      <c r="K396" s="3" t="s">
        <v>14</v>
      </c>
      <c r="L396" s="3" t="s">
        <v>1269</v>
      </c>
      <c r="M396" s="4">
        <v>46248</v>
      </c>
      <c r="N396" s="3" t="s">
        <v>291</v>
      </c>
      <c r="O396" s="3" t="s">
        <v>33</v>
      </c>
      <c r="P396" t="str">
        <f t="shared" si="6"/>
        <v>450012941210</v>
      </c>
      <c r="Q396" s="7" cm="1">
        <f t="array" ref="Q396:S396">VLOOKUP(P396,Hoja1!C:F,{2,3,4},FALSE)</f>
        <v>46325</v>
      </c>
      <c r="R396" t="str">
        <v>C21</v>
      </c>
      <c r="S396" t="str">
        <v>1000000634 RAIZEN ARGENTINA S.A.U.</v>
      </c>
      <c r="T396" t="str">
        <f>VLOOKUP(P396,Hoja2!C:D,2,FALSE)</f>
        <v>JPUPULIN</v>
      </c>
    </row>
    <row r="397" spans="1:20" x14ac:dyDescent="0.3">
      <c r="A397" s="2" t="s">
        <v>14</v>
      </c>
      <c r="B397" s="3" t="s">
        <v>14</v>
      </c>
      <c r="C397" s="3" t="s">
        <v>410</v>
      </c>
      <c r="D397" s="3" t="s">
        <v>14</v>
      </c>
      <c r="E397" s="3" t="s">
        <v>96</v>
      </c>
      <c r="F397" s="4">
        <v>46248</v>
      </c>
      <c r="G397" s="3" t="s">
        <v>43</v>
      </c>
      <c r="H397" s="6">
        <v>-1144500</v>
      </c>
      <c r="I397" s="3" t="s">
        <v>16</v>
      </c>
      <c r="J397" s="3" t="s">
        <v>14</v>
      </c>
      <c r="K397" s="3" t="s">
        <v>14</v>
      </c>
      <c r="L397" s="3" t="s">
        <v>1269</v>
      </c>
      <c r="M397" s="4">
        <v>46248</v>
      </c>
      <c r="N397" s="3" t="s">
        <v>291</v>
      </c>
      <c r="O397" s="3" t="s">
        <v>33</v>
      </c>
      <c r="P397" t="str">
        <f t="shared" si="6"/>
        <v>450012941210</v>
      </c>
      <c r="Q397" s="7" cm="1">
        <f t="array" ref="Q397:S397">VLOOKUP(P397,Hoja1!C:F,{2,3,4},FALSE)</f>
        <v>46325</v>
      </c>
      <c r="R397" t="str">
        <v>C21</v>
      </c>
      <c r="S397" t="str">
        <v>1000000634 RAIZEN ARGENTINA S.A.U.</v>
      </c>
      <c r="T397" t="str">
        <f>VLOOKUP(P397,Hoja2!C:D,2,FALSE)</f>
        <v>JPUPULIN</v>
      </c>
    </row>
    <row r="398" spans="1:20" x14ac:dyDescent="0.3">
      <c r="A398" s="2" t="s">
        <v>14</v>
      </c>
      <c r="B398" s="3" t="s">
        <v>14</v>
      </c>
      <c r="C398" s="3" t="s">
        <v>411</v>
      </c>
      <c r="D398" s="3" t="s">
        <v>14</v>
      </c>
      <c r="E398" s="3" t="s">
        <v>96</v>
      </c>
      <c r="F398" s="4">
        <v>46246</v>
      </c>
      <c r="G398" s="3" t="s">
        <v>43</v>
      </c>
      <c r="H398" s="6">
        <v>-1442875</v>
      </c>
      <c r="I398" s="3" t="s">
        <v>16</v>
      </c>
      <c r="J398" s="3" t="s">
        <v>14</v>
      </c>
      <c r="K398" s="3" t="s">
        <v>14</v>
      </c>
      <c r="L398" s="3" t="s">
        <v>144</v>
      </c>
      <c r="M398" s="4">
        <v>46248</v>
      </c>
      <c r="N398" s="3" t="s">
        <v>412</v>
      </c>
      <c r="O398" s="3" t="s">
        <v>33</v>
      </c>
      <c r="P398" t="str">
        <f t="shared" si="6"/>
        <v>450013537710</v>
      </c>
      <c r="Q398" s="7" cm="1">
        <f t="array" ref="Q398:S398">VLOOKUP(P398,Hoja1!C:F,{2,3,4},FALSE)</f>
        <v>46247</v>
      </c>
      <c r="R398" t="str">
        <v>C39</v>
      </c>
      <c r="S398" t="str">
        <v>1000010438 TURBOS T&amp;T S.R.L</v>
      </c>
      <c r="T398" t="str">
        <f>VLOOKUP(P398,Hoja2!C:D,2,FALSE)</f>
        <v>EFUNES</v>
      </c>
    </row>
    <row r="399" spans="1:20" x14ac:dyDescent="0.3">
      <c r="A399" s="2" t="s">
        <v>14</v>
      </c>
      <c r="B399" s="3" t="s">
        <v>14</v>
      </c>
      <c r="C399" s="3" t="s">
        <v>416</v>
      </c>
      <c r="D399" s="3" t="s">
        <v>14</v>
      </c>
      <c r="E399" s="3" t="s">
        <v>96</v>
      </c>
      <c r="F399" s="4">
        <v>46253</v>
      </c>
      <c r="G399" s="3" t="s">
        <v>43</v>
      </c>
      <c r="H399" s="6">
        <v>-10042200</v>
      </c>
      <c r="I399" s="3" t="s">
        <v>16</v>
      </c>
      <c r="J399" s="3" t="s">
        <v>14</v>
      </c>
      <c r="K399" s="3" t="s">
        <v>14</v>
      </c>
      <c r="L399" s="3" t="s">
        <v>1269</v>
      </c>
      <c r="M399" s="4">
        <v>46253</v>
      </c>
      <c r="N399" s="3" t="s">
        <v>291</v>
      </c>
      <c r="O399" s="3" t="s">
        <v>33</v>
      </c>
      <c r="P399" t="str">
        <f t="shared" si="6"/>
        <v>450012941210</v>
      </c>
      <c r="Q399" s="7" cm="1">
        <f t="array" ref="Q399:S399">VLOOKUP(P399,Hoja1!C:F,{2,3,4},FALSE)</f>
        <v>46325</v>
      </c>
      <c r="R399" t="str">
        <v>C21</v>
      </c>
      <c r="S399" t="str">
        <v>1000000634 RAIZEN ARGENTINA S.A.U.</v>
      </c>
      <c r="T399" t="str">
        <f>VLOOKUP(P399,Hoja2!C:D,2,FALSE)</f>
        <v>JPUPULIN</v>
      </c>
    </row>
    <row r="400" spans="1:20" x14ac:dyDescent="0.3">
      <c r="A400" s="2" t="s">
        <v>14</v>
      </c>
      <c r="B400" s="3" t="s">
        <v>14</v>
      </c>
      <c r="C400" s="3" t="s">
        <v>416</v>
      </c>
      <c r="D400" s="3" t="s">
        <v>14</v>
      </c>
      <c r="E400" s="3" t="s">
        <v>96</v>
      </c>
      <c r="F400" s="4">
        <v>46253</v>
      </c>
      <c r="G400" s="3" t="s">
        <v>43</v>
      </c>
      <c r="H400" s="6">
        <v>-1144500</v>
      </c>
      <c r="I400" s="3" t="s">
        <v>16</v>
      </c>
      <c r="J400" s="3" t="s">
        <v>14</v>
      </c>
      <c r="K400" s="3" t="s">
        <v>14</v>
      </c>
      <c r="L400" s="3" t="s">
        <v>1269</v>
      </c>
      <c r="M400" s="4">
        <v>46253</v>
      </c>
      <c r="N400" s="3" t="s">
        <v>291</v>
      </c>
      <c r="O400" s="3" t="s">
        <v>33</v>
      </c>
      <c r="P400" t="str">
        <f t="shared" si="6"/>
        <v>450012941210</v>
      </c>
      <c r="Q400" s="7" cm="1">
        <f t="array" ref="Q400:S400">VLOOKUP(P400,Hoja1!C:F,{2,3,4},FALSE)</f>
        <v>46325</v>
      </c>
      <c r="R400" t="str">
        <v>C21</v>
      </c>
      <c r="S400" t="str">
        <v>1000000634 RAIZEN ARGENTINA S.A.U.</v>
      </c>
      <c r="T400" t="str">
        <f>VLOOKUP(P400,Hoja2!C:D,2,FALSE)</f>
        <v>JPUPULIN</v>
      </c>
    </row>
    <row r="401" spans="1:20" x14ac:dyDescent="0.3">
      <c r="A401" s="2" t="s">
        <v>14</v>
      </c>
      <c r="B401" s="3" t="s">
        <v>14</v>
      </c>
      <c r="C401" s="3" t="s">
        <v>417</v>
      </c>
      <c r="D401" s="3" t="s">
        <v>14</v>
      </c>
      <c r="E401" s="3" t="s">
        <v>96</v>
      </c>
      <c r="F401" s="4">
        <v>46253</v>
      </c>
      <c r="G401" s="3" t="s">
        <v>43</v>
      </c>
      <c r="H401" s="6">
        <v>-614350</v>
      </c>
      <c r="I401" s="3" t="s">
        <v>16</v>
      </c>
      <c r="J401" s="3" t="s">
        <v>14</v>
      </c>
      <c r="K401" s="3" t="s">
        <v>14</v>
      </c>
      <c r="L401" s="3" t="s">
        <v>97</v>
      </c>
      <c r="M401" s="4">
        <v>46253</v>
      </c>
      <c r="N401" s="3" t="s">
        <v>353</v>
      </c>
      <c r="O401" s="3" t="s">
        <v>33</v>
      </c>
      <c r="P401" t="str">
        <f t="shared" si="6"/>
        <v>450013040410</v>
      </c>
      <c r="Q401" s="7" cm="1">
        <f t="array" ref="Q401:S401">VLOOKUP(P401,Hoja1!C:F,{2,3,4},FALSE)</f>
        <v>46296</v>
      </c>
      <c r="R401" t="str">
        <v>C21</v>
      </c>
      <c r="S401" t="str">
        <v>1000001020 COMBUSTIBLES BARCELO S.R.L.</v>
      </c>
      <c r="T401" t="str">
        <f>VLOOKUP(P401,Hoja2!C:D,2,FALSE)</f>
        <v>JPUPULIN</v>
      </c>
    </row>
    <row r="402" spans="1:20" x14ac:dyDescent="0.3">
      <c r="A402" s="2" t="s">
        <v>14</v>
      </c>
      <c r="B402" s="3" t="s">
        <v>14</v>
      </c>
      <c r="C402" s="3" t="s">
        <v>417</v>
      </c>
      <c r="D402" s="3" t="s">
        <v>14</v>
      </c>
      <c r="E402" s="3" t="s">
        <v>96</v>
      </c>
      <c r="F402" s="4">
        <v>46253</v>
      </c>
      <c r="G402" s="3" t="s">
        <v>43</v>
      </c>
      <c r="H402" s="6">
        <v>-70025</v>
      </c>
      <c r="I402" s="3" t="s">
        <v>16</v>
      </c>
      <c r="J402" s="3" t="s">
        <v>14</v>
      </c>
      <c r="K402" s="3" t="s">
        <v>14</v>
      </c>
      <c r="L402" s="3" t="s">
        <v>97</v>
      </c>
      <c r="M402" s="4">
        <v>46253</v>
      </c>
      <c r="N402" s="3" t="s">
        <v>353</v>
      </c>
      <c r="O402" s="3" t="s">
        <v>33</v>
      </c>
      <c r="P402" t="str">
        <f t="shared" si="6"/>
        <v>450013040410</v>
      </c>
      <c r="Q402" s="7" cm="1">
        <f t="array" ref="Q402:S402">VLOOKUP(P402,Hoja1!C:F,{2,3,4},FALSE)</f>
        <v>46296</v>
      </c>
      <c r="R402" t="str">
        <v>C21</v>
      </c>
      <c r="S402" t="str">
        <v>1000001020 COMBUSTIBLES BARCELO S.R.L.</v>
      </c>
      <c r="T402" t="str">
        <f>VLOOKUP(P402,Hoja2!C:D,2,FALSE)</f>
        <v>JPUPULIN</v>
      </c>
    </row>
    <row r="403" spans="1:20" x14ac:dyDescent="0.3">
      <c r="A403" s="2" t="s">
        <v>14</v>
      </c>
      <c r="B403" s="3" t="s">
        <v>14</v>
      </c>
      <c r="C403" s="3" t="s">
        <v>418</v>
      </c>
      <c r="D403" s="3" t="s">
        <v>35</v>
      </c>
      <c r="E403" s="3" t="s">
        <v>96</v>
      </c>
      <c r="F403" s="4">
        <v>46255</v>
      </c>
      <c r="G403" s="3" t="s">
        <v>43</v>
      </c>
      <c r="H403" s="6">
        <v>-1194000</v>
      </c>
      <c r="I403" s="3" t="s">
        <v>16</v>
      </c>
      <c r="J403" s="3" t="s">
        <v>14</v>
      </c>
      <c r="K403" s="3" t="s">
        <v>14</v>
      </c>
      <c r="L403" s="3" t="s">
        <v>419</v>
      </c>
      <c r="M403" s="4">
        <v>46255</v>
      </c>
      <c r="N403" s="3" t="s">
        <v>420</v>
      </c>
      <c r="O403" s="3" t="s">
        <v>33</v>
      </c>
      <c r="P403" t="str">
        <f t="shared" si="6"/>
        <v>450013481810</v>
      </c>
      <c r="Q403" s="7" cm="1">
        <f t="array" ref="Q403:S403">VLOOKUP(P403,Hoja1!C:F,{2,3,4},FALSE)</f>
        <v>46387</v>
      </c>
      <c r="R403" t="str">
        <v>C25</v>
      </c>
      <c r="S403" t="str">
        <v>1000001691 LENOR SRL</v>
      </c>
      <c r="T403" t="str">
        <f>VLOOKUP(P403,Hoja2!C:D,2,FALSE)</f>
        <v>MPITTIA</v>
      </c>
    </row>
    <row r="404" spans="1:20" x14ac:dyDescent="0.3">
      <c r="A404" s="2" t="s">
        <v>14</v>
      </c>
      <c r="B404" s="3" t="s">
        <v>14</v>
      </c>
      <c r="C404" s="3" t="s">
        <v>418</v>
      </c>
      <c r="D404" s="3" t="s">
        <v>35</v>
      </c>
      <c r="E404" s="3" t="s">
        <v>96</v>
      </c>
      <c r="F404" s="4">
        <v>46255</v>
      </c>
      <c r="G404" s="3" t="s">
        <v>43</v>
      </c>
      <c r="H404" s="6">
        <v>-1253700</v>
      </c>
      <c r="I404" s="3" t="s">
        <v>16</v>
      </c>
      <c r="J404" s="3" t="s">
        <v>14</v>
      </c>
      <c r="K404" s="3" t="s">
        <v>14</v>
      </c>
      <c r="L404" s="3" t="s">
        <v>419</v>
      </c>
      <c r="M404" s="4">
        <v>46255</v>
      </c>
      <c r="N404" s="3" t="s">
        <v>420</v>
      </c>
      <c r="O404" s="3" t="s">
        <v>21</v>
      </c>
      <c r="P404" t="str">
        <f t="shared" si="6"/>
        <v>450013481830</v>
      </c>
      <c r="Q404" s="7" cm="1">
        <f t="array" ref="Q404:S404">VLOOKUP(P404,Hoja1!C:F,{2,3,4},FALSE)</f>
        <v>46387</v>
      </c>
      <c r="R404" t="str">
        <v>C25</v>
      </c>
      <c r="S404" t="str">
        <v>1000001691 LENOR SRL</v>
      </c>
      <c r="T404" t="str">
        <f>VLOOKUP(P404,Hoja2!C:D,2,FALSE)</f>
        <v>MPITTIA</v>
      </c>
    </row>
    <row r="405" spans="1:20" x14ac:dyDescent="0.3">
      <c r="A405" s="2" t="s">
        <v>14</v>
      </c>
      <c r="B405" s="3" t="s">
        <v>14</v>
      </c>
      <c r="C405" s="3" t="s">
        <v>418</v>
      </c>
      <c r="D405" s="3" t="s">
        <v>35</v>
      </c>
      <c r="E405" s="3" t="s">
        <v>96</v>
      </c>
      <c r="F405" s="4">
        <v>46255</v>
      </c>
      <c r="G405" s="3" t="s">
        <v>43</v>
      </c>
      <c r="H405" s="6">
        <v>-119400</v>
      </c>
      <c r="I405" s="3" t="s">
        <v>16</v>
      </c>
      <c r="J405" s="3" t="s">
        <v>14</v>
      </c>
      <c r="K405" s="3" t="s">
        <v>14</v>
      </c>
      <c r="L405" s="3" t="s">
        <v>419</v>
      </c>
      <c r="M405" s="4">
        <v>46255</v>
      </c>
      <c r="N405" s="3" t="s">
        <v>420</v>
      </c>
      <c r="O405" s="3" t="s">
        <v>25</v>
      </c>
      <c r="P405" t="str">
        <f t="shared" si="6"/>
        <v>450013481840</v>
      </c>
      <c r="Q405" s="7" cm="1">
        <f t="array" ref="Q405:S405">VLOOKUP(P405,Hoja1!C:F,{2,3,4},FALSE)</f>
        <v>46387</v>
      </c>
      <c r="R405" t="str">
        <v>C25</v>
      </c>
      <c r="S405" t="str">
        <v>1000001691 LENOR SRL</v>
      </c>
      <c r="T405" t="str">
        <f>VLOOKUP(P405,Hoja2!C:D,2,FALSE)</f>
        <v>MPITTIA</v>
      </c>
    </row>
    <row r="406" spans="1:20" x14ac:dyDescent="0.3">
      <c r="A406" s="2" t="s">
        <v>14</v>
      </c>
      <c r="B406" s="3" t="s">
        <v>14</v>
      </c>
      <c r="C406" s="3" t="s">
        <v>421</v>
      </c>
      <c r="D406" s="3" t="s">
        <v>14</v>
      </c>
      <c r="E406" s="3" t="s">
        <v>96</v>
      </c>
      <c r="F406" s="4">
        <v>46256</v>
      </c>
      <c r="G406" s="3" t="s">
        <v>43</v>
      </c>
      <c r="H406" s="6">
        <v>-10281300</v>
      </c>
      <c r="I406" s="3" t="s">
        <v>16</v>
      </c>
      <c r="J406" s="3" t="s">
        <v>14</v>
      </c>
      <c r="K406" s="3" t="s">
        <v>14</v>
      </c>
      <c r="L406" s="3" t="s">
        <v>1269</v>
      </c>
      <c r="M406" s="4">
        <v>46256</v>
      </c>
      <c r="N406" s="3" t="s">
        <v>291</v>
      </c>
      <c r="O406" s="3" t="s">
        <v>33</v>
      </c>
      <c r="P406" t="str">
        <f t="shared" si="6"/>
        <v>450012941210</v>
      </c>
      <c r="Q406" s="7" cm="1">
        <f t="array" ref="Q406:S406">VLOOKUP(P406,Hoja1!C:F,{2,3,4},FALSE)</f>
        <v>46325</v>
      </c>
      <c r="R406" t="str">
        <v>C21</v>
      </c>
      <c r="S406" t="str">
        <v>1000000634 RAIZEN ARGENTINA S.A.U.</v>
      </c>
      <c r="T406" t="str">
        <f>VLOOKUP(P406,Hoja2!C:D,2,FALSE)</f>
        <v>JPUPULIN</v>
      </c>
    </row>
    <row r="407" spans="1:20" x14ac:dyDescent="0.3">
      <c r="A407" s="2" t="s">
        <v>14</v>
      </c>
      <c r="B407" s="3" t="s">
        <v>14</v>
      </c>
      <c r="C407" s="3" t="s">
        <v>421</v>
      </c>
      <c r="D407" s="3" t="s">
        <v>14</v>
      </c>
      <c r="E407" s="3" t="s">
        <v>96</v>
      </c>
      <c r="F407" s="4">
        <v>46256</v>
      </c>
      <c r="G407" s="3" t="s">
        <v>43</v>
      </c>
      <c r="H407" s="6">
        <v>-1171750</v>
      </c>
      <c r="I407" s="3" t="s">
        <v>16</v>
      </c>
      <c r="J407" s="3" t="s">
        <v>14</v>
      </c>
      <c r="K407" s="3" t="s">
        <v>14</v>
      </c>
      <c r="L407" s="3" t="s">
        <v>1269</v>
      </c>
      <c r="M407" s="4">
        <v>46256</v>
      </c>
      <c r="N407" s="3" t="s">
        <v>291</v>
      </c>
      <c r="O407" s="3" t="s">
        <v>33</v>
      </c>
      <c r="P407" t="str">
        <f t="shared" si="6"/>
        <v>450012941210</v>
      </c>
      <c r="Q407" s="7" cm="1">
        <f t="array" ref="Q407:S407">VLOOKUP(P407,Hoja1!C:F,{2,3,4},FALSE)</f>
        <v>46325</v>
      </c>
      <c r="R407" t="str">
        <v>C21</v>
      </c>
      <c r="S407" t="str">
        <v>1000000634 RAIZEN ARGENTINA S.A.U.</v>
      </c>
      <c r="T407" t="str">
        <f>VLOOKUP(P407,Hoja2!C:D,2,FALSE)</f>
        <v>JPUPULIN</v>
      </c>
    </row>
    <row r="408" spans="1:20" x14ac:dyDescent="0.3">
      <c r="A408" s="2" t="s">
        <v>14</v>
      </c>
      <c r="B408" s="3" t="s">
        <v>14</v>
      </c>
      <c r="C408" s="3" t="s">
        <v>422</v>
      </c>
      <c r="D408" s="3" t="s">
        <v>14</v>
      </c>
      <c r="E408" s="3" t="s">
        <v>96</v>
      </c>
      <c r="F408" s="4">
        <v>46258</v>
      </c>
      <c r="G408" s="3" t="s">
        <v>43</v>
      </c>
      <c r="H408" s="6">
        <v>-206412.3</v>
      </c>
      <c r="I408" s="3" t="s">
        <v>16</v>
      </c>
      <c r="J408" s="3" t="s">
        <v>14</v>
      </c>
      <c r="K408" s="3" t="s">
        <v>14</v>
      </c>
      <c r="L408" s="3" t="s">
        <v>423</v>
      </c>
      <c r="M408" s="4">
        <v>46258</v>
      </c>
      <c r="N408" s="3" t="s">
        <v>424</v>
      </c>
      <c r="O408" s="3" t="s">
        <v>25</v>
      </c>
      <c r="P408" t="str">
        <f t="shared" si="6"/>
        <v>450013608840</v>
      </c>
      <c r="Q408" s="7" cm="1">
        <f t="array" ref="Q408:S408">VLOOKUP(P408,Hoja1!C:F,{2,3,4},FALSE)</f>
        <v>46254</v>
      </c>
      <c r="R408" t="str">
        <v>C39</v>
      </c>
      <c r="S408" t="str">
        <v>1000001514 PIZZOLON PIETRO S.A.</v>
      </c>
      <c r="T408" t="str">
        <f>VLOOKUP(P408,Hoja2!C:D,2,FALSE)</f>
        <v>EFUNES</v>
      </c>
    </row>
    <row r="409" spans="1:20" x14ac:dyDescent="0.3">
      <c r="A409" s="2" t="s">
        <v>14</v>
      </c>
      <c r="B409" s="3" t="s">
        <v>14</v>
      </c>
      <c r="C409" s="3" t="s">
        <v>422</v>
      </c>
      <c r="D409" s="3" t="s">
        <v>14</v>
      </c>
      <c r="E409" s="3" t="s">
        <v>96</v>
      </c>
      <c r="F409" s="4">
        <v>46258</v>
      </c>
      <c r="G409" s="3" t="s">
        <v>43</v>
      </c>
      <c r="H409" s="6">
        <v>-2272.5</v>
      </c>
      <c r="I409" s="3" t="s">
        <v>16</v>
      </c>
      <c r="J409" s="3" t="s">
        <v>14</v>
      </c>
      <c r="K409" s="3" t="s">
        <v>14</v>
      </c>
      <c r="L409" s="3" t="s">
        <v>423</v>
      </c>
      <c r="M409" s="4">
        <v>46258</v>
      </c>
      <c r="N409" s="3" t="s">
        <v>424</v>
      </c>
      <c r="O409" s="3" t="s">
        <v>23</v>
      </c>
      <c r="P409" t="str">
        <f t="shared" si="6"/>
        <v>450013608860</v>
      </c>
      <c r="Q409" s="7" cm="1">
        <f t="array" ref="Q409:S409">VLOOKUP(P409,Hoja1!C:F,{2,3,4},FALSE)</f>
        <v>46259</v>
      </c>
      <c r="R409" t="str">
        <v>C39</v>
      </c>
      <c r="S409" t="str">
        <v>1000001514 PIZZOLON PIETRO S.A.</v>
      </c>
      <c r="T409" t="str">
        <f>VLOOKUP(P409,Hoja2!C:D,2,FALSE)</f>
        <v>EFUNES</v>
      </c>
    </row>
    <row r="410" spans="1:20" x14ac:dyDescent="0.3">
      <c r="A410" s="2" t="s">
        <v>14</v>
      </c>
      <c r="B410" s="3" t="s">
        <v>14</v>
      </c>
      <c r="C410" s="3" t="s">
        <v>425</v>
      </c>
      <c r="D410" s="3" t="s">
        <v>14</v>
      </c>
      <c r="E410" s="3" t="s">
        <v>96</v>
      </c>
      <c r="F410" s="4">
        <v>46258</v>
      </c>
      <c r="G410" s="3" t="s">
        <v>43</v>
      </c>
      <c r="H410" s="6">
        <v>-1270325</v>
      </c>
      <c r="I410" s="3" t="s">
        <v>16</v>
      </c>
      <c r="J410" s="3" t="s">
        <v>14</v>
      </c>
      <c r="K410" s="3" t="s">
        <v>14</v>
      </c>
      <c r="L410" s="3" t="s">
        <v>144</v>
      </c>
      <c r="M410" s="4">
        <v>46258</v>
      </c>
      <c r="N410" s="3" t="s">
        <v>426</v>
      </c>
      <c r="O410" s="3" t="s">
        <v>20</v>
      </c>
      <c r="P410" t="str">
        <f t="shared" si="6"/>
        <v>450013609320</v>
      </c>
      <c r="Q410" s="7" cm="1">
        <f t="array" ref="Q410:S410">VLOOKUP(P410,Hoja1!C:F,{2,3,4},FALSE)</f>
        <v>46262</v>
      </c>
      <c r="R410" t="str">
        <v>C43</v>
      </c>
      <c r="S410" t="str">
        <v>1000010438 TURBOS T&amp;T S.R.L</v>
      </c>
      <c r="T410" t="str">
        <f>VLOOKUP(P410,Hoja2!C:D,2,FALSE)</f>
        <v>EFUNES</v>
      </c>
    </row>
    <row r="411" spans="1:20" x14ac:dyDescent="0.3">
      <c r="A411" s="2" t="s">
        <v>14</v>
      </c>
      <c r="B411" s="3" t="s">
        <v>14</v>
      </c>
      <c r="C411" s="3" t="s">
        <v>427</v>
      </c>
      <c r="D411" s="3" t="s">
        <v>14</v>
      </c>
      <c r="E411" s="3" t="s">
        <v>96</v>
      </c>
      <c r="F411" s="4">
        <v>46258</v>
      </c>
      <c r="G411" s="3" t="s">
        <v>43</v>
      </c>
      <c r="H411" s="6">
        <v>-619236.9</v>
      </c>
      <c r="I411" s="3" t="s">
        <v>16</v>
      </c>
      <c r="J411" s="3" t="s">
        <v>14</v>
      </c>
      <c r="K411" s="3" t="s">
        <v>14</v>
      </c>
      <c r="L411" s="3" t="s">
        <v>423</v>
      </c>
      <c r="M411" s="4">
        <v>46258</v>
      </c>
      <c r="N411" s="3" t="s">
        <v>424</v>
      </c>
      <c r="O411" s="3" t="s">
        <v>25</v>
      </c>
      <c r="P411" t="str">
        <f t="shared" si="6"/>
        <v>450013608840</v>
      </c>
      <c r="Q411" s="7" cm="1">
        <f t="array" ref="Q411:S411">VLOOKUP(P411,Hoja1!C:F,{2,3,4},FALSE)</f>
        <v>46254</v>
      </c>
      <c r="R411" t="str">
        <v>C39</v>
      </c>
      <c r="S411" t="str">
        <v>1000001514 PIZZOLON PIETRO S.A.</v>
      </c>
      <c r="T411" t="str">
        <f>VLOOKUP(P411,Hoja2!C:D,2,FALSE)</f>
        <v>EFUNES</v>
      </c>
    </row>
    <row r="412" spans="1:20" x14ac:dyDescent="0.3">
      <c r="A412" s="2" t="s">
        <v>14</v>
      </c>
      <c r="B412" s="3" t="s">
        <v>14</v>
      </c>
      <c r="C412" s="3" t="s">
        <v>427</v>
      </c>
      <c r="D412" s="3" t="s">
        <v>14</v>
      </c>
      <c r="E412" s="3" t="s">
        <v>96</v>
      </c>
      <c r="F412" s="4">
        <v>46258</v>
      </c>
      <c r="G412" s="3" t="s">
        <v>43</v>
      </c>
      <c r="H412" s="6">
        <v>-2272.5</v>
      </c>
      <c r="I412" s="3" t="s">
        <v>16</v>
      </c>
      <c r="J412" s="3" t="s">
        <v>14</v>
      </c>
      <c r="K412" s="3" t="s">
        <v>14</v>
      </c>
      <c r="L412" s="3" t="s">
        <v>423</v>
      </c>
      <c r="M412" s="4">
        <v>46258</v>
      </c>
      <c r="N412" s="3" t="s">
        <v>424</v>
      </c>
      <c r="O412" s="3" t="s">
        <v>24</v>
      </c>
      <c r="P412" t="str">
        <f t="shared" si="6"/>
        <v>450013608870</v>
      </c>
      <c r="Q412" s="7" cm="1">
        <f t="array" ref="Q412:S412">VLOOKUP(P412,Hoja1!C:F,{2,3,4},FALSE)</f>
        <v>46259</v>
      </c>
      <c r="R412" t="str">
        <v>C39</v>
      </c>
      <c r="S412" t="str">
        <v>1000001514 PIZZOLON PIETRO S.A.</v>
      </c>
      <c r="T412" t="str">
        <f>VLOOKUP(P412,Hoja2!C:D,2,FALSE)</f>
        <v>EFUNES</v>
      </c>
    </row>
    <row r="413" spans="1:20" x14ac:dyDescent="0.3">
      <c r="A413" s="2" t="s">
        <v>14</v>
      </c>
      <c r="B413" s="3" t="s">
        <v>14</v>
      </c>
      <c r="C413" s="3" t="s">
        <v>428</v>
      </c>
      <c r="D413" s="3" t="s">
        <v>14</v>
      </c>
      <c r="E413" s="3" t="s">
        <v>96</v>
      </c>
      <c r="F413" s="4">
        <v>46260</v>
      </c>
      <c r="G413" s="3" t="s">
        <v>43</v>
      </c>
      <c r="H413" s="6">
        <v>-10042200</v>
      </c>
      <c r="I413" s="3" t="s">
        <v>16</v>
      </c>
      <c r="J413" s="3" t="s">
        <v>14</v>
      </c>
      <c r="K413" s="3" t="s">
        <v>14</v>
      </c>
      <c r="L413" s="3" t="s">
        <v>1269</v>
      </c>
      <c r="M413" s="4">
        <v>46260</v>
      </c>
      <c r="N413" s="3" t="s">
        <v>291</v>
      </c>
      <c r="O413" s="3" t="s">
        <v>33</v>
      </c>
      <c r="P413" t="str">
        <f t="shared" si="6"/>
        <v>450012941210</v>
      </c>
      <c r="Q413" s="7" cm="1">
        <f t="array" ref="Q413:S413">VLOOKUP(P413,Hoja1!C:F,{2,3,4},FALSE)</f>
        <v>46325</v>
      </c>
      <c r="R413" t="str">
        <v>C21</v>
      </c>
      <c r="S413" t="str">
        <v>1000000634 RAIZEN ARGENTINA S.A.U.</v>
      </c>
      <c r="T413" t="str">
        <f>VLOOKUP(P413,Hoja2!C:D,2,FALSE)</f>
        <v>JPUPULIN</v>
      </c>
    </row>
    <row r="414" spans="1:20" x14ac:dyDescent="0.3">
      <c r="A414" s="2" t="s">
        <v>14</v>
      </c>
      <c r="B414" s="3" t="s">
        <v>14</v>
      </c>
      <c r="C414" s="3" t="s">
        <v>428</v>
      </c>
      <c r="D414" s="3" t="s">
        <v>14</v>
      </c>
      <c r="E414" s="3" t="s">
        <v>96</v>
      </c>
      <c r="F414" s="4">
        <v>46260</v>
      </c>
      <c r="G414" s="3" t="s">
        <v>43</v>
      </c>
      <c r="H414" s="6">
        <v>-1144500</v>
      </c>
      <c r="I414" s="3" t="s">
        <v>16</v>
      </c>
      <c r="J414" s="3" t="s">
        <v>14</v>
      </c>
      <c r="K414" s="3" t="s">
        <v>14</v>
      </c>
      <c r="L414" s="3" t="s">
        <v>1269</v>
      </c>
      <c r="M414" s="4">
        <v>46260</v>
      </c>
      <c r="N414" s="3" t="s">
        <v>291</v>
      </c>
      <c r="O414" s="3" t="s">
        <v>33</v>
      </c>
      <c r="P414" t="str">
        <f t="shared" si="6"/>
        <v>450012941210</v>
      </c>
      <c r="Q414" s="7" cm="1">
        <f t="array" ref="Q414:S414">VLOOKUP(P414,Hoja1!C:F,{2,3,4},FALSE)</f>
        <v>46325</v>
      </c>
      <c r="R414" t="str">
        <v>C21</v>
      </c>
      <c r="S414" t="str">
        <v>1000000634 RAIZEN ARGENTINA S.A.U.</v>
      </c>
      <c r="T414" t="str">
        <f>VLOOKUP(P414,Hoja2!C:D,2,FALSE)</f>
        <v>JPUPULIN</v>
      </c>
    </row>
    <row r="415" spans="1:20" x14ac:dyDescent="0.3">
      <c r="A415" s="2" t="s">
        <v>14</v>
      </c>
      <c r="B415" s="3" t="s">
        <v>14</v>
      </c>
      <c r="C415" s="3" t="s">
        <v>429</v>
      </c>
      <c r="D415" s="3" t="s">
        <v>14</v>
      </c>
      <c r="E415" s="3" t="s">
        <v>96</v>
      </c>
      <c r="F415" s="4">
        <v>46260</v>
      </c>
      <c r="G415" s="3" t="s">
        <v>43</v>
      </c>
      <c r="H415" s="6">
        <v>-681053.1</v>
      </c>
      <c r="I415" s="3" t="s">
        <v>16</v>
      </c>
      <c r="J415" s="3" t="s">
        <v>14</v>
      </c>
      <c r="K415" s="3" t="s">
        <v>14</v>
      </c>
      <c r="L415" s="3" t="s">
        <v>423</v>
      </c>
      <c r="M415" s="4">
        <v>46260</v>
      </c>
      <c r="N415" s="3" t="s">
        <v>430</v>
      </c>
      <c r="O415" s="3" t="s">
        <v>33</v>
      </c>
      <c r="P415" t="str">
        <f t="shared" si="6"/>
        <v>450013650510</v>
      </c>
      <c r="Q415" s="7" cm="1">
        <f t="array" ref="Q415:S415">VLOOKUP(P415,Hoja1!C:F,{2,3,4},FALSE)</f>
        <v>46274</v>
      </c>
      <c r="R415" t="str">
        <v>C43</v>
      </c>
      <c r="S415" t="str">
        <v>1000001514 PIZZOLON PIETRO S.A.</v>
      </c>
      <c r="T415" t="str">
        <f>VLOOKUP(P415,Hoja2!C:D,2,FALSE)</f>
        <v>EFUNES</v>
      </c>
    </row>
    <row r="416" spans="1:20" x14ac:dyDescent="0.3">
      <c r="A416" s="2" t="s">
        <v>14</v>
      </c>
      <c r="B416" s="3" t="s">
        <v>14</v>
      </c>
      <c r="C416" s="3" t="s">
        <v>429</v>
      </c>
      <c r="D416" s="3" t="s">
        <v>14</v>
      </c>
      <c r="E416" s="3" t="s">
        <v>96</v>
      </c>
      <c r="F416" s="4">
        <v>46260</v>
      </c>
      <c r="G416" s="3" t="s">
        <v>43</v>
      </c>
      <c r="H416" s="6">
        <v>-277773.59999999998</v>
      </c>
      <c r="I416" s="3" t="s">
        <v>16</v>
      </c>
      <c r="J416" s="3" t="s">
        <v>14</v>
      </c>
      <c r="K416" s="3" t="s">
        <v>14</v>
      </c>
      <c r="L416" s="3" t="s">
        <v>423</v>
      </c>
      <c r="M416" s="4">
        <v>46260</v>
      </c>
      <c r="N416" s="3" t="s">
        <v>430</v>
      </c>
      <c r="O416" s="3" t="s">
        <v>20</v>
      </c>
      <c r="P416" t="str">
        <f t="shared" si="6"/>
        <v>450013650520</v>
      </c>
      <c r="Q416" s="7" cm="1">
        <f t="array" ref="Q416:S416">VLOOKUP(P416,Hoja1!C:F,{2,3,4},FALSE)</f>
        <v>46274</v>
      </c>
      <c r="R416" t="str">
        <v>C43</v>
      </c>
      <c r="S416" t="str">
        <v>1000001514 PIZZOLON PIETRO S.A.</v>
      </c>
      <c r="T416" t="str">
        <f>VLOOKUP(P416,Hoja2!C:D,2,FALSE)</f>
        <v>EFUNES</v>
      </c>
    </row>
    <row r="417" spans="1:20" x14ac:dyDescent="0.3">
      <c r="A417" s="2" t="s">
        <v>14</v>
      </c>
      <c r="B417" s="3" t="s">
        <v>14</v>
      </c>
      <c r="C417" s="3" t="s">
        <v>431</v>
      </c>
      <c r="D417" s="3" t="s">
        <v>14</v>
      </c>
      <c r="E417" s="3" t="s">
        <v>96</v>
      </c>
      <c r="F417" s="4">
        <v>46261</v>
      </c>
      <c r="G417" s="3" t="s">
        <v>43</v>
      </c>
      <c r="H417" s="6">
        <v>-1228700</v>
      </c>
      <c r="I417" s="3" t="s">
        <v>16</v>
      </c>
      <c r="J417" s="3" t="s">
        <v>14</v>
      </c>
      <c r="K417" s="3" t="s">
        <v>14</v>
      </c>
      <c r="L417" s="3" t="s">
        <v>97</v>
      </c>
      <c r="M417" s="4">
        <v>46261</v>
      </c>
      <c r="N417" s="3" t="s">
        <v>353</v>
      </c>
      <c r="O417" s="3" t="s">
        <v>33</v>
      </c>
      <c r="P417" t="str">
        <f t="shared" si="6"/>
        <v>450013040410</v>
      </c>
      <c r="Q417" s="7" cm="1">
        <f t="array" ref="Q417:S417">VLOOKUP(P417,Hoja1!C:F,{2,3,4},FALSE)</f>
        <v>46296</v>
      </c>
      <c r="R417" t="str">
        <v>C21</v>
      </c>
      <c r="S417" t="str">
        <v>1000001020 COMBUSTIBLES BARCELO S.R.L.</v>
      </c>
      <c r="T417" t="str">
        <f>VLOOKUP(P417,Hoja2!C:D,2,FALSE)</f>
        <v>JPUPULIN</v>
      </c>
    </row>
    <row r="418" spans="1:20" x14ac:dyDescent="0.3">
      <c r="A418" s="2" t="s">
        <v>14</v>
      </c>
      <c r="B418" s="3" t="s">
        <v>14</v>
      </c>
      <c r="C418" s="3" t="s">
        <v>431</v>
      </c>
      <c r="D418" s="3" t="s">
        <v>14</v>
      </c>
      <c r="E418" s="3" t="s">
        <v>96</v>
      </c>
      <c r="F418" s="4">
        <v>46261</v>
      </c>
      <c r="G418" s="3" t="s">
        <v>43</v>
      </c>
      <c r="H418" s="6">
        <v>-140050</v>
      </c>
      <c r="I418" s="3" t="s">
        <v>16</v>
      </c>
      <c r="J418" s="3" t="s">
        <v>14</v>
      </c>
      <c r="K418" s="3" t="s">
        <v>14</v>
      </c>
      <c r="L418" s="3" t="s">
        <v>97</v>
      </c>
      <c r="M418" s="4">
        <v>46261</v>
      </c>
      <c r="N418" s="3" t="s">
        <v>353</v>
      </c>
      <c r="O418" s="3" t="s">
        <v>33</v>
      </c>
      <c r="P418" t="str">
        <f t="shared" si="6"/>
        <v>450013040410</v>
      </c>
      <c r="Q418" s="7" cm="1">
        <f t="array" ref="Q418:S418">VLOOKUP(P418,Hoja1!C:F,{2,3,4},FALSE)</f>
        <v>46296</v>
      </c>
      <c r="R418" t="str">
        <v>C21</v>
      </c>
      <c r="S418" t="str">
        <v>1000001020 COMBUSTIBLES BARCELO S.R.L.</v>
      </c>
      <c r="T418" t="str">
        <f>VLOOKUP(P418,Hoja2!C:D,2,FALSE)</f>
        <v>JPUPULIN</v>
      </c>
    </row>
    <row r="419" spans="1:20" x14ac:dyDescent="0.3">
      <c r="A419" s="2" t="s">
        <v>14</v>
      </c>
      <c r="B419" s="3" t="s">
        <v>14</v>
      </c>
      <c r="C419" s="3" t="s">
        <v>432</v>
      </c>
      <c r="D419" s="3" t="s">
        <v>14</v>
      </c>
      <c r="E419" s="3" t="s">
        <v>96</v>
      </c>
      <c r="F419" s="4">
        <v>46263</v>
      </c>
      <c r="G419" s="3" t="s">
        <v>43</v>
      </c>
      <c r="H419" s="6">
        <v>-10281300</v>
      </c>
      <c r="I419" s="3" t="s">
        <v>16</v>
      </c>
      <c r="J419" s="3" t="s">
        <v>14</v>
      </c>
      <c r="K419" s="3" t="s">
        <v>14</v>
      </c>
      <c r="L419" s="3" t="s">
        <v>1269</v>
      </c>
      <c r="M419" s="4">
        <v>46263</v>
      </c>
      <c r="N419" s="3" t="s">
        <v>291</v>
      </c>
      <c r="O419" s="3" t="s">
        <v>33</v>
      </c>
      <c r="P419" t="str">
        <f t="shared" si="6"/>
        <v>450012941210</v>
      </c>
      <c r="Q419" s="7" cm="1">
        <f t="array" ref="Q419:S419">VLOOKUP(P419,Hoja1!C:F,{2,3,4},FALSE)</f>
        <v>46325</v>
      </c>
      <c r="R419" t="str">
        <v>C21</v>
      </c>
      <c r="S419" t="str">
        <v>1000000634 RAIZEN ARGENTINA S.A.U.</v>
      </c>
      <c r="T419" t="str">
        <f>VLOOKUP(P419,Hoja2!C:D,2,FALSE)</f>
        <v>JPUPULIN</v>
      </c>
    </row>
    <row r="420" spans="1:20" x14ac:dyDescent="0.3">
      <c r="A420" s="2" t="s">
        <v>14</v>
      </c>
      <c r="B420" s="3" t="s">
        <v>14</v>
      </c>
      <c r="C420" s="3" t="s">
        <v>432</v>
      </c>
      <c r="D420" s="3" t="s">
        <v>14</v>
      </c>
      <c r="E420" s="3" t="s">
        <v>96</v>
      </c>
      <c r="F420" s="4">
        <v>46263</v>
      </c>
      <c r="G420" s="3" t="s">
        <v>43</v>
      </c>
      <c r="H420" s="6">
        <v>-1171750</v>
      </c>
      <c r="I420" s="3" t="s">
        <v>16</v>
      </c>
      <c r="J420" s="3" t="s">
        <v>14</v>
      </c>
      <c r="K420" s="3" t="s">
        <v>14</v>
      </c>
      <c r="L420" s="3" t="s">
        <v>1269</v>
      </c>
      <c r="M420" s="4">
        <v>46263</v>
      </c>
      <c r="N420" s="3" t="s">
        <v>291</v>
      </c>
      <c r="O420" s="3" t="s">
        <v>33</v>
      </c>
      <c r="P420" t="str">
        <f t="shared" si="6"/>
        <v>450012941210</v>
      </c>
      <c r="Q420" s="7" cm="1">
        <f t="array" ref="Q420:S420">VLOOKUP(P420,Hoja1!C:F,{2,3,4},FALSE)</f>
        <v>46325</v>
      </c>
      <c r="R420" t="str">
        <v>C21</v>
      </c>
      <c r="S420" t="str">
        <v>1000000634 RAIZEN ARGENTINA S.A.U.</v>
      </c>
      <c r="T420" t="str">
        <f>VLOOKUP(P420,Hoja2!C:D,2,FALSE)</f>
        <v>JPUPULIN</v>
      </c>
    </row>
    <row r="421" spans="1:20" x14ac:dyDescent="0.3">
      <c r="A421" s="2" t="s">
        <v>14</v>
      </c>
      <c r="B421" s="3" t="s">
        <v>14</v>
      </c>
      <c r="C421" s="3" t="s">
        <v>433</v>
      </c>
      <c r="D421" s="3" t="s">
        <v>14</v>
      </c>
      <c r="E421" s="3" t="s">
        <v>96</v>
      </c>
      <c r="F421" s="4">
        <v>46265</v>
      </c>
      <c r="G421" s="3" t="s">
        <v>43</v>
      </c>
      <c r="H421" s="6">
        <v>-9190082.4000000004</v>
      </c>
      <c r="I421" s="3" t="s">
        <v>16</v>
      </c>
      <c r="J421" s="3" t="s">
        <v>14</v>
      </c>
      <c r="K421" s="3" t="s">
        <v>14</v>
      </c>
      <c r="L421" s="3" t="s">
        <v>392</v>
      </c>
      <c r="M421" s="4">
        <v>46265</v>
      </c>
      <c r="N421" s="3" t="s">
        <v>434</v>
      </c>
      <c r="O421" s="3" t="s">
        <v>33</v>
      </c>
      <c r="P421" t="str">
        <f t="shared" si="6"/>
        <v>450013694110</v>
      </c>
      <c r="Q421" s="7" cm="1">
        <f t="array" ref="Q421:S421">VLOOKUP(P421,Hoja1!C:F,{2,3,4},FALSE)</f>
        <v>46280</v>
      </c>
      <c r="R421" t="str">
        <v>C47</v>
      </c>
      <c r="S421" t="str">
        <v>1000000279 NEUMATICOS VERONA S.R.L.</v>
      </c>
      <c r="T421" t="str">
        <f>VLOOKUP(P421,Hoja2!C:D,2,FALSE)</f>
        <v>WVENTURINI</v>
      </c>
    </row>
    <row r="422" spans="1:20" x14ac:dyDescent="0.3">
      <c r="A422" s="2" t="s">
        <v>14</v>
      </c>
      <c r="B422" s="3" t="s">
        <v>14</v>
      </c>
      <c r="C422" s="3" t="s">
        <v>435</v>
      </c>
      <c r="D422" s="3" t="s">
        <v>14</v>
      </c>
      <c r="E422" s="3" t="s">
        <v>96</v>
      </c>
      <c r="F422" s="4">
        <v>46259</v>
      </c>
      <c r="G422" s="3" t="s">
        <v>43</v>
      </c>
      <c r="H422" s="6">
        <v>-280998</v>
      </c>
      <c r="I422" s="3" t="s">
        <v>16</v>
      </c>
      <c r="J422" s="3" t="s">
        <v>14</v>
      </c>
      <c r="K422" s="3" t="s">
        <v>14</v>
      </c>
      <c r="L422" s="3" t="s">
        <v>436</v>
      </c>
      <c r="M422" s="4">
        <v>46265</v>
      </c>
      <c r="N422" s="3" t="s">
        <v>437</v>
      </c>
      <c r="O422" s="3" t="s">
        <v>22</v>
      </c>
      <c r="P422" t="str">
        <f t="shared" si="6"/>
        <v>450013585350</v>
      </c>
      <c r="Q422" s="7" cm="1">
        <f t="array" ref="Q422:S422">VLOOKUP(P422,Hoja1!C:F,{2,3,4},FALSE)</f>
        <v>46269</v>
      </c>
      <c r="R422" t="str">
        <v>C28</v>
      </c>
      <c r="S422" t="str">
        <v>1000007320 GILIGROUP S.A.S.</v>
      </c>
      <c r="T422" t="str">
        <f>VLOOKUP(P422,Hoja2!C:D,2,FALSE)</f>
        <v>GJULIANI</v>
      </c>
    </row>
    <row r="423" spans="1:20" x14ac:dyDescent="0.3">
      <c r="A423" s="2" t="s">
        <v>14</v>
      </c>
      <c r="B423" s="3" t="s">
        <v>14</v>
      </c>
      <c r="C423" s="3" t="s">
        <v>439</v>
      </c>
      <c r="D423" s="3" t="s">
        <v>14</v>
      </c>
      <c r="E423" s="3" t="s">
        <v>96</v>
      </c>
      <c r="F423" s="4">
        <v>46265</v>
      </c>
      <c r="G423" s="3" t="s">
        <v>43</v>
      </c>
      <c r="H423" s="6">
        <v>-791437.5</v>
      </c>
      <c r="I423" s="3" t="s">
        <v>16</v>
      </c>
      <c r="J423" s="3" t="s">
        <v>14</v>
      </c>
      <c r="K423" s="3" t="s">
        <v>14</v>
      </c>
      <c r="L423" s="3" t="s">
        <v>144</v>
      </c>
      <c r="M423" s="4">
        <v>46265</v>
      </c>
      <c r="N423" s="3" t="s">
        <v>440</v>
      </c>
      <c r="O423" s="3" t="s">
        <v>21</v>
      </c>
      <c r="P423" t="str">
        <f t="shared" si="6"/>
        <v>450013717730</v>
      </c>
      <c r="Q423" s="7" cm="1">
        <f t="array" ref="Q423:S423">VLOOKUP(P423,Hoja1!C:F,{2,3,4},FALSE)</f>
        <v>46275</v>
      </c>
      <c r="R423" t="str">
        <v>C39</v>
      </c>
      <c r="S423" t="str">
        <v>1000010438 TURBOS T&amp;T S.R.L</v>
      </c>
      <c r="T423" t="str">
        <f>VLOOKUP(P423,Hoja2!C:D,2,FALSE)</f>
        <v>EFUNES</v>
      </c>
    </row>
    <row r="424" spans="1:20" x14ac:dyDescent="0.3">
      <c r="A424" s="2" t="s">
        <v>14</v>
      </c>
      <c r="B424" s="3" t="s">
        <v>14</v>
      </c>
      <c r="C424" s="3" t="s">
        <v>441</v>
      </c>
      <c r="D424" s="3" t="s">
        <v>14</v>
      </c>
      <c r="E424" s="3" t="s">
        <v>96</v>
      </c>
      <c r="F424" s="4">
        <v>46261</v>
      </c>
      <c r="G424" s="3" t="s">
        <v>43</v>
      </c>
      <c r="H424" s="6">
        <v>-192752.64000000001</v>
      </c>
      <c r="I424" s="3" t="s">
        <v>16</v>
      </c>
      <c r="J424" s="3" t="s">
        <v>14</v>
      </c>
      <c r="K424" s="3" t="s">
        <v>14</v>
      </c>
      <c r="L424" s="3" t="s">
        <v>90</v>
      </c>
      <c r="M424" s="4">
        <v>46266</v>
      </c>
      <c r="N424" s="3" t="s">
        <v>442</v>
      </c>
      <c r="O424" s="3" t="s">
        <v>33</v>
      </c>
      <c r="P424" t="str">
        <f t="shared" si="6"/>
        <v>450013572310</v>
      </c>
      <c r="Q424" s="7" cm="1">
        <f t="array" ref="Q424:S424">VLOOKUP(P424,Hoja1!C:F,{2,3,4},FALSE)</f>
        <v>46295</v>
      </c>
      <c r="R424" t="str">
        <v>C03</v>
      </c>
      <c r="S424" t="str">
        <v>1000000561 ESCANDINAVIA DEL PLATA SA</v>
      </c>
      <c r="T424" t="str">
        <f>VLOOKUP(P424,Hoja2!C:D,2,FALSE)</f>
        <v>WVENTURINI</v>
      </c>
    </row>
    <row r="425" spans="1:20" x14ac:dyDescent="0.3">
      <c r="A425" s="2" t="s">
        <v>14</v>
      </c>
      <c r="B425" s="3" t="s">
        <v>14</v>
      </c>
      <c r="C425" s="3" t="s">
        <v>441</v>
      </c>
      <c r="D425" s="3" t="s">
        <v>14</v>
      </c>
      <c r="E425" s="3" t="s">
        <v>96</v>
      </c>
      <c r="F425" s="4">
        <v>46261</v>
      </c>
      <c r="G425" s="3" t="s">
        <v>43</v>
      </c>
      <c r="H425" s="6">
        <v>-192752.64000000001</v>
      </c>
      <c r="I425" s="3" t="s">
        <v>16</v>
      </c>
      <c r="J425" s="3" t="s">
        <v>14</v>
      </c>
      <c r="K425" s="3" t="s">
        <v>14</v>
      </c>
      <c r="L425" s="3" t="s">
        <v>90</v>
      </c>
      <c r="M425" s="4">
        <v>46266</v>
      </c>
      <c r="N425" s="3" t="s">
        <v>442</v>
      </c>
      <c r="O425" s="3" t="s">
        <v>21</v>
      </c>
      <c r="P425" t="str">
        <f t="shared" si="6"/>
        <v>450013572330</v>
      </c>
      <c r="Q425" s="7" cm="1">
        <f t="array" ref="Q425:S425">VLOOKUP(P425,Hoja1!C:F,{2,3,4},FALSE)</f>
        <v>46295</v>
      </c>
      <c r="R425" t="str">
        <v>C03</v>
      </c>
      <c r="S425" t="str">
        <v>1000000561 ESCANDINAVIA DEL PLATA SA</v>
      </c>
      <c r="T425" t="str">
        <f>VLOOKUP(P425,Hoja2!C:D,2,FALSE)</f>
        <v>WVENTURINI</v>
      </c>
    </row>
    <row r="426" spans="1:20" x14ac:dyDescent="0.3">
      <c r="A426" s="2" t="s">
        <v>14</v>
      </c>
      <c r="B426" s="3" t="s">
        <v>14</v>
      </c>
      <c r="C426" s="3" t="s">
        <v>441</v>
      </c>
      <c r="D426" s="3" t="s">
        <v>14</v>
      </c>
      <c r="E426" s="3" t="s">
        <v>96</v>
      </c>
      <c r="F426" s="4">
        <v>46261</v>
      </c>
      <c r="G426" s="3" t="s">
        <v>43</v>
      </c>
      <c r="H426" s="6">
        <v>-32486.400000000001</v>
      </c>
      <c r="I426" s="3" t="s">
        <v>16</v>
      </c>
      <c r="J426" s="3" t="s">
        <v>14</v>
      </c>
      <c r="K426" s="3" t="s">
        <v>14</v>
      </c>
      <c r="L426" s="3" t="s">
        <v>90</v>
      </c>
      <c r="M426" s="4">
        <v>46266</v>
      </c>
      <c r="N426" s="3" t="s">
        <v>442</v>
      </c>
      <c r="O426" s="3" t="s">
        <v>25</v>
      </c>
      <c r="P426" t="str">
        <f t="shared" si="6"/>
        <v>450013572340</v>
      </c>
      <c r="Q426" s="7" cm="1">
        <f t="array" ref="Q426:S426">VLOOKUP(P426,Hoja1!C:F,{2,3,4},FALSE)</f>
        <v>46295</v>
      </c>
      <c r="R426" t="str">
        <v>C03</v>
      </c>
      <c r="S426" t="str">
        <v>1000000561 ESCANDINAVIA DEL PLATA SA</v>
      </c>
      <c r="T426" t="str">
        <f>VLOOKUP(P426,Hoja2!C:D,2,FALSE)</f>
        <v>WVENTURINI</v>
      </c>
    </row>
    <row r="427" spans="1:20" x14ac:dyDescent="0.3">
      <c r="A427" s="2" t="s">
        <v>14</v>
      </c>
      <c r="B427" s="3" t="s">
        <v>14</v>
      </c>
      <c r="C427" s="3" t="s">
        <v>441</v>
      </c>
      <c r="D427" s="3" t="s">
        <v>14</v>
      </c>
      <c r="E427" s="3" t="s">
        <v>96</v>
      </c>
      <c r="F427" s="4">
        <v>46261</v>
      </c>
      <c r="G427" s="3" t="s">
        <v>43</v>
      </c>
      <c r="H427" s="6">
        <v>-2147862.4</v>
      </c>
      <c r="I427" s="3" t="s">
        <v>16</v>
      </c>
      <c r="J427" s="3" t="s">
        <v>14</v>
      </c>
      <c r="K427" s="3" t="s">
        <v>14</v>
      </c>
      <c r="L427" s="3" t="s">
        <v>90</v>
      </c>
      <c r="M427" s="4">
        <v>46266</v>
      </c>
      <c r="N427" s="3" t="s">
        <v>442</v>
      </c>
      <c r="O427" s="3" t="s">
        <v>22</v>
      </c>
      <c r="P427" t="str">
        <f t="shared" si="6"/>
        <v>450013572350</v>
      </c>
      <c r="Q427" s="7" cm="1">
        <f t="array" ref="Q427:S427">VLOOKUP(P427,Hoja1!C:F,{2,3,4},FALSE)</f>
        <v>46295</v>
      </c>
      <c r="R427" t="str">
        <v>C03</v>
      </c>
      <c r="S427" t="str">
        <v>1000000561 ESCANDINAVIA DEL PLATA SA</v>
      </c>
      <c r="T427" t="str">
        <f>VLOOKUP(P427,Hoja2!C:D,2,FALSE)</f>
        <v>WVENTURINI</v>
      </c>
    </row>
    <row r="428" spans="1:20" x14ac:dyDescent="0.3">
      <c r="A428" s="2" t="s">
        <v>14</v>
      </c>
      <c r="B428" s="3" t="s">
        <v>14</v>
      </c>
      <c r="C428" s="3" t="s">
        <v>443</v>
      </c>
      <c r="D428" s="3" t="s">
        <v>14</v>
      </c>
      <c r="E428" s="3" t="s">
        <v>96</v>
      </c>
      <c r="F428" s="4">
        <v>46266</v>
      </c>
      <c r="G428" s="3" t="s">
        <v>43</v>
      </c>
      <c r="H428" s="6">
        <v>-64876.02</v>
      </c>
      <c r="I428" s="3" t="s">
        <v>16</v>
      </c>
      <c r="J428" s="3" t="s">
        <v>14</v>
      </c>
      <c r="K428" s="3" t="s">
        <v>14</v>
      </c>
      <c r="L428" s="3" t="s">
        <v>444</v>
      </c>
      <c r="M428" s="4">
        <v>46266</v>
      </c>
      <c r="N428" s="3" t="s">
        <v>445</v>
      </c>
      <c r="O428" s="3" t="s">
        <v>33</v>
      </c>
      <c r="P428" t="str">
        <f t="shared" si="6"/>
        <v>450013707610</v>
      </c>
      <c r="Q428" s="7" cm="1">
        <f t="array" ref="Q428:S428">VLOOKUP(P428,Hoja1!C:F,{2,3,4},FALSE)</f>
        <v>46269</v>
      </c>
      <c r="R428" t="str">
        <v>F05</v>
      </c>
      <c r="S428" t="str">
        <v>1000000482 REUTEMANN AUTOMOTORES S.A.</v>
      </c>
      <c r="T428" t="str">
        <f>VLOOKUP(P428,Hoja2!C:D,2,FALSE)</f>
        <v>RPEREZ</v>
      </c>
    </row>
    <row r="429" spans="1:20" x14ac:dyDescent="0.3">
      <c r="A429" s="2" t="s">
        <v>14</v>
      </c>
      <c r="B429" s="3" t="s">
        <v>14</v>
      </c>
      <c r="C429" s="3" t="s">
        <v>446</v>
      </c>
      <c r="D429" s="3" t="s">
        <v>14</v>
      </c>
      <c r="E429" s="3" t="s">
        <v>96</v>
      </c>
      <c r="F429" s="4">
        <v>46266</v>
      </c>
      <c r="G429" s="3" t="s">
        <v>43</v>
      </c>
      <c r="H429" s="6">
        <v>-29568.639999999999</v>
      </c>
      <c r="I429" s="3" t="s">
        <v>16</v>
      </c>
      <c r="J429" s="3" t="s">
        <v>14</v>
      </c>
      <c r="K429" s="3" t="s">
        <v>14</v>
      </c>
      <c r="L429" s="3" t="s">
        <v>447</v>
      </c>
      <c r="M429" s="4">
        <v>46266</v>
      </c>
      <c r="N429" s="3" t="s">
        <v>448</v>
      </c>
      <c r="O429" s="3" t="s">
        <v>33</v>
      </c>
      <c r="P429" t="str">
        <f t="shared" si="6"/>
        <v>450013678110</v>
      </c>
      <c r="Q429" s="7" cm="1">
        <f t="array" ref="Q429:S429">VLOOKUP(P429,Hoja1!C:F,{2,3,4},FALSE)</f>
        <v>46280</v>
      </c>
      <c r="R429" t="str">
        <v>C43</v>
      </c>
      <c r="S429" t="str">
        <v>1000002050 RODAMIENTOS CUYO SEL</v>
      </c>
      <c r="T429" t="str">
        <f>VLOOKUP(P429,Hoja2!C:D,2,FALSE)</f>
        <v>EFUNES</v>
      </c>
    </row>
    <row r="430" spans="1:20" x14ac:dyDescent="0.3">
      <c r="A430" s="2" t="s">
        <v>14</v>
      </c>
      <c r="B430" s="3" t="s">
        <v>14</v>
      </c>
      <c r="C430" s="3" t="s">
        <v>446</v>
      </c>
      <c r="D430" s="3" t="s">
        <v>14</v>
      </c>
      <c r="E430" s="3" t="s">
        <v>96</v>
      </c>
      <c r="F430" s="4">
        <v>46266</v>
      </c>
      <c r="G430" s="3" t="s">
        <v>43</v>
      </c>
      <c r="H430" s="6">
        <v>-3023.04</v>
      </c>
      <c r="I430" s="3" t="s">
        <v>16</v>
      </c>
      <c r="J430" s="3" t="s">
        <v>14</v>
      </c>
      <c r="K430" s="3" t="s">
        <v>14</v>
      </c>
      <c r="L430" s="3" t="s">
        <v>447</v>
      </c>
      <c r="M430" s="4">
        <v>46266</v>
      </c>
      <c r="N430" s="3" t="s">
        <v>448</v>
      </c>
      <c r="O430" s="3" t="s">
        <v>20</v>
      </c>
      <c r="P430" t="str">
        <f t="shared" si="6"/>
        <v>450013678120</v>
      </c>
      <c r="Q430" s="7" cm="1">
        <f t="array" ref="Q430:S430">VLOOKUP(P430,Hoja1!C:F,{2,3,4},FALSE)</f>
        <v>46280</v>
      </c>
      <c r="R430" t="str">
        <v>C43</v>
      </c>
      <c r="S430" t="str">
        <v>1000002050 RODAMIENTOS CUYO SEL</v>
      </c>
      <c r="T430" t="str">
        <f>VLOOKUP(P430,Hoja2!C:D,2,FALSE)</f>
        <v>EFUNES</v>
      </c>
    </row>
    <row r="431" spans="1:20" x14ac:dyDescent="0.3">
      <c r="A431" s="2" t="s">
        <v>14</v>
      </c>
      <c r="B431" s="3" t="s">
        <v>14</v>
      </c>
      <c r="C431" s="3" t="s">
        <v>446</v>
      </c>
      <c r="D431" s="3" t="s">
        <v>14</v>
      </c>
      <c r="E431" s="3" t="s">
        <v>96</v>
      </c>
      <c r="F431" s="4">
        <v>46266</v>
      </c>
      <c r="G431" s="3" t="s">
        <v>43</v>
      </c>
      <c r="H431" s="6">
        <v>-207672.32000000001</v>
      </c>
      <c r="I431" s="3" t="s">
        <v>16</v>
      </c>
      <c r="J431" s="3" t="s">
        <v>14</v>
      </c>
      <c r="K431" s="3" t="s">
        <v>14</v>
      </c>
      <c r="L431" s="3" t="s">
        <v>447</v>
      </c>
      <c r="M431" s="4">
        <v>46266</v>
      </c>
      <c r="N431" s="3" t="s">
        <v>448</v>
      </c>
      <c r="O431" s="3" t="s">
        <v>21</v>
      </c>
      <c r="P431" t="str">
        <f t="shared" si="6"/>
        <v>450013678130</v>
      </c>
      <c r="Q431" s="7" cm="1">
        <f t="array" ref="Q431:S431">VLOOKUP(P431,Hoja1!C:F,{2,3,4},FALSE)</f>
        <v>46280</v>
      </c>
      <c r="R431" t="str">
        <v>C43</v>
      </c>
      <c r="S431" t="str">
        <v>1000002050 RODAMIENTOS CUYO SEL</v>
      </c>
      <c r="T431" t="str">
        <f>VLOOKUP(P431,Hoja2!C:D,2,FALSE)</f>
        <v>EFUNES</v>
      </c>
    </row>
    <row r="432" spans="1:20" x14ac:dyDescent="0.3">
      <c r="A432" s="2" t="s">
        <v>14</v>
      </c>
      <c r="B432" s="3" t="s">
        <v>14</v>
      </c>
      <c r="C432" s="3" t="s">
        <v>449</v>
      </c>
      <c r="D432" s="3" t="s">
        <v>14</v>
      </c>
      <c r="E432" s="3" t="s">
        <v>96</v>
      </c>
      <c r="F432" s="4">
        <v>46266</v>
      </c>
      <c r="G432" s="3" t="s">
        <v>43</v>
      </c>
      <c r="H432" s="6">
        <v>-391221.01</v>
      </c>
      <c r="I432" s="3" t="s">
        <v>16</v>
      </c>
      <c r="J432" s="3" t="s">
        <v>14</v>
      </c>
      <c r="K432" s="3" t="s">
        <v>14</v>
      </c>
      <c r="L432" s="3" t="s">
        <v>210</v>
      </c>
      <c r="M432" s="4">
        <v>46267</v>
      </c>
      <c r="N432" s="3" t="s">
        <v>450</v>
      </c>
      <c r="O432" s="3" t="s">
        <v>33</v>
      </c>
      <c r="P432" t="str">
        <f t="shared" si="6"/>
        <v>450013700410</v>
      </c>
      <c r="Q432" s="7" cm="1">
        <f t="array" ref="Q432:S432">VLOOKUP(P432,Hoja1!C:F,{2,3,4},FALSE)</f>
        <v>46276</v>
      </c>
      <c r="R432" t="str">
        <v>C03</v>
      </c>
      <c r="S432" t="str">
        <v>1000000488 BETA S.A.</v>
      </c>
      <c r="T432" t="str">
        <f>VLOOKUP(P432,Hoja2!C:D,2,FALSE)</f>
        <v>FBERARDO</v>
      </c>
    </row>
    <row r="433" spans="1:20" x14ac:dyDescent="0.3">
      <c r="A433" s="2" t="s">
        <v>14</v>
      </c>
      <c r="B433" s="3" t="s">
        <v>14</v>
      </c>
      <c r="C433" s="3" t="s">
        <v>451</v>
      </c>
      <c r="D433" s="3" t="s">
        <v>14</v>
      </c>
      <c r="E433" s="3" t="s">
        <v>96</v>
      </c>
      <c r="F433" s="4">
        <v>46266</v>
      </c>
      <c r="G433" s="3" t="s">
        <v>43</v>
      </c>
      <c r="H433" s="6">
        <v>-26951540</v>
      </c>
      <c r="I433" s="3" t="s">
        <v>16</v>
      </c>
      <c r="J433" s="3" t="s">
        <v>14</v>
      </c>
      <c r="K433" s="3" t="s">
        <v>14</v>
      </c>
      <c r="L433" s="3" t="s">
        <v>133</v>
      </c>
      <c r="M433" s="4">
        <v>46267</v>
      </c>
      <c r="N433" s="3" t="s">
        <v>452</v>
      </c>
      <c r="O433" s="3" t="s">
        <v>33</v>
      </c>
      <c r="P433" t="str">
        <f t="shared" si="6"/>
        <v>450013571410</v>
      </c>
      <c r="Q433" s="7" cm="1">
        <f t="array" ref="Q433:S433">VLOOKUP(P433,Hoja1!C:F,{2,3,4},FALSE)</f>
        <v>46273</v>
      </c>
      <c r="R433" t="str">
        <v>C48</v>
      </c>
      <c r="S433" t="str">
        <v>1000011072 NEUMATICOS GOODYEAR S R L</v>
      </c>
      <c r="T433" t="str">
        <f>VLOOKUP(P433,Hoja2!C:D,2,FALSE)</f>
        <v>WVENTURINI</v>
      </c>
    </row>
    <row r="434" spans="1:20" x14ac:dyDescent="0.3">
      <c r="A434" s="2" t="s">
        <v>14</v>
      </c>
      <c r="B434" s="3" t="s">
        <v>14</v>
      </c>
      <c r="C434" s="3" t="s">
        <v>451</v>
      </c>
      <c r="D434" s="3" t="s">
        <v>14</v>
      </c>
      <c r="E434" s="3" t="s">
        <v>96</v>
      </c>
      <c r="F434" s="4">
        <v>46266</v>
      </c>
      <c r="G434" s="3" t="s">
        <v>43</v>
      </c>
      <c r="H434" s="6">
        <v>-4311828</v>
      </c>
      <c r="I434" s="3" t="s">
        <v>16</v>
      </c>
      <c r="J434" s="3" t="s">
        <v>14</v>
      </c>
      <c r="K434" s="3" t="s">
        <v>14</v>
      </c>
      <c r="L434" s="3" t="s">
        <v>133</v>
      </c>
      <c r="M434" s="4">
        <v>46267</v>
      </c>
      <c r="N434" s="3" t="s">
        <v>452</v>
      </c>
      <c r="O434" s="3" t="s">
        <v>20</v>
      </c>
      <c r="P434" t="str">
        <f t="shared" si="6"/>
        <v>450013571420</v>
      </c>
      <c r="Q434" s="7" cm="1">
        <f t="array" ref="Q434:S434">VLOOKUP(P434,Hoja1!C:F,{2,3,4},FALSE)</f>
        <v>46273</v>
      </c>
      <c r="R434" t="str">
        <v>C48</v>
      </c>
      <c r="S434" t="str">
        <v>1000011072 NEUMATICOS GOODYEAR S R L</v>
      </c>
      <c r="T434" t="str">
        <f>VLOOKUP(P434,Hoja2!C:D,2,FALSE)</f>
        <v>WVENTURINI</v>
      </c>
    </row>
    <row r="435" spans="1:20" x14ac:dyDescent="0.3">
      <c r="A435" s="2" t="s">
        <v>14</v>
      </c>
      <c r="B435" s="3" t="s">
        <v>14</v>
      </c>
      <c r="C435" s="3" t="s">
        <v>451</v>
      </c>
      <c r="D435" s="3" t="s">
        <v>14</v>
      </c>
      <c r="E435" s="3" t="s">
        <v>96</v>
      </c>
      <c r="F435" s="4">
        <v>46266</v>
      </c>
      <c r="G435" s="3" t="s">
        <v>43</v>
      </c>
      <c r="H435" s="6">
        <v>-1819041</v>
      </c>
      <c r="I435" s="3" t="s">
        <v>16</v>
      </c>
      <c r="J435" s="3" t="s">
        <v>14</v>
      </c>
      <c r="K435" s="3" t="s">
        <v>14</v>
      </c>
      <c r="L435" s="3" t="s">
        <v>133</v>
      </c>
      <c r="M435" s="4">
        <v>46267</v>
      </c>
      <c r="N435" s="3" t="s">
        <v>452</v>
      </c>
      <c r="O435" s="3" t="s">
        <v>21</v>
      </c>
      <c r="P435" t="str">
        <f t="shared" si="6"/>
        <v>450013571430</v>
      </c>
      <c r="Q435" s="7" cm="1">
        <f t="array" ref="Q435:S435">VLOOKUP(P435,Hoja1!C:F,{2,3,4},FALSE)</f>
        <v>46273</v>
      </c>
      <c r="R435" t="str">
        <v>C48</v>
      </c>
      <c r="S435" t="str">
        <v>1000011072 NEUMATICOS GOODYEAR S R L</v>
      </c>
      <c r="T435" t="str">
        <f>VLOOKUP(P435,Hoja2!C:D,2,FALSE)</f>
        <v>WVENTURINI</v>
      </c>
    </row>
    <row r="436" spans="1:20" x14ac:dyDescent="0.3">
      <c r="A436" s="2" t="s">
        <v>14</v>
      </c>
      <c r="B436" s="3" t="s">
        <v>14</v>
      </c>
      <c r="C436" s="3" t="s">
        <v>453</v>
      </c>
      <c r="D436" s="3" t="s">
        <v>14</v>
      </c>
      <c r="E436" s="3" t="s">
        <v>96</v>
      </c>
      <c r="F436" s="4">
        <v>46266</v>
      </c>
      <c r="G436" s="3" t="s">
        <v>43</v>
      </c>
      <c r="H436" s="6">
        <v>-5098940</v>
      </c>
      <c r="I436" s="3" t="s">
        <v>16</v>
      </c>
      <c r="J436" s="3" t="s">
        <v>14</v>
      </c>
      <c r="K436" s="3" t="s">
        <v>14</v>
      </c>
      <c r="L436" s="3" t="s">
        <v>133</v>
      </c>
      <c r="M436" s="4">
        <v>46267</v>
      </c>
      <c r="N436" s="3" t="s">
        <v>454</v>
      </c>
      <c r="O436" s="3" t="s">
        <v>33</v>
      </c>
      <c r="P436" t="str">
        <f t="shared" si="6"/>
        <v>450013670010</v>
      </c>
      <c r="Q436" s="7" cm="1">
        <f t="array" ref="Q436:S436">VLOOKUP(P436,Hoja1!C:F,{2,3,4},FALSE)</f>
        <v>46280</v>
      </c>
      <c r="R436" t="str">
        <v>C48</v>
      </c>
      <c r="S436" t="str">
        <v>1000011072 NEUMATICOS GOODYEAR S R L</v>
      </c>
      <c r="T436" t="str">
        <f>VLOOKUP(P436,Hoja2!C:D,2,FALSE)</f>
        <v>WVENTURINI</v>
      </c>
    </row>
    <row r="437" spans="1:20" x14ac:dyDescent="0.3">
      <c r="A437" s="2" t="s">
        <v>14</v>
      </c>
      <c r="B437" s="3" t="s">
        <v>14</v>
      </c>
      <c r="C437" s="3" t="s">
        <v>453</v>
      </c>
      <c r="D437" s="3" t="s">
        <v>14</v>
      </c>
      <c r="E437" s="3" t="s">
        <v>96</v>
      </c>
      <c r="F437" s="4">
        <v>46266</v>
      </c>
      <c r="G437" s="3" t="s">
        <v>43</v>
      </c>
      <c r="H437" s="6">
        <v>-4311828</v>
      </c>
      <c r="I437" s="3" t="s">
        <v>16</v>
      </c>
      <c r="J437" s="3" t="s">
        <v>14</v>
      </c>
      <c r="K437" s="3" t="s">
        <v>14</v>
      </c>
      <c r="L437" s="3" t="s">
        <v>133</v>
      </c>
      <c r="M437" s="4">
        <v>46267</v>
      </c>
      <c r="N437" s="3" t="s">
        <v>454</v>
      </c>
      <c r="O437" s="3" t="s">
        <v>20</v>
      </c>
      <c r="P437" t="str">
        <f t="shared" si="6"/>
        <v>450013670020</v>
      </c>
      <c r="Q437" s="7" cm="1">
        <f t="array" ref="Q437:S437">VLOOKUP(P437,Hoja1!C:F,{2,3,4},FALSE)</f>
        <v>46280</v>
      </c>
      <c r="R437" t="str">
        <v>C48</v>
      </c>
      <c r="S437" t="str">
        <v>1000011072 NEUMATICOS GOODYEAR S R L</v>
      </c>
      <c r="T437" t="str">
        <f>VLOOKUP(P437,Hoja2!C:D,2,FALSE)</f>
        <v>WVENTURINI</v>
      </c>
    </row>
    <row r="438" spans="1:20" x14ac:dyDescent="0.3">
      <c r="A438" s="2" t="s">
        <v>14</v>
      </c>
      <c r="B438" s="3" t="s">
        <v>14</v>
      </c>
      <c r="C438" s="3" t="s">
        <v>453</v>
      </c>
      <c r="D438" s="3" t="s">
        <v>14</v>
      </c>
      <c r="E438" s="3" t="s">
        <v>96</v>
      </c>
      <c r="F438" s="4">
        <v>46266</v>
      </c>
      <c r="G438" s="3" t="s">
        <v>43</v>
      </c>
      <c r="H438" s="6">
        <v>-2874552</v>
      </c>
      <c r="I438" s="3" t="s">
        <v>16</v>
      </c>
      <c r="J438" s="3" t="s">
        <v>14</v>
      </c>
      <c r="K438" s="3" t="s">
        <v>14</v>
      </c>
      <c r="L438" s="3" t="s">
        <v>133</v>
      </c>
      <c r="M438" s="4">
        <v>46267</v>
      </c>
      <c r="N438" s="3" t="s">
        <v>454</v>
      </c>
      <c r="O438" s="3" t="s">
        <v>21</v>
      </c>
      <c r="P438" t="str">
        <f t="shared" si="6"/>
        <v>450013670030</v>
      </c>
      <c r="Q438" s="7" cm="1">
        <f t="array" ref="Q438:S438">VLOOKUP(P438,Hoja1!C:F,{2,3,4},FALSE)</f>
        <v>46280</v>
      </c>
      <c r="R438" t="str">
        <v>C48</v>
      </c>
      <c r="S438" t="str">
        <v>1000011072 NEUMATICOS GOODYEAR S R L</v>
      </c>
      <c r="T438" t="str">
        <f>VLOOKUP(P438,Hoja2!C:D,2,FALSE)</f>
        <v>WVENTURINI</v>
      </c>
    </row>
    <row r="439" spans="1:20" x14ac:dyDescent="0.3">
      <c r="A439" s="2" t="s">
        <v>14</v>
      </c>
      <c r="B439" s="3" t="s">
        <v>14</v>
      </c>
      <c r="C439" s="3" t="s">
        <v>455</v>
      </c>
      <c r="D439" s="3" t="s">
        <v>14</v>
      </c>
      <c r="E439" s="3" t="s">
        <v>96</v>
      </c>
      <c r="F439" s="4">
        <v>46267</v>
      </c>
      <c r="G439" s="3" t="s">
        <v>43</v>
      </c>
      <c r="H439" s="6">
        <v>-10042200</v>
      </c>
      <c r="I439" s="3" t="s">
        <v>16</v>
      </c>
      <c r="J439" s="3" t="s">
        <v>14</v>
      </c>
      <c r="K439" s="3" t="s">
        <v>14</v>
      </c>
      <c r="L439" s="3" t="s">
        <v>1269</v>
      </c>
      <c r="M439" s="4">
        <v>46267</v>
      </c>
      <c r="N439" s="3" t="s">
        <v>291</v>
      </c>
      <c r="O439" s="3" t="s">
        <v>33</v>
      </c>
      <c r="P439" t="str">
        <f t="shared" si="6"/>
        <v>450012941210</v>
      </c>
      <c r="Q439" s="7" cm="1">
        <f t="array" ref="Q439:S439">VLOOKUP(P439,Hoja1!C:F,{2,3,4},FALSE)</f>
        <v>46325</v>
      </c>
      <c r="R439" t="str">
        <v>C21</v>
      </c>
      <c r="S439" t="str">
        <v>1000000634 RAIZEN ARGENTINA S.A.U.</v>
      </c>
      <c r="T439" t="str">
        <f>VLOOKUP(P439,Hoja2!C:D,2,FALSE)</f>
        <v>JPUPULIN</v>
      </c>
    </row>
    <row r="440" spans="1:20" x14ac:dyDescent="0.3">
      <c r="A440" s="2" t="s">
        <v>14</v>
      </c>
      <c r="B440" s="3" t="s">
        <v>14</v>
      </c>
      <c r="C440" s="3" t="s">
        <v>455</v>
      </c>
      <c r="D440" s="3" t="s">
        <v>14</v>
      </c>
      <c r="E440" s="3" t="s">
        <v>96</v>
      </c>
      <c r="F440" s="4">
        <v>46267</v>
      </c>
      <c r="G440" s="3" t="s">
        <v>43</v>
      </c>
      <c r="H440" s="6">
        <v>-1144500</v>
      </c>
      <c r="I440" s="3" t="s">
        <v>16</v>
      </c>
      <c r="J440" s="3" t="s">
        <v>14</v>
      </c>
      <c r="K440" s="3" t="s">
        <v>14</v>
      </c>
      <c r="L440" s="3" t="s">
        <v>1269</v>
      </c>
      <c r="M440" s="4">
        <v>46267</v>
      </c>
      <c r="N440" s="3" t="s">
        <v>291</v>
      </c>
      <c r="O440" s="3" t="s">
        <v>33</v>
      </c>
      <c r="P440" t="str">
        <f t="shared" si="6"/>
        <v>450012941210</v>
      </c>
      <c r="Q440" s="7" cm="1">
        <f t="array" ref="Q440:S440">VLOOKUP(P440,Hoja1!C:F,{2,3,4},FALSE)</f>
        <v>46325</v>
      </c>
      <c r="R440" t="str">
        <v>C21</v>
      </c>
      <c r="S440" t="str">
        <v>1000000634 RAIZEN ARGENTINA S.A.U.</v>
      </c>
      <c r="T440" t="str">
        <f>VLOOKUP(P440,Hoja2!C:D,2,FALSE)</f>
        <v>JPUPULIN</v>
      </c>
    </row>
    <row r="441" spans="1:20" x14ac:dyDescent="0.3">
      <c r="A441" s="2" t="s">
        <v>14</v>
      </c>
      <c r="B441" s="3" t="s">
        <v>14</v>
      </c>
      <c r="C441" s="3" t="s">
        <v>456</v>
      </c>
      <c r="D441" s="3" t="s">
        <v>14</v>
      </c>
      <c r="E441" s="3" t="s">
        <v>96</v>
      </c>
      <c r="F441" s="4">
        <v>46262</v>
      </c>
      <c r="G441" s="3" t="s">
        <v>43</v>
      </c>
      <c r="H441" s="6">
        <v>-80100</v>
      </c>
      <c r="I441" s="3" t="s">
        <v>16</v>
      </c>
      <c r="J441" s="3" t="s">
        <v>14</v>
      </c>
      <c r="K441" s="3" t="s">
        <v>14</v>
      </c>
      <c r="L441" s="3" t="s">
        <v>457</v>
      </c>
      <c r="M441" s="4">
        <v>46267</v>
      </c>
      <c r="N441" s="3" t="s">
        <v>458</v>
      </c>
      <c r="O441" s="3" t="s">
        <v>33</v>
      </c>
      <c r="P441" t="str">
        <f t="shared" si="6"/>
        <v>450013675710</v>
      </c>
      <c r="Q441" s="7" cm="1">
        <f t="array" ref="Q441:S441">VLOOKUP(P441,Hoja1!C:F,{2,3,4},FALSE)</f>
        <v>46276</v>
      </c>
      <c r="R441" t="str">
        <v>C03</v>
      </c>
      <c r="S441" t="str">
        <v>1000000052 DEVOL S.A.</v>
      </c>
      <c r="T441" t="str">
        <f>VLOOKUP(P441,Hoja2!C:D,2,FALSE)</f>
        <v>FBERARDO</v>
      </c>
    </row>
    <row r="442" spans="1:20" x14ac:dyDescent="0.3">
      <c r="A442" s="2" t="s">
        <v>14</v>
      </c>
      <c r="B442" s="3" t="s">
        <v>14</v>
      </c>
      <c r="C442" s="3" t="s">
        <v>456</v>
      </c>
      <c r="D442" s="3" t="s">
        <v>14</v>
      </c>
      <c r="E442" s="3" t="s">
        <v>96</v>
      </c>
      <c r="F442" s="4">
        <v>46262</v>
      </c>
      <c r="G442" s="3" t="s">
        <v>43</v>
      </c>
      <c r="H442" s="6">
        <v>-67500</v>
      </c>
      <c r="I442" s="3" t="s">
        <v>16</v>
      </c>
      <c r="J442" s="3" t="s">
        <v>14</v>
      </c>
      <c r="K442" s="3" t="s">
        <v>14</v>
      </c>
      <c r="L442" s="3" t="s">
        <v>457</v>
      </c>
      <c r="M442" s="4">
        <v>46267</v>
      </c>
      <c r="N442" s="3" t="s">
        <v>458</v>
      </c>
      <c r="O442" s="3" t="s">
        <v>20</v>
      </c>
      <c r="P442" t="str">
        <f t="shared" si="6"/>
        <v>450013675720</v>
      </c>
      <c r="Q442" s="7" cm="1">
        <f t="array" ref="Q442:S442">VLOOKUP(P442,Hoja1!C:F,{2,3,4},FALSE)</f>
        <v>46276</v>
      </c>
      <c r="R442" t="str">
        <v>C03</v>
      </c>
      <c r="S442" t="str">
        <v>1000000052 DEVOL S.A.</v>
      </c>
      <c r="T442" t="str">
        <f>VLOOKUP(P442,Hoja2!C:D,2,FALSE)</f>
        <v>FBERARDO</v>
      </c>
    </row>
    <row r="443" spans="1:20" x14ac:dyDescent="0.3">
      <c r="A443" s="2" t="s">
        <v>14</v>
      </c>
      <c r="B443" s="3" t="s">
        <v>14</v>
      </c>
      <c r="C443" s="3" t="s">
        <v>456</v>
      </c>
      <c r="D443" s="3" t="s">
        <v>14</v>
      </c>
      <c r="E443" s="3" t="s">
        <v>96</v>
      </c>
      <c r="F443" s="4">
        <v>46262</v>
      </c>
      <c r="G443" s="3" t="s">
        <v>43</v>
      </c>
      <c r="H443" s="6">
        <v>-405000</v>
      </c>
      <c r="I443" s="3" t="s">
        <v>16</v>
      </c>
      <c r="J443" s="3" t="s">
        <v>14</v>
      </c>
      <c r="K443" s="3" t="s">
        <v>14</v>
      </c>
      <c r="L443" s="3" t="s">
        <v>457</v>
      </c>
      <c r="M443" s="4">
        <v>46267</v>
      </c>
      <c r="N443" s="3" t="s">
        <v>458</v>
      </c>
      <c r="O443" s="3" t="s">
        <v>21</v>
      </c>
      <c r="P443" t="str">
        <f t="shared" si="6"/>
        <v>450013675730</v>
      </c>
      <c r="Q443" s="7" cm="1">
        <f t="array" ref="Q443:S443">VLOOKUP(P443,Hoja1!C:F,{2,3,4},FALSE)</f>
        <v>46276</v>
      </c>
      <c r="R443" t="str">
        <v>C03</v>
      </c>
      <c r="S443" t="str">
        <v>1000000052 DEVOL S.A.</v>
      </c>
      <c r="T443" t="str">
        <f>VLOOKUP(P443,Hoja2!C:D,2,FALSE)</f>
        <v>FBERARDO</v>
      </c>
    </row>
    <row r="444" spans="1:20" x14ac:dyDescent="0.3">
      <c r="A444" s="2" t="s">
        <v>14</v>
      </c>
      <c r="B444" s="3" t="s">
        <v>14</v>
      </c>
      <c r="C444" s="3" t="s">
        <v>459</v>
      </c>
      <c r="D444" s="3" t="s">
        <v>14</v>
      </c>
      <c r="E444" s="3" t="s">
        <v>96</v>
      </c>
      <c r="F444" s="4">
        <v>46267</v>
      </c>
      <c r="G444" s="3" t="s">
        <v>43</v>
      </c>
      <c r="H444" s="6">
        <v>-571360.75</v>
      </c>
      <c r="I444" s="3" t="s">
        <v>16</v>
      </c>
      <c r="J444" s="3" t="s">
        <v>14</v>
      </c>
      <c r="K444" s="3" t="s">
        <v>14</v>
      </c>
      <c r="L444" s="3" t="s">
        <v>460</v>
      </c>
      <c r="M444" s="4">
        <v>46267</v>
      </c>
      <c r="N444" s="3" t="s">
        <v>461</v>
      </c>
      <c r="O444" s="3" t="s">
        <v>33</v>
      </c>
      <c r="P444" t="str">
        <f t="shared" si="6"/>
        <v>450013690910</v>
      </c>
      <c r="Q444" s="7" cm="1">
        <f t="array" ref="Q444:S444">VLOOKUP(P444,Hoja1!C:F,{2,3,4},FALSE)</f>
        <v>46274</v>
      </c>
      <c r="R444" t="str">
        <v>L02</v>
      </c>
      <c r="S444" t="str">
        <v>1000010056 AGU GUILLERMO ANDRES</v>
      </c>
      <c r="T444" t="str">
        <f>VLOOKUP(P444,Hoja2!C:D,2,FALSE)</f>
        <v>FBERARDO</v>
      </c>
    </row>
    <row r="445" spans="1:20" x14ac:dyDescent="0.3">
      <c r="A445" s="2" t="s">
        <v>14</v>
      </c>
      <c r="B445" s="3" t="s">
        <v>14</v>
      </c>
      <c r="C445" s="3" t="s">
        <v>462</v>
      </c>
      <c r="D445" s="3" t="s">
        <v>14</v>
      </c>
      <c r="E445" s="3" t="s">
        <v>96</v>
      </c>
      <c r="F445" s="4">
        <v>46260</v>
      </c>
      <c r="G445" s="3" t="s">
        <v>43</v>
      </c>
      <c r="H445" s="6">
        <v>-12490.38</v>
      </c>
      <c r="I445" s="3" t="s">
        <v>16</v>
      </c>
      <c r="J445" s="3" t="s">
        <v>14</v>
      </c>
      <c r="K445" s="3" t="s">
        <v>14</v>
      </c>
      <c r="L445" s="3" t="s">
        <v>447</v>
      </c>
      <c r="M445" s="4">
        <v>46267</v>
      </c>
      <c r="N445" s="3" t="s">
        <v>463</v>
      </c>
      <c r="O445" s="3" t="s">
        <v>21</v>
      </c>
      <c r="P445" t="str">
        <f t="shared" si="6"/>
        <v>450013665130</v>
      </c>
      <c r="Q445" s="7" cm="1">
        <f t="array" ref="Q445:S445">VLOOKUP(P445,Hoja1!C:F,{2,3,4},FALSE)</f>
        <v>46280</v>
      </c>
      <c r="R445" t="str">
        <v>C03</v>
      </c>
      <c r="S445" t="str">
        <v>1000002050 RODAMIENTOS CUYO SEL</v>
      </c>
      <c r="T445" t="str">
        <f>VLOOKUP(P445,Hoja2!C:D,2,FALSE)</f>
        <v>EFUNES</v>
      </c>
    </row>
    <row r="446" spans="1:20" x14ac:dyDescent="0.3">
      <c r="A446" s="2" t="s">
        <v>14</v>
      </c>
      <c r="B446" s="3" t="s">
        <v>14</v>
      </c>
      <c r="C446" s="3" t="s">
        <v>464</v>
      </c>
      <c r="D446" s="3" t="s">
        <v>14</v>
      </c>
      <c r="E446" s="3" t="s">
        <v>96</v>
      </c>
      <c r="F446" s="4">
        <v>46267</v>
      </c>
      <c r="G446" s="3" t="s">
        <v>43</v>
      </c>
      <c r="H446" s="6">
        <v>-19025123.780000001</v>
      </c>
      <c r="I446" s="3" t="s">
        <v>16</v>
      </c>
      <c r="J446" s="3" t="s">
        <v>14</v>
      </c>
      <c r="K446" s="3" t="s">
        <v>14</v>
      </c>
      <c r="L446" s="3" t="s">
        <v>392</v>
      </c>
      <c r="M446" s="4">
        <v>46268</v>
      </c>
      <c r="N446" s="3" t="s">
        <v>465</v>
      </c>
      <c r="O446" s="3" t="s">
        <v>33</v>
      </c>
      <c r="P446" t="str">
        <f t="shared" si="6"/>
        <v>450013713310</v>
      </c>
      <c r="Q446" s="7" cm="1">
        <f t="array" ref="Q446:S446">VLOOKUP(P446,Hoja1!C:F,{2,3,4},FALSE)</f>
        <v>46275</v>
      </c>
      <c r="R446" t="str">
        <v>C48</v>
      </c>
      <c r="S446" t="str">
        <v>1000000279 NEUMATICOS VERONA S.R.L.</v>
      </c>
      <c r="T446" t="str">
        <f>VLOOKUP(P446,Hoja2!C:D,2,FALSE)</f>
        <v>WVENTURINI</v>
      </c>
    </row>
    <row r="447" spans="1:20" x14ac:dyDescent="0.3">
      <c r="A447" s="2" t="s">
        <v>14</v>
      </c>
      <c r="B447" s="3" t="s">
        <v>14</v>
      </c>
      <c r="C447" s="3" t="s">
        <v>466</v>
      </c>
      <c r="D447" s="3" t="s">
        <v>14</v>
      </c>
      <c r="E447" s="3" t="s">
        <v>96</v>
      </c>
      <c r="F447" s="4">
        <v>46268</v>
      </c>
      <c r="G447" s="3" t="s">
        <v>43</v>
      </c>
      <c r="H447" s="6">
        <v>-369900</v>
      </c>
      <c r="I447" s="3" t="s">
        <v>16</v>
      </c>
      <c r="J447" s="3" t="s">
        <v>14</v>
      </c>
      <c r="K447" s="3" t="s">
        <v>14</v>
      </c>
      <c r="L447" s="3" t="s">
        <v>467</v>
      </c>
      <c r="M447" s="4">
        <v>46268</v>
      </c>
      <c r="N447" s="3" t="s">
        <v>468</v>
      </c>
      <c r="O447" s="3" t="s">
        <v>33</v>
      </c>
      <c r="P447" t="str">
        <f t="shared" si="6"/>
        <v>450013732810</v>
      </c>
      <c r="Q447" s="7" cm="1">
        <f t="array" ref="Q447:S447">VLOOKUP(P447,Hoja1!C:F,{2,3,4},FALSE)</f>
        <v>46280</v>
      </c>
      <c r="R447" t="str">
        <v>C03</v>
      </c>
      <c r="S447" t="str">
        <v>1000000884 TRUCKSTORE S.A.</v>
      </c>
      <c r="T447" t="str">
        <f>VLOOKUP(P447,Hoja2!C:D,2,FALSE)</f>
        <v>MFREIJOMIL</v>
      </c>
    </row>
    <row r="448" spans="1:20" x14ac:dyDescent="0.3">
      <c r="A448" s="2" t="s">
        <v>14</v>
      </c>
      <c r="B448" s="3" t="s">
        <v>14</v>
      </c>
      <c r="C448" s="3" t="s">
        <v>469</v>
      </c>
      <c r="D448" s="3" t="s">
        <v>14</v>
      </c>
      <c r="E448" s="3" t="s">
        <v>96</v>
      </c>
      <c r="F448" s="4">
        <v>46268</v>
      </c>
      <c r="G448" s="3" t="s">
        <v>43</v>
      </c>
      <c r="H448" s="6">
        <v>-737220</v>
      </c>
      <c r="I448" s="3" t="s">
        <v>16</v>
      </c>
      <c r="J448" s="3" t="s">
        <v>14</v>
      </c>
      <c r="K448" s="3" t="s">
        <v>14</v>
      </c>
      <c r="L448" s="3" t="s">
        <v>97</v>
      </c>
      <c r="M448" s="4">
        <v>46268</v>
      </c>
      <c r="N448" s="3" t="s">
        <v>353</v>
      </c>
      <c r="O448" s="3" t="s">
        <v>33</v>
      </c>
      <c r="P448" t="str">
        <f t="shared" si="6"/>
        <v>450013040410</v>
      </c>
      <c r="Q448" s="7" cm="1">
        <f t="array" ref="Q448:S448">VLOOKUP(P448,Hoja1!C:F,{2,3,4},FALSE)</f>
        <v>46296</v>
      </c>
      <c r="R448" t="str">
        <v>C21</v>
      </c>
      <c r="S448" t="str">
        <v>1000001020 COMBUSTIBLES BARCELO S.R.L.</v>
      </c>
      <c r="T448" t="str">
        <f>VLOOKUP(P448,Hoja2!C:D,2,FALSE)</f>
        <v>JPUPULIN</v>
      </c>
    </row>
    <row r="449" spans="1:20" x14ac:dyDescent="0.3">
      <c r="A449" s="2" t="s">
        <v>14</v>
      </c>
      <c r="B449" s="3" t="s">
        <v>14</v>
      </c>
      <c r="C449" s="3" t="s">
        <v>469</v>
      </c>
      <c r="D449" s="3" t="s">
        <v>14</v>
      </c>
      <c r="E449" s="3" t="s">
        <v>96</v>
      </c>
      <c r="F449" s="4">
        <v>46268</v>
      </c>
      <c r="G449" s="3" t="s">
        <v>43</v>
      </c>
      <c r="H449" s="6">
        <v>-84030</v>
      </c>
      <c r="I449" s="3" t="s">
        <v>16</v>
      </c>
      <c r="J449" s="3" t="s">
        <v>14</v>
      </c>
      <c r="K449" s="3" t="s">
        <v>14</v>
      </c>
      <c r="L449" s="3" t="s">
        <v>97</v>
      </c>
      <c r="M449" s="4">
        <v>46268</v>
      </c>
      <c r="N449" s="3" t="s">
        <v>353</v>
      </c>
      <c r="O449" s="3" t="s">
        <v>33</v>
      </c>
      <c r="P449" t="str">
        <f t="shared" si="6"/>
        <v>450013040410</v>
      </c>
      <c r="Q449" s="7" cm="1">
        <f t="array" ref="Q449:S449">VLOOKUP(P449,Hoja1!C:F,{2,3,4},FALSE)</f>
        <v>46296</v>
      </c>
      <c r="R449" t="str">
        <v>C21</v>
      </c>
      <c r="S449" t="str">
        <v>1000001020 COMBUSTIBLES BARCELO S.R.L.</v>
      </c>
      <c r="T449" t="str">
        <f>VLOOKUP(P449,Hoja2!C:D,2,FALSE)</f>
        <v>JPUPULIN</v>
      </c>
    </row>
    <row r="450" spans="1:20" x14ac:dyDescent="0.3">
      <c r="A450" s="2" t="s">
        <v>14</v>
      </c>
      <c r="B450" s="3" t="s">
        <v>14</v>
      </c>
      <c r="C450" s="3" t="s">
        <v>470</v>
      </c>
      <c r="D450" s="3" t="s">
        <v>14</v>
      </c>
      <c r="E450" s="3" t="s">
        <v>96</v>
      </c>
      <c r="F450" s="4">
        <v>46268</v>
      </c>
      <c r="G450" s="3" t="s">
        <v>43</v>
      </c>
      <c r="H450" s="6">
        <v>-14749.34</v>
      </c>
      <c r="I450" s="3" t="s">
        <v>16</v>
      </c>
      <c r="J450" s="3" t="s">
        <v>14</v>
      </c>
      <c r="K450" s="3" t="s">
        <v>14</v>
      </c>
      <c r="L450" s="3" t="s">
        <v>471</v>
      </c>
      <c r="M450" s="4">
        <v>46269</v>
      </c>
      <c r="N450" s="3" t="s">
        <v>472</v>
      </c>
      <c r="O450" s="3" t="s">
        <v>33</v>
      </c>
      <c r="P450" t="str">
        <f t="shared" si="6"/>
        <v>450013675610</v>
      </c>
      <c r="Q450" s="7" cm="1">
        <f t="array" ref="Q450:S450">VLOOKUP(P450,Hoja1!C:F,{2,3,4},FALSE)</f>
        <v>46269</v>
      </c>
      <c r="R450" t="str">
        <v>C03</v>
      </c>
      <c r="S450" t="str">
        <v>1000002077 DBT S.A.</v>
      </c>
      <c r="T450" t="str">
        <f>VLOOKUP(P450,Hoja2!C:D,2,FALSE)</f>
        <v>MFREIJOMIL</v>
      </c>
    </row>
    <row r="451" spans="1:20" x14ac:dyDescent="0.3">
      <c r="A451" s="2" t="s">
        <v>14</v>
      </c>
      <c r="B451" s="3" t="s">
        <v>14</v>
      </c>
      <c r="C451" s="3" t="s">
        <v>473</v>
      </c>
      <c r="D451" s="3" t="s">
        <v>14</v>
      </c>
      <c r="E451" s="3" t="s">
        <v>96</v>
      </c>
      <c r="F451" s="4">
        <v>46269</v>
      </c>
      <c r="G451" s="3" t="s">
        <v>43</v>
      </c>
      <c r="H451" s="6">
        <v>-90661.05</v>
      </c>
      <c r="I451" s="3" t="s">
        <v>16</v>
      </c>
      <c r="J451" s="3" t="s">
        <v>14</v>
      </c>
      <c r="K451" s="3" t="s">
        <v>14</v>
      </c>
      <c r="L451" s="3" t="s">
        <v>154</v>
      </c>
      <c r="M451" s="4">
        <v>46269</v>
      </c>
      <c r="N451" s="3" t="s">
        <v>474</v>
      </c>
      <c r="O451" s="3" t="s">
        <v>33</v>
      </c>
      <c r="P451" t="str">
        <f t="shared" ref="P451:P514" si="7">_xlfn.CONCAT(N451:O451)</f>
        <v>450013678710</v>
      </c>
      <c r="Q451" s="7" cm="1">
        <f t="array" ref="Q451:S451">VLOOKUP(P451,Hoja1!C:F,{2,3,4},FALSE)</f>
        <v>46264</v>
      </c>
      <c r="R451" t="str">
        <v>C43</v>
      </c>
      <c r="S451" t="str">
        <v>1000002607 DIESEL LANGE S.R.L</v>
      </c>
      <c r="T451" t="str">
        <f>VLOOKUP(P451,Hoja2!C:D,2,FALSE)</f>
        <v>EFUNES</v>
      </c>
    </row>
    <row r="452" spans="1:20" x14ac:dyDescent="0.3">
      <c r="A452" s="2" t="s">
        <v>14</v>
      </c>
      <c r="B452" s="3" t="s">
        <v>14</v>
      </c>
      <c r="C452" s="3" t="s">
        <v>473</v>
      </c>
      <c r="D452" s="3" t="s">
        <v>14</v>
      </c>
      <c r="E452" s="3" t="s">
        <v>96</v>
      </c>
      <c r="F452" s="4">
        <v>46269</v>
      </c>
      <c r="G452" s="3" t="s">
        <v>43</v>
      </c>
      <c r="H452" s="6">
        <v>-2362765.29</v>
      </c>
      <c r="I452" s="3" t="s">
        <v>16</v>
      </c>
      <c r="J452" s="3" t="s">
        <v>14</v>
      </c>
      <c r="K452" s="3" t="s">
        <v>14</v>
      </c>
      <c r="L452" s="3" t="s">
        <v>154</v>
      </c>
      <c r="M452" s="4">
        <v>46269</v>
      </c>
      <c r="N452" s="3" t="s">
        <v>474</v>
      </c>
      <c r="O452" s="3" t="s">
        <v>20</v>
      </c>
      <c r="P452" t="str">
        <f t="shared" si="7"/>
        <v>450013678720</v>
      </c>
      <c r="Q452" s="7" cm="1">
        <f t="array" ref="Q452:S452">VLOOKUP(P452,Hoja1!C:F,{2,3,4},FALSE)</f>
        <v>46266</v>
      </c>
      <c r="R452" t="str">
        <v>C43</v>
      </c>
      <c r="S452" t="str">
        <v>1000002607 DIESEL LANGE S.R.L</v>
      </c>
      <c r="T452" t="str">
        <f>VLOOKUP(P452,Hoja2!C:D,2,FALSE)</f>
        <v>EFUNES</v>
      </c>
    </row>
    <row r="453" spans="1:20" x14ac:dyDescent="0.3">
      <c r="A453" s="2" t="s">
        <v>14</v>
      </c>
      <c r="B453" s="3" t="s">
        <v>14</v>
      </c>
      <c r="C453" s="3" t="s">
        <v>473</v>
      </c>
      <c r="D453" s="3" t="s">
        <v>14</v>
      </c>
      <c r="E453" s="3" t="s">
        <v>96</v>
      </c>
      <c r="F453" s="4">
        <v>46269</v>
      </c>
      <c r="G453" s="3" t="s">
        <v>43</v>
      </c>
      <c r="H453" s="6">
        <v>-174105.3</v>
      </c>
      <c r="I453" s="3" t="s">
        <v>16</v>
      </c>
      <c r="J453" s="3" t="s">
        <v>14</v>
      </c>
      <c r="K453" s="3" t="s">
        <v>14</v>
      </c>
      <c r="L453" s="3" t="s">
        <v>154</v>
      </c>
      <c r="M453" s="4">
        <v>46269</v>
      </c>
      <c r="N453" s="3" t="s">
        <v>474</v>
      </c>
      <c r="O453" s="3" t="s">
        <v>21</v>
      </c>
      <c r="P453" t="str">
        <f t="shared" si="7"/>
        <v>450013678730</v>
      </c>
      <c r="Q453" s="7" cm="1">
        <f t="array" ref="Q453:S453">VLOOKUP(P453,Hoja1!C:F,{2,3,4},FALSE)</f>
        <v>46266</v>
      </c>
      <c r="R453" t="str">
        <v>C43</v>
      </c>
      <c r="S453" t="str">
        <v>1000002607 DIESEL LANGE S.R.L</v>
      </c>
      <c r="T453" t="str">
        <f>VLOOKUP(P453,Hoja2!C:D,2,FALSE)</f>
        <v>EFUNES</v>
      </c>
    </row>
    <row r="454" spans="1:20" x14ac:dyDescent="0.3">
      <c r="A454" s="2" t="s">
        <v>14</v>
      </c>
      <c r="B454" s="3" t="s">
        <v>14</v>
      </c>
      <c r="C454" s="3" t="s">
        <v>473</v>
      </c>
      <c r="D454" s="3" t="s">
        <v>14</v>
      </c>
      <c r="E454" s="3" t="s">
        <v>96</v>
      </c>
      <c r="F454" s="4">
        <v>46269</v>
      </c>
      <c r="G454" s="3" t="s">
        <v>43</v>
      </c>
      <c r="H454" s="6">
        <v>-48653.26</v>
      </c>
      <c r="I454" s="3" t="s">
        <v>16</v>
      </c>
      <c r="J454" s="3" t="s">
        <v>14</v>
      </c>
      <c r="K454" s="3" t="s">
        <v>14</v>
      </c>
      <c r="L454" s="3" t="s">
        <v>154</v>
      </c>
      <c r="M454" s="4">
        <v>46269</v>
      </c>
      <c r="N454" s="3" t="s">
        <v>474</v>
      </c>
      <c r="O454" s="3" t="s">
        <v>25</v>
      </c>
      <c r="P454" t="str">
        <f t="shared" si="7"/>
        <v>450013678740</v>
      </c>
      <c r="Q454" s="7" cm="1">
        <f t="array" ref="Q454:S454">VLOOKUP(P454,Hoja1!C:F,{2,3,4},FALSE)</f>
        <v>46266</v>
      </c>
      <c r="R454" t="str">
        <v>C43</v>
      </c>
      <c r="S454" t="str">
        <v>1000002607 DIESEL LANGE S.R.L</v>
      </c>
      <c r="T454" t="str">
        <f>VLOOKUP(P454,Hoja2!C:D,2,FALSE)</f>
        <v>EFUNES</v>
      </c>
    </row>
    <row r="455" spans="1:20" x14ac:dyDescent="0.3">
      <c r="A455" s="2" t="s">
        <v>14</v>
      </c>
      <c r="B455" s="3" t="s">
        <v>14</v>
      </c>
      <c r="C455" s="3" t="s">
        <v>475</v>
      </c>
      <c r="D455" s="3" t="s">
        <v>14</v>
      </c>
      <c r="E455" s="3" t="s">
        <v>96</v>
      </c>
      <c r="F455" s="4">
        <v>46269</v>
      </c>
      <c r="G455" s="3" t="s">
        <v>43</v>
      </c>
      <c r="H455" s="6">
        <v>-530089</v>
      </c>
      <c r="I455" s="3" t="s">
        <v>16</v>
      </c>
      <c r="J455" s="3" t="s">
        <v>14</v>
      </c>
      <c r="K455" s="3" t="s">
        <v>14</v>
      </c>
      <c r="L455" s="3" t="s">
        <v>18</v>
      </c>
      <c r="M455" s="4">
        <v>46269</v>
      </c>
      <c r="N455" s="3" t="s">
        <v>355</v>
      </c>
      <c r="O455" s="3" t="s">
        <v>20</v>
      </c>
      <c r="P455" t="str">
        <f t="shared" si="7"/>
        <v>450013213720</v>
      </c>
      <c r="Q455" s="7" cm="1">
        <f t="array" ref="Q455:S455">VLOOKUP(P455,Hoja1!C:F,{2,3,4},FALSE)</f>
        <v>46266</v>
      </c>
      <c r="R455" t="str">
        <v>C29</v>
      </c>
      <c r="S455" t="str">
        <v>1000001470 SUDAMERICANA CAMIONES SA</v>
      </c>
      <c r="T455" t="str">
        <f>VLOOKUP(P455,Hoja2!C:D,2,FALSE)</f>
        <v>FBERARDO</v>
      </c>
    </row>
    <row r="456" spans="1:20" x14ac:dyDescent="0.3">
      <c r="A456" s="2" t="s">
        <v>14</v>
      </c>
      <c r="B456" s="3" t="s">
        <v>14</v>
      </c>
      <c r="C456" s="3" t="s">
        <v>475</v>
      </c>
      <c r="D456" s="3" t="s">
        <v>14</v>
      </c>
      <c r="E456" s="3" t="s">
        <v>96</v>
      </c>
      <c r="F456" s="4">
        <v>46269</v>
      </c>
      <c r="G456" s="3" t="s">
        <v>43</v>
      </c>
      <c r="H456" s="6">
        <v>-1328582.81</v>
      </c>
      <c r="I456" s="3" t="s">
        <v>16</v>
      </c>
      <c r="J456" s="3" t="s">
        <v>14</v>
      </c>
      <c r="K456" s="3" t="s">
        <v>14</v>
      </c>
      <c r="L456" s="3" t="s">
        <v>18</v>
      </c>
      <c r="M456" s="4">
        <v>46269</v>
      </c>
      <c r="N456" s="3" t="s">
        <v>355</v>
      </c>
      <c r="O456" s="3" t="s">
        <v>25</v>
      </c>
      <c r="P456" t="str">
        <f t="shared" si="7"/>
        <v>450013213740</v>
      </c>
      <c r="Q456" s="7" cm="1">
        <f t="array" ref="Q456:S456">VLOOKUP(P456,Hoja1!C:F,{2,3,4},FALSE)</f>
        <v>46266</v>
      </c>
      <c r="R456" t="str">
        <v>C29</v>
      </c>
      <c r="S456" t="str">
        <v>1000001470 SUDAMERICANA CAMIONES SA</v>
      </c>
      <c r="T456" t="str">
        <f>VLOOKUP(P456,Hoja2!C:D,2,FALSE)</f>
        <v>FBERARDO</v>
      </c>
    </row>
    <row r="457" spans="1:20" x14ac:dyDescent="0.3">
      <c r="A457" s="2" t="s">
        <v>14</v>
      </c>
      <c r="B457" s="3" t="s">
        <v>14</v>
      </c>
      <c r="C457" s="3" t="s">
        <v>478</v>
      </c>
      <c r="D457" s="3" t="s">
        <v>14</v>
      </c>
      <c r="E457" s="3" t="s">
        <v>96</v>
      </c>
      <c r="F457" s="4">
        <v>46267</v>
      </c>
      <c r="G457" s="3" t="s">
        <v>43</v>
      </c>
      <c r="H457" s="6">
        <v>-7126590</v>
      </c>
      <c r="I457" s="3" t="s">
        <v>16</v>
      </c>
      <c r="J457" s="3" t="s">
        <v>14</v>
      </c>
      <c r="K457" s="3" t="s">
        <v>14</v>
      </c>
      <c r="L457" s="3" t="s">
        <v>18</v>
      </c>
      <c r="M457" s="4">
        <v>46269</v>
      </c>
      <c r="N457" s="3" t="s">
        <v>479</v>
      </c>
      <c r="O457" s="3" t="s">
        <v>33</v>
      </c>
      <c r="P457" t="str">
        <f t="shared" si="7"/>
        <v>450013693610</v>
      </c>
      <c r="Q457" s="7" cm="1">
        <f t="array" ref="Q457:S457">VLOOKUP(P457,Hoja1!C:F,{2,3,4},FALSE)</f>
        <v>46290</v>
      </c>
      <c r="R457" t="str">
        <v>G04</v>
      </c>
      <c r="S457" t="str">
        <v>1000001470 SUDAMERICANA CAMIONES SA</v>
      </c>
      <c r="T457" t="str">
        <f>VLOOKUP(P457,Hoja2!C:D,2,FALSE)</f>
        <v>WVENTURINI</v>
      </c>
    </row>
    <row r="458" spans="1:20" x14ac:dyDescent="0.3">
      <c r="A458" s="2" t="s">
        <v>14</v>
      </c>
      <c r="B458" s="3" t="s">
        <v>14</v>
      </c>
      <c r="C458" s="3" t="s">
        <v>480</v>
      </c>
      <c r="D458" s="3" t="s">
        <v>14</v>
      </c>
      <c r="E458" s="3" t="s">
        <v>96</v>
      </c>
      <c r="F458" s="4">
        <v>46267</v>
      </c>
      <c r="G458" s="3" t="s">
        <v>43</v>
      </c>
      <c r="H458" s="6">
        <v>-1458395</v>
      </c>
      <c r="I458" s="3" t="s">
        <v>16</v>
      </c>
      <c r="J458" s="3" t="s">
        <v>14</v>
      </c>
      <c r="K458" s="3" t="s">
        <v>14</v>
      </c>
      <c r="L458" s="3" t="s">
        <v>144</v>
      </c>
      <c r="M458" s="4">
        <v>46272</v>
      </c>
      <c r="N458" s="3" t="s">
        <v>481</v>
      </c>
      <c r="O458" s="3" t="s">
        <v>33</v>
      </c>
      <c r="P458" t="str">
        <f t="shared" si="7"/>
        <v>450013733410</v>
      </c>
      <c r="Q458" s="7" cm="1">
        <f t="array" ref="Q458:S458">VLOOKUP(P458,Hoja1!C:F,{2,3,4},FALSE)</f>
        <v>46270</v>
      </c>
      <c r="R458" t="str">
        <v>C43</v>
      </c>
      <c r="S458" t="str">
        <v>1000010438 TURBOS T&amp;T S.R.L</v>
      </c>
      <c r="T458" t="str">
        <f>VLOOKUP(P458,Hoja2!C:D,2,FALSE)</f>
        <v>EFUNES</v>
      </c>
    </row>
    <row r="459" spans="1:20" x14ac:dyDescent="0.3">
      <c r="A459" s="2" t="s">
        <v>14</v>
      </c>
      <c r="B459" s="3" t="s">
        <v>14</v>
      </c>
      <c r="C459" s="3" t="s">
        <v>482</v>
      </c>
      <c r="D459" s="3" t="s">
        <v>55</v>
      </c>
      <c r="E459" s="3" t="s">
        <v>96</v>
      </c>
      <c r="F459" s="4">
        <v>46273</v>
      </c>
      <c r="G459" s="3" t="s">
        <v>43</v>
      </c>
      <c r="H459" s="6">
        <v>-270734.52</v>
      </c>
      <c r="I459" s="3" t="s">
        <v>16</v>
      </c>
      <c r="J459" s="3" t="s">
        <v>14</v>
      </c>
      <c r="K459" s="3" t="s">
        <v>14</v>
      </c>
      <c r="L459" s="3" t="s">
        <v>56</v>
      </c>
      <c r="M459" s="4">
        <v>46273</v>
      </c>
      <c r="N459" s="3" t="s">
        <v>57</v>
      </c>
      <c r="O459" s="3" t="s">
        <v>33</v>
      </c>
      <c r="P459" t="str">
        <f t="shared" si="7"/>
        <v>450012122710</v>
      </c>
      <c r="Q459" s="7" cm="1">
        <f t="array" ref="Q459:S459">VLOOKUP(P459,Hoja1!C:F,{2,3,4},FALSE)</f>
        <v>46264</v>
      </c>
      <c r="R459" t="str">
        <v>C25</v>
      </c>
      <c r="S459" t="str">
        <v>1000010957 GANGAS REYES MARCELO DAVID</v>
      </c>
      <c r="T459" t="str">
        <f>VLOOKUP(P459,Hoja2!C:D,2,FALSE)</f>
        <v>MPITTIA</v>
      </c>
    </row>
    <row r="460" spans="1:20" x14ac:dyDescent="0.3">
      <c r="A460" s="2" t="s">
        <v>14</v>
      </c>
      <c r="B460" s="3" t="s">
        <v>14</v>
      </c>
      <c r="C460" s="3" t="s">
        <v>483</v>
      </c>
      <c r="D460" s="3" t="s">
        <v>35</v>
      </c>
      <c r="E460" s="3" t="s">
        <v>96</v>
      </c>
      <c r="F460" s="4">
        <v>46273</v>
      </c>
      <c r="G460" s="3" t="s">
        <v>43</v>
      </c>
      <c r="H460" s="6">
        <v>-1205600</v>
      </c>
      <c r="I460" s="3" t="s">
        <v>16</v>
      </c>
      <c r="J460" s="3" t="s">
        <v>14</v>
      </c>
      <c r="K460" s="3" t="s">
        <v>14</v>
      </c>
      <c r="L460" s="3" t="s">
        <v>419</v>
      </c>
      <c r="M460" s="4">
        <v>46273</v>
      </c>
      <c r="N460" s="3" t="s">
        <v>420</v>
      </c>
      <c r="O460" s="3" t="s">
        <v>20</v>
      </c>
      <c r="P460" t="str">
        <f t="shared" si="7"/>
        <v>450013481820</v>
      </c>
      <c r="Q460" s="7" cm="1">
        <f t="array" ref="Q460:S460">VLOOKUP(P460,Hoja1!C:F,{2,3,4},FALSE)</f>
        <v>46387</v>
      </c>
      <c r="R460" t="str">
        <v>C25</v>
      </c>
      <c r="S460" t="str">
        <v>1000001691 LENOR SRL</v>
      </c>
      <c r="T460" t="str">
        <f>VLOOKUP(P460,Hoja2!C:D,2,FALSE)</f>
        <v>MPITTIA</v>
      </c>
    </row>
    <row r="461" spans="1:20" x14ac:dyDescent="0.3">
      <c r="A461" s="2" t="s">
        <v>14</v>
      </c>
      <c r="B461" s="3" t="s">
        <v>14</v>
      </c>
      <c r="C461" s="3" t="s">
        <v>483</v>
      </c>
      <c r="D461" s="3" t="s">
        <v>35</v>
      </c>
      <c r="E461" s="3" t="s">
        <v>96</v>
      </c>
      <c r="F461" s="4">
        <v>46273</v>
      </c>
      <c r="G461" s="3" t="s">
        <v>43</v>
      </c>
      <c r="H461" s="6">
        <v>-527450</v>
      </c>
      <c r="I461" s="3" t="s">
        <v>16</v>
      </c>
      <c r="J461" s="3" t="s">
        <v>14</v>
      </c>
      <c r="K461" s="3" t="s">
        <v>14</v>
      </c>
      <c r="L461" s="3" t="s">
        <v>419</v>
      </c>
      <c r="M461" s="4">
        <v>46273</v>
      </c>
      <c r="N461" s="3" t="s">
        <v>420</v>
      </c>
      <c r="O461" s="3" t="s">
        <v>21</v>
      </c>
      <c r="P461" t="str">
        <f t="shared" si="7"/>
        <v>450013481830</v>
      </c>
      <c r="Q461" s="7" cm="1">
        <f t="array" ref="Q461:S461">VLOOKUP(P461,Hoja1!C:F,{2,3,4},FALSE)</f>
        <v>46387</v>
      </c>
      <c r="R461" t="str">
        <v>C25</v>
      </c>
      <c r="S461" t="str">
        <v>1000001691 LENOR SRL</v>
      </c>
      <c r="T461" t="str">
        <f>VLOOKUP(P461,Hoja2!C:D,2,FALSE)</f>
        <v>MPITTIA</v>
      </c>
    </row>
    <row r="462" spans="1:20" x14ac:dyDescent="0.3">
      <c r="A462" s="2" t="s">
        <v>14</v>
      </c>
      <c r="B462" s="3" t="s">
        <v>14</v>
      </c>
      <c r="C462" s="3" t="s">
        <v>484</v>
      </c>
      <c r="D462" s="3" t="s">
        <v>35</v>
      </c>
      <c r="E462" s="3" t="s">
        <v>96</v>
      </c>
      <c r="F462" s="4">
        <v>46273</v>
      </c>
      <c r="G462" s="3" t="s">
        <v>43</v>
      </c>
      <c r="H462" s="6">
        <v>-452100</v>
      </c>
      <c r="I462" s="3" t="s">
        <v>16</v>
      </c>
      <c r="J462" s="3" t="s">
        <v>14</v>
      </c>
      <c r="K462" s="3" t="s">
        <v>14</v>
      </c>
      <c r="L462" s="3" t="s">
        <v>419</v>
      </c>
      <c r="M462" s="4">
        <v>46273</v>
      </c>
      <c r="N462" s="3" t="s">
        <v>420</v>
      </c>
      <c r="O462" s="3" t="s">
        <v>33</v>
      </c>
      <c r="P462" t="str">
        <f t="shared" si="7"/>
        <v>450013481810</v>
      </c>
      <c r="Q462" s="7" cm="1">
        <f t="array" ref="Q462:S462">VLOOKUP(P462,Hoja1!C:F,{2,3,4},FALSE)</f>
        <v>46387</v>
      </c>
      <c r="R462" t="str">
        <v>C25</v>
      </c>
      <c r="S462" t="str">
        <v>1000001691 LENOR SRL</v>
      </c>
      <c r="T462" t="str">
        <f>VLOOKUP(P462,Hoja2!C:D,2,FALSE)</f>
        <v>MPITTIA</v>
      </c>
    </row>
    <row r="463" spans="1:20" x14ac:dyDescent="0.3">
      <c r="A463" s="2" t="s">
        <v>14</v>
      </c>
      <c r="B463" s="3" t="s">
        <v>14</v>
      </c>
      <c r="C463" s="3" t="s">
        <v>484</v>
      </c>
      <c r="D463" s="3" t="s">
        <v>35</v>
      </c>
      <c r="E463" s="3" t="s">
        <v>96</v>
      </c>
      <c r="F463" s="4">
        <v>46273</v>
      </c>
      <c r="G463" s="3" t="s">
        <v>43</v>
      </c>
      <c r="H463" s="6">
        <v>-527450</v>
      </c>
      <c r="I463" s="3" t="s">
        <v>16</v>
      </c>
      <c r="J463" s="3" t="s">
        <v>14</v>
      </c>
      <c r="K463" s="3" t="s">
        <v>14</v>
      </c>
      <c r="L463" s="3" t="s">
        <v>419</v>
      </c>
      <c r="M463" s="4">
        <v>46273</v>
      </c>
      <c r="N463" s="3" t="s">
        <v>420</v>
      </c>
      <c r="O463" s="3" t="s">
        <v>21</v>
      </c>
      <c r="P463" t="str">
        <f t="shared" si="7"/>
        <v>450013481830</v>
      </c>
      <c r="Q463" s="7" cm="1">
        <f t="array" ref="Q463:S463">VLOOKUP(P463,Hoja1!C:F,{2,3,4},FALSE)</f>
        <v>46387</v>
      </c>
      <c r="R463" t="str">
        <v>C25</v>
      </c>
      <c r="S463" t="str">
        <v>1000001691 LENOR SRL</v>
      </c>
      <c r="T463" t="str">
        <f>VLOOKUP(P463,Hoja2!C:D,2,FALSE)</f>
        <v>MPITTIA</v>
      </c>
    </row>
    <row r="464" spans="1:20" x14ac:dyDescent="0.3">
      <c r="A464" s="2" t="s">
        <v>14</v>
      </c>
      <c r="B464" s="3" t="s">
        <v>14</v>
      </c>
      <c r="C464" s="3" t="s">
        <v>489</v>
      </c>
      <c r="D464" s="3" t="s">
        <v>14</v>
      </c>
      <c r="E464" s="3" t="s">
        <v>96</v>
      </c>
      <c r="F464" s="4">
        <v>46273</v>
      </c>
      <c r="G464" s="3" t="s">
        <v>43</v>
      </c>
      <c r="H464" s="6">
        <v>-515000</v>
      </c>
      <c r="I464" s="3" t="s">
        <v>16</v>
      </c>
      <c r="J464" s="3" t="s">
        <v>14</v>
      </c>
      <c r="K464" s="3" t="s">
        <v>14</v>
      </c>
      <c r="L464" s="3" t="s">
        <v>490</v>
      </c>
      <c r="M464" s="4">
        <v>46273</v>
      </c>
      <c r="N464" s="3" t="s">
        <v>491</v>
      </c>
      <c r="O464" s="3" t="s">
        <v>33</v>
      </c>
      <c r="P464" t="str">
        <f t="shared" si="7"/>
        <v>450013418410</v>
      </c>
      <c r="Q464" s="7" cm="1">
        <f t="array" ref="Q464:S464">VLOOKUP(P464,Hoja1!C:F,{2,3,4},FALSE)</f>
        <v>46231</v>
      </c>
      <c r="R464" t="str">
        <v>EFO</v>
      </c>
      <c r="S464" t="str">
        <v>1000013392 ROCA FUNES MARCELO SEBASTIAN</v>
      </c>
      <c r="T464" t="str">
        <f>VLOOKUP(P464,Hoja2!C:D,2,FALSE)</f>
        <v>GROSES</v>
      </c>
    </row>
    <row r="465" spans="1:20" x14ac:dyDescent="0.3">
      <c r="A465" s="2" t="s">
        <v>14</v>
      </c>
      <c r="B465" s="3" t="s">
        <v>14</v>
      </c>
      <c r="C465" s="3" t="s">
        <v>492</v>
      </c>
      <c r="D465" s="3" t="s">
        <v>14</v>
      </c>
      <c r="E465" s="3" t="s">
        <v>96</v>
      </c>
      <c r="F465" s="4">
        <v>46274</v>
      </c>
      <c r="G465" s="3" t="s">
        <v>43</v>
      </c>
      <c r="H465" s="6">
        <v>-87178.73</v>
      </c>
      <c r="I465" s="3" t="s">
        <v>16</v>
      </c>
      <c r="J465" s="3" t="s">
        <v>14</v>
      </c>
      <c r="K465" s="3" t="s">
        <v>14</v>
      </c>
      <c r="L465" s="3" t="s">
        <v>18</v>
      </c>
      <c r="M465" s="4">
        <v>46274</v>
      </c>
      <c r="N465" s="3" t="s">
        <v>493</v>
      </c>
      <c r="O465" s="3" t="s">
        <v>33</v>
      </c>
      <c r="P465" t="str">
        <f t="shared" si="7"/>
        <v>450013806610</v>
      </c>
      <c r="Q465" s="7" cm="1">
        <f t="array" ref="Q465:S465">VLOOKUP(P465,Hoja1!C:F,{2,3,4},FALSE)</f>
        <v>46275</v>
      </c>
      <c r="R465" t="str">
        <v>C43</v>
      </c>
      <c r="S465" t="str">
        <v>1000001470 SUDAMERICANA CAMIONES SA</v>
      </c>
      <c r="T465" t="str">
        <f>VLOOKUP(P465,Hoja2!C:D,2,FALSE)</f>
        <v>EFUNES</v>
      </c>
    </row>
    <row r="466" spans="1:20" x14ac:dyDescent="0.3">
      <c r="A466" s="2" t="s">
        <v>14</v>
      </c>
      <c r="B466" s="3" t="s">
        <v>14</v>
      </c>
      <c r="C466" s="3" t="s">
        <v>492</v>
      </c>
      <c r="D466" s="3" t="s">
        <v>14</v>
      </c>
      <c r="E466" s="3" t="s">
        <v>96</v>
      </c>
      <c r="F466" s="4">
        <v>46274</v>
      </c>
      <c r="G466" s="3" t="s">
        <v>43</v>
      </c>
      <c r="H466" s="6">
        <v>-61159.28</v>
      </c>
      <c r="I466" s="3" t="s">
        <v>16</v>
      </c>
      <c r="J466" s="3" t="s">
        <v>14</v>
      </c>
      <c r="K466" s="3" t="s">
        <v>14</v>
      </c>
      <c r="L466" s="3" t="s">
        <v>18</v>
      </c>
      <c r="M466" s="4">
        <v>46274</v>
      </c>
      <c r="N466" s="3" t="s">
        <v>493</v>
      </c>
      <c r="O466" s="3" t="s">
        <v>20</v>
      </c>
      <c r="P466" t="str">
        <f t="shared" si="7"/>
        <v>450013806620</v>
      </c>
      <c r="Q466" s="7" cm="1">
        <f t="array" ref="Q466:S466">VLOOKUP(P466,Hoja1!C:F,{2,3,4},FALSE)</f>
        <v>46275</v>
      </c>
      <c r="R466" t="str">
        <v>C43</v>
      </c>
      <c r="S466" t="str">
        <v>1000001470 SUDAMERICANA CAMIONES SA</v>
      </c>
      <c r="T466" t="str">
        <f>VLOOKUP(P466,Hoja2!C:D,2,FALSE)</f>
        <v>EFUNES</v>
      </c>
    </row>
    <row r="467" spans="1:20" x14ac:dyDescent="0.3">
      <c r="A467" s="2" t="s">
        <v>14</v>
      </c>
      <c r="B467" s="3" t="s">
        <v>14</v>
      </c>
      <c r="C467" s="3" t="s">
        <v>494</v>
      </c>
      <c r="D467" s="3" t="s">
        <v>14</v>
      </c>
      <c r="E467" s="3" t="s">
        <v>96</v>
      </c>
      <c r="F467" s="4">
        <v>46274</v>
      </c>
      <c r="G467" s="3" t="s">
        <v>43</v>
      </c>
      <c r="H467" s="6">
        <v>-10281300</v>
      </c>
      <c r="I467" s="3" t="s">
        <v>16</v>
      </c>
      <c r="J467" s="3" t="s">
        <v>14</v>
      </c>
      <c r="K467" s="3" t="s">
        <v>14</v>
      </c>
      <c r="L467" s="3" t="s">
        <v>1269</v>
      </c>
      <c r="M467" s="4">
        <v>46274</v>
      </c>
      <c r="N467" s="3" t="s">
        <v>291</v>
      </c>
      <c r="O467" s="3" t="s">
        <v>33</v>
      </c>
      <c r="P467" t="str">
        <f t="shared" si="7"/>
        <v>450012941210</v>
      </c>
      <c r="Q467" s="7" cm="1">
        <f t="array" ref="Q467:S467">VLOOKUP(P467,Hoja1!C:F,{2,3,4},FALSE)</f>
        <v>46325</v>
      </c>
      <c r="R467" t="str">
        <v>C21</v>
      </c>
      <c r="S467" t="str">
        <v>1000000634 RAIZEN ARGENTINA S.A.U.</v>
      </c>
      <c r="T467" t="str">
        <f>VLOOKUP(P467,Hoja2!C:D,2,FALSE)</f>
        <v>JPUPULIN</v>
      </c>
    </row>
    <row r="468" spans="1:20" x14ac:dyDescent="0.3">
      <c r="A468" s="2" t="s">
        <v>14</v>
      </c>
      <c r="B468" s="3" t="s">
        <v>14</v>
      </c>
      <c r="C468" s="3" t="s">
        <v>494</v>
      </c>
      <c r="D468" s="3" t="s">
        <v>14</v>
      </c>
      <c r="E468" s="3" t="s">
        <v>96</v>
      </c>
      <c r="F468" s="4">
        <v>46274</v>
      </c>
      <c r="G468" s="3" t="s">
        <v>43</v>
      </c>
      <c r="H468" s="6">
        <v>-1171750</v>
      </c>
      <c r="I468" s="3" t="s">
        <v>16</v>
      </c>
      <c r="J468" s="3" t="s">
        <v>14</v>
      </c>
      <c r="K468" s="3" t="s">
        <v>14</v>
      </c>
      <c r="L468" s="3" t="s">
        <v>1269</v>
      </c>
      <c r="M468" s="4">
        <v>46274</v>
      </c>
      <c r="N468" s="3" t="s">
        <v>291</v>
      </c>
      <c r="O468" s="3" t="s">
        <v>33</v>
      </c>
      <c r="P468" t="str">
        <f t="shared" si="7"/>
        <v>450012941210</v>
      </c>
      <c r="Q468" s="7" cm="1">
        <f t="array" ref="Q468:S468">VLOOKUP(P468,Hoja1!C:F,{2,3,4},FALSE)</f>
        <v>46325</v>
      </c>
      <c r="R468" t="str">
        <v>C21</v>
      </c>
      <c r="S468" t="str">
        <v>1000000634 RAIZEN ARGENTINA S.A.U.</v>
      </c>
      <c r="T468" t="str">
        <f>VLOOKUP(P468,Hoja2!C:D,2,FALSE)</f>
        <v>JPUPULIN</v>
      </c>
    </row>
    <row r="469" spans="1:20" x14ac:dyDescent="0.3">
      <c r="A469" s="2" t="s">
        <v>14</v>
      </c>
      <c r="B469" s="3" t="s">
        <v>14</v>
      </c>
      <c r="C469" s="3" t="s">
        <v>497</v>
      </c>
      <c r="D469" s="3" t="s">
        <v>14</v>
      </c>
      <c r="E469" s="3" t="s">
        <v>96</v>
      </c>
      <c r="F469" s="4">
        <v>46275</v>
      </c>
      <c r="G469" s="3" t="s">
        <v>43</v>
      </c>
      <c r="H469" s="6">
        <v>-37936.26</v>
      </c>
      <c r="I469" s="3" t="s">
        <v>16</v>
      </c>
      <c r="J469" s="3" t="s">
        <v>14</v>
      </c>
      <c r="K469" s="3" t="s">
        <v>14</v>
      </c>
      <c r="L469" s="3" t="s">
        <v>498</v>
      </c>
      <c r="M469" s="4">
        <v>46275</v>
      </c>
      <c r="N469" s="3" t="s">
        <v>499</v>
      </c>
      <c r="O469" s="3" t="s">
        <v>33</v>
      </c>
      <c r="P469" t="str">
        <f t="shared" si="7"/>
        <v>450013812910</v>
      </c>
      <c r="Q469" s="7" cm="1">
        <f t="array" ref="Q469:S469">VLOOKUP(P469,Hoja1!C:F,{2,3,4},FALSE)</f>
        <v>46288</v>
      </c>
      <c r="R469" t="str">
        <v>L02</v>
      </c>
      <c r="S469" t="str">
        <v>1000000261 PARANA MAQUINARIAS SRL</v>
      </c>
      <c r="T469" t="str">
        <f>VLOOKUP(P469,Hoja2!C:D,2,FALSE)</f>
        <v>FBERARDO</v>
      </c>
    </row>
    <row r="470" spans="1:20" x14ac:dyDescent="0.3">
      <c r="A470" s="2" t="s">
        <v>14</v>
      </c>
      <c r="B470" s="3" t="s">
        <v>14</v>
      </c>
      <c r="C470" s="3" t="s">
        <v>500</v>
      </c>
      <c r="D470" s="3" t="s">
        <v>14</v>
      </c>
      <c r="E470" s="3" t="s">
        <v>96</v>
      </c>
      <c r="F470" s="4">
        <v>46275</v>
      </c>
      <c r="G470" s="3" t="s">
        <v>43</v>
      </c>
      <c r="H470" s="6">
        <v>-1011030</v>
      </c>
      <c r="I470" s="3" t="s">
        <v>16</v>
      </c>
      <c r="J470" s="3" t="s">
        <v>14</v>
      </c>
      <c r="K470" s="3" t="s">
        <v>14</v>
      </c>
      <c r="L470" s="3" t="s">
        <v>144</v>
      </c>
      <c r="M470" s="4">
        <v>46275</v>
      </c>
      <c r="N470" s="3" t="s">
        <v>501</v>
      </c>
      <c r="O470" s="3" t="s">
        <v>20</v>
      </c>
      <c r="P470" t="str">
        <f t="shared" si="7"/>
        <v>450013814620</v>
      </c>
      <c r="Q470" s="7" cm="1">
        <f t="array" ref="Q470:S470">VLOOKUP(P470,Hoja1!C:F,{2,3,4},FALSE)</f>
        <v>46281</v>
      </c>
      <c r="R470" t="str">
        <v>C39</v>
      </c>
      <c r="S470" t="str">
        <v>1000010438 TURBOS T&amp;T S.R.L</v>
      </c>
      <c r="T470" t="str">
        <f>VLOOKUP(P470,Hoja2!C:D,2,FALSE)</f>
        <v>EFUNES</v>
      </c>
    </row>
    <row r="471" spans="1:20" x14ac:dyDescent="0.3">
      <c r="A471" s="2" t="s">
        <v>14</v>
      </c>
      <c r="B471" s="3" t="s">
        <v>14</v>
      </c>
      <c r="C471" s="3" t="s">
        <v>502</v>
      </c>
      <c r="D471" s="3" t="s">
        <v>14</v>
      </c>
      <c r="E471" s="3" t="s">
        <v>96</v>
      </c>
      <c r="F471" s="4">
        <v>46276</v>
      </c>
      <c r="G471" s="3" t="s">
        <v>43</v>
      </c>
      <c r="H471" s="6">
        <v>-368610</v>
      </c>
      <c r="I471" s="3" t="s">
        <v>16</v>
      </c>
      <c r="J471" s="3" t="s">
        <v>14</v>
      </c>
      <c r="K471" s="3" t="s">
        <v>14</v>
      </c>
      <c r="L471" s="3" t="s">
        <v>97</v>
      </c>
      <c r="M471" s="4">
        <v>46276</v>
      </c>
      <c r="N471" s="3" t="s">
        <v>353</v>
      </c>
      <c r="O471" s="3" t="s">
        <v>33</v>
      </c>
      <c r="P471" t="str">
        <f t="shared" si="7"/>
        <v>450013040410</v>
      </c>
      <c r="Q471" s="7" cm="1">
        <f t="array" ref="Q471:S471">VLOOKUP(P471,Hoja1!C:F,{2,3,4},FALSE)</f>
        <v>46296</v>
      </c>
      <c r="R471" t="str">
        <v>C21</v>
      </c>
      <c r="S471" t="str">
        <v>1000001020 COMBUSTIBLES BARCELO S.R.L.</v>
      </c>
      <c r="T471" t="str">
        <f>VLOOKUP(P471,Hoja2!C:D,2,FALSE)</f>
        <v>JPUPULIN</v>
      </c>
    </row>
    <row r="472" spans="1:20" x14ac:dyDescent="0.3">
      <c r="A472" s="2" t="s">
        <v>14</v>
      </c>
      <c r="B472" s="3" t="s">
        <v>14</v>
      </c>
      <c r="C472" s="3" t="s">
        <v>502</v>
      </c>
      <c r="D472" s="3" t="s">
        <v>14</v>
      </c>
      <c r="E472" s="3" t="s">
        <v>96</v>
      </c>
      <c r="F472" s="4">
        <v>46276</v>
      </c>
      <c r="G472" s="3" t="s">
        <v>43</v>
      </c>
      <c r="H472" s="6">
        <v>-42015</v>
      </c>
      <c r="I472" s="3" t="s">
        <v>16</v>
      </c>
      <c r="J472" s="3" t="s">
        <v>14</v>
      </c>
      <c r="K472" s="3" t="s">
        <v>14</v>
      </c>
      <c r="L472" s="3" t="s">
        <v>97</v>
      </c>
      <c r="M472" s="4">
        <v>46276</v>
      </c>
      <c r="N472" s="3" t="s">
        <v>353</v>
      </c>
      <c r="O472" s="3" t="s">
        <v>33</v>
      </c>
      <c r="P472" t="str">
        <f t="shared" si="7"/>
        <v>450013040410</v>
      </c>
      <c r="Q472" s="7" cm="1">
        <f t="array" ref="Q472:S472">VLOOKUP(P472,Hoja1!C:F,{2,3,4},FALSE)</f>
        <v>46296</v>
      </c>
      <c r="R472" t="str">
        <v>C21</v>
      </c>
      <c r="S472" t="str">
        <v>1000001020 COMBUSTIBLES BARCELO S.R.L.</v>
      </c>
      <c r="T472" t="str">
        <f>VLOOKUP(P472,Hoja2!C:D,2,FALSE)</f>
        <v>JPUPULIN</v>
      </c>
    </row>
    <row r="473" spans="1:20" x14ac:dyDescent="0.3">
      <c r="A473" s="2" t="s">
        <v>14</v>
      </c>
      <c r="B473" s="3" t="s">
        <v>14</v>
      </c>
      <c r="C473" s="3" t="s">
        <v>505</v>
      </c>
      <c r="D473" s="3" t="s">
        <v>14</v>
      </c>
      <c r="E473" s="3" t="s">
        <v>96</v>
      </c>
      <c r="F473" s="4">
        <v>46269</v>
      </c>
      <c r="G473" s="3" t="s">
        <v>43</v>
      </c>
      <c r="H473" s="6">
        <v>-35496.959999999999</v>
      </c>
      <c r="I473" s="3" t="s">
        <v>16</v>
      </c>
      <c r="J473" s="3" t="s">
        <v>14</v>
      </c>
      <c r="K473" s="3" t="s">
        <v>14</v>
      </c>
      <c r="L473" s="3" t="s">
        <v>86</v>
      </c>
      <c r="M473" s="4">
        <v>46279</v>
      </c>
      <c r="N473" s="3" t="s">
        <v>506</v>
      </c>
      <c r="O473" s="3" t="s">
        <v>33</v>
      </c>
      <c r="P473" t="str">
        <f t="shared" si="7"/>
        <v>450013762410</v>
      </c>
      <c r="Q473" s="7" cm="1">
        <f t="array" ref="Q473:S473">VLOOKUP(P473,Hoja1!C:F,{2,3,4},FALSE)</f>
        <v>46280</v>
      </c>
      <c r="R473" t="str">
        <v>C03</v>
      </c>
      <c r="S473" t="str">
        <v>1000001028 SOSTEN S.A.</v>
      </c>
      <c r="T473" t="str">
        <f>VLOOKUP(P473,Hoja2!C:D,2,FALSE)</f>
        <v>EFUNES</v>
      </c>
    </row>
    <row r="474" spans="1:20" x14ac:dyDescent="0.3">
      <c r="A474" s="2" t="s">
        <v>14</v>
      </c>
      <c r="B474" s="3" t="s">
        <v>14</v>
      </c>
      <c r="C474" s="3" t="s">
        <v>509</v>
      </c>
      <c r="D474" s="3" t="s">
        <v>14</v>
      </c>
      <c r="E474" s="3" t="s">
        <v>96</v>
      </c>
      <c r="F474" s="4">
        <v>46281</v>
      </c>
      <c r="G474" s="3" t="s">
        <v>43</v>
      </c>
      <c r="H474" s="6">
        <v>-676500</v>
      </c>
      <c r="I474" s="3" t="s">
        <v>16</v>
      </c>
      <c r="J474" s="3" t="s">
        <v>14</v>
      </c>
      <c r="K474" s="3" t="s">
        <v>14</v>
      </c>
      <c r="L474" s="3" t="s">
        <v>510</v>
      </c>
      <c r="M474" s="4">
        <v>46281</v>
      </c>
      <c r="N474" s="3" t="s">
        <v>511</v>
      </c>
      <c r="O474" s="3" t="s">
        <v>33</v>
      </c>
      <c r="P474" t="str">
        <f t="shared" si="7"/>
        <v>450013831810</v>
      </c>
      <c r="Q474" s="7" cm="1">
        <f t="array" ref="Q474:S474">VLOOKUP(P474,Hoja1!C:F,{2,3,4},FALSE)</f>
        <v>46357</v>
      </c>
      <c r="R474" t="str">
        <v>C21</v>
      </c>
      <c r="S474" t="str">
        <v>1000013572 MAXFA SA</v>
      </c>
      <c r="T474" t="str">
        <f>VLOOKUP(P474,Hoja2!C:D,2,FALSE)</f>
        <v>JPUPULIN</v>
      </c>
    </row>
    <row r="475" spans="1:20" x14ac:dyDescent="0.3">
      <c r="A475" s="2" t="s">
        <v>14</v>
      </c>
      <c r="B475" s="3" t="s">
        <v>14</v>
      </c>
      <c r="C475" s="3" t="s">
        <v>509</v>
      </c>
      <c r="D475" s="3" t="s">
        <v>14</v>
      </c>
      <c r="E475" s="3" t="s">
        <v>96</v>
      </c>
      <c r="F475" s="4">
        <v>46281</v>
      </c>
      <c r="G475" s="3" t="s">
        <v>43</v>
      </c>
      <c r="H475" s="6">
        <v>-77100</v>
      </c>
      <c r="I475" s="3" t="s">
        <v>16</v>
      </c>
      <c r="J475" s="3" t="s">
        <v>14</v>
      </c>
      <c r="K475" s="3" t="s">
        <v>14</v>
      </c>
      <c r="L475" s="3" t="s">
        <v>510</v>
      </c>
      <c r="M475" s="4">
        <v>46281</v>
      </c>
      <c r="N475" s="3" t="s">
        <v>511</v>
      </c>
      <c r="O475" s="3" t="s">
        <v>33</v>
      </c>
      <c r="P475" t="str">
        <f t="shared" si="7"/>
        <v>450013831810</v>
      </c>
      <c r="Q475" s="7" cm="1">
        <f t="array" ref="Q475:S475">VLOOKUP(P475,Hoja1!C:F,{2,3,4},FALSE)</f>
        <v>46357</v>
      </c>
      <c r="R475" t="str">
        <v>C21</v>
      </c>
      <c r="S475" t="str">
        <v>1000013572 MAXFA SA</v>
      </c>
      <c r="T475" t="str">
        <f>VLOOKUP(P475,Hoja2!C:D,2,FALSE)</f>
        <v>JPUPULIN</v>
      </c>
    </row>
    <row r="476" spans="1:20" x14ac:dyDescent="0.3">
      <c r="A476" s="2" t="s">
        <v>14</v>
      </c>
      <c r="B476" s="3" t="s">
        <v>14</v>
      </c>
      <c r="C476" s="3" t="s">
        <v>512</v>
      </c>
      <c r="D476" s="3" t="s">
        <v>14</v>
      </c>
      <c r="E476" s="3" t="s">
        <v>96</v>
      </c>
      <c r="F476" s="4">
        <v>46281</v>
      </c>
      <c r="G476" s="3" t="s">
        <v>43</v>
      </c>
      <c r="H476" s="6">
        <v>-195537.2</v>
      </c>
      <c r="I476" s="3" t="s">
        <v>16</v>
      </c>
      <c r="J476" s="3" t="s">
        <v>14</v>
      </c>
      <c r="K476" s="3" t="s">
        <v>14</v>
      </c>
      <c r="L476" s="3" t="s">
        <v>513</v>
      </c>
      <c r="M476" s="4">
        <v>46281</v>
      </c>
      <c r="N476" s="3" t="s">
        <v>514</v>
      </c>
      <c r="O476" s="3" t="s">
        <v>33</v>
      </c>
      <c r="P476" t="str">
        <f t="shared" si="7"/>
        <v>450013713610</v>
      </c>
      <c r="Q476" s="7" cm="1">
        <f t="array" ref="Q476:S476">VLOOKUP(P476,Hoja1!C:F,{2,3,4},FALSE)</f>
        <v>46287</v>
      </c>
      <c r="R476" t="str">
        <v>C52</v>
      </c>
      <c r="S476" t="str">
        <v>1000000016 OSVALDO L.SANTILLI E HIJOS S.A</v>
      </c>
      <c r="T476" t="str">
        <f>VLOOKUP(P476,Hoja2!C:D,2,FALSE)</f>
        <v>WVENTURINI</v>
      </c>
    </row>
    <row r="477" spans="1:20" x14ac:dyDescent="0.3">
      <c r="A477" s="2" t="s">
        <v>14</v>
      </c>
      <c r="B477" s="3" t="s">
        <v>14</v>
      </c>
      <c r="C477" s="3" t="s">
        <v>515</v>
      </c>
      <c r="D477" s="3" t="s">
        <v>14</v>
      </c>
      <c r="E477" s="3" t="s">
        <v>96</v>
      </c>
      <c r="F477" s="4">
        <v>46281</v>
      </c>
      <c r="G477" s="3" t="s">
        <v>43</v>
      </c>
      <c r="H477" s="6">
        <v>-125961.98</v>
      </c>
      <c r="I477" s="3" t="s">
        <v>16</v>
      </c>
      <c r="J477" s="3" t="s">
        <v>14</v>
      </c>
      <c r="K477" s="3" t="s">
        <v>14</v>
      </c>
      <c r="L477" s="3" t="s">
        <v>516</v>
      </c>
      <c r="M477" s="4">
        <v>46281</v>
      </c>
      <c r="N477" s="3" t="s">
        <v>517</v>
      </c>
      <c r="O477" s="3" t="s">
        <v>23</v>
      </c>
      <c r="P477" t="str">
        <f t="shared" si="7"/>
        <v>450012451960</v>
      </c>
      <c r="Q477" s="7" cm="1">
        <f t="array" ref="Q477:S477">VLOOKUP(P477,Hoja1!C:F,{2,3,4},FALSE)</f>
        <v>46290</v>
      </c>
      <c r="R477" t="str">
        <v>CGT</v>
      </c>
      <c r="S477" t="str">
        <v>1000012568 DERGAM SRL</v>
      </c>
      <c r="T477" t="str">
        <f>VLOOKUP(P477,Hoja2!C:D,2,FALSE)</f>
        <v>WVENTURINI</v>
      </c>
    </row>
    <row r="478" spans="1:20" x14ac:dyDescent="0.3">
      <c r="A478" s="2" t="s">
        <v>14</v>
      </c>
      <c r="B478" s="3" t="s">
        <v>14</v>
      </c>
      <c r="C478" s="3" t="s">
        <v>518</v>
      </c>
      <c r="D478" s="3" t="s">
        <v>14</v>
      </c>
      <c r="E478" s="3" t="s">
        <v>96</v>
      </c>
      <c r="F478" s="4">
        <v>46281</v>
      </c>
      <c r="G478" s="3" t="s">
        <v>43</v>
      </c>
      <c r="H478" s="6">
        <v>-336534.4</v>
      </c>
      <c r="I478" s="3" t="s">
        <v>16</v>
      </c>
      <c r="J478" s="3" t="s">
        <v>14</v>
      </c>
      <c r="K478" s="3" t="s">
        <v>14</v>
      </c>
      <c r="L478" s="3" t="s">
        <v>519</v>
      </c>
      <c r="M478" s="4">
        <v>46281</v>
      </c>
      <c r="N478" s="3" t="s">
        <v>520</v>
      </c>
      <c r="O478" s="3" t="s">
        <v>33</v>
      </c>
      <c r="P478" t="str">
        <f t="shared" si="7"/>
        <v>450013868010</v>
      </c>
      <c r="Q478" s="7" cm="1">
        <f t="array" ref="Q478:S478">VLOOKUP(P478,Hoja1!C:F,{2,3,4},FALSE)</f>
        <v>46283</v>
      </c>
      <c r="R478" t="str">
        <v>C43</v>
      </c>
      <c r="S478" t="str">
        <v>1000003386 LA PLATENSE SA</v>
      </c>
      <c r="T478" t="str">
        <f>VLOOKUP(P478,Hoja2!C:D,2,FALSE)</f>
        <v>EFUNES</v>
      </c>
    </row>
    <row r="479" spans="1:20" x14ac:dyDescent="0.3">
      <c r="A479" s="2" t="s">
        <v>14</v>
      </c>
      <c r="B479" s="3" t="s">
        <v>14</v>
      </c>
      <c r="C479" s="3" t="s">
        <v>521</v>
      </c>
      <c r="D479" s="3" t="s">
        <v>14</v>
      </c>
      <c r="E479" s="3" t="s">
        <v>96</v>
      </c>
      <c r="F479" s="4">
        <v>46275</v>
      </c>
      <c r="G479" s="3" t="s">
        <v>43</v>
      </c>
      <c r="H479" s="6">
        <v>-147346.20000000001</v>
      </c>
      <c r="I479" s="3" t="s">
        <v>16</v>
      </c>
      <c r="J479" s="3" t="s">
        <v>14</v>
      </c>
      <c r="K479" s="3" t="s">
        <v>14</v>
      </c>
      <c r="L479" s="3" t="s">
        <v>148</v>
      </c>
      <c r="M479" s="4">
        <v>46281</v>
      </c>
      <c r="N479" s="3" t="s">
        <v>522</v>
      </c>
      <c r="O479" s="3" t="s">
        <v>20</v>
      </c>
      <c r="P479" t="str">
        <f t="shared" si="7"/>
        <v>450013724520</v>
      </c>
      <c r="Q479" s="7" cm="1">
        <f t="array" ref="Q479:S479">VLOOKUP(P479,Hoja1!C:F,{2,3,4},FALSE)</f>
        <v>46272</v>
      </c>
      <c r="R479" t="str">
        <v>C03</v>
      </c>
      <c r="S479" t="str">
        <v>1000000062 FINNING ARGENTINA S.A.</v>
      </c>
      <c r="T479" t="e">
        <f>VLOOKUP(P479,Hoja2!C:D,2,FALSE)</f>
        <v>#N/A</v>
      </c>
    </row>
    <row r="480" spans="1:20" x14ac:dyDescent="0.3">
      <c r="A480" s="2" t="s">
        <v>14</v>
      </c>
      <c r="B480" s="3" t="s">
        <v>14</v>
      </c>
      <c r="C480" s="3" t="s">
        <v>521</v>
      </c>
      <c r="D480" s="3" t="s">
        <v>14</v>
      </c>
      <c r="E480" s="3" t="s">
        <v>96</v>
      </c>
      <c r="F480" s="4">
        <v>46275</v>
      </c>
      <c r="G480" s="3" t="s">
        <v>43</v>
      </c>
      <c r="H480" s="6">
        <v>-507120.26</v>
      </c>
      <c r="I480" s="3" t="s">
        <v>16</v>
      </c>
      <c r="J480" s="3" t="s">
        <v>14</v>
      </c>
      <c r="K480" s="3" t="s">
        <v>14</v>
      </c>
      <c r="L480" s="3" t="s">
        <v>148</v>
      </c>
      <c r="M480" s="4">
        <v>46281</v>
      </c>
      <c r="N480" s="3" t="s">
        <v>522</v>
      </c>
      <c r="O480" s="3" t="s">
        <v>21</v>
      </c>
      <c r="P480" t="str">
        <f t="shared" si="7"/>
        <v>450013724530</v>
      </c>
      <c r="Q480" s="7" cm="1">
        <f t="array" ref="Q480:S480">VLOOKUP(P480,Hoja1!C:F,{2,3,4},FALSE)</f>
        <v>46287</v>
      </c>
      <c r="R480" t="str">
        <v>C03</v>
      </c>
      <c r="S480" t="str">
        <v>1000000062 FINNING ARGENTINA S.A.</v>
      </c>
      <c r="T480" t="e">
        <f>VLOOKUP(P480,Hoja2!C:D,2,FALSE)</f>
        <v>#N/A</v>
      </c>
    </row>
    <row r="481" spans="1:20" x14ac:dyDescent="0.3">
      <c r="A481" s="2" t="s">
        <v>14</v>
      </c>
      <c r="B481" s="3" t="s">
        <v>14</v>
      </c>
      <c r="C481" s="3" t="s">
        <v>523</v>
      </c>
      <c r="D481" s="3" t="s">
        <v>14</v>
      </c>
      <c r="E481" s="3" t="s">
        <v>96</v>
      </c>
      <c r="F481" s="4">
        <v>46274</v>
      </c>
      <c r="G481" s="3" t="s">
        <v>43</v>
      </c>
      <c r="H481" s="6">
        <v>-105680.72</v>
      </c>
      <c r="I481" s="3" t="s">
        <v>16</v>
      </c>
      <c r="J481" s="3" t="s">
        <v>14</v>
      </c>
      <c r="K481" s="3" t="s">
        <v>14</v>
      </c>
      <c r="L481" s="3" t="s">
        <v>148</v>
      </c>
      <c r="M481" s="4">
        <v>46281</v>
      </c>
      <c r="N481" s="3" t="s">
        <v>524</v>
      </c>
      <c r="O481" s="3" t="s">
        <v>25</v>
      </c>
      <c r="P481" t="str">
        <f t="shared" si="7"/>
        <v>450013344140</v>
      </c>
      <c r="Q481" s="7" cm="1">
        <f t="array" ref="Q481:S481">VLOOKUP(P481,Hoja1!C:F,{2,3,4},FALSE)</f>
        <v>46356</v>
      </c>
      <c r="R481" t="str">
        <v>C03</v>
      </c>
      <c r="S481" t="str">
        <v>1000000062 FINNING ARGENTINA S.A.</v>
      </c>
      <c r="T481" t="str">
        <f>VLOOKUP(P481,Hoja2!C:D,2,FALSE)</f>
        <v>RPEREZ</v>
      </c>
    </row>
    <row r="482" spans="1:20" x14ac:dyDescent="0.3">
      <c r="A482" s="2" t="s">
        <v>14</v>
      </c>
      <c r="B482" s="3" t="s">
        <v>14</v>
      </c>
      <c r="C482" s="3" t="s">
        <v>523</v>
      </c>
      <c r="D482" s="3" t="s">
        <v>14</v>
      </c>
      <c r="E482" s="3" t="s">
        <v>96</v>
      </c>
      <c r="F482" s="4">
        <v>46274</v>
      </c>
      <c r="G482" s="3" t="s">
        <v>43</v>
      </c>
      <c r="H482" s="6">
        <v>-204046.7</v>
      </c>
      <c r="I482" s="3" t="s">
        <v>16</v>
      </c>
      <c r="J482" s="3" t="s">
        <v>14</v>
      </c>
      <c r="K482" s="3" t="s">
        <v>14</v>
      </c>
      <c r="L482" s="3" t="s">
        <v>148</v>
      </c>
      <c r="M482" s="4">
        <v>46281</v>
      </c>
      <c r="N482" s="3" t="s">
        <v>524</v>
      </c>
      <c r="O482" s="3" t="s">
        <v>23</v>
      </c>
      <c r="P482" t="str">
        <f t="shared" si="7"/>
        <v>450013344160</v>
      </c>
      <c r="Q482" s="7" cm="1">
        <f t="array" ref="Q482:S482">VLOOKUP(P482,Hoja1!C:F,{2,3,4},FALSE)</f>
        <v>46356</v>
      </c>
      <c r="R482" t="str">
        <v>C03</v>
      </c>
      <c r="S482" t="str">
        <v>1000000062 FINNING ARGENTINA S.A.</v>
      </c>
      <c r="T482" t="str">
        <f>VLOOKUP(P482,Hoja2!C:D,2,FALSE)</f>
        <v>RPEREZ</v>
      </c>
    </row>
    <row r="483" spans="1:20" x14ac:dyDescent="0.3">
      <c r="A483" s="2" t="s">
        <v>14</v>
      </c>
      <c r="B483" s="3" t="s">
        <v>14</v>
      </c>
      <c r="C483" s="3" t="s">
        <v>526</v>
      </c>
      <c r="D483" s="3" t="s">
        <v>14</v>
      </c>
      <c r="E483" s="3" t="s">
        <v>96</v>
      </c>
      <c r="F483" s="4">
        <v>46280</v>
      </c>
      <c r="G483" s="3" t="s">
        <v>43</v>
      </c>
      <c r="H483" s="6">
        <v>-1086480</v>
      </c>
      <c r="I483" s="3" t="s">
        <v>16</v>
      </c>
      <c r="J483" s="3" t="s">
        <v>14</v>
      </c>
      <c r="K483" s="3" t="s">
        <v>14</v>
      </c>
      <c r="L483" s="3" t="s">
        <v>144</v>
      </c>
      <c r="M483" s="4">
        <v>46282</v>
      </c>
      <c r="N483" s="3" t="s">
        <v>527</v>
      </c>
      <c r="O483" s="3" t="s">
        <v>33</v>
      </c>
      <c r="P483" t="str">
        <f t="shared" si="7"/>
        <v>450013852110</v>
      </c>
      <c r="Q483" s="7" cm="1">
        <f t="array" ref="Q483:S483">VLOOKUP(P483,Hoja1!C:F,{2,3,4},FALSE)</f>
        <v>46290</v>
      </c>
      <c r="R483" t="str">
        <v>C43</v>
      </c>
      <c r="S483" t="str">
        <v>1000010438 TURBOS T&amp;T S.R.L</v>
      </c>
      <c r="T483" t="str">
        <f>VLOOKUP(P483,Hoja2!C:D,2,FALSE)</f>
        <v>EFUNES</v>
      </c>
    </row>
    <row r="484" spans="1:20" x14ac:dyDescent="0.3">
      <c r="A484" s="2" t="s">
        <v>14</v>
      </c>
      <c r="B484" s="3" t="s">
        <v>14</v>
      </c>
      <c r="C484" s="3" t="s">
        <v>531</v>
      </c>
      <c r="D484" s="3" t="s">
        <v>14</v>
      </c>
      <c r="E484" s="3" t="s">
        <v>96</v>
      </c>
      <c r="F484" s="4">
        <v>46283</v>
      </c>
      <c r="G484" s="3" t="s">
        <v>43</v>
      </c>
      <c r="H484" s="6">
        <v>-10042200</v>
      </c>
      <c r="I484" s="3" t="s">
        <v>16</v>
      </c>
      <c r="J484" s="3" t="s">
        <v>14</v>
      </c>
      <c r="K484" s="3" t="s">
        <v>14</v>
      </c>
      <c r="L484" s="3" t="s">
        <v>1269</v>
      </c>
      <c r="M484" s="4">
        <v>46283</v>
      </c>
      <c r="N484" s="3" t="s">
        <v>291</v>
      </c>
      <c r="O484" s="3" t="s">
        <v>33</v>
      </c>
      <c r="P484" t="str">
        <f t="shared" si="7"/>
        <v>450012941210</v>
      </c>
      <c r="Q484" s="7" cm="1">
        <f t="array" ref="Q484:S484">VLOOKUP(P484,Hoja1!C:F,{2,3,4},FALSE)</f>
        <v>46325</v>
      </c>
      <c r="R484" t="str">
        <v>C21</v>
      </c>
      <c r="S484" t="str">
        <v>1000000634 RAIZEN ARGENTINA S.A.U.</v>
      </c>
      <c r="T484" t="str">
        <f>VLOOKUP(P484,Hoja2!C:D,2,FALSE)</f>
        <v>JPUPULIN</v>
      </c>
    </row>
    <row r="485" spans="1:20" x14ac:dyDescent="0.3">
      <c r="A485" s="2" t="s">
        <v>14</v>
      </c>
      <c r="B485" s="3" t="s">
        <v>14</v>
      </c>
      <c r="C485" s="3" t="s">
        <v>531</v>
      </c>
      <c r="D485" s="3" t="s">
        <v>14</v>
      </c>
      <c r="E485" s="3" t="s">
        <v>96</v>
      </c>
      <c r="F485" s="4">
        <v>46283</v>
      </c>
      <c r="G485" s="3" t="s">
        <v>43</v>
      </c>
      <c r="H485" s="6">
        <v>-1144500</v>
      </c>
      <c r="I485" s="3" t="s">
        <v>16</v>
      </c>
      <c r="J485" s="3" t="s">
        <v>14</v>
      </c>
      <c r="K485" s="3" t="s">
        <v>14</v>
      </c>
      <c r="L485" s="3" t="s">
        <v>1269</v>
      </c>
      <c r="M485" s="4">
        <v>46283</v>
      </c>
      <c r="N485" s="3" t="s">
        <v>291</v>
      </c>
      <c r="O485" s="3" t="s">
        <v>33</v>
      </c>
      <c r="P485" t="str">
        <f t="shared" si="7"/>
        <v>450012941210</v>
      </c>
      <c r="Q485" s="7" cm="1">
        <f t="array" ref="Q485:S485">VLOOKUP(P485,Hoja1!C:F,{2,3,4},FALSE)</f>
        <v>46325</v>
      </c>
      <c r="R485" t="str">
        <v>C21</v>
      </c>
      <c r="S485" t="str">
        <v>1000000634 RAIZEN ARGENTINA S.A.U.</v>
      </c>
      <c r="T485" t="str">
        <f>VLOOKUP(P485,Hoja2!C:D,2,FALSE)</f>
        <v>JPUPULIN</v>
      </c>
    </row>
    <row r="486" spans="1:20" x14ac:dyDescent="0.3">
      <c r="A486" s="2" t="s">
        <v>14</v>
      </c>
      <c r="B486" s="3" t="s">
        <v>14</v>
      </c>
      <c r="C486" s="3" t="s">
        <v>534</v>
      </c>
      <c r="D486" s="3" t="s">
        <v>14</v>
      </c>
      <c r="E486" s="3" t="s">
        <v>96</v>
      </c>
      <c r="F486" s="4">
        <v>46286</v>
      </c>
      <c r="G486" s="3" t="s">
        <v>43</v>
      </c>
      <c r="H486" s="6">
        <v>-95130</v>
      </c>
      <c r="I486" s="3" t="s">
        <v>16</v>
      </c>
      <c r="J486" s="3" t="s">
        <v>14</v>
      </c>
      <c r="K486" s="3" t="s">
        <v>14</v>
      </c>
      <c r="L486" s="3" t="s">
        <v>535</v>
      </c>
      <c r="M486" s="4">
        <v>46286</v>
      </c>
      <c r="N486" s="3" t="s">
        <v>536</v>
      </c>
      <c r="O486" s="3" t="s">
        <v>33</v>
      </c>
      <c r="P486" t="str">
        <f t="shared" si="7"/>
        <v>450013297110</v>
      </c>
      <c r="Q486" s="7" cm="1">
        <f t="array" ref="Q486:S486">VLOOKUP(P486,Hoja1!C:F,{2,3,4},FALSE)</f>
        <v>46237</v>
      </c>
      <c r="R486" t="str">
        <v>EFO</v>
      </c>
      <c r="S486" t="str">
        <v>1000001550 OLIVARES ANTONIO ALBERTO</v>
      </c>
      <c r="T486" t="str">
        <f>VLOOKUP(P486,Hoja2!C:D,2,FALSE)</f>
        <v>GROSES</v>
      </c>
    </row>
    <row r="487" spans="1:20" x14ac:dyDescent="0.3">
      <c r="A487" s="2" t="s">
        <v>14</v>
      </c>
      <c r="B487" s="3" t="s">
        <v>14</v>
      </c>
      <c r="C487" s="3" t="s">
        <v>537</v>
      </c>
      <c r="D487" s="3" t="s">
        <v>14</v>
      </c>
      <c r="E487" s="3" t="s">
        <v>96</v>
      </c>
      <c r="F487" s="4">
        <v>46281</v>
      </c>
      <c r="G487" s="3" t="s">
        <v>15</v>
      </c>
      <c r="H487" s="5">
        <v>125961.98</v>
      </c>
      <c r="I487" s="3" t="s">
        <v>16</v>
      </c>
      <c r="J487" s="3" t="s">
        <v>14</v>
      </c>
      <c r="K487" s="3" t="s">
        <v>14</v>
      </c>
      <c r="L487" s="3" t="s">
        <v>516</v>
      </c>
      <c r="M487" s="4">
        <v>46281</v>
      </c>
      <c r="N487" s="3" t="s">
        <v>517</v>
      </c>
      <c r="O487" s="3" t="s">
        <v>175</v>
      </c>
      <c r="P487" t="str">
        <f t="shared" si="7"/>
        <v>4500124519110</v>
      </c>
      <c r="Q487" s="7" cm="1">
        <f t="array" ref="Q487:S487">VLOOKUP(P487,Hoja1!C:F,{2,3,4},FALSE)</f>
        <v>46301</v>
      </c>
      <c r="R487" t="str">
        <v>CGT</v>
      </c>
      <c r="S487" t="str">
        <v>1000012568 DERGAM SRL</v>
      </c>
      <c r="T487" t="str">
        <f>VLOOKUP(P487,Hoja2!C:D,2,FALSE)</f>
        <v>WVENTURINI</v>
      </c>
    </row>
    <row r="488" spans="1:20" x14ac:dyDescent="0.3">
      <c r="A488" s="2" t="s">
        <v>14</v>
      </c>
      <c r="B488" s="3" t="s">
        <v>14</v>
      </c>
      <c r="C488" s="3" t="s">
        <v>538</v>
      </c>
      <c r="D488" s="3" t="s">
        <v>14</v>
      </c>
      <c r="E488" s="3" t="s">
        <v>96</v>
      </c>
      <c r="F488" s="4">
        <v>46286</v>
      </c>
      <c r="G488" s="3" t="s">
        <v>43</v>
      </c>
      <c r="H488" s="6">
        <v>-11459070</v>
      </c>
      <c r="I488" s="3" t="s">
        <v>16</v>
      </c>
      <c r="J488" s="3" t="s">
        <v>14</v>
      </c>
      <c r="K488" s="3" t="s">
        <v>14</v>
      </c>
      <c r="L488" s="3" t="s">
        <v>539</v>
      </c>
      <c r="M488" s="4">
        <v>46286</v>
      </c>
      <c r="N488" s="3" t="s">
        <v>540</v>
      </c>
      <c r="O488" s="3" t="s">
        <v>33</v>
      </c>
      <c r="P488" t="str">
        <f t="shared" si="7"/>
        <v>450013579310</v>
      </c>
      <c r="Q488" s="7" cm="1">
        <f t="array" ref="Q488:S488">VLOOKUP(P488,Hoja1!C:F,{2,3,4},FALSE)</f>
        <v>46325</v>
      </c>
      <c r="R488" t="str">
        <v>C21</v>
      </c>
      <c r="S488" t="str">
        <v>1000013345 PASFERR ENERGY SRL</v>
      </c>
      <c r="T488" t="str">
        <f>VLOOKUP(P488,Hoja2!C:D,2,FALSE)</f>
        <v>JPUPULIN</v>
      </c>
    </row>
    <row r="489" spans="1:20" x14ac:dyDescent="0.3">
      <c r="A489" s="2" t="s">
        <v>14</v>
      </c>
      <c r="B489" s="3" t="s">
        <v>14</v>
      </c>
      <c r="C489" s="3" t="s">
        <v>538</v>
      </c>
      <c r="D489" s="3" t="s">
        <v>14</v>
      </c>
      <c r="E489" s="3" t="s">
        <v>96</v>
      </c>
      <c r="F489" s="4">
        <v>46286</v>
      </c>
      <c r="G489" s="3" t="s">
        <v>43</v>
      </c>
      <c r="H489" s="6">
        <v>-1305910</v>
      </c>
      <c r="I489" s="3" t="s">
        <v>16</v>
      </c>
      <c r="J489" s="3" t="s">
        <v>14</v>
      </c>
      <c r="K489" s="3" t="s">
        <v>14</v>
      </c>
      <c r="L489" s="3" t="s">
        <v>539</v>
      </c>
      <c r="M489" s="4">
        <v>46286</v>
      </c>
      <c r="N489" s="3" t="s">
        <v>540</v>
      </c>
      <c r="O489" s="3" t="s">
        <v>33</v>
      </c>
      <c r="P489" t="str">
        <f t="shared" si="7"/>
        <v>450013579310</v>
      </c>
      <c r="Q489" s="7" cm="1">
        <f t="array" ref="Q489:S489">VLOOKUP(P489,Hoja1!C:F,{2,3,4},FALSE)</f>
        <v>46325</v>
      </c>
      <c r="R489" t="str">
        <v>C21</v>
      </c>
      <c r="S489" t="str">
        <v>1000013345 PASFERR ENERGY SRL</v>
      </c>
      <c r="T489" t="str">
        <f>VLOOKUP(P489,Hoja2!C:D,2,FALSE)</f>
        <v>JPUPULIN</v>
      </c>
    </row>
    <row r="490" spans="1:20" x14ac:dyDescent="0.3">
      <c r="A490" s="2" t="s">
        <v>14</v>
      </c>
      <c r="B490" s="3" t="s">
        <v>14</v>
      </c>
      <c r="C490" s="3" t="s">
        <v>541</v>
      </c>
      <c r="D490" s="3" t="s">
        <v>14</v>
      </c>
      <c r="E490" s="3" t="s">
        <v>96</v>
      </c>
      <c r="F490" s="4">
        <v>46283</v>
      </c>
      <c r="G490" s="3" t="s">
        <v>43</v>
      </c>
      <c r="H490" s="6">
        <v>-168244.2</v>
      </c>
      <c r="I490" s="3" t="s">
        <v>16</v>
      </c>
      <c r="J490" s="3" t="s">
        <v>14</v>
      </c>
      <c r="K490" s="3" t="s">
        <v>14</v>
      </c>
      <c r="L490" s="3" t="s">
        <v>90</v>
      </c>
      <c r="M490" s="4">
        <v>46286</v>
      </c>
      <c r="N490" s="3" t="s">
        <v>542</v>
      </c>
      <c r="O490" s="3" t="s">
        <v>20</v>
      </c>
      <c r="P490" t="str">
        <f t="shared" si="7"/>
        <v>450013450520</v>
      </c>
      <c r="Q490" s="7" cm="1">
        <f t="array" ref="Q490:S490">VLOOKUP(P490,Hoja1!C:F,{2,3,4},FALSE)</f>
        <v>46275</v>
      </c>
      <c r="R490" t="str">
        <v>C03</v>
      </c>
      <c r="S490" t="str">
        <v>1000000561 ESCANDINAVIA DEL PLATA SA</v>
      </c>
      <c r="T490" t="str">
        <f>VLOOKUP(P490,Hoja2!C:D,2,FALSE)</f>
        <v>WVENTURINI</v>
      </c>
    </row>
    <row r="491" spans="1:20" x14ac:dyDescent="0.3">
      <c r="A491" s="2" t="s">
        <v>14</v>
      </c>
      <c r="B491" s="3" t="s">
        <v>14</v>
      </c>
      <c r="C491" s="3" t="s">
        <v>543</v>
      </c>
      <c r="D491" s="3" t="s">
        <v>14</v>
      </c>
      <c r="E491" s="3" t="s">
        <v>96</v>
      </c>
      <c r="F491" s="4">
        <v>46283</v>
      </c>
      <c r="G491" s="3" t="s">
        <v>43</v>
      </c>
      <c r="H491" s="6">
        <v>-200226</v>
      </c>
      <c r="I491" s="3" t="s">
        <v>16</v>
      </c>
      <c r="J491" s="3" t="s">
        <v>14</v>
      </c>
      <c r="K491" s="3" t="s">
        <v>14</v>
      </c>
      <c r="L491" s="3" t="s">
        <v>90</v>
      </c>
      <c r="M491" s="4">
        <v>46286</v>
      </c>
      <c r="N491" s="3" t="s">
        <v>91</v>
      </c>
      <c r="O491" s="3" t="s">
        <v>33</v>
      </c>
      <c r="P491" t="str">
        <f t="shared" si="7"/>
        <v>450013337410</v>
      </c>
      <c r="Q491" s="7" cm="1">
        <f t="array" ref="Q491:S491">VLOOKUP(P491,Hoja1!C:F,{2,3,4},FALSE)</f>
        <v>46304</v>
      </c>
      <c r="R491" t="str">
        <v>G05</v>
      </c>
      <c r="S491" t="str">
        <v>1000000561 ESCANDINAVIA DEL PLATA SA</v>
      </c>
      <c r="T491" t="str">
        <f>VLOOKUP(P491,Hoja2!C:D,2,FALSE)</f>
        <v>WVENTURINI</v>
      </c>
    </row>
    <row r="492" spans="1:20" x14ac:dyDescent="0.3">
      <c r="A492" s="2" t="s">
        <v>14</v>
      </c>
      <c r="B492" s="3" t="s">
        <v>14</v>
      </c>
      <c r="C492" s="3" t="s">
        <v>544</v>
      </c>
      <c r="D492" s="3" t="s">
        <v>14</v>
      </c>
      <c r="E492" s="3" t="s">
        <v>96</v>
      </c>
      <c r="F492" s="4">
        <v>46287</v>
      </c>
      <c r="G492" s="3" t="s">
        <v>43</v>
      </c>
      <c r="H492" s="6">
        <v>-676500</v>
      </c>
      <c r="I492" s="3" t="s">
        <v>16</v>
      </c>
      <c r="J492" s="3" t="s">
        <v>14</v>
      </c>
      <c r="K492" s="3" t="s">
        <v>14</v>
      </c>
      <c r="L492" s="3" t="s">
        <v>510</v>
      </c>
      <c r="M492" s="4">
        <v>46287</v>
      </c>
      <c r="N492" s="3" t="s">
        <v>511</v>
      </c>
      <c r="O492" s="3" t="s">
        <v>33</v>
      </c>
      <c r="P492" t="str">
        <f t="shared" si="7"/>
        <v>450013831810</v>
      </c>
      <c r="Q492" s="7" cm="1">
        <f t="array" ref="Q492:S492">VLOOKUP(P492,Hoja1!C:F,{2,3,4},FALSE)</f>
        <v>46357</v>
      </c>
      <c r="R492" t="str">
        <v>C21</v>
      </c>
      <c r="S492" t="str">
        <v>1000013572 MAXFA SA</v>
      </c>
      <c r="T492" t="str">
        <f>VLOOKUP(P492,Hoja2!C:D,2,FALSE)</f>
        <v>JPUPULIN</v>
      </c>
    </row>
    <row r="493" spans="1:20" x14ac:dyDescent="0.3">
      <c r="A493" s="2" t="s">
        <v>14</v>
      </c>
      <c r="B493" s="3" t="s">
        <v>14</v>
      </c>
      <c r="C493" s="3" t="s">
        <v>544</v>
      </c>
      <c r="D493" s="3" t="s">
        <v>14</v>
      </c>
      <c r="E493" s="3" t="s">
        <v>96</v>
      </c>
      <c r="F493" s="4">
        <v>46287</v>
      </c>
      <c r="G493" s="3" t="s">
        <v>43</v>
      </c>
      <c r="H493" s="6">
        <v>-77100</v>
      </c>
      <c r="I493" s="3" t="s">
        <v>16</v>
      </c>
      <c r="J493" s="3" t="s">
        <v>14</v>
      </c>
      <c r="K493" s="3" t="s">
        <v>14</v>
      </c>
      <c r="L493" s="3" t="s">
        <v>510</v>
      </c>
      <c r="M493" s="4">
        <v>46287</v>
      </c>
      <c r="N493" s="3" t="s">
        <v>511</v>
      </c>
      <c r="O493" s="3" t="s">
        <v>33</v>
      </c>
      <c r="P493" t="str">
        <f t="shared" si="7"/>
        <v>450013831810</v>
      </c>
      <c r="Q493" s="7" cm="1">
        <f t="array" ref="Q493:S493">VLOOKUP(P493,Hoja1!C:F,{2,3,4},FALSE)</f>
        <v>46357</v>
      </c>
      <c r="R493" t="str">
        <v>C21</v>
      </c>
      <c r="S493" t="str">
        <v>1000013572 MAXFA SA</v>
      </c>
      <c r="T493" t="str">
        <f>VLOOKUP(P493,Hoja2!C:D,2,FALSE)</f>
        <v>JPUPULIN</v>
      </c>
    </row>
    <row r="494" spans="1:20" x14ac:dyDescent="0.3">
      <c r="A494" s="2" t="s">
        <v>14</v>
      </c>
      <c r="B494" s="3" t="s">
        <v>14</v>
      </c>
      <c r="C494" s="3" t="s">
        <v>545</v>
      </c>
      <c r="D494" s="3" t="s">
        <v>14</v>
      </c>
      <c r="E494" s="3" t="s">
        <v>96</v>
      </c>
      <c r="F494" s="4">
        <v>46275</v>
      </c>
      <c r="G494" s="3" t="s">
        <v>43</v>
      </c>
      <c r="H494" s="6">
        <v>-87913.279999999999</v>
      </c>
      <c r="I494" s="3" t="s">
        <v>16</v>
      </c>
      <c r="J494" s="3" t="s">
        <v>14</v>
      </c>
      <c r="K494" s="3" t="s">
        <v>14</v>
      </c>
      <c r="L494" s="3" t="s">
        <v>86</v>
      </c>
      <c r="M494" s="4">
        <v>46287</v>
      </c>
      <c r="N494" s="3" t="s">
        <v>546</v>
      </c>
      <c r="O494" s="3" t="s">
        <v>33</v>
      </c>
      <c r="P494" t="str">
        <f t="shared" si="7"/>
        <v>450013695610</v>
      </c>
      <c r="Q494" s="7" cm="1">
        <f t="array" ref="Q494:S494">VLOOKUP(P494,Hoja1!C:F,{2,3,4},FALSE)</f>
        <v>46275</v>
      </c>
      <c r="R494" t="str">
        <v>C28</v>
      </c>
      <c r="S494" t="str">
        <v>1000001028 SOSTEN S.A.</v>
      </c>
      <c r="T494" t="str">
        <f>VLOOKUP(P494,Hoja2!C:D,2,FALSE)</f>
        <v>GJULIANI</v>
      </c>
    </row>
    <row r="495" spans="1:20" x14ac:dyDescent="0.3">
      <c r="A495" s="2" t="s">
        <v>14</v>
      </c>
      <c r="B495" s="3" t="s">
        <v>14</v>
      </c>
      <c r="C495" s="3" t="s">
        <v>549</v>
      </c>
      <c r="D495" s="3" t="s">
        <v>14</v>
      </c>
      <c r="E495" s="3" t="s">
        <v>96</v>
      </c>
      <c r="F495" s="4">
        <v>46289</v>
      </c>
      <c r="G495" s="3" t="s">
        <v>43</v>
      </c>
      <c r="H495" s="6">
        <v>-11459070</v>
      </c>
      <c r="I495" s="3" t="s">
        <v>16</v>
      </c>
      <c r="J495" s="3" t="s">
        <v>14</v>
      </c>
      <c r="K495" s="3" t="s">
        <v>14</v>
      </c>
      <c r="L495" s="3" t="s">
        <v>539</v>
      </c>
      <c r="M495" s="4">
        <v>46289</v>
      </c>
      <c r="N495" s="3" t="s">
        <v>540</v>
      </c>
      <c r="O495" s="3" t="s">
        <v>33</v>
      </c>
      <c r="P495" t="str">
        <f t="shared" si="7"/>
        <v>450013579310</v>
      </c>
      <c r="Q495" s="7" cm="1">
        <f t="array" ref="Q495:S495">VLOOKUP(P495,Hoja1!C:F,{2,3,4},FALSE)</f>
        <v>46325</v>
      </c>
      <c r="R495" t="str">
        <v>C21</v>
      </c>
      <c r="S495" t="str">
        <v>1000013345 PASFERR ENERGY SRL</v>
      </c>
      <c r="T495" t="str">
        <f>VLOOKUP(P495,Hoja2!C:D,2,FALSE)</f>
        <v>JPUPULIN</v>
      </c>
    </row>
    <row r="496" spans="1:20" x14ac:dyDescent="0.3">
      <c r="A496" s="2" t="s">
        <v>14</v>
      </c>
      <c r="B496" s="3" t="s">
        <v>14</v>
      </c>
      <c r="C496" s="3" t="s">
        <v>549</v>
      </c>
      <c r="D496" s="3" t="s">
        <v>14</v>
      </c>
      <c r="E496" s="3" t="s">
        <v>96</v>
      </c>
      <c r="F496" s="4">
        <v>46289</v>
      </c>
      <c r="G496" s="3" t="s">
        <v>43</v>
      </c>
      <c r="H496" s="6">
        <v>-1305910</v>
      </c>
      <c r="I496" s="3" t="s">
        <v>16</v>
      </c>
      <c r="J496" s="3" t="s">
        <v>14</v>
      </c>
      <c r="K496" s="3" t="s">
        <v>14</v>
      </c>
      <c r="L496" s="3" t="s">
        <v>539</v>
      </c>
      <c r="M496" s="4">
        <v>46289</v>
      </c>
      <c r="N496" s="3" t="s">
        <v>540</v>
      </c>
      <c r="O496" s="3" t="s">
        <v>33</v>
      </c>
      <c r="P496" t="str">
        <f t="shared" si="7"/>
        <v>450013579310</v>
      </c>
      <c r="Q496" s="7" cm="1">
        <f t="array" ref="Q496:S496">VLOOKUP(P496,Hoja1!C:F,{2,3,4},FALSE)</f>
        <v>46325</v>
      </c>
      <c r="R496" t="str">
        <v>C21</v>
      </c>
      <c r="S496" t="str">
        <v>1000013345 PASFERR ENERGY SRL</v>
      </c>
      <c r="T496" t="str">
        <f>VLOOKUP(P496,Hoja2!C:D,2,FALSE)</f>
        <v>JPUPULIN</v>
      </c>
    </row>
    <row r="497" spans="1:20" x14ac:dyDescent="0.3">
      <c r="A497" s="2" t="s">
        <v>14</v>
      </c>
      <c r="B497" s="3" t="s">
        <v>14</v>
      </c>
      <c r="C497" s="3" t="s">
        <v>551</v>
      </c>
      <c r="D497" s="3" t="s">
        <v>14</v>
      </c>
      <c r="E497" s="3" t="s">
        <v>96</v>
      </c>
      <c r="F497" s="4">
        <v>46282</v>
      </c>
      <c r="G497" s="3" t="s">
        <v>43</v>
      </c>
      <c r="H497" s="6">
        <v>-59338.84</v>
      </c>
      <c r="I497" s="3" t="s">
        <v>16</v>
      </c>
      <c r="J497" s="3" t="s">
        <v>14</v>
      </c>
      <c r="K497" s="3" t="s">
        <v>14</v>
      </c>
      <c r="L497" s="3" t="s">
        <v>552</v>
      </c>
      <c r="M497" s="4">
        <v>46290</v>
      </c>
      <c r="N497" s="3" t="s">
        <v>553</v>
      </c>
      <c r="O497" s="3" t="s">
        <v>33</v>
      </c>
      <c r="P497" t="str">
        <f t="shared" si="7"/>
        <v>450013866710</v>
      </c>
      <c r="Q497" s="7" cm="1">
        <f t="array" ref="Q497:S497">VLOOKUP(P497,Hoja1!C:F,{2,3,4},FALSE)</f>
        <v>46297</v>
      </c>
      <c r="R497" t="str">
        <v>C03</v>
      </c>
      <c r="S497" t="str">
        <v>1000012464 LOOPING REPUESTOS SOCIEDAD ANONIMA</v>
      </c>
      <c r="T497" t="str">
        <f>VLOOKUP(P497,Hoja2!C:D,2,FALSE)</f>
        <v>MFREIJOMIL</v>
      </c>
    </row>
    <row r="498" spans="1:20" x14ac:dyDescent="0.3">
      <c r="A498" s="2" t="s">
        <v>14</v>
      </c>
      <c r="B498" s="3" t="s">
        <v>14</v>
      </c>
      <c r="C498" s="3" t="s">
        <v>558</v>
      </c>
      <c r="D498" s="3" t="s">
        <v>14</v>
      </c>
      <c r="E498" s="3" t="s">
        <v>96</v>
      </c>
      <c r="F498" s="4">
        <v>46290</v>
      </c>
      <c r="G498" s="3" t="s">
        <v>43</v>
      </c>
      <c r="H498" s="6">
        <v>-696900</v>
      </c>
      <c r="I498" s="3" t="s">
        <v>16</v>
      </c>
      <c r="J498" s="3" t="s">
        <v>14</v>
      </c>
      <c r="K498" s="3" t="s">
        <v>14</v>
      </c>
      <c r="L498" s="3" t="s">
        <v>144</v>
      </c>
      <c r="M498" s="4">
        <v>46290</v>
      </c>
      <c r="N498" s="3" t="s">
        <v>559</v>
      </c>
      <c r="O498" s="3" t="s">
        <v>33</v>
      </c>
      <c r="P498" t="str">
        <f t="shared" si="7"/>
        <v>450013952710</v>
      </c>
      <c r="Q498" s="7" cm="1">
        <f t="array" ref="Q498:S498">VLOOKUP(P498,Hoja1!C:F,{2,3,4},FALSE)</f>
        <v>46306</v>
      </c>
      <c r="R498" t="str">
        <v>C39</v>
      </c>
      <c r="S498" t="str">
        <v>1000010438 TURBOS T&amp;T S.R.L</v>
      </c>
      <c r="T498" t="str">
        <f>VLOOKUP(P498,Hoja2!C:D,2,FALSE)</f>
        <v>EFUNES</v>
      </c>
    </row>
    <row r="499" spans="1:20" x14ac:dyDescent="0.3">
      <c r="A499" s="2" t="s">
        <v>14</v>
      </c>
      <c r="B499" s="3" t="s">
        <v>14</v>
      </c>
      <c r="C499" s="3" t="s">
        <v>558</v>
      </c>
      <c r="D499" s="3" t="s">
        <v>14</v>
      </c>
      <c r="E499" s="3" t="s">
        <v>96</v>
      </c>
      <c r="F499" s="4">
        <v>46290</v>
      </c>
      <c r="G499" s="3" t="s">
        <v>43</v>
      </c>
      <c r="H499" s="6">
        <v>-696900</v>
      </c>
      <c r="I499" s="3" t="s">
        <v>16</v>
      </c>
      <c r="J499" s="3" t="s">
        <v>14</v>
      </c>
      <c r="K499" s="3" t="s">
        <v>14</v>
      </c>
      <c r="L499" s="3" t="s">
        <v>144</v>
      </c>
      <c r="M499" s="4">
        <v>46290</v>
      </c>
      <c r="N499" s="3" t="s">
        <v>559</v>
      </c>
      <c r="O499" s="3" t="s">
        <v>20</v>
      </c>
      <c r="P499" t="str">
        <f t="shared" si="7"/>
        <v>450013952720</v>
      </c>
      <c r="Q499" s="7" cm="1">
        <f t="array" ref="Q499:S499">VLOOKUP(P499,Hoja1!C:F,{2,3,4},FALSE)</f>
        <v>46306</v>
      </c>
      <c r="R499" t="str">
        <v>C39</v>
      </c>
      <c r="S499" t="str">
        <v>1000010438 TURBOS T&amp;T S.R.L</v>
      </c>
      <c r="T499" t="str">
        <f>VLOOKUP(P499,Hoja2!C:D,2,FALSE)</f>
        <v>EFUNES</v>
      </c>
    </row>
    <row r="500" spans="1:20" x14ac:dyDescent="0.3">
      <c r="A500" s="2" t="s">
        <v>14</v>
      </c>
      <c r="B500" s="3" t="s">
        <v>14</v>
      </c>
      <c r="C500" s="3" t="s">
        <v>560</v>
      </c>
      <c r="D500" s="3" t="s">
        <v>14</v>
      </c>
      <c r="E500" s="3" t="s">
        <v>96</v>
      </c>
      <c r="F500" s="4">
        <v>46290</v>
      </c>
      <c r="G500" s="3" t="s">
        <v>43</v>
      </c>
      <c r="H500" s="6">
        <v>-169353.48</v>
      </c>
      <c r="I500" s="3" t="s">
        <v>16</v>
      </c>
      <c r="J500" s="3" t="s">
        <v>14</v>
      </c>
      <c r="K500" s="3" t="s">
        <v>14</v>
      </c>
      <c r="L500" s="3" t="s">
        <v>86</v>
      </c>
      <c r="M500" s="4">
        <v>46290</v>
      </c>
      <c r="N500" s="3" t="s">
        <v>561</v>
      </c>
      <c r="O500" s="3" t="s">
        <v>33</v>
      </c>
      <c r="P500" t="str">
        <f t="shared" si="7"/>
        <v>450013938210</v>
      </c>
      <c r="Q500" s="7" cm="1">
        <f t="array" ref="Q500:S500">VLOOKUP(P500,Hoja1!C:F,{2,3,4},FALSE)</f>
        <v>46297</v>
      </c>
      <c r="R500" t="str">
        <v>C28</v>
      </c>
      <c r="S500" t="str">
        <v>1000001028 SOSTEN S.A.</v>
      </c>
      <c r="T500" t="str">
        <f>VLOOKUP(P500,Hoja2!C:D,2,FALSE)</f>
        <v>GJULIANI</v>
      </c>
    </row>
    <row r="501" spans="1:20" x14ac:dyDescent="0.3">
      <c r="A501" s="2" t="s">
        <v>14</v>
      </c>
      <c r="B501" s="3" t="s">
        <v>14</v>
      </c>
      <c r="C501" s="3" t="s">
        <v>565</v>
      </c>
      <c r="D501" s="3" t="s">
        <v>14</v>
      </c>
      <c r="E501" s="3" t="s">
        <v>96</v>
      </c>
      <c r="F501" s="4">
        <v>46294</v>
      </c>
      <c r="G501" s="3" t="s">
        <v>43</v>
      </c>
      <c r="H501" s="6">
        <v>-455373</v>
      </c>
      <c r="I501" s="3" t="s">
        <v>16</v>
      </c>
      <c r="J501" s="3" t="s">
        <v>14</v>
      </c>
      <c r="K501" s="3" t="s">
        <v>14</v>
      </c>
      <c r="L501" s="3" t="s">
        <v>566</v>
      </c>
      <c r="M501" s="4">
        <v>46294</v>
      </c>
      <c r="N501" s="3" t="s">
        <v>567</v>
      </c>
      <c r="O501" s="3" t="s">
        <v>33</v>
      </c>
      <c r="P501" t="str">
        <f t="shared" si="7"/>
        <v>450013649010</v>
      </c>
      <c r="Q501" s="7" cm="1">
        <f t="array" ref="Q501:S501">VLOOKUP(P501,Hoja1!C:F,{2,3,4},FALSE)</f>
        <v>46305</v>
      </c>
      <c r="R501" t="str">
        <v>C47</v>
      </c>
      <c r="S501" t="str">
        <v>1000002774 MILLA MAR DEL PLATA S.A.</v>
      </c>
      <c r="T501" t="str">
        <f>VLOOKUP(P501,Hoja2!C:D,2,FALSE)</f>
        <v>WVENTURINI</v>
      </c>
    </row>
    <row r="502" spans="1:20" x14ac:dyDescent="0.3">
      <c r="A502" s="2" t="s">
        <v>14</v>
      </c>
      <c r="B502" s="3" t="s">
        <v>14</v>
      </c>
      <c r="C502" s="3" t="s">
        <v>570</v>
      </c>
      <c r="D502" s="3" t="s">
        <v>14</v>
      </c>
      <c r="E502" s="3" t="s">
        <v>96</v>
      </c>
      <c r="F502" s="4">
        <v>46294</v>
      </c>
      <c r="G502" s="3" t="s">
        <v>43</v>
      </c>
      <c r="H502" s="6">
        <v>-330000</v>
      </c>
      <c r="I502" s="3" t="s">
        <v>16</v>
      </c>
      <c r="J502" s="3" t="s">
        <v>14</v>
      </c>
      <c r="K502" s="3" t="s">
        <v>14</v>
      </c>
      <c r="L502" s="3" t="s">
        <v>571</v>
      </c>
      <c r="M502" s="4">
        <v>46294</v>
      </c>
      <c r="N502" s="3" t="s">
        <v>572</v>
      </c>
      <c r="O502" s="3" t="s">
        <v>33</v>
      </c>
      <c r="P502" t="str">
        <f t="shared" si="7"/>
        <v>450012086910</v>
      </c>
      <c r="Q502" s="7" cm="1">
        <f t="array" ref="Q502:S502">VLOOKUP(P502,Hoja1!C:F,{2,3,4},FALSE)</f>
        <v>46072</v>
      </c>
      <c r="R502" t="str">
        <v>EFO</v>
      </c>
      <c r="S502" t="str">
        <v>1000001262 MIGUEL ANGEL ALVAREZ</v>
      </c>
      <c r="T502" t="str">
        <f>VLOOKUP(P502,Hoja2!C:D,2,FALSE)</f>
        <v>GROSES</v>
      </c>
    </row>
    <row r="503" spans="1:20" x14ac:dyDescent="0.3">
      <c r="A503" s="2" t="s">
        <v>14</v>
      </c>
      <c r="B503" s="3" t="s">
        <v>14</v>
      </c>
      <c r="C503" s="3" t="s">
        <v>573</v>
      </c>
      <c r="D503" s="3" t="s">
        <v>14</v>
      </c>
      <c r="E503" s="3" t="s">
        <v>96</v>
      </c>
      <c r="F503" s="4">
        <v>46294</v>
      </c>
      <c r="G503" s="3" t="s">
        <v>43</v>
      </c>
      <c r="H503" s="6">
        <v>-2402526</v>
      </c>
      <c r="I503" s="3" t="s">
        <v>16</v>
      </c>
      <c r="J503" s="3" t="s">
        <v>14</v>
      </c>
      <c r="K503" s="3" t="s">
        <v>14</v>
      </c>
      <c r="L503" s="3" t="s">
        <v>52</v>
      </c>
      <c r="M503" s="4">
        <v>46294</v>
      </c>
      <c r="N503" s="3" t="s">
        <v>574</v>
      </c>
      <c r="O503" s="3" t="s">
        <v>33</v>
      </c>
      <c r="P503" t="str">
        <f t="shared" si="7"/>
        <v>450013692310</v>
      </c>
      <c r="Q503" s="7" cm="1">
        <f t="array" ref="Q503:S503">VLOOKUP(P503,Hoja1!C:F,{2,3,4},FALSE)</f>
        <v>46295</v>
      </c>
      <c r="R503" t="str">
        <v>C04</v>
      </c>
      <c r="S503" t="str">
        <v>1000002834 J.M.F. VIAL &amp; PARTS SAS</v>
      </c>
      <c r="T503" t="str">
        <f>VLOOKUP(P503,Hoja2!C:D,2,FALSE)</f>
        <v>EFUNES</v>
      </c>
    </row>
    <row r="504" spans="1:20" x14ac:dyDescent="0.3">
      <c r="A504" s="2" t="s">
        <v>14</v>
      </c>
      <c r="B504" s="3" t="s">
        <v>14</v>
      </c>
      <c r="C504" s="3" t="s">
        <v>575</v>
      </c>
      <c r="D504" s="3" t="s">
        <v>14</v>
      </c>
      <c r="E504" s="3" t="s">
        <v>96</v>
      </c>
      <c r="F504" s="4">
        <v>46294</v>
      </c>
      <c r="G504" s="3" t="s">
        <v>43</v>
      </c>
      <c r="H504" s="6">
        <v>-2402526</v>
      </c>
      <c r="I504" s="3" t="s">
        <v>16</v>
      </c>
      <c r="J504" s="3" t="s">
        <v>14</v>
      </c>
      <c r="K504" s="3" t="s">
        <v>14</v>
      </c>
      <c r="L504" s="3" t="s">
        <v>52</v>
      </c>
      <c r="M504" s="4">
        <v>46294</v>
      </c>
      <c r="N504" s="3" t="s">
        <v>574</v>
      </c>
      <c r="O504" s="3" t="s">
        <v>20</v>
      </c>
      <c r="P504" t="str">
        <f t="shared" si="7"/>
        <v>450013692320</v>
      </c>
      <c r="Q504" s="7" cm="1">
        <f t="array" ref="Q504:S504">VLOOKUP(P504,Hoja1!C:F,{2,3,4},FALSE)</f>
        <v>46295</v>
      </c>
      <c r="R504" t="str">
        <v>C04</v>
      </c>
      <c r="S504" t="str">
        <v>1000002834 J.M.F. VIAL &amp; PARTS SAS</v>
      </c>
      <c r="T504" t="str">
        <f>VLOOKUP(P504,Hoja2!C:D,2,FALSE)</f>
        <v>EFUNES</v>
      </c>
    </row>
    <row r="505" spans="1:20" x14ac:dyDescent="0.3">
      <c r="A505" s="2" t="s">
        <v>14</v>
      </c>
      <c r="B505" s="3" t="s">
        <v>14</v>
      </c>
      <c r="C505" s="3" t="s">
        <v>579</v>
      </c>
      <c r="D505" s="3" t="s">
        <v>14</v>
      </c>
      <c r="E505" s="3" t="s">
        <v>96</v>
      </c>
      <c r="F505" s="4">
        <v>46287</v>
      </c>
      <c r="G505" s="3" t="s">
        <v>43</v>
      </c>
      <c r="H505" s="6">
        <v>-59183.46</v>
      </c>
      <c r="I505" s="3" t="s">
        <v>16</v>
      </c>
      <c r="J505" s="3" t="s">
        <v>14</v>
      </c>
      <c r="K505" s="3" t="s">
        <v>14</v>
      </c>
      <c r="L505" s="3" t="s">
        <v>86</v>
      </c>
      <c r="M505" s="4">
        <v>46295</v>
      </c>
      <c r="N505" s="3" t="s">
        <v>580</v>
      </c>
      <c r="O505" s="3" t="s">
        <v>33</v>
      </c>
      <c r="P505" t="str">
        <f t="shared" si="7"/>
        <v>450013920410</v>
      </c>
      <c r="Q505" s="7" cm="1">
        <f t="array" ref="Q505:S505">VLOOKUP(P505,Hoja1!C:F,{2,3,4},FALSE)</f>
        <v>46302</v>
      </c>
      <c r="R505" t="str">
        <v>C28</v>
      </c>
      <c r="S505" t="str">
        <v>1000001028 SOSTEN S.A.</v>
      </c>
      <c r="T505" t="str">
        <f>VLOOKUP(P505,Hoja2!C:D,2,FALSE)</f>
        <v>GJULIANI</v>
      </c>
    </row>
    <row r="506" spans="1:20" x14ac:dyDescent="0.3">
      <c r="A506" s="2" t="s">
        <v>14</v>
      </c>
      <c r="B506" s="3" t="s">
        <v>14</v>
      </c>
      <c r="C506" s="3" t="s">
        <v>582</v>
      </c>
      <c r="D506" s="3" t="s">
        <v>55</v>
      </c>
      <c r="E506" s="3" t="s">
        <v>96</v>
      </c>
      <c r="F506" s="4">
        <v>46295</v>
      </c>
      <c r="G506" s="3" t="s">
        <v>43</v>
      </c>
      <c r="H506" s="6">
        <v>-645000</v>
      </c>
      <c r="I506" s="3" t="s">
        <v>16</v>
      </c>
      <c r="J506" s="3" t="s">
        <v>14</v>
      </c>
      <c r="K506" s="3" t="s">
        <v>14</v>
      </c>
      <c r="L506" s="3" t="s">
        <v>583</v>
      </c>
      <c r="M506" s="4">
        <v>46295</v>
      </c>
      <c r="N506" s="3" t="s">
        <v>584</v>
      </c>
      <c r="O506" s="3" t="s">
        <v>33</v>
      </c>
      <c r="P506" t="str">
        <f t="shared" si="7"/>
        <v>450013266110</v>
      </c>
      <c r="Q506" s="7" cm="1">
        <f t="array" ref="Q506:S506">VLOOKUP(P506,Hoja1!C:F,{2,3,4},FALSE)</f>
        <v>46596</v>
      </c>
      <c r="R506" t="str">
        <v>C26</v>
      </c>
      <c r="S506" t="str">
        <v>1000003883 DOMINGUEZ ELIAS IVAN</v>
      </c>
      <c r="T506" t="str">
        <f>VLOOKUP(P506,Hoja2!C:D,2,FALSE)</f>
        <v>YCOLMAN</v>
      </c>
    </row>
    <row r="507" spans="1:20" x14ac:dyDescent="0.3">
      <c r="A507" s="2" t="s">
        <v>14</v>
      </c>
      <c r="B507" s="3" t="s">
        <v>14</v>
      </c>
      <c r="C507" s="3" t="s">
        <v>582</v>
      </c>
      <c r="D507" s="3" t="s">
        <v>55</v>
      </c>
      <c r="E507" s="3" t="s">
        <v>96</v>
      </c>
      <c r="F507" s="4">
        <v>46295</v>
      </c>
      <c r="G507" s="3" t="s">
        <v>43</v>
      </c>
      <c r="H507" s="6">
        <v>-645000</v>
      </c>
      <c r="I507" s="3" t="s">
        <v>16</v>
      </c>
      <c r="J507" s="3" t="s">
        <v>14</v>
      </c>
      <c r="K507" s="3" t="s">
        <v>14</v>
      </c>
      <c r="L507" s="3" t="s">
        <v>583</v>
      </c>
      <c r="M507" s="4">
        <v>46295</v>
      </c>
      <c r="N507" s="3" t="s">
        <v>584</v>
      </c>
      <c r="O507" s="3" t="s">
        <v>20</v>
      </c>
      <c r="P507" t="str">
        <f t="shared" si="7"/>
        <v>450013266120</v>
      </c>
      <c r="Q507" s="7" cm="1">
        <f t="array" ref="Q507:S507">VLOOKUP(P507,Hoja1!C:F,{2,3,4},FALSE)</f>
        <v>46596</v>
      </c>
      <c r="R507" t="str">
        <v>C26</v>
      </c>
      <c r="S507" t="str">
        <v>1000003883 DOMINGUEZ ELIAS IVAN</v>
      </c>
      <c r="T507" t="str">
        <f>VLOOKUP(P507,Hoja2!C:D,2,FALSE)</f>
        <v>YCOLMAN</v>
      </c>
    </row>
    <row r="508" spans="1:20" x14ac:dyDescent="0.3">
      <c r="A508" s="2" t="s">
        <v>14</v>
      </c>
      <c r="B508" s="3" t="s">
        <v>14</v>
      </c>
      <c r="C508" s="3" t="s">
        <v>582</v>
      </c>
      <c r="D508" s="3" t="s">
        <v>55</v>
      </c>
      <c r="E508" s="3" t="s">
        <v>96</v>
      </c>
      <c r="F508" s="4">
        <v>46295</v>
      </c>
      <c r="G508" s="3" t="s">
        <v>43</v>
      </c>
      <c r="H508" s="6">
        <v>-645000</v>
      </c>
      <c r="I508" s="3" t="s">
        <v>16</v>
      </c>
      <c r="J508" s="3" t="s">
        <v>14</v>
      </c>
      <c r="K508" s="3" t="s">
        <v>14</v>
      </c>
      <c r="L508" s="3" t="s">
        <v>583</v>
      </c>
      <c r="M508" s="4">
        <v>46295</v>
      </c>
      <c r="N508" s="3" t="s">
        <v>584</v>
      </c>
      <c r="O508" s="3" t="s">
        <v>21</v>
      </c>
      <c r="P508" t="str">
        <f t="shared" si="7"/>
        <v>450013266130</v>
      </c>
      <c r="Q508" s="7" cm="1">
        <f t="array" ref="Q508:S508">VLOOKUP(P508,Hoja1!C:F,{2,3,4},FALSE)</f>
        <v>46596</v>
      </c>
      <c r="R508" t="str">
        <v>C26</v>
      </c>
      <c r="S508" t="str">
        <v>1000003883 DOMINGUEZ ELIAS IVAN</v>
      </c>
      <c r="T508" t="str">
        <f>VLOOKUP(P508,Hoja2!C:D,2,FALSE)</f>
        <v>YCOLMAN</v>
      </c>
    </row>
    <row r="509" spans="1:20" x14ac:dyDescent="0.3">
      <c r="A509" s="2" t="s">
        <v>14</v>
      </c>
      <c r="B509" s="3" t="s">
        <v>14</v>
      </c>
      <c r="C509" s="3" t="s">
        <v>586</v>
      </c>
      <c r="D509" s="3" t="s">
        <v>55</v>
      </c>
      <c r="E509" s="3" t="s">
        <v>96</v>
      </c>
      <c r="F509" s="4">
        <v>46295</v>
      </c>
      <c r="G509" s="3" t="s">
        <v>43</v>
      </c>
      <c r="H509" s="6">
        <v>-2124500</v>
      </c>
      <c r="I509" s="3" t="s">
        <v>16</v>
      </c>
      <c r="J509" s="3" t="s">
        <v>14</v>
      </c>
      <c r="K509" s="3" t="s">
        <v>14</v>
      </c>
      <c r="L509" s="3" t="s">
        <v>587</v>
      </c>
      <c r="M509" s="4">
        <v>46295</v>
      </c>
      <c r="N509" s="3" t="s">
        <v>588</v>
      </c>
      <c r="O509" s="3" t="s">
        <v>33</v>
      </c>
      <c r="P509" t="str">
        <f t="shared" si="7"/>
        <v>450013245910</v>
      </c>
      <c r="Q509" s="7" cm="1">
        <f t="array" ref="Q509:S509">VLOOKUP(P509,Hoja1!C:F,{2,3,4},FALSE)</f>
        <v>46326</v>
      </c>
      <c r="R509" t="str">
        <v>C25</v>
      </c>
      <c r="S509" t="str">
        <v>1000007459 SAVE TRACK S.A.</v>
      </c>
      <c r="T509" t="str">
        <f>VLOOKUP(P509,Hoja2!C:D,2,FALSE)</f>
        <v>ALOPEZ</v>
      </c>
    </row>
    <row r="510" spans="1:20" x14ac:dyDescent="0.3">
      <c r="A510" s="2" t="s">
        <v>14</v>
      </c>
      <c r="B510" s="3" t="s">
        <v>14</v>
      </c>
      <c r="C510" s="3" t="s">
        <v>589</v>
      </c>
      <c r="D510" s="3" t="s">
        <v>14</v>
      </c>
      <c r="E510" s="3" t="s">
        <v>96</v>
      </c>
      <c r="F510" s="4">
        <v>46280</v>
      </c>
      <c r="G510" s="3" t="s">
        <v>43</v>
      </c>
      <c r="H510" s="6">
        <v>-127045.1</v>
      </c>
      <c r="I510" s="3" t="s">
        <v>16</v>
      </c>
      <c r="J510" s="3" t="s">
        <v>14</v>
      </c>
      <c r="K510" s="3" t="s">
        <v>14</v>
      </c>
      <c r="L510" s="3" t="s">
        <v>86</v>
      </c>
      <c r="M510" s="4">
        <v>46295</v>
      </c>
      <c r="N510" s="3" t="s">
        <v>546</v>
      </c>
      <c r="O510" s="3" t="s">
        <v>22</v>
      </c>
      <c r="P510" t="str">
        <f t="shared" si="7"/>
        <v>450013695650</v>
      </c>
      <c r="Q510" s="7" cm="1">
        <f t="array" ref="Q510:S510">VLOOKUP(P510,Hoja1!C:F,{2,3,4},FALSE)</f>
        <v>46275</v>
      </c>
      <c r="R510" t="str">
        <v>C28</v>
      </c>
      <c r="S510" t="str">
        <v>1000001028 SOSTEN S.A.</v>
      </c>
      <c r="T510" t="str">
        <f>VLOOKUP(P510,Hoja2!C:D,2,FALSE)</f>
        <v>GJULIANI</v>
      </c>
    </row>
    <row r="511" spans="1:20" x14ac:dyDescent="0.3">
      <c r="A511" s="2" t="s">
        <v>14</v>
      </c>
      <c r="B511" s="3" t="s">
        <v>14</v>
      </c>
      <c r="C511" s="3" t="s">
        <v>598</v>
      </c>
      <c r="D511" s="3" t="s">
        <v>14</v>
      </c>
      <c r="E511" s="3" t="s">
        <v>96</v>
      </c>
      <c r="F511" s="4">
        <v>46296</v>
      </c>
      <c r="G511" s="3" t="s">
        <v>43</v>
      </c>
      <c r="H511" s="6">
        <v>-23431650</v>
      </c>
      <c r="I511" s="3" t="s">
        <v>16</v>
      </c>
      <c r="J511" s="3" t="s">
        <v>14</v>
      </c>
      <c r="K511" s="3" t="s">
        <v>14</v>
      </c>
      <c r="L511" s="3" t="s">
        <v>566</v>
      </c>
      <c r="M511" s="4">
        <v>46296</v>
      </c>
      <c r="N511" s="3" t="s">
        <v>599</v>
      </c>
      <c r="O511" s="3" t="s">
        <v>33</v>
      </c>
      <c r="P511" t="str">
        <f t="shared" si="7"/>
        <v>450013931110</v>
      </c>
      <c r="Q511" s="7" cm="1">
        <f t="array" ref="Q511:S511">VLOOKUP(P511,Hoja1!C:F,{2,3,4},FALSE)</f>
        <v>46295</v>
      </c>
      <c r="R511" t="str">
        <v>C50</v>
      </c>
      <c r="S511" t="str">
        <v>1000002774 MILLA MAR DEL PLATA S.A.</v>
      </c>
      <c r="T511" t="str">
        <f>VLOOKUP(P511,Hoja2!C:D,2,FALSE)</f>
        <v>WVENTURINI</v>
      </c>
    </row>
    <row r="512" spans="1:20" x14ac:dyDescent="0.3">
      <c r="A512" s="2" t="s">
        <v>14</v>
      </c>
      <c r="B512" s="3" t="s">
        <v>14</v>
      </c>
      <c r="C512" s="3" t="s">
        <v>598</v>
      </c>
      <c r="D512" s="3" t="s">
        <v>14</v>
      </c>
      <c r="E512" s="3" t="s">
        <v>96</v>
      </c>
      <c r="F512" s="4">
        <v>46296</v>
      </c>
      <c r="G512" s="3" t="s">
        <v>43</v>
      </c>
      <c r="H512" s="6">
        <v>-7160175</v>
      </c>
      <c r="I512" s="3" t="s">
        <v>16</v>
      </c>
      <c r="J512" s="3" t="s">
        <v>14</v>
      </c>
      <c r="K512" s="3" t="s">
        <v>14</v>
      </c>
      <c r="L512" s="3" t="s">
        <v>566</v>
      </c>
      <c r="M512" s="4">
        <v>46296</v>
      </c>
      <c r="N512" s="3" t="s">
        <v>599</v>
      </c>
      <c r="O512" s="3" t="s">
        <v>20</v>
      </c>
      <c r="P512" t="str">
        <f t="shared" si="7"/>
        <v>450013931120</v>
      </c>
      <c r="Q512" s="7" cm="1">
        <f t="array" ref="Q512:S512">VLOOKUP(P512,Hoja1!C:F,{2,3,4},FALSE)</f>
        <v>46309</v>
      </c>
      <c r="R512" t="str">
        <v>C50</v>
      </c>
      <c r="S512" t="str">
        <v>1000002774 MILLA MAR DEL PLATA S.A.</v>
      </c>
      <c r="T512" t="str">
        <f>VLOOKUP(P512,Hoja2!C:D,2,FALSE)</f>
        <v>WVENTURINI</v>
      </c>
    </row>
    <row r="513" spans="1:20" x14ac:dyDescent="0.3">
      <c r="A513" s="2" t="s">
        <v>14</v>
      </c>
      <c r="B513" s="3" t="s">
        <v>14</v>
      </c>
      <c r="C513" s="3" t="s">
        <v>600</v>
      </c>
      <c r="D513" s="3" t="s">
        <v>14</v>
      </c>
      <c r="E513" s="3" t="s">
        <v>96</v>
      </c>
      <c r="F513" s="4">
        <v>46296</v>
      </c>
      <c r="G513" s="3" t="s">
        <v>43</v>
      </c>
      <c r="H513" s="6">
        <v>-103800</v>
      </c>
      <c r="I513" s="3" t="s">
        <v>16</v>
      </c>
      <c r="J513" s="3" t="s">
        <v>14</v>
      </c>
      <c r="K513" s="3" t="s">
        <v>14</v>
      </c>
      <c r="L513" s="3" t="s">
        <v>268</v>
      </c>
      <c r="M513" s="4">
        <v>46296</v>
      </c>
      <c r="N513" s="3" t="s">
        <v>601</v>
      </c>
      <c r="O513" s="3" t="s">
        <v>33</v>
      </c>
      <c r="P513" t="str">
        <f t="shared" si="7"/>
        <v>450013311810</v>
      </c>
      <c r="Q513" s="7" cm="1">
        <f t="array" ref="Q513:S513">VLOOKUP(P513,Hoja1!C:F,{2,3,4},FALSE)</f>
        <v>46240</v>
      </c>
      <c r="R513" t="str">
        <v>EFO</v>
      </c>
      <c r="S513" t="str">
        <v>1000001014 ANDRE FRENO S.R.L.</v>
      </c>
      <c r="T513" t="str">
        <f>VLOOKUP(P513,Hoja2!C:D,2,FALSE)</f>
        <v>GROSES</v>
      </c>
    </row>
    <row r="514" spans="1:20" x14ac:dyDescent="0.3">
      <c r="A514" s="2" t="s">
        <v>14</v>
      </c>
      <c r="B514" s="3" t="s">
        <v>14</v>
      </c>
      <c r="C514" s="3" t="s">
        <v>600</v>
      </c>
      <c r="D514" s="3" t="s">
        <v>14</v>
      </c>
      <c r="E514" s="3" t="s">
        <v>96</v>
      </c>
      <c r="F514" s="4">
        <v>46296</v>
      </c>
      <c r="G514" s="3" t="s">
        <v>43</v>
      </c>
      <c r="H514" s="6">
        <v>-72800</v>
      </c>
      <c r="I514" s="3" t="s">
        <v>16</v>
      </c>
      <c r="J514" s="3" t="s">
        <v>14</v>
      </c>
      <c r="K514" s="3" t="s">
        <v>14</v>
      </c>
      <c r="L514" s="3" t="s">
        <v>268</v>
      </c>
      <c r="M514" s="4">
        <v>46296</v>
      </c>
      <c r="N514" s="3" t="s">
        <v>601</v>
      </c>
      <c r="O514" s="3" t="s">
        <v>20</v>
      </c>
      <c r="P514" t="str">
        <f t="shared" si="7"/>
        <v>450013311820</v>
      </c>
      <c r="Q514" s="7" cm="1">
        <f t="array" ref="Q514:S514">VLOOKUP(P514,Hoja1!C:F,{2,3,4},FALSE)</f>
        <v>46240</v>
      </c>
      <c r="R514" t="str">
        <v>EFO</v>
      </c>
      <c r="S514" t="str">
        <v>1000001014 ANDRE FRENO S.R.L.</v>
      </c>
      <c r="T514" t="str">
        <f>VLOOKUP(P514,Hoja2!C:D,2,FALSE)</f>
        <v>GROSES</v>
      </c>
    </row>
    <row r="515" spans="1:20" x14ac:dyDescent="0.3">
      <c r="A515" s="2" t="s">
        <v>14</v>
      </c>
      <c r="B515" s="3" t="s">
        <v>14</v>
      </c>
      <c r="C515" s="3" t="s">
        <v>604</v>
      </c>
      <c r="D515" s="3" t="s">
        <v>35</v>
      </c>
      <c r="E515" s="3" t="s">
        <v>96</v>
      </c>
      <c r="F515" s="4">
        <v>46296</v>
      </c>
      <c r="G515" s="3" t="s">
        <v>43</v>
      </c>
      <c r="H515" s="6">
        <v>-4167617.96</v>
      </c>
      <c r="I515" s="3" t="s">
        <v>16</v>
      </c>
      <c r="J515" s="3" t="s">
        <v>14</v>
      </c>
      <c r="K515" s="3" t="s">
        <v>14</v>
      </c>
      <c r="L515" s="3" t="s">
        <v>605</v>
      </c>
      <c r="M515" s="4">
        <v>46296</v>
      </c>
      <c r="N515" s="3" t="s">
        <v>606</v>
      </c>
      <c r="O515" s="3" t="s">
        <v>33</v>
      </c>
      <c r="P515" t="str">
        <f t="shared" ref="P515:P578" si="8">_xlfn.CONCAT(N515:O515)</f>
        <v>450013444910</v>
      </c>
      <c r="Q515" s="7" cm="1">
        <f t="array" ref="Q515:S515">VLOOKUP(P515,Hoja1!C:F,{2,3,4},FALSE)</f>
        <v>46387</v>
      </c>
      <c r="R515" t="str">
        <v>C25</v>
      </c>
      <c r="S515" t="str">
        <v>1000001040 REHABILITAR SAN JUAN SRL</v>
      </c>
      <c r="T515" t="str">
        <f>VLOOKUP(P515,Hoja2!C:D,2,FALSE)</f>
        <v>MPITTIA</v>
      </c>
    </row>
    <row r="516" spans="1:20" x14ac:dyDescent="0.3">
      <c r="A516" s="2" t="s">
        <v>14</v>
      </c>
      <c r="B516" s="3" t="s">
        <v>14</v>
      </c>
      <c r="C516" s="3" t="s">
        <v>651</v>
      </c>
      <c r="D516" s="3" t="s">
        <v>14</v>
      </c>
      <c r="E516" s="3" t="s">
        <v>96</v>
      </c>
      <c r="F516" s="4">
        <v>46288</v>
      </c>
      <c r="G516" s="3" t="s">
        <v>43</v>
      </c>
      <c r="H516" s="6">
        <v>-198347.1</v>
      </c>
      <c r="I516" s="3" t="s">
        <v>16</v>
      </c>
      <c r="J516" s="3" t="s">
        <v>14</v>
      </c>
      <c r="K516" s="3" t="s">
        <v>14</v>
      </c>
      <c r="L516" s="3" t="s">
        <v>652</v>
      </c>
      <c r="M516" s="4">
        <v>46296</v>
      </c>
      <c r="N516" s="3" t="s">
        <v>653</v>
      </c>
      <c r="O516" s="3" t="s">
        <v>33</v>
      </c>
      <c r="P516" t="str">
        <f t="shared" si="8"/>
        <v>450013920910</v>
      </c>
      <c r="Q516" s="7" cm="1">
        <f t="array" ref="Q516:S516">VLOOKUP(P516,Hoja1!C:F,{2,3,4},FALSE)</f>
        <v>46308</v>
      </c>
      <c r="R516" t="str">
        <v>C43</v>
      </c>
      <c r="S516" t="str">
        <v>1000013098 EL ALTILLO SRL</v>
      </c>
      <c r="T516" t="str">
        <f>VLOOKUP(P516,Hoja2!C:D,2,FALSE)</f>
        <v>EFUNES</v>
      </c>
    </row>
    <row r="517" spans="1:20" x14ac:dyDescent="0.3">
      <c r="A517" s="2" t="s">
        <v>14</v>
      </c>
      <c r="B517" s="3" t="s">
        <v>14</v>
      </c>
      <c r="C517" s="3" t="s">
        <v>651</v>
      </c>
      <c r="D517" s="3" t="s">
        <v>14</v>
      </c>
      <c r="E517" s="3" t="s">
        <v>96</v>
      </c>
      <c r="F517" s="4">
        <v>46288</v>
      </c>
      <c r="G517" s="3" t="s">
        <v>43</v>
      </c>
      <c r="H517" s="6">
        <v>-74380.160000000003</v>
      </c>
      <c r="I517" s="3" t="s">
        <v>16</v>
      </c>
      <c r="J517" s="3" t="s">
        <v>14</v>
      </c>
      <c r="K517" s="3" t="s">
        <v>14</v>
      </c>
      <c r="L517" s="3" t="s">
        <v>652</v>
      </c>
      <c r="M517" s="4">
        <v>46296</v>
      </c>
      <c r="N517" s="3" t="s">
        <v>653</v>
      </c>
      <c r="O517" s="3" t="s">
        <v>20</v>
      </c>
      <c r="P517" t="str">
        <f t="shared" si="8"/>
        <v>450013920920</v>
      </c>
      <c r="Q517" s="7" cm="1">
        <f t="array" ref="Q517:S517">VLOOKUP(P517,Hoja1!C:F,{2,3,4},FALSE)</f>
        <v>46308</v>
      </c>
      <c r="R517" t="str">
        <v>C43</v>
      </c>
      <c r="S517" t="str">
        <v>1000013098 EL ALTILLO SRL</v>
      </c>
      <c r="T517" t="str">
        <f>VLOOKUP(P517,Hoja2!C:D,2,FALSE)</f>
        <v>EFUNES</v>
      </c>
    </row>
    <row r="518" spans="1:20" x14ac:dyDescent="0.3">
      <c r="A518" s="2" t="s">
        <v>14</v>
      </c>
      <c r="B518" s="3" t="s">
        <v>14</v>
      </c>
      <c r="C518" s="3" t="s">
        <v>654</v>
      </c>
      <c r="D518" s="3" t="s">
        <v>14</v>
      </c>
      <c r="E518" s="3" t="s">
        <v>96</v>
      </c>
      <c r="F518" s="4">
        <v>46288</v>
      </c>
      <c r="G518" s="3" t="s">
        <v>43</v>
      </c>
      <c r="H518" s="6">
        <v>-99825</v>
      </c>
      <c r="I518" s="3" t="s">
        <v>16</v>
      </c>
      <c r="J518" s="3" t="s">
        <v>14</v>
      </c>
      <c r="K518" s="3" t="s">
        <v>14</v>
      </c>
      <c r="L518" s="3" t="s">
        <v>655</v>
      </c>
      <c r="M518" s="4">
        <v>46296</v>
      </c>
      <c r="N518" s="3" t="s">
        <v>656</v>
      </c>
      <c r="O518" s="3" t="s">
        <v>20</v>
      </c>
      <c r="P518" t="str">
        <f t="shared" si="8"/>
        <v>450013834820</v>
      </c>
      <c r="Q518" s="7" cm="1">
        <f t="array" ref="Q518:S518">VLOOKUP(P518,Hoja1!C:F,{2,3,4},FALSE)</f>
        <v>46294</v>
      </c>
      <c r="R518" t="str">
        <v>C03</v>
      </c>
      <c r="S518" t="str">
        <v>1000000190 FERNANDEZ INSUA S.A.</v>
      </c>
      <c r="T518" t="str">
        <f>VLOOKUP(P518,Hoja2!C:D,2,FALSE)</f>
        <v>WVENTURINI</v>
      </c>
    </row>
    <row r="519" spans="1:20" x14ac:dyDescent="0.3">
      <c r="A519" s="2" t="s">
        <v>14</v>
      </c>
      <c r="B519" s="3" t="s">
        <v>14</v>
      </c>
      <c r="C519" s="3" t="s">
        <v>654</v>
      </c>
      <c r="D519" s="3" t="s">
        <v>14</v>
      </c>
      <c r="E519" s="3" t="s">
        <v>96</v>
      </c>
      <c r="F519" s="4">
        <v>46288</v>
      </c>
      <c r="G519" s="3" t="s">
        <v>43</v>
      </c>
      <c r="H519" s="6">
        <v>-181500</v>
      </c>
      <c r="I519" s="3" t="s">
        <v>16</v>
      </c>
      <c r="J519" s="3" t="s">
        <v>14</v>
      </c>
      <c r="K519" s="3" t="s">
        <v>14</v>
      </c>
      <c r="L519" s="3" t="s">
        <v>655</v>
      </c>
      <c r="M519" s="4">
        <v>46296</v>
      </c>
      <c r="N519" s="3" t="s">
        <v>656</v>
      </c>
      <c r="O519" s="3" t="s">
        <v>21</v>
      </c>
      <c r="P519" t="str">
        <f t="shared" si="8"/>
        <v>450013834830</v>
      </c>
      <c r="Q519" s="7" cm="1">
        <f t="array" ref="Q519:S519">VLOOKUP(P519,Hoja1!C:F,{2,3,4},FALSE)</f>
        <v>46294</v>
      </c>
      <c r="R519" t="str">
        <v>C03</v>
      </c>
      <c r="S519" t="str">
        <v>1000000190 FERNANDEZ INSUA S.A.</v>
      </c>
      <c r="T519" t="str">
        <f>VLOOKUP(P519,Hoja2!C:D,2,FALSE)</f>
        <v>WVENTURINI</v>
      </c>
    </row>
    <row r="520" spans="1:20" x14ac:dyDescent="0.3">
      <c r="A520" s="2" t="s">
        <v>14</v>
      </c>
      <c r="B520" s="3" t="s">
        <v>14</v>
      </c>
      <c r="C520" s="3" t="s">
        <v>654</v>
      </c>
      <c r="D520" s="3" t="s">
        <v>14</v>
      </c>
      <c r="E520" s="3" t="s">
        <v>96</v>
      </c>
      <c r="F520" s="4">
        <v>46288</v>
      </c>
      <c r="G520" s="3" t="s">
        <v>43</v>
      </c>
      <c r="H520" s="6">
        <v>-272250</v>
      </c>
      <c r="I520" s="3" t="s">
        <v>16</v>
      </c>
      <c r="J520" s="3" t="s">
        <v>14</v>
      </c>
      <c r="K520" s="3" t="s">
        <v>14</v>
      </c>
      <c r="L520" s="3" t="s">
        <v>655</v>
      </c>
      <c r="M520" s="4">
        <v>46296</v>
      </c>
      <c r="N520" s="3" t="s">
        <v>656</v>
      </c>
      <c r="O520" s="3" t="s">
        <v>25</v>
      </c>
      <c r="P520" t="str">
        <f t="shared" si="8"/>
        <v>450013834840</v>
      </c>
      <c r="Q520" s="7" cm="1">
        <f t="array" ref="Q520:S520">VLOOKUP(P520,Hoja1!C:F,{2,3,4},FALSE)</f>
        <v>46294</v>
      </c>
      <c r="R520" t="str">
        <v>C03</v>
      </c>
      <c r="S520" t="str">
        <v>1000000190 FERNANDEZ INSUA S.A.</v>
      </c>
      <c r="T520" t="str">
        <f>VLOOKUP(P520,Hoja2!C:D,2,FALSE)</f>
        <v>WVENTURINI</v>
      </c>
    </row>
    <row r="521" spans="1:20" x14ac:dyDescent="0.3">
      <c r="A521" s="2" t="s">
        <v>14</v>
      </c>
      <c r="B521" s="3" t="s">
        <v>14</v>
      </c>
      <c r="C521" s="3" t="s">
        <v>661</v>
      </c>
      <c r="D521" s="3" t="s">
        <v>14</v>
      </c>
      <c r="E521" s="3" t="s">
        <v>96</v>
      </c>
      <c r="F521" s="4">
        <v>46290</v>
      </c>
      <c r="G521" s="3" t="s">
        <v>43</v>
      </c>
      <c r="H521" s="6">
        <v>-345465</v>
      </c>
      <c r="I521" s="3" t="s">
        <v>16</v>
      </c>
      <c r="J521" s="3" t="s">
        <v>14</v>
      </c>
      <c r="K521" s="3" t="s">
        <v>14</v>
      </c>
      <c r="L521" s="3" t="s">
        <v>86</v>
      </c>
      <c r="M521" s="4">
        <v>46296</v>
      </c>
      <c r="N521" s="3" t="s">
        <v>662</v>
      </c>
      <c r="O521" s="3" t="s">
        <v>33</v>
      </c>
      <c r="P521" t="str">
        <f t="shared" si="8"/>
        <v>450013949610</v>
      </c>
      <c r="Q521" s="7" cm="1">
        <f t="array" ref="Q521:S521">VLOOKUP(P521,Hoja1!C:F,{2,3,4},FALSE)</f>
        <v>46300</v>
      </c>
      <c r="R521" t="str">
        <v>C43</v>
      </c>
      <c r="S521" t="str">
        <v>1000001028 SOSTEN S.A.</v>
      </c>
      <c r="T521" t="str">
        <f>VLOOKUP(P521,Hoja2!C:D,2,FALSE)</f>
        <v>EFUNES</v>
      </c>
    </row>
    <row r="522" spans="1:20" x14ac:dyDescent="0.3">
      <c r="A522" s="2" t="s">
        <v>14</v>
      </c>
      <c r="B522" s="3" t="s">
        <v>14</v>
      </c>
      <c r="C522" s="3" t="s">
        <v>666</v>
      </c>
      <c r="D522" s="3" t="s">
        <v>14</v>
      </c>
      <c r="E522" s="3" t="s">
        <v>96</v>
      </c>
      <c r="F522" s="4">
        <v>46293</v>
      </c>
      <c r="G522" s="3" t="s">
        <v>43</v>
      </c>
      <c r="H522" s="6">
        <v>-689700</v>
      </c>
      <c r="I522" s="3" t="s">
        <v>16</v>
      </c>
      <c r="J522" s="3" t="s">
        <v>14</v>
      </c>
      <c r="K522" s="3" t="s">
        <v>14</v>
      </c>
      <c r="L522" s="3" t="s">
        <v>655</v>
      </c>
      <c r="M522" s="4">
        <v>46296</v>
      </c>
      <c r="N522" s="3" t="s">
        <v>667</v>
      </c>
      <c r="O522" s="3" t="s">
        <v>33</v>
      </c>
      <c r="P522" t="str">
        <f t="shared" si="8"/>
        <v>450013795210</v>
      </c>
      <c r="Q522" s="7" cm="1">
        <f t="array" ref="Q522:S522">VLOOKUP(P522,Hoja1!C:F,{2,3,4},FALSE)</f>
        <v>46301</v>
      </c>
      <c r="R522" t="str">
        <v>C03</v>
      </c>
      <c r="S522" t="str">
        <v>1000000190 FERNANDEZ INSUA S.A.</v>
      </c>
      <c r="T522" t="str">
        <f>VLOOKUP(P522,Hoja2!C:D,2,FALSE)</f>
        <v>WVENTURINI</v>
      </c>
    </row>
    <row r="523" spans="1:20" x14ac:dyDescent="0.3">
      <c r="A523" s="2" t="s">
        <v>14</v>
      </c>
      <c r="B523" s="3" t="s">
        <v>14</v>
      </c>
      <c r="C523" s="3" t="s">
        <v>668</v>
      </c>
      <c r="D523" s="3" t="s">
        <v>35</v>
      </c>
      <c r="E523" s="3" t="s">
        <v>96</v>
      </c>
      <c r="F523" s="4">
        <v>46296</v>
      </c>
      <c r="G523" s="3" t="s">
        <v>43</v>
      </c>
      <c r="H523" s="6">
        <v>-2200000</v>
      </c>
      <c r="I523" s="3" t="s">
        <v>16</v>
      </c>
      <c r="J523" s="3" t="s">
        <v>14</v>
      </c>
      <c r="K523" s="3" t="s">
        <v>14</v>
      </c>
      <c r="L523" s="3" t="s">
        <v>669</v>
      </c>
      <c r="M523" s="4">
        <v>46296</v>
      </c>
      <c r="N523" s="3" t="s">
        <v>670</v>
      </c>
      <c r="O523" s="3" t="s">
        <v>33</v>
      </c>
      <c r="P523" t="str">
        <f t="shared" si="8"/>
        <v>450013895110</v>
      </c>
      <c r="Q523" s="7" cm="1">
        <f t="array" ref="Q523:S523">VLOOKUP(P523,Hoja1!C:F,{2,3,4},FALSE)</f>
        <v>46301</v>
      </c>
      <c r="R523" t="str">
        <v>C15</v>
      </c>
      <c r="S523" t="str">
        <v>1000009284 TRANSPORTE ANA S.R.L.</v>
      </c>
      <c r="T523" t="str">
        <f>VLOOKUP(P523,Hoja2!C:D,2,FALSE)</f>
        <v>GDIAZ</v>
      </c>
    </row>
    <row r="524" spans="1:20" x14ac:dyDescent="0.3">
      <c r="A524" s="2" t="s">
        <v>14</v>
      </c>
      <c r="B524" s="3" t="s">
        <v>14</v>
      </c>
      <c r="C524" s="3" t="s">
        <v>673</v>
      </c>
      <c r="D524" s="3" t="s">
        <v>14</v>
      </c>
      <c r="E524" s="3" t="s">
        <v>96</v>
      </c>
      <c r="F524" s="4">
        <v>46296</v>
      </c>
      <c r="G524" s="3" t="s">
        <v>43</v>
      </c>
      <c r="H524" s="6">
        <v>-372060</v>
      </c>
      <c r="I524" s="3" t="s">
        <v>16</v>
      </c>
      <c r="J524" s="3" t="s">
        <v>14</v>
      </c>
      <c r="K524" s="3" t="s">
        <v>14</v>
      </c>
      <c r="L524" s="3" t="s">
        <v>674</v>
      </c>
      <c r="M524" s="4">
        <v>46296</v>
      </c>
      <c r="N524" s="3" t="s">
        <v>675</v>
      </c>
      <c r="O524" s="3" t="s">
        <v>33</v>
      </c>
      <c r="P524" t="str">
        <f t="shared" si="8"/>
        <v>450013970310</v>
      </c>
      <c r="Q524" s="7" cm="1">
        <f t="array" ref="Q524:S524">VLOOKUP(P524,Hoja1!C:F,{2,3,4},FALSE)</f>
        <v>46366</v>
      </c>
      <c r="R524" t="str">
        <v>C15</v>
      </c>
      <c r="S524" t="str">
        <v>1000007091 VALLEJO OMAR OSVALDO</v>
      </c>
      <c r="T524" t="str">
        <f>VLOOKUP(P524,Hoja2!C:D,2,FALSE)</f>
        <v>GDIAZ</v>
      </c>
    </row>
    <row r="525" spans="1:20" x14ac:dyDescent="0.3">
      <c r="A525" s="2" t="s">
        <v>14</v>
      </c>
      <c r="B525" s="3" t="s">
        <v>14</v>
      </c>
      <c r="C525" s="3" t="s">
        <v>687</v>
      </c>
      <c r="D525" s="3" t="s">
        <v>14</v>
      </c>
      <c r="E525" s="3" t="s">
        <v>96</v>
      </c>
      <c r="F525" s="4">
        <v>46297</v>
      </c>
      <c r="G525" s="3" t="s">
        <v>43</v>
      </c>
      <c r="H525" s="6">
        <v>-25454.55</v>
      </c>
      <c r="I525" s="3" t="s">
        <v>16</v>
      </c>
      <c r="J525" s="3" t="s">
        <v>14</v>
      </c>
      <c r="K525" s="3" t="s">
        <v>14</v>
      </c>
      <c r="L525" s="3" t="s">
        <v>688</v>
      </c>
      <c r="M525" s="4">
        <v>46297</v>
      </c>
      <c r="N525" s="3" t="s">
        <v>689</v>
      </c>
      <c r="O525" s="3" t="s">
        <v>33</v>
      </c>
      <c r="P525" t="str">
        <f t="shared" si="8"/>
        <v>450013969610</v>
      </c>
      <c r="Q525" s="7" cm="1">
        <f t="array" ref="Q525:S525">VLOOKUP(P525,Hoja1!C:F,{2,3,4},FALSE)</f>
        <v>46300</v>
      </c>
      <c r="R525" t="str">
        <v>C43</v>
      </c>
      <c r="S525" t="str">
        <v>1000009567 MAQBULON SAN BENITO S.A.S.</v>
      </c>
      <c r="T525" t="str">
        <f>VLOOKUP(P525,Hoja2!C:D,2,FALSE)</f>
        <v>EFUNES</v>
      </c>
    </row>
    <row r="526" spans="1:20" x14ac:dyDescent="0.3">
      <c r="A526" s="2" t="s">
        <v>14</v>
      </c>
      <c r="B526" s="3" t="s">
        <v>14</v>
      </c>
      <c r="C526" s="3" t="s">
        <v>813</v>
      </c>
      <c r="D526" s="3" t="s">
        <v>14</v>
      </c>
      <c r="E526" s="3" t="s">
        <v>96</v>
      </c>
      <c r="F526" s="4">
        <v>46297</v>
      </c>
      <c r="G526" s="3" t="s">
        <v>43</v>
      </c>
      <c r="H526" s="6">
        <v>-572634.79</v>
      </c>
      <c r="I526" s="3" t="s">
        <v>16</v>
      </c>
      <c r="J526" s="3" t="s">
        <v>14</v>
      </c>
      <c r="K526" s="3" t="s">
        <v>14</v>
      </c>
      <c r="L526" s="3" t="s">
        <v>814</v>
      </c>
      <c r="M526" s="4">
        <v>46297</v>
      </c>
      <c r="N526" s="3" t="s">
        <v>815</v>
      </c>
      <c r="O526" s="3" t="s">
        <v>33</v>
      </c>
      <c r="P526" t="str">
        <f t="shared" si="8"/>
        <v>450013973010</v>
      </c>
      <c r="Q526" s="7" cm="1">
        <f t="array" ref="Q526:S526">VLOOKUP(P526,Hoja1!C:F,{2,3,4},FALSE)</f>
        <v>46301</v>
      </c>
      <c r="R526" t="str">
        <v>C29</v>
      </c>
      <c r="S526" t="str">
        <v>1000000581 GINZA S.A.</v>
      </c>
      <c r="T526" t="str">
        <f>VLOOKUP(P526,Hoja2!C:D,2,FALSE)</f>
        <v>MFREIJOMIL</v>
      </c>
    </row>
    <row r="527" spans="1:20" x14ac:dyDescent="0.3">
      <c r="A527" s="2" t="s">
        <v>14</v>
      </c>
      <c r="B527" s="3" t="s">
        <v>14</v>
      </c>
      <c r="C527" s="3" t="s">
        <v>903</v>
      </c>
      <c r="D527" s="3" t="s">
        <v>14</v>
      </c>
      <c r="E527" s="3" t="s">
        <v>96</v>
      </c>
      <c r="F527" s="4">
        <v>46296</v>
      </c>
      <c r="G527" s="3" t="s">
        <v>43</v>
      </c>
      <c r="H527" s="6">
        <v>-267334.2</v>
      </c>
      <c r="I527" s="3" t="s">
        <v>16</v>
      </c>
      <c r="J527" s="3" t="s">
        <v>14</v>
      </c>
      <c r="K527" s="3" t="s">
        <v>14</v>
      </c>
      <c r="L527" s="3" t="s">
        <v>904</v>
      </c>
      <c r="M527" s="4">
        <v>46300</v>
      </c>
      <c r="N527" s="3" t="s">
        <v>905</v>
      </c>
      <c r="O527" s="3" t="s">
        <v>33</v>
      </c>
      <c r="P527" t="str">
        <f t="shared" si="8"/>
        <v>450013841310</v>
      </c>
      <c r="Q527" s="7" cm="1">
        <f t="array" ref="Q527:S527">VLOOKUP(P527,Hoja1!C:F,{2,3,4},FALSE)</f>
        <v>46283</v>
      </c>
      <c r="R527" t="str">
        <v>C11</v>
      </c>
      <c r="S527" t="str">
        <v>1000013361 GB ENERGIA SAU</v>
      </c>
      <c r="T527" t="str">
        <f>VLOOKUP(P527,Hoja2!C:D,2,FALSE)</f>
        <v>PRODRIGUEZ</v>
      </c>
    </row>
    <row r="528" spans="1:20" x14ac:dyDescent="0.3">
      <c r="A528" s="2" t="s">
        <v>14</v>
      </c>
      <c r="B528" s="3" t="s">
        <v>14</v>
      </c>
      <c r="C528" s="3" t="s">
        <v>906</v>
      </c>
      <c r="D528" s="3" t="s">
        <v>14</v>
      </c>
      <c r="E528" s="3" t="s">
        <v>96</v>
      </c>
      <c r="F528" s="4">
        <v>46300</v>
      </c>
      <c r="G528" s="3" t="s">
        <v>43</v>
      </c>
      <c r="H528" s="6">
        <v>-569161.75</v>
      </c>
      <c r="I528" s="3" t="s">
        <v>16</v>
      </c>
      <c r="J528" s="3" t="s">
        <v>14</v>
      </c>
      <c r="K528" s="3" t="s">
        <v>14</v>
      </c>
      <c r="L528" s="3" t="s">
        <v>476</v>
      </c>
      <c r="M528" s="4">
        <v>46300</v>
      </c>
      <c r="N528" s="3" t="s">
        <v>907</v>
      </c>
      <c r="O528" s="3" t="s">
        <v>33</v>
      </c>
      <c r="P528" t="str">
        <f t="shared" si="8"/>
        <v>450012915110</v>
      </c>
      <c r="Q528" s="7" cm="1">
        <f t="array" ref="Q528:S528">VLOOKUP(P528,Hoja1!C:F,{2,3,4},FALSE)</f>
        <v>46308</v>
      </c>
      <c r="R528" t="str">
        <v>L02</v>
      </c>
      <c r="S528" t="str">
        <v>1000000038 YPF S.A.</v>
      </c>
      <c r="T528" t="str">
        <f>VLOOKUP(P528,Hoja2!C:D,2,FALSE)</f>
        <v>FBERARDO</v>
      </c>
    </row>
    <row r="529" spans="1:20" x14ac:dyDescent="0.3">
      <c r="A529" s="2" t="s">
        <v>14</v>
      </c>
      <c r="B529" s="3" t="s">
        <v>14</v>
      </c>
      <c r="C529" s="3" t="s">
        <v>910</v>
      </c>
      <c r="D529" s="3" t="s">
        <v>14</v>
      </c>
      <c r="E529" s="3" t="s">
        <v>96</v>
      </c>
      <c r="F529" s="4">
        <v>46291</v>
      </c>
      <c r="G529" s="3" t="s">
        <v>43</v>
      </c>
      <c r="H529" s="6">
        <v>-123480</v>
      </c>
      <c r="I529" s="3" t="s">
        <v>16</v>
      </c>
      <c r="J529" s="3" t="s">
        <v>14</v>
      </c>
      <c r="K529" s="3" t="s">
        <v>14</v>
      </c>
      <c r="L529" s="3" t="s">
        <v>840</v>
      </c>
      <c r="M529" s="4">
        <v>46300</v>
      </c>
      <c r="N529" s="3" t="s">
        <v>911</v>
      </c>
      <c r="O529" s="3" t="s">
        <v>33</v>
      </c>
      <c r="P529" t="str">
        <f t="shared" si="8"/>
        <v>450013897410</v>
      </c>
      <c r="Q529" s="7" cm="1">
        <f t="array" ref="Q529:S529">VLOOKUP(P529,Hoja1!C:F,{2,3,4},FALSE)</f>
        <v>46297</v>
      </c>
      <c r="R529" t="str">
        <v>C13</v>
      </c>
      <c r="S529" t="str">
        <v>1000009391 BOTAS MERCADO DAVID ESTEBAN</v>
      </c>
      <c r="T529" t="str">
        <f>VLOOKUP(P529,Hoja2!C:D,2,FALSE)</f>
        <v>MALVAREZ</v>
      </c>
    </row>
    <row r="530" spans="1:20" x14ac:dyDescent="0.3">
      <c r="A530" s="2" t="s">
        <v>14</v>
      </c>
      <c r="B530" s="3" t="s">
        <v>14</v>
      </c>
      <c r="C530" s="3" t="s">
        <v>916</v>
      </c>
      <c r="D530" s="3" t="s">
        <v>14</v>
      </c>
      <c r="E530" s="3" t="s">
        <v>96</v>
      </c>
      <c r="F530" s="4">
        <v>46301</v>
      </c>
      <c r="G530" s="3" t="s">
        <v>43</v>
      </c>
      <c r="H530" s="6">
        <v>-401653.08</v>
      </c>
      <c r="I530" s="3" t="s">
        <v>16</v>
      </c>
      <c r="J530" s="3" t="s">
        <v>14</v>
      </c>
      <c r="K530" s="3" t="s">
        <v>14</v>
      </c>
      <c r="L530" s="3" t="s">
        <v>917</v>
      </c>
      <c r="M530" s="4">
        <v>46301</v>
      </c>
      <c r="N530" s="3" t="s">
        <v>918</v>
      </c>
      <c r="O530" s="3" t="s">
        <v>33</v>
      </c>
      <c r="P530" t="str">
        <f t="shared" si="8"/>
        <v>450011282610</v>
      </c>
      <c r="Q530" s="7" cm="1">
        <f t="array" ref="Q530:S530">VLOOKUP(P530,Hoja1!C:F,{2,3,4},FALSE)</f>
        <v>46326</v>
      </c>
      <c r="R530" t="str">
        <v>C25</v>
      </c>
      <c r="S530" t="str">
        <v>1000003420 OVIEDO CRISTIAN EDUARDO</v>
      </c>
      <c r="T530" t="str">
        <f>VLOOKUP(P530,Hoja2!C:D,2,FALSE)</f>
        <v>MPITTIA</v>
      </c>
    </row>
    <row r="531" spans="1:20" x14ac:dyDescent="0.3">
      <c r="A531" s="2" t="s">
        <v>14</v>
      </c>
      <c r="B531" s="3" t="s">
        <v>14</v>
      </c>
      <c r="C531" s="3" t="s">
        <v>916</v>
      </c>
      <c r="D531" s="3" t="s">
        <v>14</v>
      </c>
      <c r="E531" s="3" t="s">
        <v>96</v>
      </c>
      <c r="F531" s="4">
        <v>46301</v>
      </c>
      <c r="G531" s="3" t="s">
        <v>43</v>
      </c>
      <c r="H531" s="6">
        <v>-282644.64</v>
      </c>
      <c r="I531" s="3" t="s">
        <v>16</v>
      </c>
      <c r="J531" s="3" t="s">
        <v>14</v>
      </c>
      <c r="K531" s="3" t="s">
        <v>14</v>
      </c>
      <c r="L531" s="3" t="s">
        <v>917</v>
      </c>
      <c r="M531" s="4">
        <v>46301</v>
      </c>
      <c r="N531" s="3" t="s">
        <v>918</v>
      </c>
      <c r="O531" s="3" t="s">
        <v>20</v>
      </c>
      <c r="P531" t="str">
        <f t="shared" si="8"/>
        <v>450011282620</v>
      </c>
      <c r="Q531" s="7" cm="1">
        <f t="array" ref="Q531:S531">VLOOKUP(P531,Hoja1!C:F,{2,3,4},FALSE)</f>
        <v>46326</v>
      </c>
      <c r="R531" t="str">
        <v>C25</v>
      </c>
      <c r="S531" t="str">
        <v>1000003420 OVIEDO CRISTIAN EDUARDO</v>
      </c>
      <c r="T531" t="str">
        <f>VLOOKUP(P531,Hoja2!C:D,2,FALSE)</f>
        <v>MPITTIA</v>
      </c>
    </row>
    <row r="532" spans="1:20" x14ac:dyDescent="0.3">
      <c r="A532" s="2" t="s">
        <v>14</v>
      </c>
      <c r="B532" s="3" t="s">
        <v>14</v>
      </c>
      <c r="C532" s="3" t="s">
        <v>925</v>
      </c>
      <c r="D532" s="3" t="s">
        <v>14</v>
      </c>
      <c r="E532" s="3" t="s">
        <v>96</v>
      </c>
      <c r="F532" s="4">
        <v>46301</v>
      </c>
      <c r="G532" s="3" t="s">
        <v>43</v>
      </c>
      <c r="H532" s="6">
        <v>-4459813.4000000004</v>
      </c>
      <c r="I532" s="3" t="s">
        <v>16</v>
      </c>
      <c r="J532" s="3" t="s">
        <v>14</v>
      </c>
      <c r="K532" s="3" t="s">
        <v>14</v>
      </c>
      <c r="L532" s="3" t="s">
        <v>926</v>
      </c>
      <c r="M532" s="4">
        <v>46301</v>
      </c>
      <c r="N532" s="3" t="s">
        <v>927</v>
      </c>
      <c r="O532" s="3" t="s">
        <v>33</v>
      </c>
      <c r="P532" t="str">
        <f t="shared" si="8"/>
        <v>450013905610</v>
      </c>
      <c r="Q532" s="7" cm="1">
        <f t="array" ref="Q532:S532">VLOOKUP(P532,Hoja1!C:F,{2,3,4},FALSE)</f>
        <v>46308</v>
      </c>
      <c r="R532" t="str">
        <v>C03</v>
      </c>
      <c r="S532" t="str">
        <v>1000000077 HUGO SANCHEZ S.A.</v>
      </c>
      <c r="T532" t="str">
        <f>VLOOKUP(P532,Hoja2!C:D,2,FALSE)</f>
        <v>EFUNES</v>
      </c>
    </row>
    <row r="533" spans="1:20" x14ac:dyDescent="0.3">
      <c r="A533" s="2" t="s">
        <v>14</v>
      </c>
      <c r="B533" s="3" t="s">
        <v>14</v>
      </c>
      <c r="C533" s="3" t="s">
        <v>929</v>
      </c>
      <c r="D533" s="3" t="s">
        <v>14</v>
      </c>
      <c r="E533" s="3" t="s">
        <v>96</v>
      </c>
      <c r="F533" s="4">
        <v>46302</v>
      </c>
      <c r="G533" s="3" t="s">
        <v>43</v>
      </c>
      <c r="H533" s="6">
        <v>-319162.08</v>
      </c>
      <c r="I533" s="3" t="s">
        <v>16</v>
      </c>
      <c r="J533" s="3" t="s">
        <v>14</v>
      </c>
      <c r="K533" s="3" t="s">
        <v>14</v>
      </c>
      <c r="L533" s="3" t="s">
        <v>814</v>
      </c>
      <c r="M533" s="4">
        <v>46302</v>
      </c>
      <c r="N533" s="3" t="s">
        <v>930</v>
      </c>
      <c r="O533" s="3" t="s">
        <v>33</v>
      </c>
      <c r="P533" t="str">
        <f t="shared" si="8"/>
        <v>450014011010</v>
      </c>
      <c r="Q533" s="7" cm="1">
        <f t="array" ref="Q533:S533">VLOOKUP(P533,Hoja1!C:F,{2,3,4},FALSE)</f>
        <v>46305</v>
      </c>
      <c r="R533" t="str">
        <v>F04</v>
      </c>
      <c r="S533" t="str">
        <v>1000000581 GINZA S.A.</v>
      </c>
      <c r="T533" t="str">
        <f>VLOOKUP(P533,Hoja2!C:D,2,FALSE)</f>
        <v>RPEREZ</v>
      </c>
    </row>
    <row r="534" spans="1:20" x14ac:dyDescent="0.3">
      <c r="A534" s="2" t="s">
        <v>14</v>
      </c>
      <c r="B534" s="3" t="s">
        <v>14</v>
      </c>
      <c r="C534" s="3" t="s">
        <v>931</v>
      </c>
      <c r="D534" s="3" t="s">
        <v>14</v>
      </c>
      <c r="E534" s="3" t="s">
        <v>96</v>
      </c>
      <c r="F534" s="4">
        <v>46301</v>
      </c>
      <c r="G534" s="3" t="s">
        <v>43</v>
      </c>
      <c r="H534" s="6">
        <v>-709320</v>
      </c>
      <c r="I534" s="3" t="s">
        <v>16</v>
      </c>
      <c r="J534" s="3" t="s">
        <v>14</v>
      </c>
      <c r="K534" s="3" t="s">
        <v>14</v>
      </c>
      <c r="L534" s="3" t="s">
        <v>932</v>
      </c>
      <c r="M534" s="4">
        <v>46302</v>
      </c>
      <c r="N534" s="3" t="s">
        <v>933</v>
      </c>
      <c r="O534" s="3" t="s">
        <v>33</v>
      </c>
      <c r="P534" t="str">
        <f t="shared" si="8"/>
        <v>450014025710</v>
      </c>
      <c r="Q534" s="7" cm="1">
        <f t="array" ref="Q534:S534">VLOOKUP(P534,Hoja1!C:F,{2,3,4},FALSE)</f>
        <v>46309</v>
      </c>
      <c r="R534" t="str">
        <v>C17</v>
      </c>
      <c r="S534" t="str">
        <v>1000008830 VICEM SAN JUAN S.A.</v>
      </c>
      <c r="T534" t="str">
        <f>VLOOKUP(P534,Hoja2!C:D,2,FALSE)</f>
        <v>GDIAZ</v>
      </c>
    </row>
    <row r="535" spans="1:20" x14ac:dyDescent="0.3">
      <c r="A535" s="2" t="s">
        <v>14</v>
      </c>
      <c r="B535" s="3" t="s">
        <v>14</v>
      </c>
      <c r="C535" s="3" t="s">
        <v>934</v>
      </c>
      <c r="D535" s="3" t="s">
        <v>14</v>
      </c>
      <c r="E535" s="3" t="s">
        <v>96</v>
      </c>
      <c r="F535" s="4">
        <v>46297</v>
      </c>
      <c r="G535" s="3" t="s">
        <v>43</v>
      </c>
      <c r="H535" s="6">
        <v>-68600</v>
      </c>
      <c r="I535" s="3" t="s">
        <v>16</v>
      </c>
      <c r="J535" s="3" t="s">
        <v>14</v>
      </c>
      <c r="K535" s="3" t="s">
        <v>14</v>
      </c>
      <c r="L535" s="3" t="s">
        <v>840</v>
      </c>
      <c r="M535" s="4">
        <v>46302</v>
      </c>
      <c r="N535" s="3" t="s">
        <v>911</v>
      </c>
      <c r="O535" s="3" t="s">
        <v>33</v>
      </c>
      <c r="P535" t="str">
        <f t="shared" si="8"/>
        <v>450013897410</v>
      </c>
      <c r="Q535" s="7" cm="1">
        <f t="array" ref="Q535:S535">VLOOKUP(P535,Hoja1!C:F,{2,3,4},FALSE)</f>
        <v>46297</v>
      </c>
      <c r="R535" t="str">
        <v>C13</v>
      </c>
      <c r="S535" t="str">
        <v>1000009391 BOTAS MERCADO DAVID ESTEBAN</v>
      </c>
      <c r="T535" t="str">
        <f>VLOOKUP(P535,Hoja2!C:D,2,FALSE)</f>
        <v>MALVAREZ</v>
      </c>
    </row>
    <row r="536" spans="1:20" x14ac:dyDescent="0.3">
      <c r="A536" s="2" t="s">
        <v>14</v>
      </c>
      <c r="B536" s="3" t="s">
        <v>14</v>
      </c>
      <c r="C536" s="3" t="s">
        <v>938</v>
      </c>
      <c r="D536" s="3" t="s">
        <v>14</v>
      </c>
      <c r="E536" s="3" t="s">
        <v>96</v>
      </c>
      <c r="F536" s="4">
        <v>46302</v>
      </c>
      <c r="G536" s="3" t="s">
        <v>43</v>
      </c>
      <c r="H536" s="6">
        <v>-11170</v>
      </c>
      <c r="I536" s="3" t="s">
        <v>16</v>
      </c>
      <c r="J536" s="3" t="s">
        <v>14</v>
      </c>
      <c r="K536" s="3" t="s">
        <v>14</v>
      </c>
      <c r="L536" s="3" t="s">
        <v>939</v>
      </c>
      <c r="M536" s="4">
        <v>46302</v>
      </c>
      <c r="N536" s="3" t="s">
        <v>940</v>
      </c>
      <c r="O536" s="3" t="s">
        <v>33</v>
      </c>
      <c r="P536" t="str">
        <f t="shared" si="8"/>
        <v>450013999210</v>
      </c>
      <c r="Q536" s="7" cm="1">
        <f t="array" ref="Q536:S536">VLOOKUP(P536,Hoja1!C:F,{2,3,4},FALSE)</f>
        <v>46304</v>
      </c>
      <c r="R536" t="str">
        <v>C22</v>
      </c>
      <c r="S536" t="str">
        <v>1000000001 FERRETERA SAN LUIS</v>
      </c>
      <c r="T536" t="str">
        <f>VLOOKUP(P536,Hoja2!C:D,2,FALSE)</f>
        <v>JPUPULIN</v>
      </c>
    </row>
    <row r="537" spans="1:20" x14ac:dyDescent="0.3">
      <c r="A537" s="2" t="s">
        <v>14</v>
      </c>
      <c r="B537" s="3" t="s">
        <v>14</v>
      </c>
      <c r="C537" s="3" t="s">
        <v>944</v>
      </c>
      <c r="D537" s="3" t="s">
        <v>35</v>
      </c>
      <c r="E537" s="3" t="s">
        <v>96</v>
      </c>
      <c r="F537" s="4">
        <v>46302</v>
      </c>
      <c r="G537" s="3" t="s">
        <v>43</v>
      </c>
      <c r="H537" s="6">
        <v>-115702.44</v>
      </c>
      <c r="I537" s="3" t="s">
        <v>16</v>
      </c>
      <c r="J537" s="3" t="s">
        <v>14</v>
      </c>
      <c r="K537" s="3" t="s">
        <v>14</v>
      </c>
      <c r="L537" s="3" t="s">
        <v>605</v>
      </c>
      <c r="M537" s="4">
        <v>46302</v>
      </c>
      <c r="N537" s="3" t="s">
        <v>945</v>
      </c>
      <c r="O537" s="3" t="s">
        <v>33</v>
      </c>
      <c r="P537" t="str">
        <f t="shared" si="8"/>
        <v>450014038410</v>
      </c>
      <c r="Q537" s="7" cm="1">
        <f t="array" ref="Q537:S537">VLOOKUP(P537,Hoja1!C:F,{2,3,4},FALSE)</f>
        <v>46310</v>
      </c>
      <c r="R537" t="str">
        <v>C25</v>
      </c>
      <c r="S537" t="str">
        <v>1000001040 REHABILITAR SAN JUAN SRL</v>
      </c>
      <c r="T537" t="str">
        <f>VLOOKUP(P537,Hoja2!C:D,2,FALSE)</f>
        <v>JESPARZA</v>
      </c>
    </row>
    <row r="538" spans="1:20" x14ac:dyDescent="0.3">
      <c r="A538" s="2" t="s">
        <v>14</v>
      </c>
      <c r="B538" s="3" t="s">
        <v>14</v>
      </c>
      <c r="C538" s="3" t="s">
        <v>947</v>
      </c>
      <c r="D538" s="3" t="s">
        <v>14</v>
      </c>
      <c r="E538" s="3" t="s">
        <v>96</v>
      </c>
      <c r="F538" s="4">
        <v>46302</v>
      </c>
      <c r="G538" s="3" t="s">
        <v>43</v>
      </c>
      <c r="H538" s="6">
        <v>-5279532.2</v>
      </c>
      <c r="I538" s="3" t="s">
        <v>16</v>
      </c>
      <c r="J538" s="3" t="s">
        <v>14</v>
      </c>
      <c r="K538" s="3" t="s">
        <v>14</v>
      </c>
      <c r="L538" s="3" t="s">
        <v>18</v>
      </c>
      <c r="M538" s="4">
        <v>46302</v>
      </c>
      <c r="N538" s="3" t="s">
        <v>948</v>
      </c>
      <c r="O538" s="3" t="s">
        <v>33</v>
      </c>
      <c r="P538" t="str">
        <f t="shared" si="8"/>
        <v>450014022310</v>
      </c>
      <c r="Q538" s="7" cm="1">
        <f t="array" ref="Q538:S538">VLOOKUP(P538,Hoja1!C:F,{2,3,4},FALSE)</f>
        <v>46311</v>
      </c>
      <c r="R538" t="str">
        <v>L02</v>
      </c>
      <c r="S538" t="str">
        <v>1000001470 SUDAMERICANA CAMIONES SA</v>
      </c>
      <c r="T538" t="str">
        <f>VLOOKUP(P538,Hoja2!C:D,2,FALSE)</f>
        <v>FBERARDO</v>
      </c>
    </row>
    <row r="539" spans="1:20" x14ac:dyDescent="0.3">
      <c r="A539" s="2" t="s">
        <v>14</v>
      </c>
      <c r="B539" s="3" t="s">
        <v>14</v>
      </c>
      <c r="C539" s="3" t="s">
        <v>949</v>
      </c>
      <c r="D539" s="3" t="s">
        <v>14</v>
      </c>
      <c r="E539" s="3" t="s">
        <v>96</v>
      </c>
      <c r="F539" s="4">
        <v>46302</v>
      </c>
      <c r="G539" s="3" t="s">
        <v>43</v>
      </c>
      <c r="H539" s="6">
        <v>-567057.88</v>
      </c>
      <c r="I539" s="3" t="s">
        <v>16</v>
      </c>
      <c r="J539" s="3" t="s">
        <v>14</v>
      </c>
      <c r="K539" s="3" t="s">
        <v>14</v>
      </c>
      <c r="L539" s="3" t="s">
        <v>513</v>
      </c>
      <c r="M539" s="4">
        <v>46302</v>
      </c>
      <c r="N539" s="3" t="s">
        <v>950</v>
      </c>
      <c r="O539" s="3" t="s">
        <v>33</v>
      </c>
      <c r="P539" t="str">
        <f t="shared" si="8"/>
        <v>450013466710</v>
      </c>
      <c r="Q539" s="7" cm="1">
        <f t="array" ref="Q539:S539">VLOOKUP(P539,Hoja1!C:F,{2,3,4},FALSE)</f>
        <v>46308</v>
      </c>
      <c r="R539" t="str">
        <v>C52</v>
      </c>
      <c r="S539" t="str">
        <v>1000000016 OSVALDO L.SANTILLI E HIJOS S.A</v>
      </c>
      <c r="T539" t="str">
        <f>VLOOKUP(P539,Hoja2!C:D,2,FALSE)</f>
        <v>WVENTURINI</v>
      </c>
    </row>
    <row r="540" spans="1:20" x14ac:dyDescent="0.3">
      <c r="A540" s="2" t="s">
        <v>14</v>
      </c>
      <c r="B540" s="3" t="s">
        <v>14</v>
      </c>
      <c r="C540" s="3" t="s">
        <v>951</v>
      </c>
      <c r="D540" s="3" t="s">
        <v>35</v>
      </c>
      <c r="E540" s="3" t="s">
        <v>96</v>
      </c>
      <c r="F540" s="4">
        <v>46302</v>
      </c>
      <c r="G540" s="3" t="s">
        <v>43</v>
      </c>
      <c r="H540" s="6">
        <v>-405000</v>
      </c>
      <c r="I540" s="3" t="s">
        <v>16</v>
      </c>
      <c r="J540" s="3" t="s">
        <v>14</v>
      </c>
      <c r="K540" s="3" t="s">
        <v>14</v>
      </c>
      <c r="L540" s="3" t="s">
        <v>519</v>
      </c>
      <c r="M540" s="4">
        <v>46302</v>
      </c>
      <c r="N540" s="3" t="s">
        <v>952</v>
      </c>
      <c r="O540" s="3" t="s">
        <v>33</v>
      </c>
      <c r="P540" t="str">
        <f t="shared" si="8"/>
        <v>450014022410</v>
      </c>
      <c r="Q540" s="7" cm="1">
        <f t="array" ref="Q540:S540">VLOOKUP(P540,Hoja1!C:F,{2,3,4},FALSE)</f>
        <v>46333</v>
      </c>
      <c r="R540" t="str">
        <v>C07</v>
      </c>
      <c r="S540" t="str">
        <v>1000003386 LA PLATENSE SA</v>
      </c>
      <c r="T540" t="str">
        <f>VLOOKUP(P540,Hoja2!C:D,2,FALSE)</f>
        <v>CBAREA</v>
      </c>
    </row>
    <row r="541" spans="1:20" x14ac:dyDescent="0.3">
      <c r="A541" s="2" t="s">
        <v>14</v>
      </c>
      <c r="B541" s="3" t="s">
        <v>14</v>
      </c>
      <c r="C541" s="3" t="s">
        <v>951</v>
      </c>
      <c r="D541" s="3" t="s">
        <v>35</v>
      </c>
      <c r="E541" s="3" t="s">
        <v>96</v>
      </c>
      <c r="F541" s="4">
        <v>46302</v>
      </c>
      <c r="G541" s="3" t="s">
        <v>43</v>
      </c>
      <c r="H541" s="6">
        <v>-373796.4</v>
      </c>
      <c r="I541" s="3" t="s">
        <v>16</v>
      </c>
      <c r="J541" s="3" t="s">
        <v>14</v>
      </c>
      <c r="K541" s="3" t="s">
        <v>14</v>
      </c>
      <c r="L541" s="3" t="s">
        <v>519</v>
      </c>
      <c r="M541" s="4">
        <v>46302</v>
      </c>
      <c r="N541" s="3" t="s">
        <v>952</v>
      </c>
      <c r="O541" s="3" t="s">
        <v>20</v>
      </c>
      <c r="P541" t="str">
        <f t="shared" si="8"/>
        <v>450014022420</v>
      </c>
      <c r="Q541" s="7" cm="1">
        <f t="array" ref="Q541:S541">VLOOKUP(P541,Hoja1!C:F,{2,3,4},FALSE)</f>
        <v>46333</v>
      </c>
      <c r="R541" t="str">
        <v>C07</v>
      </c>
      <c r="S541" t="str">
        <v>1000003386 LA PLATENSE SA</v>
      </c>
      <c r="T541" t="str">
        <f>VLOOKUP(P541,Hoja2!C:D,2,FALSE)</f>
        <v>CBAREA</v>
      </c>
    </row>
    <row r="542" spans="1:20" x14ac:dyDescent="0.3">
      <c r="A542" s="2" t="s">
        <v>14</v>
      </c>
      <c r="B542" s="3" t="s">
        <v>14</v>
      </c>
      <c r="C542" s="3" t="s">
        <v>955</v>
      </c>
      <c r="D542" s="3" t="s">
        <v>14</v>
      </c>
      <c r="E542" s="3" t="s">
        <v>96</v>
      </c>
      <c r="F542" s="4">
        <v>46302</v>
      </c>
      <c r="G542" s="3" t="s">
        <v>43</v>
      </c>
      <c r="H542" s="6">
        <v>-1879795.89</v>
      </c>
      <c r="I542" s="3" t="s">
        <v>16</v>
      </c>
      <c r="J542" s="3" t="s">
        <v>14</v>
      </c>
      <c r="K542" s="3" t="s">
        <v>14</v>
      </c>
      <c r="L542" s="3" t="s">
        <v>956</v>
      </c>
      <c r="M542" s="4">
        <v>46302</v>
      </c>
      <c r="N542" s="3" t="s">
        <v>957</v>
      </c>
      <c r="O542" s="3" t="s">
        <v>33</v>
      </c>
      <c r="P542" t="str">
        <f t="shared" si="8"/>
        <v>450014036810</v>
      </c>
      <c r="Q542" s="7" cm="1">
        <f t="array" ref="Q542:S542">VLOOKUP(P542,Hoja1!C:F,{2,3,4},FALSE)</f>
        <v>46315</v>
      </c>
      <c r="R542" t="str">
        <v>C29</v>
      </c>
      <c r="S542" t="str">
        <v>1000009155 MILLENNIUM ARGENTINA S.R.L.</v>
      </c>
      <c r="T542" t="str">
        <f>VLOOKUP(P542,Hoja2!C:D,2,FALSE)</f>
        <v>FBERARDO</v>
      </c>
    </row>
    <row r="543" spans="1:20" x14ac:dyDescent="0.3">
      <c r="A543" s="2" t="s">
        <v>14</v>
      </c>
      <c r="B543" s="3" t="s">
        <v>14</v>
      </c>
      <c r="C543" s="3" t="s">
        <v>959</v>
      </c>
      <c r="D543" s="3" t="s">
        <v>14</v>
      </c>
      <c r="E543" s="3" t="s">
        <v>96</v>
      </c>
      <c r="F543" s="4">
        <v>46303</v>
      </c>
      <c r="G543" s="3" t="s">
        <v>43</v>
      </c>
      <c r="H543" s="6">
        <v>-358341.5</v>
      </c>
      <c r="I543" s="3" t="s">
        <v>16</v>
      </c>
      <c r="J543" s="3" t="s">
        <v>14</v>
      </c>
      <c r="K543" s="3" t="s">
        <v>14</v>
      </c>
      <c r="L543" s="3" t="s">
        <v>148</v>
      </c>
      <c r="M543" s="4">
        <v>46303</v>
      </c>
      <c r="N543" s="3" t="s">
        <v>960</v>
      </c>
      <c r="O543" s="3" t="s">
        <v>33</v>
      </c>
      <c r="P543" t="str">
        <f t="shared" si="8"/>
        <v>450013990810</v>
      </c>
      <c r="Q543" s="7" cm="1">
        <f t="array" ref="Q543:S543">VLOOKUP(P543,Hoja1!C:F,{2,3,4},FALSE)</f>
        <v>46309</v>
      </c>
      <c r="R543" t="str">
        <v>F04</v>
      </c>
      <c r="S543" t="str">
        <v>1000000062 FINNING ARGENTINA S.A.</v>
      </c>
      <c r="T543" t="str">
        <f>VLOOKUP(P543,Hoja2!C:D,2,FALSE)</f>
        <v>RPEREZ</v>
      </c>
    </row>
    <row r="544" spans="1:20" x14ac:dyDescent="0.3">
      <c r="A544" s="2" t="s">
        <v>14</v>
      </c>
      <c r="B544" s="3" t="s">
        <v>14</v>
      </c>
      <c r="C544" s="3" t="s">
        <v>959</v>
      </c>
      <c r="D544" s="3" t="s">
        <v>14</v>
      </c>
      <c r="E544" s="3" t="s">
        <v>96</v>
      </c>
      <c r="F544" s="4">
        <v>46303</v>
      </c>
      <c r="G544" s="3" t="s">
        <v>43</v>
      </c>
      <c r="H544" s="6">
        <v>-6249952.5</v>
      </c>
      <c r="I544" s="3" t="s">
        <v>16</v>
      </c>
      <c r="J544" s="3" t="s">
        <v>14</v>
      </c>
      <c r="K544" s="3" t="s">
        <v>14</v>
      </c>
      <c r="L544" s="3" t="s">
        <v>148</v>
      </c>
      <c r="M544" s="4">
        <v>46303</v>
      </c>
      <c r="N544" s="3" t="s">
        <v>960</v>
      </c>
      <c r="O544" s="3" t="s">
        <v>20</v>
      </c>
      <c r="P544" t="str">
        <f t="shared" si="8"/>
        <v>450013990820</v>
      </c>
      <c r="Q544" s="7" cm="1">
        <f t="array" ref="Q544:S544">VLOOKUP(P544,Hoja1!C:F,{2,3,4},FALSE)</f>
        <v>46309</v>
      </c>
      <c r="R544" t="str">
        <v>F04</v>
      </c>
      <c r="S544" t="str">
        <v>1000000062 FINNING ARGENTINA S.A.</v>
      </c>
      <c r="T544" t="str">
        <f>VLOOKUP(P544,Hoja2!C:D,2,FALSE)</f>
        <v>RPEREZ</v>
      </c>
    </row>
    <row r="545" spans="1:20" x14ac:dyDescent="0.3">
      <c r="A545" s="2" t="s">
        <v>14</v>
      </c>
      <c r="B545" s="3" t="s">
        <v>14</v>
      </c>
      <c r="C545" s="3" t="s">
        <v>959</v>
      </c>
      <c r="D545" s="3" t="s">
        <v>14</v>
      </c>
      <c r="E545" s="3" t="s">
        <v>96</v>
      </c>
      <c r="F545" s="4">
        <v>46303</v>
      </c>
      <c r="G545" s="3" t="s">
        <v>43</v>
      </c>
      <c r="H545" s="6">
        <v>-82688.38</v>
      </c>
      <c r="I545" s="3" t="s">
        <v>16</v>
      </c>
      <c r="J545" s="3" t="s">
        <v>14</v>
      </c>
      <c r="K545" s="3" t="s">
        <v>14</v>
      </c>
      <c r="L545" s="3" t="s">
        <v>148</v>
      </c>
      <c r="M545" s="4">
        <v>46303</v>
      </c>
      <c r="N545" s="3" t="s">
        <v>960</v>
      </c>
      <c r="O545" s="3" t="s">
        <v>21</v>
      </c>
      <c r="P545" t="str">
        <f t="shared" si="8"/>
        <v>450013990830</v>
      </c>
      <c r="Q545" s="7" cm="1">
        <f t="array" ref="Q545:S545">VLOOKUP(P545,Hoja1!C:F,{2,3,4},FALSE)</f>
        <v>46309</v>
      </c>
      <c r="R545" t="str">
        <v>F04</v>
      </c>
      <c r="S545" t="str">
        <v>1000000062 FINNING ARGENTINA S.A.</v>
      </c>
      <c r="T545" t="str">
        <f>VLOOKUP(P545,Hoja2!C:D,2,FALSE)</f>
        <v>RPEREZ</v>
      </c>
    </row>
    <row r="546" spans="1:20" x14ac:dyDescent="0.3">
      <c r="A546" s="2" t="s">
        <v>14</v>
      </c>
      <c r="B546" s="3" t="s">
        <v>14</v>
      </c>
      <c r="C546" s="3" t="s">
        <v>959</v>
      </c>
      <c r="D546" s="3" t="s">
        <v>14</v>
      </c>
      <c r="E546" s="3" t="s">
        <v>96</v>
      </c>
      <c r="F546" s="4">
        <v>46303</v>
      </c>
      <c r="G546" s="3" t="s">
        <v>43</v>
      </c>
      <c r="H546" s="6">
        <v>-179170.75</v>
      </c>
      <c r="I546" s="3" t="s">
        <v>16</v>
      </c>
      <c r="J546" s="3" t="s">
        <v>14</v>
      </c>
      <c r="K546" s="3" t="s">
        <v>14</v>
      </c>
      <c r="L546" s="3" t="s">
        <v>148</v>
      </c>
      <c r="M546" s="4">
        <v>46303</v>
      </c>
      <c r="N546" s="3" t="s">
        <v>960</v>
      </c>
      <c r="O546" s="3" t="s">
        <v>22</v>
      </c>
      <c r="P546" t="str">
        <f t="shared" si="8"/>
        <v>450013990850</v>
      </c>
      <c r="Q546" s="7" cm="1">
        <f t="array" ref="Q546:S546">VLOOKUP(P546,Hoja1!C:F,{2,3,4},FALSE)</f>
        <v>46309</v>
      </c>
      <c r="R546" t="str">
        <v>F04</v>
      </c>
      <c r="S546" t="str">
        <v>1000000062 FINNING ARGENTINA S.A.</v>
      </c>
      <c r="T546" t="str">
        <f>VLOOKUP(P546,Hoja2!C:D,2,FALSE)</f>
        <v>RPEREZ</v>
      </c>
    </row>
    <row r="547" spans="1:20" x14ac:dyDescent="0.3">
      <c r="A547" s="2" t="s">
        <v>14</v>
      </c>
      <c r="B547" s="3" t="s">
        <v>14</v>
      </c>
      <c r="C547" s="3" t="s">
        <v>961</v>
      </c>
      <c r="D547" s="3" t="s">
        <v>14</v>
      </c>
      <c r="E547" s="3" t="s">
        <v>96</v>
      </c>
      <c r="F547" s="4">
        <v>46303</v>
      </c>
      <c r="G547" s="3" t="s">
        <v>43</v>
      </c>
      <c r="H547" s="6">
        <v>-110421.1</v>
      </c>
      <c r="I547" s="3" t="s">
        <v>16</v>
      </c>
      <c r="J547" s="3" t="s">
        <v>14</v>
      </c>
      <c r="K547" s="3" t="s">
        <v>14</v>
      </c>
      <c r="L547" s="3" t="s">
        <v>423</v>
      </c>
      <c r="M547" s="4">
        <v>46303</v>
      </c>
      <c r="N547" s="3" t="s">
        <v>962</v>
      </c>
      <c r="O547" s="3" t="s">
        <v>33</v>
      </c>
      <c r="P547" t="str">
        <f t="shared" si="8"/>
        <v>450014026810</v>
      </c>
      <c r="Q547" s="7" cm="1">
        <f t="array" ref="Q547:S547">VLOOKUP(P547,Hoja1!C:F,{2,3,4},FALSE)</f>
        <v>46307</v>
      </c>
      <c r="R547" t="str">
        <v>C43</v>
      </c>
      <c r="S547" t="str">
        <v>1000001514 PIZZOLON PIETRO S.A.</v>
      </c>
      <c r="T547" t="str">
        <f>VLOOKUP(P547,Hoja2!C:D,2,FALSE)</f>
        <v>EFUNES</v>
      </c>
    </row>
    <row r="548" spans="1:20" x14ac:dyDescent="0.3">
      <c r="A548" s="2" t="s">
        <v>14</v>
      </c>
      <c r="B548" s="3" t="s">
        <v>14</v>
      </c>
      <c r="C548" s="3" t="s">
        <v>963</v>
      </c>
      <c r="D548" s="3" t="s">
        <v>14</v>
      </c>
      <c r="E548" s="3" t="s">
        <v>96</v>
      </c>
      <c r="F548" s="4">
        <v>46303</v>
      </c>
      <c r="G548" s="3" t="s">
        <v>43</v>
      </c>
      <c r="H548" s="6">
        <v>-28873.63</v>
      </c>
      <c r="I548" s="3" t="s">
        <v>16</v>
      </c>
      <c r="J548" s="3" t="s">
        <v>14</v>
      </c>
      <c r="K548" s="3" t="s">
        <v>14</v>
      </c>
      <c r="L548" s="3" t="s">
        <v>18</v>
      </c>
      <c r="M548" s="4">
        <v>46303</v>
      </c>
      <c r="N548" s="3" t="s">
        <v>964</v>
      </c>
      <c r="O548" s="3" t="s">
        <v>21</v>
      </c>
      <c r="P548" t="str">
        <f t="shared" si="8"/>
        <v>450014002230</v>
      </c>
      <c r="Q548" s="7" cm="1">
        <f t="array" ref="Q548:S548">VLOOKUP(P548,Hoja1!C:F,{2,3,4},FALSE)</f>
        <v>46300</v>
      </c>
      <c r="R548" t="str">
        <v>C39</v>
      </c>
      <c r="S548" t="str">
        <v>1000001470 SUDAMERICANA CAMIONES SA</v>
      </c>
      <c r="T548" t="str">
        <f>VLOOKUP(P548,Hoja2!C:D,2,FALSE)</f>
        <v>EFUNES</v>
      </c>
    </row>
    <row r="549" spans="1:20" x14ac:dyDescent="0.3">
      <c r="A549" s="2" t="s">
        <v>14</v>
      </c>
      <c r="B549" s="3" t="s">
        <v>14</v>
      </c>
      <c r="C549" s="3" t="s">
        <v>963</v>
      </c>
      <c r="D549" s="3" t="s">
        <v>14</v>
      </c>
      <c r="E549" s="3" t="s">
        <v>96</v>
      </c>
      <c r="F549" s="4">
        <v>46303</v>
      </c>
      <c r="G549" s="3" t="s">
        <v>43</v>
      </c>
      <c r="H549" s="6">
        <v>-4477</v>
      </c>
      <c r="I549" s="3" t="s">
        <v>16</v>
      </c>
      <c r="J549" s="3" t="s">
        <v>14</v>
      </c>
      <c r="K549" s="3" t="s">
        <v>14</v>
      </c>
      <c r="L549" s="3" t="s">
        <v>18</v>
      </c>
      <c r="M549" s="4">
        <v>46303</v>
      </c>
      <c r="N549" s="3" t="s">
        <v>964</v>
      </c>
      <c r="O549" s="3" t="s">
        <v>25</v>
      </c>
      <c r="P549" t="str">
        <f t="shared" si="8"/>
        <v>450014002240</v>
      </c>
      <c r="Q549" s="7" cm="1">
        <f t="array" ref="Q549:S549">VLOOKUP(P549,Hoja1!C:F,{2,3,4},FALSE)</f>
        <v>46300</v>
      </c>
      <c r="R549" t="str">
        <v>C39</v>
      </c>
      <c r="S549" t="str">
        <v>1000001470 SUDAMERICANA CAMIONES SA</v>
      </c>
      <c r="T549" t="str">
        <f>VLOOKUP(P549,Hoja2!C:D,2,FALSE)</f>
        <v>EFUNES</v>
      </c>
    </row>
    <row r="550" spans="1:20" x14ac:dyDescent="0.3">
      <c r="A550" s="2" t="s">
        <v>14</v>
      </c>
      <c r="B550" s="3" t="s">
        <v>14</v>
      </c>
      <c r="C550" s="3" t="s">
        <v>963</v>
      </c>
      <c r="D550" s="3" t="s">
        <v>14</v>
      </c>
      <c r="E550" s="3" t="s">
        <v>96</v>
      </c>
      <c r="F550" s="4">
        <v>46303</v>
      </c>
      <c r="G550" s="3" t="s">
        <v>43</v>
      </c>
      <c r="H550" s="6">
        <v>-60545.38</v>
      </c>
      <c r="I550" s="3" t="s">
        <v>16</v>
      </c>
      <c r="J550" s="3" t="s">
        <v>14</v>
      </c>
      <c r="K550" s="3" t="s">
        <v>14</v>
      </c>
      <c r="L550" s="3" t="s">
        <v>18</v>
      </c>
      <c r="M550" s="4">
        <v>46303</v>
      </c>
      <c r="N550" s="3" t="s">
        <v>964</v>
      </c>
      <c r="O550" s="3" t="s">
        <v>22</v>
      </c>
      <c r="P550" t="str">
        <f t="shared" si="8"/>
        <v>450014002250</v>
      </c>
      <c r="Q550" s="7" cm="1">
        <f t="array" ref="Q550:S550">VLOOKUP(P550,Hoja1!C:F,{2,3,4},FALSE)</f>
        <v>46300</v>
      </c>
      <c r="R550" t="str">
        <v>C39</v>
      </c>
      <c r="S550" t="str">
        <v>1000001470 SUDAMERICANA CAMIONES SA</v>
      </c>
      <c r="T550" t="str">
        <f>VLOOKUP(P550,Hoja2!C:D,2,FALSE)</f>
        <v>EFUNES</v>
      </c>
    </row>
    <row r="551" spans="1:20" x14ac:dyDescent="0.3">
      <c r="A551" s="2" t="s">
        <v>14</v>
      </c>
      <c r="B551" s="3" t="s">
        <v>14</v>
      </c>
      <c r="C551" s="3" t="s">
        <v>963</v>
      </c>
      <c r="D551" s="3" t="s">
        <v>14</v>
      </c>
      <c r="E551" s="3" t="s">
        <v>96</v>
      </c>
      <c r="F551" s="4">
        <v>46303</v>
      </c>
      <c r="G551" s="3" t="s">
        <v>43</v>
      </c>
      <c r="H551" s="6">
        <v>-64432.5</v>
      </c>
      <c r="I551" s="3" t="s">
        <v>16</v>
      </c>
      <c r="J551" s="3" t="s">
        <v>14</v>
      </c>
      <c r="K551" s="3" t="s">
        <v>14</v>
      </c>
      <c r="L551" s="3" t="s">
        <v>18</v>
      </c>
      <c r="M551" s="4">
        <v>46303</v>
      </c>
      <c r="N551" s="3" t="s">
        <v>964</v>
      </c>
      <c r="O551" s="3" t="s">
        <v>23</v>
      </c>
      <c r="P551" t="str">
        <f t="shared" si="8"/>
        <v>450014002260</v>
      </c>
      <c r="Q551" s="7" cm="1">
        <f t="array" ref="Q551:S551">VLOOKUP(P551,Hoja1!C:F,{2,3,4},FALSE)</f>
        <v>46300</v>
      </c>
      <c r="R551" t="str">
        <v>C39</v>
      </c>
      <c r="S551" t="str">
        <v>1000001470 SUDAMERICANA CAMIONES SA</v>
      </c>
      <c r="T551" t="str">
        <f>VLOOKUP(P551,Hoja2!C:D,2,FALSE)</f>
        <v>EFUNES</v>
      </c>
    </row>
    <row r="552" spans="1:20" x14ac:dyDescent="0.3">
      <c r="A552" s="2" t="s">
        <v>14</v>
      </c>
      <c r="B552" s="3" t="s">
        <v>14</v>
      </c>
      <c r="C552" s="3" t="s">
        <v>963</v>
      </c>
      <c r="D552" s="3" t="s">
        <v>14</v>
      </c>
      <c r="E552" s="3" t="s">
        <v>96</v>
      </c>
      <c r="F552" s="4">
        <v>46303</v>
      </c>
      <c r="G552" s="3" t="s">
        <v>43</v>
      </c>
      <c r="H552" s="6">
        <v>-2373868.75</v>
      </c>
      <c r="I552" s="3" t="s">
        <v>16</v>
      </c>
      <c r="J552" s="3" t="s">
        <v>14</v>
      </c>
      <c r="K552" s="3" t="s">
        <v>14</v>
      </c>
      <c r="L552" s="3" t="s">
        <v>18</v>
      </c>
      <c r="M552" s="4">
        <v>46303</v>
      </c>
      <c r="N552" s="3" t="s">
        <v>964</v>
      </c>
      <c r="O552" s="3" t="s">
        <v>24</v>
      </c>
      <c r="P552" t="str">
        <f t="shared" si="8"/>
        <v>450014002270</v>
      </c>
      <c r="Q552" s="7" cm="1">
        <f t="array" ref="Q552:S552">VLOOKUP(P552,Hoja1!C:F,{2,3,4},FALSE)</f>
        <v>46300</v>
      </c>
      <c r="R552" t="str">
        <v>C39</v>
      </c>
      <c r="S552" t="str">
        <v>1000001470 SUDAMERICANA CAMIONES SA</v>
      </c>
      <c r="T552" t="str">
        <f>VLOOKUP(P552,Hoja2!C:D,2,FALSE)</f>
        <v>EFUNES</v>
      </c>
    </row>
    <row r="553" spans="1:20" x14ac:dyDescent="0.3">
      <c r="A553" s="2" t="s">
        <v>14</v>
      </c>
      <c r="B553" s="3" t="s">
        <v>14</v>
      </c>
      <c r="C553" s="3" t="s">
        <v>963</v>
      </c>
      <c r="D553" s="3" t="s">
        <v>14</v>
      </c>
      <c r="E553" s="3" t="s">
        <v>96</v>
      </c>
      <c r="F553" s="4">
        <v>46303</v>
      </c>
      <c r="G553" s="3" t="s">
        <v>43</v>
      </c>
      <c r="H553" s="6">
        <v>-98554.5</v>
      </c>
      <c r="I553" s="3" t="s">
        <v>16</v>
      </c>
      <c r="J553" s="3" t="s">
        <v>14</v>
      </c>
      <c r="K553" s="3" t="s">
        <v>14</v>
      </c>
      <c r="L553" s="3" t="s">
        <v>18</v>
      </c>
      <c r="M553" s="4">
        <v>46303</v>
      </c>
      <c r="N553" s="3" t="s">
        <v>964</v>
      </c>
      <c r="O553" s="3" t="s">
        <v>321</v>
      </c>
      <c r="P553" t="str">
        <f t="shared" si="8"/>
        <v>450014002280</v>
      </c>
      <c r="Q553" s="7" cm="1">
        <f t="array" ref="Q553:S553">VLOOKUP(P553,Hoja1!C:F,{2,3,4},FALSE)</f>
        <v>46300</v>
      </c>
      <c r="R553" t="str">
        <v>C39</v>
      </c>
      <c r="S553" t="str">
        <v>1000001470 SUDAMERICANA CAMIONES SA</v>
      </c>
      <c r="T553" t="str">
        <f>VLOOKUP(P553,Hoja2!C:D,2,FALSE)</f>
        <v>EFUNES</v>
      </c>
    </row>
    <row r="554" spans="1:20" x14ac:dyDescent="0.3">
      <c r="A554" s="2" t="s">
        <v>14</v>
      </c>
      <c r="B554" s="3" t="s">
        <v>14</v>
      </c>
      <c r="C554" s="3" t="s">
        <v>963</v>
      </c>
      <c r="D554" s="3" t="s">
        <v>14</v>
      </c>
      <c r="E554" s="3" t="s">
        <v>96</v>
      </c>
      <c r="F554" s="4">
        <v>46303</v>
      </c>
      <c r="G554" s="3" t="s">
        <v>43</v>
      </c>
      <c r="H554" s="6">
        <v>-104907</v>
      </c>
      <c r="I554" s="3" t="s">
        <v>16</v>
      </c>
      <c r="J554" s="3" t="s">
        <v>14</v>
      </c>
      <c r="K554" s="3" t="s">
        <v>14</v>
      </c>
      <c r="L554" s="3" t="s">
        <v>18</v>
      </c>
      <c r="M554" s="4">
        <v>46303</v>
      </c>
      <c r="N554" s="3" t="s">
        <v>964</v>
      </c>
      <c r="O554" s="3" t="s">
        <v>322</v>
      </c>
      <c r="P554" t="str">
        <f t="shared" si="8"/>
        <v>450014002290</v>
      </c>
      <c r="Q554" s="7" cm="1">
        <f t="array" ref="Q554:S554">VLOOKUP(P554,Hoja1!C:F,{2,3,4},FALSE)</f>
        <v>46300</v>
      </c>
      <c r="R554" t="str">
        <v>C39</v>
      </c>
      <c r="S554" t="str">
        <v>1000001470 SUDAMERICANA CAMIONES SA</v>
      </c>
      <c r="T554" t="str">
        <f>VLOOKUP(P554,Hoja2!C:D,2,FALSE)</f>
        <v>EFUNES</v>
      </c>
    </row>
    <row r="555" spans="1:20" x14ac:dyDescent="0.3">
      <c r="A555" s="2" t="s">
        <v>14</v>
      </c>
      <c r="B555" s="3" t="s">
        <v>14</v>
      </c>
      <c r="C555" s="3" t="s">
        <v>963</v>
      </c>
      <c r="D555" s="3" t="s">
        <v>14</v>
      </c>
      <c r="E555" s="3" t="s">
        <v>96</v>
      </c>
      <c r="F555" s="4">
        <v>46303</v>
      </c>
      <c r="G555" s="3" t="s">
        <v>43</v>
      </c>
      <c r="H555" s="6">
        <v>-11464.75</v>
      </c>
      <c r="I555" s="3" t="s">
        <v>16</v>
      </c>
      <c r="J555" s="3" t="s">
        <v>14</v>
      </c>
      <c r="K555" s="3" t="s">
        <v>14</v>
      </c>
      <c r="L555" s="3" t="s">
        <v>18</v>
      </c>
      <c r="M555" s="4">
        <v>46303</v>
      </c>
      <c r="N555" s="3" t="s">
        <v>964</v>
      </c>
      <c r="O555" s="3" t="s">
        <v>323</v>
      </c>
      <c r="P555" t="str">
        <f t="shared" si="8"/>
        <v>4500140022100</v>
      </c>
      <c r="Q555" s="7" cm="1">
        <f t="array" ref="Q555:S555">VLOOKUP(P555,Hoja1!C:F,{2,3,4},FALSE)</f>
        <v>46300</v>
      </c>
      <c r="R555" t="str">
        <v>C39</v>
      </c>
      <c r="S555" t="str">
        <v>1000001470 SUDAMERICANA CAMIONES SA</v>
      </c>
      <c r="T555" t="str">
        <f>VLOOKUP(P555,Hoja2!C:D,2,FALSE)</f>
        <v>EFUNES</v>
      </c>
    </row>
    <row r="556" spans="1:20" x14ac:dyDescent="0.3">
      <c r="A556" s="2" t="s">
        <v>14</v>
      </c>
      <c r="B556" s="3" t="s">
        <v>14</v>
      </c>
      <c r="C556" s="3" t="s">
        <v>963</v>
      </c>
      <c r="D556" s="3" t="s">
        <v>14</v>
      </c>
      <c r="E556" s="3" t="s">
        <v>96</v>
      </c>
      <c r="F556" s="4">
        <v>46303</v>
      </c>
      <c r="G556" s="3" t="s">
        <v>43</v>
      </c>
      <c r="H556" s="6">
        <v>-47643.75</v>
      </c>
      <c r="I556" s="3" t="s">
        <v>16</v>
      </c>
      <c r="J556" s="3" t="s">
        <v>14</v>
      </c>
      <c r="K556" s="3" t="s">
        <v>14</v>
      </c>
      <c r="L556" s="3" t="s">
        <v>18</v>
      </c>
      <c r="M556" s="4">
        <v>46303</v>
      </c>
      <c r="N556" s="3" t="s">
        <v>964</v>
      </c>
      <c r="O556" s="3" t="s">
        <v>175</v>
      </c>
      <c r="P556" t="str">
        <f t="shared" si="8"/>
        <v>4500140022110</v>
      </c>
      <c r="Q556" s="7" cm="1">
        <f t="array" ref="Q556:S556">VLOOKUP(P556,Hoja1!C:F,{2,3,4},FALSE)</f>
        <v>46300</v>
      </c>
      <c r="R556" t="str">
        <v>C39</v>
      </c>
      <c r="S556" t="str">
        <v>1000001470 SUDAMERICANA CAMIONES SA</v>
      </c>
      <c r="T556" t="str">
        <f>VLOOKUP(P556,Hoja2!C:D,2,FALSE)</f>
        <v>EFUNES</v>
      </c>
    </row>
    <row r="557" spans="1:20" x14ac:dyDescent="0.3">
      <c r="A557" s="2" t="s">
        <v>14</v>
      </c>
      <c r="B557" s="3" t="s">
        <v>14</v>
      </c>
      <c r="C557" s="3" t="s">
        <v>963</v>
      </c>
      <c r="D557" s="3" t="s">
        <v>14</v>
      </c>
      <c r="E557" s="3" t="s">
        <v>96</v>
      </c>
      <c r="F557" s="4">
        <v>46303</v>
      </c>
      <c r="G557" s="3" t="s">
        <v>43</v>
      </c>
      <c r="H557" s="6">
        <v>-264354.75</v>
      </c>
      <c r="I557" s="3" t="s">
        <v>16</v>
      </c>
      <c r="J557" s="3" t="s">
        <v>14</v>
      </c>
      <c r="K557" s="3" t="s">
        <v>14</v>
      </c>
      <c r="L557" s="3" t="s">
        <v>18</v>
      </c>
      <c r="M557" s="4">
        <v>46303</v>
      </c>
      <c r="N557" s="3" t="s">
        <v>964</v>
      </c>
      <c r="O557" s="3" t="s">
        <v>375</v>
      </c>
      <c r="P557" t="str">
        <f t="shared" si="8"/>
        <v>4500140022120</v>
      </c>
      <c r="Q557" s="7" cm="1">
        <f t="array" ref="Q557:S557">VLOOKUP(P557,Hoja1!C:F,{2,3,4},FALSE)</f>
        <v>46300</v>
      </c>
      <c r="R557" t="str">
        <v>C39</v>
      </c>
      <c r="S557" t="str">
        <v>1000001470 SUDAMERICANA CAMIONES SA</v>
      </c>
      <c r="T557" t="str">
        <f>VLOOKUP(P557,Hoja2!C:D,2,FALSE)</f>
        <v>EFUNES</v>
      </c>
    </row>
    <row r="558" spans="1:20" x14ac:dyDescent="0.3">
      <c r="A558" s="2" t="s">
        <v>14</v>
      </c>
      <c r="B558" s="3" t="s">
        <v>14</v>
      </c>
      <c r="C558" s="3" t="s">
        <v>963</v>
      </c>
      <c r="D558" s="3" t="s">
        <v>14</v>
      </c>
      <c r="E558" s="3" t="s">
        <v>96</v>
      </c>
      <c r="F558" s="4">
        <v>46303</v>
      </c>
      <c r="G558" s="3" t="s">
        <v>43</v>
      </c>
      <c r="H558" s="6">
        <v>-8969457.75</v>
      </c>
      <c r="I558" s="3" t="s">
        <v>16</v>
      </c>
      <c r="J558" s="3" t="s">
        <v>14</v>
      </c>
      <c r="K558" s="3" t="s">
        <v>14</v>
      </c>
      <c r="L558" s="3" t="s">
        <v>18</v>
      </c>
      <c r="M558" s="4">
        <v>46303</v>
      </c>
      <c r="N558" s="3" t="s">
        <v>964</v>
      </c>
      <c r="O558" s="3" t="s">
        <v>203</v>
      </c>
      <c r="P558" t="str">
        <f t="shared" si="8"/>
        <v>4500140022130</v>
      </c>
      <c r="Q558" s="7" cm="1">
        <f t="array" ref="Q558:S558">VLOOKUP(P558,Hoja1!C:F,{2,3,4},FALSE)</f>
        <v>46300</v>
      </c>
      <c r="R558" t="str">
        <v>C39</v>
      </c>
      <c r="S558" t="str">
        <v>1000001470 SUDAMERICANA CAMIONES SA</v>
      </c>
      <c r="T558" t="str">
        <f>VLOOKUP(P558,Hoja2!C:D,2,FALSE)</f>
        <v>EFUNES</v>
      </c>
    </row>
    <row r="559" spans="1:20" x14ac:dyDescent="0.3">
      <c r="A559" s="2" t="s">
        <v>14</v>
      </c>
      <c r="B559" s="3" t="s">
        <v>14</v>
      </c>
      <c r="C559" s="3" t="s">
        <v>965</v>
      </c>
      <c r="D559" s="3" t="s">
        <v>35</v>
      </c>
      <c r="E559" s="3" t="s">
        <v>96</v>
      </c>
      <c r="F559" s="4">
        <v>46303</v>
      </c>
      <c r="G559" s="3" t="s">
        <v>43</v>
      </c>
      <c r="H559" s="6">
        <v>-336000</v>
      </c>
      <c r="I559" s="3" t="s">
        <v>16</v>
      </c>
      <c r="J559" s="3" t="s">
        <v>14</v>
      </c>
      <c r="K559" s="3" t="s">
        <v>14</v>
      </c>
      <c r="L559" s="3" t="s">
        <v>966</v>
      </c>
      <c r="M559" s="4">
        <v>46303</v>
      </c>
      <c r="N559" s="3" t="s">
        <v>967</v>
      </c>
      <c r="O559" s="3" t="s">
        <v>33</v>
      </c>
      <c r="P559" t="str">
        <f t="shared" si="8"/>
        <v>450013589110</v>
      </c>
      <c r="Q559" s="7" cm="1">
        <f t="array" ref="Q559:S559">VLOOKUP(P559,Hoja1!C:F,{2,3,4},FALSE)</f>
        <v>46305</v>
      </c>
      <c r="R559" t="str">
        <v>C25</v>
      </c>
      <c r="S559" t="str">
        <v>1000011179 SUDAMERICA INSPECTION SERVICES S.R.</v>
      </c>
      <c r="T559" t="str">
        <f>VLOOKUP(P559,Hoja2!C:D,2,FALSE)</f>
        <v>MPITTIA</v>
      </c>
    </row>
    <row r="560" spans="1:20" x14ac:dyDescent="0.3">
      <c r="A560" s="2" t="s">
        <v>14</v>
      </c>
      <c r="B560" s="3" t="s">
        <v>14</v>
      </c>
      <c r="C560" s="3" t="s">
        <v>965</v>
      </c>
      <c r="D560" s="3" t="s">
        <v>35</v>
      </c>
      <c r="E560" s="3" t="s">
        <v>96</v>
      </c>
      <c r="F560" s="4">
        <v>46303</v>
      </c>
      <c r="G560" s="3" t="s">
        <v>43</v>
      </c>
      <c r="H560" s="6">
        <v>-499200</v>
      </c>
      <c r="I560" s="3" t="s">
        <v>16</v>
      </c>
      <c r="J560" s="3" t="s">
        <v>14</v>
      </c>
      <c r="K560" s="3" t="s">
        <v>14</v>
      </c>
      <c r="L560" s="3" t="s">
        <v>966</v>
      </c>
      <c r="M560" s="4">
        <v>46303</v>
      </c>
      <c r="N560" s="3" t="s">
        <v>967</v>
      </c>
      <c r="O560" s="3" t="s">
        <v>20</v>
      </c>
      <c r="P560" t="str">
        <f t="shared" si="8"/>
        <v>450013589120</v>
      </c>
      <c r="Q560" s="7" cm="1">
        <f t="array" ref="Q560:S560">VLOOKUP(P560,Hoja1!C:F,{2,3,4},FALSE)</f>
        <v>46305</v>
      </c>
      <c r="R560" t="str">
        <v>C25</v>
      </c>
      <c r="S560" t="str">
        <v>1000011179 SUDAMERICA INSPECTION SERVICES S.R.</v>
      </c>
      <c r="T560" t="str">
        <f>VLOOKUP(P560,Hoja2!C:D,2,FALSE)</f>
        <v>MPITTIA</v>
      </c>
    </row>
    <row r="561" spans="1:20" x14ac:dyDescent="0.3">
      <c r="A561" s="2" t="s">
        <v>14</v>
      </c>
      <c r="B561" s="3" t="s">
        <v>14</v>
      </c>
      <c r="C561" s="3" t="s">
        <v>965</v>
      </c>
      <c r="D561" s="3" t="s">
        <v>35</v>
      </c>
      <c r="E561" s="3" t="s">
        <v>96</v>
      </c>
      <c r="F561" s="4">
        <v>46303</v>
      </c>
      <c r="G561" s="3" t="s">
        <v>43</v>
      </c>
      <c r="H561" s="6">
        <v>-144000</v>
      </c>
      <c r="I561" s="3" t="s">
        <v>16</v>
      </c>
      <c r="J561" s="3" t="s">
        <v>14</v>
      </c>
      <c r="K561" s="3" t="s">
        <v>14</v>
      </c>
      <c r="L561" s="3" t="s">
        <v>966</v>
      </c>
      <c r="M561" s="4">
        <v>46303</v>
      </c>
      <c r="N561" s="3" t="s">
        <v>967</v>
      </c>
      <c r="O561" s="3" t="s">
        <v>21</v>
      </c>
      <c r="P561" t="str">
        <f t="shared" si="8"/>
        <v>450013589130</v>
      </c>
      <c r="Q561" s="7" cm="1">
        <f t="array" ref="Q561:S561">VLOOKUP(P561,Hoja1!C:F,{2,3,4},FALSE)</f>
        <v>46305</v>
      </c>
      <c r="R561" t="str">
        <v>C25</v>
      </c>
      <c r="S561" t="str">
        <v>1000011179 SUDAMERICA INSPECTION SERVICES S.R.</v>
      </c>
      <c r="T561" t="str">
        <f>VLOOKUP(P561,Hoja2!C:D,2,FALSE)</f>
        <v>MPITTIA</v>
      </c>
    </row>
    <row r="562" spans="1:20" x14ac:dyDescent="0.3">
      <c r="A562" s="2" t="s">
        <v>14</v>
      </c>
      <c r="B562" s="3" t="s">
        <v>14</v>
      </c>
      <c r="C562" s="3" t="s">
        <v>970</v>
      </c>
      <c r="D562" s="3" t="s">
        <v>14</v>
      </c>
      <c r="E562" s="3" t="s">
        <v>96</v>
      </c>
      <c r="F562" s="4">
        <v>46303</v>
      </c>
      <c r="G562" s="3" t="s">
        <v>43</v>
      </c>
      <c r="H562" s="6">
        <v>-2963175.23</v>
      </c>
      <c r="I562" s="3" t="s">
        <v>16</v>
      </c>
      <c r="J562" s="3" t="s">
        <v>14</v>
      </c>
      <c r="K562" s="3" t="s">
        <v>14</v>
      </c>
      <c r="L562" s="3" t="s">
        <v>210</v>
      </c>
      <c r="M562" s="4">
        <v>46303</v>
      </c>
      <c r="N562" s="3" t="s">
        <v>971</v>
      </c>
      <c r="O562" s="3" t="s">
        <v>33</v>
      </c>
      <c r="P562" t="str">
        <f t="shared" si="8"/>
        <v>450013671710</v>
      </c>
      <c r="Q562" s="7" cm="1">
        <f t="array" ref="Q562:S562">VLOOKUP(P562,Hoja1!C:F,{2,3,4},FALSE)</f>
        <v>46308</v>
      </c>
      <c r="R562" t="str">
        <v>C03</v>
      </c>
      <c r="S562" t="str">
        <v>1000000488 BETA S.A.</v>
      </c>
      <c r="T562" t="str">
        <f>VLOOKUP(P562,Hoja2!C:D,2,FALSE)</f>
        <v>FBERARDO</v>
      </c>
    </row>
    <row r="563" spans="1:20" x14ac:dyDescent="0.3">
      <c r="A563" s="2" t="s">
        <v>14</v>
      </c>
      <c r="B563" s="3" t="s">
        <v>14</v>
      </c>
      <c r="C563" s="3" t="s">
        <v>972</v>
      </c>
      <c r="D563" s="3" t="s">
        <v>14</v>
      </c>
      <c r="E563" s="3" t="s">
        <v>96</v>
      </c>
      <c r="F563" s="4">
        <v>46303</v>
      </c>
      <c r="G563" s="3" t="s">
        <v>43</v>
      </c>
      <c r="H563" s="6">
        <v>-552800</v>
      </c>
      <c r="I563" s="3" t="s">
        <v>16</v>
      </c>
      <c r="J563" s="3" t="s">
        <v>14</v>
      </c>
      <c r="K563" s="3" t="s">
        <v>14</v>
      </c>
      <c r="L563" s="3" t="s">
        <v>31</v>
      </c>
      <c r="M563" s="4">
        <v>46303</v>
      </c>
      <c r="N563" s="3" t="s">
        <v>973</v>
      </c>
      <c r="O563" s="3" t="s">
        <v>33</v>
      </c>
      <c r="P563" t="str">
        <f t="shared" si="8"/>
        <v>450013960510</v>
      </c>
      <c r="Q563" s="7" cm="1">
        <f t="array" ref="Q563:S563">VLOOKUP(P563,Hoja1!C:F,{2,3,4},FALSE)</f>
        <v>46308</v>
      </c>
      <c r="R563" t="str">
        <v>C43</v>
      </c>
      <c r="S563" t="str">
        <v>1000003696 DOBLE TRACCION SRL</v>
      </c>
      <c r="T563" t="str">
        <f>VLOOKUP(P563,Hoja2!C:D,2,FALSE)</f>
        <v>EFUNES</v>
      </c>
    </row>
    <row r="564" spans="1:20" x14ac:dyDescent="0.3">
      <c r="A564" s="2" t="s">
        <v>14</v>
      </c>
      <c r="B564" s="3" t="s">
        <v>14</v>
      </c>
      <c r="C564" s="3" t="s">
        <v>1056</v>
      </c>
      <c r="D564" s="3" t="s">
        <v>14</v>
      </c>
      <c r="E564" s="3" t="s">
        <v>96</v>
      </c>
      <c r="F564" s="4">
        <v>46303</v>
      </c>
      <c r="G564" s="3" t="s">
        <v>43</v>
      </c>
      <c r="H564" s="6">
        <v>-6233799</v>
      </c>
      <c r="I564" s="3" t="s">
        <v>16</v>
      </c>
      <c r="J564" s="3" t="s">
        <v>14</v>
      </c>
      <c r="K564" s="3" t="s">
        <v>14</v>
      </c>
      <c r="L564" s="3" t="s">
        <v>245</v>
      </c>
      <c r="M564" s="4">
        <v>46303</v>
      </c>
      <c r="N564" s="3" t="s">
        <v>1057</v>
      </c>
      <c r="O564" s="3" t="s">
        <v>33</v>
      </c>
      <c r="P564" t="str">
        <f t="shared" si="8"/>
        <v>450014019310</v>
      </c>
      <c r="Q564" s="7" cm="1">
        <f t="array" ref="Q564:S564">VLOOKUP(P564,Hoja1!C:F,{2,3,4},FALSE)</f>
        <v>46310</v>
      </c>
      <c r="R564" t="str">
        <v>C29</v>
      </c>
      <c r="S564" t="str">
        <v>1000000907 SERVICIOS VIALES DE STA. FE SA</v>
      </c>
      <c r="T564" t="str">
        <f>VLOOKUP(P564,Hoja2!C:D,2,FALSE)</f>
        <v>RPEREZ</v>
      </c>
    </row>
    <row r="565" spans="1:20" x14ac:dyDescent="0.3">
      <c r="A565" s="2" t="s">
        <v>14</v>
      </c>
      <c r="B565" s="3" t="s">
        <v>14</v>
      </c>
      <c r="C565" s="3" t="s">
        <v>1059</v>
      </c>
      <c r="D565" s="3" t="s">
        <v>14</v>
      </c>
      <c r="E565" s="3" t="s">
        <v>96</v>
      </c>
      <c r="F565" s="4">
        <v>46303</v>
      </c>
      <c r="G565" s="3" t="s">
        <v>43</v>
      </c>
      <c r="H565" s="6">
        <v>-741125</v>
      </c>
      <c r="I565" s="3" t="s">
        <v>16</v>
      </c>
      <c r="J565" s="3" t="s">
        <v>14</v>
      </c>
      <c r="K565" s="3" t="s">
        <v>14</v>
      </c>
      <c r="L565" s="3" t="s">
        <v>1060</v>
      </c>
      <c r="M565" s="4">
        <v>46303</v>
      </c>
      <c r="N565" s="3" t="s">
        <v>1061</v>
      </c>
      <c r="O565" s="3" t="s">
        <v>33</v>
      </c>
      <c r="P565" t="str">
        <f t="shared" si="8"/>
        <v>450012545210</v>
      </c>
      <c r="Q565" s="7" cm="1">
        <f t="array" ref="Q565:S565">VLOOKUP(P565,Hoja1!C:F,{2,3,4},FALSE)</f>
        <v>46477</v>
      </c>
      <c r="R565" t="str">
        <v>C25</v>
      </c>
      <c r="S565" t="str">
        <v>1000000548 TELMEX ARGENTINA SA</v>
      </c>
      <c r="T565" t="str">
        <f>VLOOKUP(P565,Hoja2!C:D,2,FALSE)</f>
        <v>MPITTIA</v>
      </c>
    </row>
    <row r="566" spans="1:20" x14ac:dyDescent="0.3">
      <c r="A566" s="2" t="s">
        <v>14</v>
      </c>
      <c r="B566" s="3" t="s">
        <v>14</v>
      </c>
      <c r="C566" s="3" t="s">
        <v>1062</v>
      </c>
      <c r="D566" s="3" t="s">
        <v>14</v>
      </c>
      <c r="E566" s="3" t="s">
        <v>96</v>
      </c>
      <c r="F566" s="4">
        <v>46303</v>
      </c>
      <c r="G566" s="3" t="s">
        <v>43</v>
      </c>
      <c r="H566" s="6">
        <v>-601491</v>
      </c>
      <c r="I566" s="3" t="s">
        <v>16</v>
      </c>
      <c r="J566" s="3" t="s">
        <v>14</v>
      </c>
      <c r="K566" s="3" t="s">
        <v>14</v>
      </c>
      <c r="L566" s="3" t="s">
        <v>18</v>
      </c>
      <c r="M566" s="4">
        <v>46303</v>
      </c>
      <c r="N566" s="3" t="s">
        <v>1063</v>
      </c>
      <c r="O566" s="3" t="s">
        <v>20</v>
      </c>
      <c r="P566" t="str">
        <f t="shared" si="8"/>
        <v>450014045020</v>
      </c>
      <c r="Q566" s="7" cm="1">
        <f t="array" ref="Q566:S566">VLOOKUP(P566,Hoja1!C:F,{2,3,4},FALSE)</f>
        <v>46312</v>
      </c>
      <c r="R566" t="str">
        <v>F06</v>
      </c>
      <c r="S566" t="str">
        <v>1000001470 SUDAMERICANA CAMIONES SA</v>
      </c>
      <c r="T566" t="str">
        <f>VLOOKUP(P566,Hoja2!C:D,2,FALSE)</f>
        <v>RPEREZ</v>
      </c>
    </row>
    <row r="567" spans="1:20" x14ac:dyDescent="0.3">
      <c r="A567" s="2" t="s">
        <v>14</v>
      </c>
      <c r="B567" s="3" t="s">
        <v>14</v>
      </c>
      <c r="C567" s="3" t="s">
        <v>1062</v>
      </c>
      <c r="D567" s="3" t="s">
        <v>14</v>
      </c>
      <c r="E567" s="3" t="s">
        <v>96</v>
      </c>
      <c r="F567" s="4">
        <v>46303</v>
      </c>
      <c r="G567" s="3" t="s">
        <v>43</v>
      </c>
      <c r="H567" s="6">
        <v>-655094</v>
      </c>
      <c r="I567" s="3" t="s">
        <v>16</v>
      </c>
      <c r="J567" s="3" t="s">
        <v>14</v>
      </c>
      <c r="K567" s="3" t="s">
        <v>14</v>
      </c>
      <c r="L567" s="3" t="s">
        <v>18</v>
      </c>
      <c r="M567" s="4">
        <v>46303</v>
      </c>
      <c r="N567" s="3" t="s">
        <v>1063</v>
      </c>
      <c r="O567" s="3" t="s">
        <v>21</v>
      </c>
      <c r="P567" t="str">
        <f t="shared" si="8"/>
        <v>450014045030</v>
      </c>
      <c r="Q567" s="7" cm="1">
        <f t="array" ref="Q567:S567">VLOOKUP(P567,Hoja1!C:F,{2,3,4},FALSE)</f>
        <v>46312</v>
      </c>
      <c r="R567" t="str">
        <v>F06</v>
      </c>
      <c r="S567" t="str">
        <v>1000001470 SUDAMERICANA CAMIONES SA</v>
      </c>
      <c r="T567" t="str">
        <f>VLOOKUP(P567,Hoja2!C:D,2,FALSE)</f>
        <v>RPEREZ</v>
      </c>
    </row>
    <row r="568" spans="1:20" x14ac:dyDescent="0.3">
      <c r="A568" s="2" t="s">
        <v>14</v>
      </c>
      <c r="B568" s="3" t="s">
        <v>14</v>
      </c>
      <c r="C568" s="3" t="s">
        <v>1066</v>
      </c>
      <c r="D568" s="3" t="s">
        <v>14</v>
      </c>
      <c r="E568" s="3" t="s">
        <v>96</v>
      </c>
      <c r="F568" s="4">
        <v>46303</v>
      </c>
      <c r="G568" s="3" t="s">
        <v>43</v>
      </c>
      <c r="H568" s="6">
        <v>-142432</v>
      </c>
      <c r="I568" s="3" t="s">
        <v>16</v>
      </c>
      <c r="J568" s="3" t="s">
        <v>14</v>
      </c>
      <c r="K568" s="3" t="s">
        <v>14</v>
      </c>
      <c r="L568" s="3" t="s">
        <v>28</v>
      </c>
      <c r="M568" s="4">
        <v>46303</v>
      </c>
      <c r="N568" s="3" t="s">
        <v>1067</v>
      </c>
      <c r="O568" s="3" t="s">
        <v>33</v>
      </c>
      <c r="P568" t="str">
        <f t="shared" si="8"/>
        <v>450013277310</v>
      </c>
      <c r="Q568" s="7" cm="1">
        <f t="array" ref="Q568:S568">VLOOKUP(P568,Hoja1!C:F,{2,3,4},FALSE)</f>
        <v>46234</v>
      </c>
      <c r="R568" t="str">
        <v>EFO</v>
      </c>
      <c r="S568" t="str">
        <v>1000007436 RODRIGUEZ MARTINEZ EMILIO JOAQUIN</v>
      </c>
      <c r="T568" t="str">
        <f>VLOOKUP(P568,Hoja2!C:D,2,FALSE)</f>
        <v>GROSES</v>
      </c>
    </row>
    <row r="569" spans="1:20" x14ac:dyDescent="0.3">
      <c r="A569" s="2" t="s">
        <v>14</v>
      </c>
      <c r="B569" s="3" t="s">
        <v>14</v>
      </c>
      <c r="C569" s="3" t="s">
        <v>1066</v>
      </c>
      <c r="D569" s="3" t="s">
        <v>14</v>
      </c>
      <c r="E569" s="3" t="s">
        <v>96</v>
      </c>
      <c r="F569" s="4">
        <v>46303</v>
      </c>
      <c r="G569" s="3" t="s">
        <v>43</v>
      </c>
      <c r="H569" s="6">
        <v>-43520</v>
      </c>
      <c r="I569" s="3" t="s">
        <v>16</v>
      </c>
      <c r="J569" s="3" t="s">
        <v>14</v>
      </c>
      <c r="K569" s="3" t="s">
        <v>14</v>
      </c>
      <c r="L569" s="3" t="s">
        <v>28</v>
      </c>
      <c r="M569" s="4">
        <v>46303</v>
      </c>
      <c r="N569" s="3" t="s">
        <v>1067</v>
      </c>
      <c r="O569" s="3" t="s">
        <v>20</v>
      </c>
      <c r="P569" t="str">
        <f t="shared" si="8"/>
        <v>450013277320</v>
      </c>
      <c r="Q569" s="7" cm="1">
        <f t="array" ref="Q569:S569">VLOOKUP(P569,Hoja1!C:F,{2,3,4},FALSE)</f>
        <v>46234</v>
      </c>
      <c r="R569" t="str">
        <v>EFO</v>
      </c>
      <c r="S569" t="str">
        <v>1000007436 RODRIGUEZ MARTINEZ EMILIO JOAQUIN</v>
      </c>
      <c r="T569" t="str">
        <f>VLOOKUP(P569,Hoja2!C:D,2,FALSE)</f>
        <v>GROSES</v>
      </c>
    </row>
    <row r="570" spans="1:20" x14ac:dyDescent="0.3">
      <c r="A570" s="2" t="s">
        <v>14</v>
      </c>
      <c r="B570" s="3" t="s">
        <v>14</v>
      </c>
      <c r="C570" s="3" t="s">
        <v>1069</v>
      </c>
      <c r="D570" s="3" t="s">
        <v>14</v>
      </c>
      <c r="E570" s="3" t="s">
        <v>96</v>
      </c>
      <c r="F570" s="4">
        <v>46303</v>
      </c>
      <c r="G570" s="3" t="s">
        <v>43</v>
      </c>
      <c r="H570" s="6">
        <v>-635250</v>
      </c>
      <c r="I570" s="3" t="s">
        <v>16</v>
      </c>
      <c r="J570" s="3" t="s">
        <v>14</v>
      </c>
      <c r="K570" s="3" t="s">
        <v>14</v>
      </c>
      <c r="L570" s="3" t="s">
        <v>1070</v>
      </c>
      <c r="M570" s="4">
        <v>46303</v>
      </c>
      <c r="N570" s="3" t="s">
        <v>1071</v>
      </c>
      <c r="O570" s="3" t="s">
        <v>33</v>
      </c>
      <c r="P570" t="str">
        <f t="shared" si="8"/>
        <v>450012524010</v>
      </c>
      <c r="Q570" s="7" cm="1">
        <f t="array" ref="Q570:S570">VLOOKUP(P570,Hoja1!C:F,{2,3,4},FALSE)</f>
        <v>46477</v>
      </c>
      <c r="R570" t="str">
        <v>C25</v>
      </c>
      <c r="S570" t="str">
        <v>1000000466 TELEFONICA MOVILES ARG. S.A. (MOVIS</v>
      </c>
      <c r="T570" t="str">
        <f>VLOOKUP(P570,Hoja2!C:D,2,FALSE)</f>
        <v>MPITTIA</v>
      </c>
    </row>
    <row r="571" spans="1:20" x14ac:dyDescent="0.3">
      <c r="A571" s="2" t="s">
        <v>14</v>
      </c>
      <c r="B571" s="3" t="s">
        <v>14</v>
      </c>
      <c r="C571" s="3" t="s">
        <v>1073</v>
      </c>
      <c r="D571" s="3" t="s">
        <v>14</v>
      </c>
      <c r="E571" s="3" t="s">
        <v>96</v>
      </c>
      <c r="F571" s="4">
        <v>46303</v>
      </c>
      <c r="G571" s="3" t="s">
        <v>43</v>
      </c>
      <c r="H571" s="6">
        <v>-57961.96</v>
      </c>
      <c r="I571" s="3" t="s">
        <v>16</v>
      </c>
      <c r="J571" s="3" t="s">
        <v>14</v>
      </c>
      <c r="K571" s="3" t="s">
        <v>14</v>
      </c>
      <c r="L571" s="3" t="s">
        <v>1074</v>
      </c>
      <c r="M571" s="4">
        <v>46304</v>
      </c>
      <c r="N571" s="3" t="s">
        <v>1075</v>
      </c>
      <c r="O571" s="3" t="s">
        <v>33</v>
      </c>
      <c r="P571" t="str">
        <f t="shared" si="8"/>
        <v>450014044910</v>
      </c>
      <c r="Q571" s="7" cm="1">
        <f t="array" ref="Q571:S571">VLOOKUP(P571,Hoja1!C:F,{2,3,4},FALSE)</f>
        <v>46316</v>
      </c>
      <c r="R571" t="str">
        <v>F13</v>
      </c>
      <c r="S571" t="str">
        <v>1000001129 AGRONORTE S.R.L.</v>
      </c>
      <c r="T571" t="str">
        <f>VLOOKUP(P571,Hoja2!C:D,2,FALSE)</f>
        <v>RPEREZ</v>
      </c>
    </row>
    <row r="572" spans="1:20" x14ac:dyDescent="0.3">
      <c r="A572" s="2" t="s">
        <v>14</v>
      </c>
      <c r="B572" s="3" t="s">
        <v>14</v>
      </c>
      <c r="C572" s="3" t="s">
        <v>1073</v>
      </c>
      <c r="D572" s="3" t="s">
        <v>14</v>
      </c>
      <c r="E572" s="3" t="s">
        <v>96</v>
      </c>
      <c r="F572" s="4">
        <v>46303</v>
      </c>
      <c r="G572" s="3" t="s">
        <v>43</v>
      </c>
      <c r="H572" s="6">
        <v>-113672.53</v>
      </c>
      <c r="I572" s="3" t="s">
        <v>16</v>
      </c>
      <c r="J572" s="3" t="s">
        <v>14</v>
      </c>
      <c r="K572" s="3" t="s">
        <v>14</v>
      </c>
      <c r="L572" s="3" t="s">
        <v>1074</v>
      </c>
      <c r="M572" s="4">
        <v>46304</v>
      </c>
      <c r="N572" s="3" t="s">
        <v>1075</v>
      </c>
      <c r="O572" s="3" t="s">
        <v>20</v>
      </c>
      <c r="P572" t="str">
        <f t="shared" si="8"/>
        <v>450014044920</v>
      </c>
      <c r="Q572" s="7" cm="1">
        <f t="array" ref="Q572:S572">VLOOKUP(P572,Hoja1!C:F,{2,3,4},FALSE)</f>
        <v>46316</v>
      </c>
      <c r="R572" t="str">
        <v>F13</v>
      </c>
      <c r="S572" t="str">
        <v>1000001129 AGRONORTE S.R.L.</v>
      </c>
      <c r="T572" t="str">
        <f>VLOOKUP(P572,Hoja2!C:D,2,FALSE)</f>
        <v>RPEREZ</v>
      </c>
    </row>
    <row r="573" spans="1:20" x14ac:dyDescent="0.3">
      <c r="A573" s="2" t="s">
        <v>14</v>
      </c>
      <c r="B573" s="3" t="s">
        <v>14</v>
      </c>
      <c r="C573" s="3" t="s">
        <v>1073</v>
      </c>
      <c r="D573" s="3" t="s">
        <v>14</v>
      </c>
      <c r="E573" s="3" t="s">
        <v>96</v>
      </c>
      <c r="F573" s="4">
        <v>46303</v>
      </c>
      <c r="G573" s="3" t="s">
        <v>43</v>
      </c>
      <c r="H573" s="6">
        <v>-116135.46</v>
      </c>
      <c r="I573" s="3" t="s">
        <v>16</v>
      </c>
      <c r="J573" s="3" t="s">
        <v>14</v>
      </c>
      <c r="K573" s="3" t="s">
        <v>14</v>
      </c>
      <c r="L573" s="3" t="s">
        <v>1074</v>
      </c>
      <c r="M573" s="4">
        <v>46304</v>
      </c>
      <c r="N573" s="3" t="s">
        <v>1075</v>
      </c>
      <c r="O573" s="3" t="s">
        <v>21</v>
      </c>
      <c r="P573" t="str">
        <f t="shared" si="8"/>
        <v>450014044930</v>
      </c>
      <c r="Q573" s="7" cm="1">
        <f t="array" ref="Q573:S573">VLOOKUP(P573,Hoja1!C:F,{2,3,4},FALSE)</f>
        <v>46316</v>
      </c>
      <c r="R573" t="str">
        <v>F13</v>
      </c>
      <c r="S573" t="str">
        <v>1000001129 AGRONORTE S.R.L.</v>
      </c>
      <c r="T573" t="str">
        <f>VLOOKUP(P573,Hoja2!C:D,2,FALSE)</f>
        <v>RPEREZ</v>
      </c>
    </row>
    <row r="574" spans="1:20" x14ac:dyDescent="0.3">
      <c r="A574" s="2" t="s">
        <v>14</v>
      </c>
      <c r="B574" s="3" t="s">
        <v>14</v>
      </c>
      <c r="C574" s="3" t="s">
        <v>1073</v>
      </c>
      <c r="D574" s="3" t="s">
        <v>14</v>
      </c>
      <c r="E574" s="3" t="s">
        <v>96</v>
      </c>
      <c r="F574" s="4">
        <v>46303</v>
      </c>
      <c r="G574" s="3" t="s">
        <v>43</v>
      </c>
      <c r="H574" s="6">
        <v>-642401.65</v>
      </c>
      <c r="I574" s="3" t="s">
        <v>16</v>
      </c>
      <c r="J574" s="3" t="s">
        <v>14</v>
      </c>
      <c r="K574" s="3" t="s">
        <v>14</v>
      </c>
      <c r="L574" s="3" t="s">
        <v>1074</v>
      </c>
      <c r="M574" s="4">
        <v>46304</v>
      </c>
      <c r="N574" s="3" t="s">
        <v>1075</v>
      </c>
      <c r="O574" s="3" t="s">
        <v>25</v>
      </c>
      <c r="P574" t="str">
        <f t="shared" si="8"/>
        <v>450014044940</v>
      </c>
      <c r="Q574" s="7" cm="1">
        <f t="array" ref="Q574:S574">VLOOKUP(P574,Hoja1!C:F,{2,3,4},FALSE)</f>
        <v>46316</v>
      </c>
      <c r="R574" t="str">
        <v>F13</v>
      </c>
      <c r="S574" t="str">
        <v>1000001129 AGRONORTE S.R.L.</v>
      </c>
      <c r="T574" t="str">
        <f>VLOOKUP(P574,Hoja2!C:D,2,FALSE)</f>
        <v>RPEREZ</v>
      </c>
    </row>
    <row r="575" spans="1:20" x14ac:dyDescent="0.3">
      <c r="A575" s="2" t="s">
        <v>14</v>
      </c>
      <c r="B575" s="3" t="s">
        <v>14</v>
      </c>
      <c r="C575" s="3" t="s">
        <v>1073</v>
      </c>
      <c r="D575" s="3" t="s">
        <v>14</v>
      </c>
      <c r="E575" s="3" t="s">
        <v>96</v>
      </c>
      <c r="F575" s="4">
        <v>46303</v>
      </c>
      <c r="G575" s="3" t="s">
        <v>43</v>
      </c>
      <c r="H575" s="6">
        <v>-29963.13</v>
      </c>
      <c r="I575" s="3" t="s">
        <v>16</v>
      </c>
      <c r="J575" s="3" t="s">
        <v>14</v>
      </c>
      <c r="K575" s="3" t="s">
        <v>14</v>
      </c>
      <c r="L575" s="3" t="s">
        <v>1074</v>
      </c>
      <c r="M575" s="4">
        <v>46304</v>
      </c>
      <c r="N575" s="3" t="s">
        <v>1075</v>
      </c>
      <c r="O575" s="3" t="s">
        <v>22</v>
      </c>
      <c r="P575" t="str">
        <f t="shared" si="8"/>
        <v>450014044950</v>
      </c>
      <c r="Q575" s="7" cm="1">
        <f t="array" ref="Q575:S575">VLOOKUP(P575,Hoja1!C:F,{2,3,4},FALSE)</f>
        <v>46316</v>
      </c>
      <c r="R575" t="str">
        <v>F13</v>
      </c>
      <c r="S575" t="str">
        <v>1000001129 AGRONORTE S.R.L.</v>
      </c>
      <c r="T575" t="str">
        <f>VLOOKUP(P575,Hoja2!C:D,2,FALSE)</f>
        <v>RPEREZ</v>
      </c>
    </row>
    <row r="576" spans="1:20" x14ac:dyDescent="0.3">
      <c r="A576" s="2" t="s">
        <v>14</v>
      </c>
      <c r="B576" s="3" t="s">
        <v>14</v>
      </c>
      <c r="C576" s="3" t="s">
        <v>1076</v>
      </c>
      <c r="D576" s="3" t="s">
        <v>14</v>
      </c>
      <c r="E576" s="3" t="s">
        <v>96</v>
      </c>
      <c r="F576" s="4">
        <v>46304</v>
      </c>
      <c r="G576" s="3" t="s">
        <v>43</v>
      </c>
      <c r="H576" s="6">
        <v>-271.98</v>
      </c>
      <c r="I576" s="3" t="s">
        <v>16</v>
      </c>
      <c r="J576" s="3" t="s">
        <v>14</v>
      </c>
      <c r="K576" s="3" t="s">
        <v>14</v>
      </c>
      <c r="L576" s="3" t="s">
        <v>148</v>
      </c>
      <c r="M576" s="4">
        <v>46304</v>
      </c>
      <c r="N576" s="3" t="s">
        <v>821</v>
      </c>
      <c r="O576" s="3" t="s">
        <v>322</v>
      </c>
      <c r="P576" t="str">
        <f t="shared" si="8"/>
        <v>450013820690</v>
      </c>
      <c r="Q576" s="7" cm="1">
        <f t="array" ref="Q576:S576">VLOOKUP(P576,Hoja1!C:F,{2,3,4},FALSE)</f>
        <v>46297</v>
      </c>
      <c r="R576" t="str">
        <v>C03</v>
      </c>
      <c r="S576" t="str">
        <v>1000000062 FINNING ARGENTINA S.A.</v>
      </c>
      <c r="T576" t="str">
        <f>VLOOKUP(P576,Hoja2!C:D,2,FALSE)</f>
        <v>RPEREZ</v>
      </c>
    </row>
    <row r="577" spans="1:20" x14ac:dyDescent="0.3">
      <c r="A577" s="2" t="s">
        <v>14</v>
      </c>
      <c r="B577" s="3" t="s">
        <v>14</v>
      </c>
      <c r="C577" s="3" t="s">
        <v>1077</v>
      </c>
      <c r="D577" s="3" t="s">
        <v>14</v>
      </c>
      <c r="E577" s="3" t="s">
        <v>96</v>
      </c>
      <c r="F577" s="4">
        <v>46302</v>
      </c>
      <c r="G577" s="3" t="s">
        <v>43</v>
      </c>
      <c r="H577" s="6">
        <v>-107432.1</v>
      </c>
      <c r="I577" s="3" t="s">
        <v>16</v>
      </c>
      <c r="J577" s="3" t="s">
        <v>14</v>
      </c>
      <c r="K577" s="3" t="s">
        <v>14</v>
      </c>
      <c r="L577" s="3" t="s">
        <v>436</v>
      </c>
      <c r="M577" s="4">
        <v>46304</v>
      </c>
      <c r="N577" s="3" t="s">
        <v>1078</v>
      </c>
      <c r="O577" s="3" t="s">
        <v>33</v>
      </c>
      <c r="P577" t="str">
        <f t="shared" si="8"/>
        <v>450014035310</v>
      </c>
      <c r="Q577" s="7" cm="1">
        <f t="array" ref="Q577:S577">VLOOKUP(P577,Hoja1!C:F,{2,3,4},FALSE)</f>
        <v>46310</v>
      </c>
      <c r="R577" t="str">
        <v>C43</v>
      </c>
      <c r="S577" t="str">
        <v>1000007320 GILIGROUP S.A.S.</v>
      </c>
      <c r="T577" t="str">
        <f>VLOOKUP(P577,Hoja2!C:D,2,FALSE)</f>
        <v>EFUNES</v>
      </c>
    </row>
    <row r="578" spans="1:20" x14ac:dyDescent="0.3">
      <c r="A578" s="2" t="s">
        <v>14</v>
      </c>
      <c r="B578" s="3" t="s">
        <v>14</v>
      </c>
      <c r="C578" s="3" t="s">
        <v>1079</v>
      </c>
      <c r="D578" s="3" t="s">
        <v>14</v>
      </c>
      <c r="E578" s="3" t="s">
        <v>96</v>
      </c>
      <c r="F578" s="4">
        <v>46304</v>
      </c>
      <c r="G578" s="3" t="s">
        <v>43</v>
      </c>
      <c r="H578" s="6">
        <v>-1465670</v>
      </c>
      <c r="I578" s="3" t="s">
        <v>16</v>
      </c>
      <c r="J578" s="3" t="s">
        <v>14</v>
      </c>
      <c r="K578" s="3" t="s">
        <v>14</v>
      </c>
      <c r="L578" s="3" t="s">
        <v>144</v>
      </c>
      <c r="M578" s="4">
        <v>46304</v>
      </c>
      <c r="N578" s="3" t="s">
        <v>1080</v>
      </c>
      <c r="O578" s="3" t="s">
        <v>21</v>
      </c>
      <c r="P578" t="str">
        <f t="shared" si="8"/>
        <v>450014025830</v>
      </c>
      <c r="Q578" s="7" cm="1">
        <f t="array" ref="Q578:S578">VLOOKUP(P578,Hoja1!C:F,{2,3,4},FALSE)</f>
        <v>46305</v>
      </c>
      <c r="R578" t="str">
        <v>C39</v>
      </c>
      <c r="S578" t="str">
        <v>1000010438 TURBOS T&amp;T S.R.L</v>
      </c>
      <c r="T578" t="str">
        <f>VLOOKUP(P578,Hoja2!C:D,2,FALSE)</f>
        <v>EFUNES</v>
      </c>
    </row>
    <row r="579" spans="1:20" x14ac:dyDescent="0.3">
      <c r="A579" s="2" t="s">
        <v>14</v>
      </c>
      <c r="B579" s="3" t="s">
        <v>14</v>
      </c>
      <c r="C579" s="3" t="s">
        <v>1082</v>
      </c>
      <c r="D579" s="3" t="s">
        <v>14</v>
      </c>
      <c r="E579" s="3" t="s">
        <v>96</v>
      </c>
      <c r="F579" s="4">
        <v>46301</v>
      </c>
      <c r="G579" s="3" t="s">
        <v>43</v>
      </c>
      <c r="H579" s="6">
        <v>-942148.77</v>
      </c>
      <c r="I579" s="3" t="s">
        <v>16</v>
      </c>
      <c r="J579" s="3" t="s">
        <v>14</v>
      </c>
      <c r="K579" s="3" t="s">
        <v>14</v>
      </c>
      <c r="L579" s="3" t="s">
        <v>1083</v>
      </c>
      <c r="M579" s="4">
        <v>46304</v>
      </c>
      <c r="N579" s="3" t="s">
        <v>1084</v>
      </c>
      <c r="O579" s="3" t="s">
        <v>33</v>
      </c>
      <c r="P579" t="str">
        <f t="shared" ref="P579:P642" si="9">_xlfn.CONCAT(N579:O579)</f>
        <v>450013954810</v>
      </c>
      <c r="Q579" s="7" cm="1">
        <f t="array" ref="Q579:S579">VLOOKUP(P579,Hoja1!C:F,{2,3,4},FALSE)</f>
        <v>46301</v>
      </c>
      <c r="R579" t="str">
        <v>C19</v>
      </c>
      <c r="S579" t="str">
        <v>1000003484 DIAZ MERINO SRL</v>
      </c>
      <c r="T579" t="str">
        <f>VLOOKUP(P579,Hoja2!C:D,2,FALSE)</f>
        <v>JPUPULIN</v>
      </c>
    </row>
    <row r="580" spans="1:20" x14ac:dyDescent="0.3">
      <c r="A580" s="2" t="s">
        <v>14</v>
      </c>
      <c r="B580" s="3" t="s">
        <v>14</v>
      </c>
      <c r="C580" s="3" t="s">
        <v>1101</v>
      </c>
      <c r="D580" s="3" t="s">
        <v>14</v>
      </c>
      <c r="E580" s="3" t="s">
        <v>96</v>
      </c>
      <c r="F580" s="4">
        <v>46303</v>
      </c>
      <c r="G580" s="3" t="s">
        <v>43</v>
      </c>
      <c r="H580" s="6">
        <v>-75430</v>
      </c>
      <c r="I580" s="3" t="s">
        <v>16</v>
      </c>
      <c r="J580" s="3" t="s">
        <v>14</v>
      </c>
      <c r="K580" s="3" t="s">
        <v>14</v>
      </c>
      <c r="L580" s="3" t="s">
        <v>495</v>
      </c>
      <c r="M580" s="4">
        <v>46304</v>
      </c>
      <c r="N580" s="3" t="s">
        <v>1102</v>
      </c>
      <c r="O580" s="3" t="s">
        <v>33</v>
      </c>
      <c r="P580" t="str">
        <f t="shared" si="9"/>
        <v>450014035410</v>
      </c>
      <c r="Q580" s="7" cm="1">
        <f t="array" ref="Q580:S580">VLOOKUP(P580,Hoja1!C:F,{2,3,4},FALSE)</f>
        <v>46309</v>
      </c>
      <c r="R580" t="str">
        <v>C13</v>
      </c>
      <c r="S580" t="str">
        <v>1000002964 LACIAR LEANDRO ADOLFO</v>
      </c>
      <c r="T580" t="str">
        <f>VLOOKUP(P580,Hoja2!C:D,2,FALSE)</f>
        <v>JJCABRERA</v>
      </c>
    </row>
    <row r="581" spans="1:20" x14ac:dyDescent="0.3">
      <c r="A581" s="2" t="s">
        <v>14</v>
      </c>
      <c r="B581" s="3" t="s">
        <v>14</v>
      </c>
      <c r="C581" s="3" t="s">
        <v>1103</v>
      </c>
      <c r="D581" s="3" t="s">
        <v>35</v>
      </c>
      <c r="E581" s="3" t="s">
        <v>96</v>
      </c>
      <c r="F581" s="4">
        <v>46303</v>
      </c>
      <c r="G581" s="3" t="s">
        <v>43</v>
      </c>
      <c r="H581" s="6">
        <v>-22950</v>
      </c>
      <c r="I581" s="3" t="s">
        <v>16</v>
      </c>
      <c r="J581" s="3" t="s">
        <v>14</v>
      </c>
      <c r="K581" s="3" t="s">
        <v>14</v>
      </c>
      <c r="L581" s="3" t="s">
        <v>495</v>
      </c>
      <c r="M581" s="4">
        <v>46304</v>
      </c>
      <c r="N581" s="3" t="s">
        <v>1102</v>
      </c>
      <c r="O581" s="3" t="s">
        <v>20</v>
      </c>
      <c r="P581" t="str">
        <f t="shared" si="9"/>
        <v>450014035420</v>
      </c>
      <c r="Q581" s="7" cm="1">
        <f t="array" ref="Q581:S581">VLOOKUP(P581,Hoja1!C:F,{2,3,4},FALSE)</f>
        <v>46309</v>
      </c>
      <c r="R581" t="str">
        <v>C13</v>
      </c>
      <c r="S581" t="str">
        <v>1000002964 LACIAR LEANDRO ADOLFO</v>
      </c>
      <c r="T581" t="str">
        <f>VLOOKUP(P581,Hoja2!C:D,2,FALSE)</f>
        <v>JJCABRERA</v>
      </c>
    </row>
    <row r="582" spans="1:20" x14ac:dyDescent="0.3">
      <c r="A582" s="2" t="s">
        <v>14</v>
      </c>
      <c r="B582" s="3" t="s">
        <v>14</v>
      </c>
      <c r="C582" s="3" t="s">
        <v>1104</v>
      </c>
      <c r="D582" s="3" t="s">
        <v>14</v>
      </c>
      <c r="E582" s="3" t="s">
        <v>96</v>
      </c>
      <c r="F582" s="4">
        <v>46302</v>
      </c>
      <c r="G582" s="3" t="s">
        <v>43</v>
      </c>
      <c r="H582" s="6">
        <v>-94286.399999999994</v>
      </c>
      <c r="I582" s="3" t="s">
        <v>16</v>
      </c>
      <c r="J582" s="3" t="s">
        <v>14</v>
      </c>
      <c r="K582" s="3" t="s">
        <v>14</v>
      </c>
      <c r="L582" s="3" t="s">
        <v>487</v>
      </c>
      <c r="M582" s="4">
        <v>46304</v>
      </c>
      <c r="N582" s="3" t="s">
        <v>1105</v>
      </c>
      <c r="O582" s="3" t="s">
        <v>33</v>
      </c>
      <c r="P582" t="str">
        <f t="shared" si="9"/>
        <v>450013939810</v>
      </c>
      <c r="Q582" s="7" cm="1">
        <f t="array" ref="Q582:S582">VLOOKUP(P582,Hoja1!C:F,{2,3,4},FALSE)</f>
        <v>46304</v>
      </c>
      <c r="R582" t="str">
        <v>C28</v>
      </c>
      <c r="S582" t="str">
        <v>1000001683 PIACENZA SRL</v>
      </c>
      <c r="T582" t="str">
        <f>VLOOKUP(P582,Hoja2!C:D,2,FALSE)</f>
        <v>GJULIANI</v>
      </c>
    </row>
    <row r="583" spans="1:20" x14ac:dyDescent="0.3">
      <c r="A583" s="2" t="s">
        <v>14</v>
      </c>
      <c r="B583" s="3" t="s">
        <v>14</v>
      </c>
      <c r="C583" s="3" t="s">
        <v>1106</v>
      </c>
      <c r="D583" s="3" t="s">
        <v>14</v>
      </c>
      <c r="E583" s="3" t="s">
        <v>96</v>
      </c>
      <c r="F583" s="4">
        <v>46303</v>
      </c>
      <c r="G583" s="3" t="s">
        <v>43</v>
      </c>
      <c r="H583" s="6">
        <v>-151481.84</v>
      </c>
      <c r="I583" s="3" t="s">
        <v>16</v>
      </c>
      <c r="J583" s="3" t="s">
        <v>14</v>
      </c>
      <c r="K583" s="3" t="s">
        <v>14</v>
      </c>
      <c r="L583" s="3" t="s">
        <v>1107</v>
      </c>
      <c r="M583" s="4">
        <v>46304</v>
      </c>
      <c r="N583" s="3" t="s">
        <v>1108</v>
      </c>
      <c r="O583" s="3" t="s">
        <v>33</v>
      </c>
      <c r="P583" t="str">
        <f t="shared" si="9"/>
        <v>450013742810</v>
      </c>
      <c r="Q583" s="7" cm="1">
        <f t="array" ref="Q583:S583">VLOOKUP(P583,Hoja1!C:F,{2,3,4},FALSE)</f>
        <v>46308</v>
      </c>
      <c r="R583" t="str">
        <v>C29</v>
      </c>
      <c r="S583" t="str">
        <v>1000002363 OBLAN SA</v>
      </c>
      <c r="T583" t="str">
        <f>VLOOKUP(P583,Hoja2!C:D,2,FALSE)</f>
        <v>RPEREZ</v>
      </c>
    </row>
    <row r="584" spans="1:20" x14ac:dyDescent="0.3">
      <c r="A584" s="2" t="s">
        <v>14</v>
      </c>
      <c r="B584" s="3" t="s">
        <v>14</v>
      </c>
      <c r="C584" s="3" t="s">
        <v>1112</v>
      </c>
      <c r="D584" s="3" t="s">
        <v>14</v>
      </c>
      <c r="E584" s="3" t="s">
        <v>96</v>
      </c>
      <c r="F584" s="4">
        <v>46304</v>
      </c>
      <c r="G584" s="3" t="s">
        <v>43</v>
      </c>
      <c r="H584" s="6">
        <v>-245025</v>
      </c>
      <c r="I584" s="3" t="s">
        <v>16</v>
      </c>
      <c r="J584" s="3" t="s">
        <v>14</v>
      </c>
      <c r="K584" s="3" t="s">
        <v>14</v>
      </c>
      <c r="L584" s="3" t="s">
        <v>1064</v>
      </c>
      <c r="M584" s="4">
        <v>46304</v>
      </c>
      <c r="N584" s="3" t="s">
        <v>1113</v>
      </c>
      <c r="O584" s="3" t="s">
        <v>33</v>
      </c>
      <c r="P584" t="str">
        <f t="shared" si="9"/>
        <v>450013830910</v>
      </c>
      <c r="Q584" s="7" cm="1">
        <f t="array" ref="Q584:S584">VLOOKUP(P584,Hoja1!C:F,{2,3,4},FALSE)</f>
        <v>46308</v>
      </c>
      <c r="R584" t="str">
        <v>C29</v>
      </c>
      <c r="S584" t="str">
        <v>1000010268 YEMA REPUESTOS SRL</v>
      </c>
      <c r="T584" t="str">
        <f>VLOOKUP(P584,Hoja2!C:D,2,FALSE)</f>
        <v>MFREIJOMIL</v>
      </c>
    </row>
    <row r="585" spans="1:20" x14ac:dyDescent="0.3">
      <c r="A585" s="2" t="s">
        <v>14</v>
      </c>
      <c r="B585" s="3" t="s">
        <v>14</v>
      </c>
      <c r="C585" s="3" t="s">
        <v>1130</v>
      </c>
      <c r="D585" s="3" t="s">
        <v>14</v>
      </c>
      <c r="E585" s="3" t="s">
        <v>96</v>
      </c>
      <c r="F585" s="4">
        <v>46308</v>
      </c>
      <c r="G585" s="3" t="s">
        <v>43</v>
      </c>
      <c r="H585" s="6">
        <v>-225619.83</v>
      </c>
      <c r="I585" s="3" t="s">
        <v>16</v>
      </c>
      <c r="J585" s="3" t="s">
        <v>14</v>
      </c>
      <c r="K585" s="3" t="s">
        <v>14</v>
      </c>
      <c r="L585" s="3" t="s">
        <v>1131</v>
      </c>
      <c r="M585" s="4">
        <v>46308</v>
      </c>
      <c r="N585" s="3" t="s">
        <v>1132</v>
      </c>
      <c r="O585" s="3" t="s">
        <v>33</v>
      </c>
      <c r="P585" t="str">
        <f t="shared" si="9"/>
        <v>450014059010</v>
      </c>
      <c r="Q585" s="7" cm="1">
        <f t="array" ref="Q585:S585">VLOOKUP(P585,Hoja1!C:F,{2,3,4},FALSE)</f>
        <v>46325</v>
      </c>
      <c r="R585" t="str">
        <v>C39</v>
      </c>
      <c r="S585" t="str">
        <v>1000003474 HERRAMIENTAS SRL</v>
      </c>
      <c r="T585" t="str">
        <f>VLOOKUP(P585,Hoja2!C:D,2,FALSE)</f>
        <v>EFUNES</v>
      </c>
    </row>
    <row r="586" spans="1:20" x14ac:dyDescent="0.3">
      <c r="A586" s="2" t="s">
        <v>14</v>
      </c>
      <c r="B586" s="3" t="s">
        <v>14</v>
      </c>
      <c r="C586" s="3" t="s">
        <v>1135</v>
      </c>
      <c r="D586" s="3" t="s">
        <v>14</v>
      </c>
      <c r="E586" s="3" t="s">
        <v>96</v>
      </c>
      <c r="F586" s="4">
        <v>46308</v>
      </c>
      <c r="G586" s="3" t="s">
        <v>43</v>
      </c>
      <c r="H586" s="6">
        <v>-72993.25</v>
      </c>
      <c r="I586" s="3" t="s">
        <v>16</v>
      </c>
      <c r="J586" s="3" t="s">
        <v>14</v>
      </c>
      <c r="K586" s="3" t="s">
        <v>14</v>
      </c>
      <c r="L586" s="3" t="s">
        <v>447</v>
      </c>
      <c r="M586" s="4">
        <v>46308</v>
      </c>
      <c r="N586" s="3" t="s">
        <v>1136</v>
      </c>
      <c r="O586" s="3" t="s">
        <v>33</v>
      </c>
      <c r="P586" t="str">
        <f t="shared" si="9"/>
        <v>450014057810</v>
      </c>
      <c r="Q586" s="7" cm="1">
        <f t="array" ref="Q586:S586">VLOOKUP(P586,Hoja1!C:F,{2,3,4},FALSE)</f>
        <v>46323</v>
      </c>
      <c r="R586" t="str">
        <v>C43</v>
      </c>
      <c r="S586" t="str">
        <v>1000002050 RODAMIENTOS CUYO SEL</v>
      </c>
      <c r="T586" t="str">
        <f>VLOOKUP(P586,Hoja2!C:D,2,FALSE)</f>
        <v>EFUNES</v>
      </c>
    </row>
    <row r="587" spans="1:20" x14ac:dyDescent="0.3">
      <c r="A587" s="2" t="s">
        <v>14</v>
      </c>
      <c r="B587" s="3" t="s">
        <v>14</v>
      </c>
      <c r="C587" s="3" t="s">
        <v>1137</v>
      </c>
      <c r="D587" s="3" t="s">
        <v>14</v>
      </c>
      <c r="E587" s="3" t="s">
        <v>96</v>
      </c>
      <c r="F587" s="4">
        <v>46308</v>
      </c>
      <c r="G587" s="3" t="s">
        <v>43</v>
      </c>
      <c r="H587" s="6">
        <v>-87002</v>
      </c>
      <c r="I587" s="3" t="s">
        <v>16</v>
      </c>
      <c r="J587" s="3" t="s">
        <v>14</v>
      </c>
      <c r="K587" s="3" t="s">
        <v>14</v>
      </c>
      <c r="L587" s="3" t="s">
        <v>557</v>
      </c>
      <c r="M587" s="4">
        <v>46308</v>
      </c>
      <c r="N587" s="3" t="s">
        <v>1138</v>
      </c>
      <c r="O587" s="3" t="s">
        <v>33</v>
      </c>
      <c r="P587" t="str">
        <f t="shared" si="9"/>
        <v>450014018210</v>
      </c>
      <c r="Q587" s="7" cm="1">
        <f t="array" ref="Q587:S587">VLOOKUP(P587,Hoja1!C:F,{2,3,4},FALSE)</f>
        <v>46309</v>
      </c>
      <c r="R587" t="str">
        <v>F07</v>
      </c>
      <c r="S587" t="str">
        <v>1000001154 TRAVEL FILTERS SRL</v>
      </c>
      <c r="T587" t="str">
        <f>VLOOKUP(P587,Hoja2!C:D,2,FALSE)</f>
        <v>RPEREZ</v>
      </c>
    </row>
    <row r="588" spans="1:20" x14ac:dyDescent="0.3">
      <c r="A588" s="2" t="s">
        <v>14</v>
      </c>
      <c r="B588" s="3" t="s">
        <v>14</v>
      </c>
      <c r="C588" s="3" t="s">
        <v>1139</v>
      </c>
      <c r="D588" s="3" t="s">
        <v>14</v>
      </c>
      <c r="E588" s="3" t="s">
        <v>96</v>
      </c>
      <c r="F588" s="4">
        <v>46308</v>
      </c>
      <c r="G588" s="3" t="s">
        <v>43</v>
      </c>
      <c r="H588" s="6">
        <v>-289382.67</v>
      </c>
      <c r="I588" s="3" t="s">
        <v>16</v>
      </c>
      <c r="J588" s="3" t="s">
        <v>14</v>
      </c>
      <c r="K588" s="3" t="s">
        <v>14</v>
      </c>
      <c r="L588" s="3" t="s">
        <v>814</v>
      </c>
      <c r="M588" s="4">
        <v>46308</v>
      </c>
      <c r="N588" s="3" t="s">
        <v>1140</v>
      </c>
      <c r="O588" s="3" t="s">
        <v>33</v>
      </c>
      <c r="P588" t="str">
        <f t="shared" si="9"/>
        <v>450014031610</v>
      </c>
      <c r="Q588" s="7" cm="1">
        <f t="array" ref="Q588:S588">VLOOKUP(P588,Hoja1!C:F,{2,3,4},FALSE)</f>
        <v>46311</v>
      </c>
      <c r="R588" t="str">
        <v>C03</v>
      </c>
      <c r="S588" t="str">
        <v>1000000581 GINZA S.A.</v>
      </c>
      <c r="T588" t="str">
        <f>VLOOKUP(P588,Hoja2!C:D,2,FALSE)</f>
        <v>MFREIJOMIL</v>
      </c>
    </row>
    <row r="589" spans="1:20" x14ac:dyDescent="0.3">
      <c r="A589" s="2" t="s">
        <v>14</v>
      </c>
      <c r="B589" s="3" t="s">
        <v>14</v>
      </c>
      <c r="C589" s="3" t="s">
        <v>1139</v>
      </c>
      <c r="D589" s="3" t="s">
        <v>14</v>
      </c>
      <c r="E589" s="3" t="s">
        <v>96</v>
      </c>
      <c r="F589" s="4">
        <v>46308</v>
      </c>
      <c r="G589" s="3" t="s">
        <v>43</v>
      </c>
      <c r="H589" s="6">
        <v>-289382.67</v>
      </c>
      <c r="I589" s="3" t="s">
        <v>16</v>
      </c>
      <c r="J589" s="3" t="s">
        <v>14</v>
      </c>
      <c r="K589" s="3" t="s">
        <v>14</v>
      </c>
      <c r="L589" s="3" t="s">
        <v>814</v>
      </c>
      <c r="M589" s="4">
        <v>46308</v>
      </c>
      <c r="N589" s="3" t="s">
        <v>1140</v>
      </c>
      <c r="O589" s="3" t="s">
        <v>20</v>
      </c>
      <c r="P589" t="str">
        <f t="shared" si="9"/>
        <v>450014031620</v>
      </c>
      <c r="Q589" s="7" cm="1">
        <f t="array" ref="Q589:S589">VLOOKUP(P589,Hoja1!C:F,{2,3,4},FALSE)</f>
        <v>46311</v>
      </c>
      <c r="R589" t="str">
        <v>C03</v>
      </c>
      <c r="S589" t="str">
        <v>1000000581 GINZA S.A.</v>
      </c>
      <c r="T589" t="str">
        <f>VLOOKUP(P589,Hoja2!C:D,2,FALSE)</f>
        <v>MFREIJOMIL</v>
      </c>
    </row>
    <row r="590" spans="1:20" x14ac:dyDescent="0.3">
      <c r="A590" s="2" t="s">
        <v>14</v>
      </c>
      <c r="B590" s="3" t="s">
        <v>14</v>
      </c>
      <c r="C590" s="3" t="s">
        <v>1139</v>
      </c>
      <c r="D590" s="3" t="s">
        <v>14</v>
      </c>
      <c r="E590" s="3" t="s">
        <v>96</v>
      </c>
      <c r="F590" s="4">
        <v>46308</v>
      </c>
      <c r="G590" s="3" t="s">
        <v>43</v>
      </c>
      <c r="H590" s="6">
        <v>-289382.67</v>
      </c>
      <c r="I590" s="3" t="s">
        <v>16</v>
      </c>
      <c r="J590" s="3" t="s">
        <v>14</v>
      </c>
      <c r="K590" s="3" t="s">
        <v>14</v>
      </c>
      <c r="L590" s="3" t="s">
        <v>814</v>
      </c>
      <c r="M590" s="4">
        <v>46308</v>
      </c>
      <c r="N590" s="3" t="s">
        <v>1140</v>
      </c>
      <c r="O590" s="3" t="s">
        <v>21</v>
      </c>
      <c r="P590" t="str">
        <f t="shared" si="9"/>
        <v>450014031630</v>
      </c>
      <c r="Q590" s="7" cm="1">
        <f t="array" ref="Q590:S590">VLOOKUP(P590,Hoja1!C:F,{2,3,4},FALSE)</f>
        <v>46311</v>
      </c>
      <c r="R590" t="str">
        <v>C03</v>
      </c>
      <c r="S590" t="str">
        <v>1000000581 GINZA S.A.</v>
      </c>
      <c r="T590" t="str">
        <f>VLOOKUP(P590,Hoja2!C:D,2,FALSE)</f>
        <v>MFREIJOMIL</v>
      </c>
    </row>
    <row r="591" spans="1:20" x14ac:dyDescent="0.3">
      <c r="A591" s="2" t="s">
        <v>14</v>
      </c>
      <c r="B591" s="3" t="s">
        <v>14</v>
      </c>
      <c r="C591" s="3" t="s">
        <v>1139</v>
      </c>
      <c r="D591" s="3" t="s">
        <v>14</v>
      </c>
      <c r="E591" s="3" t="s">
        <v>96</v>
      </c>
      <c r="F591" s="4">
        <v>46308</v>
      </c>
      <c r="G591" s="3" t="s">
        <v>43</v>
      </c>
      <c r="H591" s="6">
        <v>-289382.67</v>
      </c>
      <c r="I591" s="3" t="s">
        <v>16</v>
      </c>
      <c r="J591" s="3" t="s">
        <v>14</v>
      </c>
      <c r="K591" s="3" t="s">
        <v>14</v>
      </c>
      <c r="L591" s="3" t="s">
        <v>814</v>
      </c>
      <c r="M591" s="4">
        <v>46308</v>
      </c>
      <c r="N591" s="3" t="s">
        <v>1140</v>
      </c>
      <c r="O591" s="3" t="s">
        <v>25</v>
      </c>
      <c r="P591" t="str">
        <f t="shared" si="9"/>
        <v>450014031640</v>
      </c>
      <c r="Q591" s="7" cm="1">
        <f t="array" ref="Q591:S591">VLOOKUP(P591,Hoja1!C:F,{2,3,4},FALSE)</f>
        <v>46311</v>
      </c>
      <c r="R591" t="str">
        <v>C03</v>
      </c>
      <c r="S591" t="str">
        <v>1000000581 GINZA S.A.</v>
      </c>
      <c r="T591" t="str">
        <f>VLOOKUP(P591,Hoja2!C:D,2,FALSE)</f>
        <v>MFREIJOMIL</v>
      </c>
    </row>
    <row r="592" spans="1:20" x14ac:dyDescent="0.3">
      <c r="A592" s="2" t="s">
        <v>14</v>
      </c>
      <c r="B592" s="3" t="s">
        <v>14</v>
      </c>
      <c r="C592" s="3" t="s">
        <v>1188</v>
      </c>
      <c r="D592" s="3" t="s">
        <v>14</v>
      </c>
      <c r="E592" s="3" t="s">
        <v>96</v>
      </c>
      <c r="F592" s="4">
        <v>46308</v>
      </c>
      <c r="G592" s="3" t="s">
        <v>43</v>
      </c>
      <c r="H592" s="6">
        <v>-1699122.24</v>
      </c>
      <c r="I592" s="3" t="s">
        <v>16</v>
      </c>
      <c r="J592" s="3" t="s">
        <v>14</v>
      </c>
      <c r="K592" s="3" t="s">
        <v>14</v>
      </c>
      <c r="L592" s="3" t="s">
        <v>814</v>
      </c>
      <c r="M592" s="4">
        <v>46308</v>
      </c>
      <c r="N592" s="3" t="s">
        <v>1189</v>
      </c>
      <c r="O592" s="3" t="s">
        <v>33</v>
      </c>
      <c r="P592" t="str">
        <f t="shared" si="9"/>
        <v>450014054510</v>
      </c>
      <c r="Q592" s="7" cm="1">
        <f t="array" ref="Q592:S592">VLOOKUP(P592,Hoja1!C:F,{2,3,4},FALSE)</f>
        <v>46311</v>
      </c>
      <c r="R592" t="str">
        <v>C03</v>
      </c>
      <c r="S592" t="str">
        <v>1000000581 GINZA S.A.</v>
      </c>
      <c r="T592" t="str">
        <f>VLOOKUP(P592,Hoja2!C:D,2,FALSE)</f>
        <v>MFREIJOMIL</v>
      </c>
    </row>
    <row r="593" spans="1:20" x14ac:dyDescent="0.3">
      <c r="A593" s="2" t="s">
        <v>14</v>
      </c>
      <c r="B593" s="3" t="s">
        <v>14</v>
      </c>
      <c r="C593" s="3" t="s">
        <v>1190</v>
      </c>
      <c r="D593" s="3" t="s">
        <v>14</v>
      </c>
      <c r="E593" s="3" t="s">
        <v>96</v>
      </c>
      <c r="F593" s="4">
        <v>46308</v>
      </c>
      <c r="G593" s="3" t="s">
        <v>43</v>
      </c>
      <c r="H593" s="6">
        <v>-687960</v>
      </c>
      <c r="I593" s="3" t="s">
        <v>16</v>
      </c>
      <c r="J593" s="3" t="s">
        <v>14</v>
      </c>
      <c r="K593" s="3" t="s">
        <v>14</v>
      </c>
      <c r="L593" s="3" t="s">
        <v>1191</v>
      </c>
      <c r="M593" s="4">
        <v>46308</v>
      </c>
      <c r="N593" s="3" t="s">
        <v>1192</v>
      </c>
      <c r="O593" s="3" t="s">
        <v>33</v>
      </c>
      <c r="P593" t="str">
        <f t="shared" si="9"/>
        <v>450012893710</v>
      </c>
      <c r="Q593" s="7" cm="1">
        <f t="array" ref="Q593:S593">VLOOKUP(P593,Hoja1!C:F,{2,3,4},FALSE)</f>
        <v>46356</v>
      </c>
      <c r="R593" t="str">
        <v>C24</v>
      </c>
      <c r="S593" t="str">
        <v>1000002580 BIO CORDILLERANA SRL</v>
      </c>
      <c r="T593" t="str">
        <f>VLOOKUP(P593,Hoja2!C:D,2,FALSE)</f>
        <v>MPITTIA</v>
      </c>
    </row>
    <row r="594" spans="1:20" x14ac:dyDescent="0.3">
      <c r="A594" s="2" t="s">
        <v>14</v>
      </c>
      <c r="B594" s="3" t="s">
        <v>14</v>
      </c>
      <c r="C594" s="3" t="s">
        <v>1193</v>
      </c>
      <c r="D594" s="3" t="s">
        <v>14</v>
      </c>
      <c r="E594" s="3" t="s">
        <v>96</v>
      </c>
      <c r="F594" s="4">
        <v>46308</v>
      </c>
      <c r="G594" s="3" t="s">
        <v>43</v>
      </c>
      <c r="H594" s="6">
        <v>-75625</v>
      </c>
      <c r="I594" s="3" t="s">
        <v>16</v>
      </c>
      <c r="J594" s="3" t="s">
        <v>14</v>
      </c>
      <c r="K594" s="3" t="s">
        <v>14</v>
      </c>
      <c r="L594" s="3" t="s">
        <v>148</v>
      </c>
      <c r="M594" s="4">
        <v>46308</v>
      </c>
      <c r="N594" s="3" t="s">
        <v>1194</v>
      </c>
      <c r="O594" s="3" t="s">
        <v>33</v>
      </c>
      <c r="P594" t="str">
        <f t="shared" si="9"/>
        <v>450014015710</v>
      </c>
      <c r="Q594" s="7" cm="1">
        <f t="array" ref="Q594:S594">VLOOKUP(P594,Hoja1!C:F,{2,3,4},FALSE)</f>
        <v>46314</v>
      </c>
      <c r="R594" t="str">
        <v>F06</v>
      </c>
      <c r="S594" t="str">
        <v>1000000062 FINNING ARGENTINA S.A.</v>
      </c>
      <c r="T594" t="str">
        <f>VLOOKUP(P594,Hoja2!C:D,2,FALSE)</f>
        <v>RPEREZ</v>
      </c>
    </row>
    <row r="595" spans="1:20" x14ac:dyDescent="0.3">
      <c r="A595" s="2" t="s">
        <v>14</v>
      </c>
      <c r="B595" s="3" t="s">
        <v>14</v>
      </c>
      <c r="C595" s="3" t="s">
        <v>1193</v>
      </c>
      <c r="D595" s="3" t="s">
        <v>14</v>
      </c>
      <c r="E595" s="3" t="s">
        <v>96</v>
      </c>
      <c r="F595" s="4">
        <v>46308</v>
      </c>
      <c r="G595" s="3" t="s">
        <v>43</v>
      </c>
      <c r="H595" s="6">
        <v>-3872000</v>
      </c>
      <c r="I595" s="3" t="s">
        <v>16</v>
      </c>
      <c r="J595" s="3" t="s">
        <v>14</v>
      </c>
      <c r="K595" s="3" t="s">
        <v>14</v>
      </c>
      <c r="L595" s="3" t="s">
        <v>148</v>
      </c>
      <c r="M595" s="4">
        <v>46308</v>
      </c>
      <c r="N595" s="3" t="s">
        <v>1194</v>
      </c>
      <c r="O595" s="3" t="s">
        <v>20</v>
      </c>
      <c r="P595" t="str">
        <f t="shared" si="9"/>
        <v>450014015720</v>
      </c>
      <c r="Q595" s="7" cm="1">
        <f t="array" ref="Q595:S595">VLOOKUP(P595,Hoja1!C:F,{2,3,4},FALSE)</f>
        <v>46314</v>
      </c>
      <c r="R595" t="str">
        <v>F06</v>
      </c>
      <c r="S595" t="str">
        <v>1000000062 FINNING ARGENTINA S.A.</v>
      </c>
      <c r="T595" t="str">
        <f>VLOOKUP(P595,Hoja2!C:D,2,FALSE)</f>
        <v>RPEREZ</v>
      </c>
    </row>
    <row r="596" spans="1:20" x14ac:dyDescent="0.3">
      <c r="A596" s="2" t="s">
        <v>14</v>
      </c>
      <c r="B596" s="3" t="s">
        <v>14</v>
      </c>
      <c r="C596" s="3" t="s">
        <v>1193</v>
      </c>
      <c r="D596" s="3" t="s">
        <v>14</v>
      </c>
      <c r="E596" s="3" t="s">
        <v>96</v>
      </c>
      <c r="F596" s="4">
        <v>46308</v>
      </c>
      <c r="G596" s="3" t="s">
        <v>43</v>
      </c>
      <c r="H596" s="6">
        <v>-4655475</v>
      </c>
      <c r="I596" s="3" t="s">
        <v>16</v>
      </c>
      <c r="J596" s="3" t="s">
        <v>14</v>
      </c>
      <c r="K596" s="3" t="s">
        <v>14</v>
      </c>
      <c r="L596" s="3" t="s">
        <v>148</v>
      </c>
      <c r="M596" s="4">
        <v>46308</v>
      </c>
      <c r="N596" s="3" t="s">
        <v>1194</v>
      </c>
      <c r="O596" s="3" t="s">
        <v>21</v>
      </c>
      <c r="P596" t="str">
        <f t="shared" si="9"/>
        <v>450014015730</v>
      </c>
      <c r="Q596" s="7" cm="1">
        <f t="array" ref="Q596:S596">VLOOKUP(P596,Hoja1!C:F,{2,3,4},FALSE)</f>
        <v>46314</v>
      </c>
      <c r="R596" t="str">
        <v>F06</v>
      </c>
      <c r="S596" t="str">
        <v>1000000062 FINNING ARGENTINA S.A.</v>
      </c>
      <c r="T596" t="str">
        <f>VLOOKUP(P596,Hoja2!C:D,2,FALSE)</f>
        <v>RPEREZ</v>
      </c>
    </row>
    <row r="597" spans="1:20" x14ac:dyDescent="0.3">
      <c r="A597" s="2" t="s">
        <v>14</v>
      </c>
      <c r="B597" s="3" t="s">
        <v>14</v>
      </c>
      <c r="C597" s="3" t="s">
        <v>1195</v>
      </c>
      <c r="D597" s="3" t="s">
        <v>14</v>
      </c>
      <c r="E597" s="3" t="s">
        <v>96</v>
      </c>
      <c r="F597" s="4">
        <v>46301</v>
      </c>
      <c r="G597" s="3" t="s">
        <v>43</v>
      </c>
      <c r="H597" s="6">
        <v>-433693.68</v>
      </c>
      <c r="I597" s="3" t="s">
        <v>16</v>
      </c>
      <c r="J597" s="3" t="s">
        <v>14</v>
      </c>
      <c r="K597" s="3" t="s">
        <v>14</v>
      </c>
      <c r="L597" s="3" t="s">
        <v>814</v>
      </c>
      <c r="M597" s="4">
        <v>46308</v>
      </c>
      <c r="N597" s="3" t="s">
        <v>1196</v>
      </c>
      <c r="O597" s="3" t="s">
        <v>33</v>
      </c>
      <c r="P597" t="str">
        <f t="shared" si="9"/>
        <v>450014076410</v>
      </c>
      <c r="Q597" s="7" cm="1">
        <f t="array" ref="Q597:S597">VLOOKUP(P597,Hoja1!C:F,{2,3,4},FALSE)</f>
        <v>46310</v>
      </c>
      <c r="R597" t="str">
        <v>C38</v>
      </c>
      <c r="S597" t="str">
        <v>1000000581 GINZA S.A.</v>
      </c>
      <c r="T597" t="str">
        <f>VLOOKUP(P597,Hoja2!C:D,2,FALSE)</f>
        <v>EREGALADO</v>
      </c>
    </row>
    <row r="598" spans="1:20" x14ac:dyDescent="0.3">
      <c r="A598" s="2" t="s">
        <v>14</v>
      </c>
      <c r="B598" s="3" t="s">
        <v>14</v>
      </c>
      <c r="C598" s="3" t="s">
        <v>1200</v>
      </c>
      <c r="D598" s="3" t="s">
        <v>14</v>
      </c>
      <c r="E598" s="3" t="s">
        <v>96</v>
      </c>
      <c r="F598" s="4">
        <v>46308</v>
      </c>
      <c r="G598" s="3" t="s">
        <v>43</v>
      </c>
      <c r="H598" s="6">
        <v>-1170479.44</v>
      </c>
      <c r="I598" s="3" t="s">
        <v>16</v>
      </c>
      <c r="J598" s="3" t="s">
        <v>14</v>
      </c>
      <c r="K598" s="3" t="s">
        <v>14</v>
      </c>
      <c r="L598" s="3" t="s">
        <v>18</v>
      </c>
      <c r="M598" s="4">
        <v>46309</v>
      </c>
      <c r="N598" s="3" t="s">
        <v>1201</v>
      </c>
      <c r="O598" s="3" t="s">
        <v>33</v>
      </c>
      <c r="P598" t="str">
        <f t="shared" si="9"/>
        <v>450013989210</v>
      </c>
      <c r="Q598" s="7" cm="1">
        <f t="array" ref="Q598:S598">VLOOKUP(P598,Hoja1!C:F,{2,3,4},FALSE)</f>
        <v>46310</v>
      </c>
      <c r="R598" t="str">
        <v>C03</v>
      </c>
      <c r="S598" t="str">
        <v>1000001470 SUDAMERICANA CAMIONES SA</v>
      </c>
      <c r="T598" t="str">
        <f>VLOOKUP(P598,Hoja2!C:D,2,FALSE)</f>
        <v>FBERARDO</v>
      </c>
    </row>
    <row r="599" spans="1:20" x14ac:dyDescent="0.3">
      <c r="A599" s="2" t="s">
        <v>14</v>
      </c>
      <c r="B599" s="3" t="s">
        <v>14</v>
      </c>
      <c r="C599" s="3" t="s">
        <v>1200</v>
      </c>
      <c r="D599" s="3" t="s">
        <v>14</v>
      </c>
      <c r="E599" s="3" t="s">
        <v>96</v>
      </c>
      <c r="F599" s="4">
        <v>46308</v>
      </c>
      <c r="G599" s="3" t="s">
        <v>43</v>
      </c>
      <c r="H599" s="6">
        <v>-2351695.84</v>
      </c>
      <c r="I599" s="3" t="s">
        <v>16</v>
      </c>
      <c r="J599" s="3" t="s">
        <v>14</v>
      </c>
      <c r="K599" s="3" t="s">
        <v>14</v>
      </c>
      <c r="L599" s="3" t="s">
        <v>18</v>
      </c>
      <c r="M599" s="4">
        <v>46309</v>
      </c>
      <c r="N599" s="3" t="s">
        <v>1201</v>
      </c>
      <c r="O599" s="3" t="s">
        <v>20</v>
      </c>
      <c r="P599" t="str">
        <f t="shared" si="9"/>
        <v>450013989220</v>
      </c>
      <c r="Q599" s="7" cm="1">
        <f t="array" ref="Q599:S599">VLOOKUP(P599,Hoja1!C:F,{2,3,4},FALSE)</f>
        <v>46310</v>
      </c>
      <c r="R599" t="str">
        <v>C03</v>
      </c>
      <c r="S599" t="str">
        <v>1000001470 SUDAMERICANA CAMIONES SA</v>
      </c>
      <c r="T599" t="str">
        <f>VLOOKUP(P599,Hoja2!C:D,2,FALSE)</f>
        <v>FBERARDO</v>
      </c>
    </row>
    <row r="600" spans="1:20" x14ac:dyDescent="0.3">
      <c r="A600" s="2" t="s">
        <v>14</v>
      </c>
      <c r="B600" s="3" t="s">
        <v>14</v>
      </c>
      <c r="C600" s="3" t="s">
        <v>1200</v>
      </c>
      <c r="D600" s="3" t="s">
        <v>14</v>
      </c>
      <c r="E600" s="3" t="s">
        <v>96</v>
      </c>
      <c r="F600" s="4">
        <v>46308</v>
      </c>
      <c r="G600" s="3" t="s">
        <v>43</v>
      </c>
      <c r="H600" s="6">
        <v>-179949.64</v>
      </c>
      <c r="I600" s="3" t="s">
        <v>16</v>
      </c>
      <c r="J600" s="3" t="s">
        <v>14</v>
      </c>
      <c r="K600" s="3" t="s">
        <v>14</v>
      </c>
      <c r="L600" s="3" t="s">
        <v>18</v>
      </c>
      <c r="M600" s="4">
        <v>46309</v>
      </c>
      <c r="N600" s="3" t="s">
        <v>1201</v>
      </c>
      <c r="O600" s="3" t="s">
        <v>21</v>
      </c>
      <c r="P600" t="str">
        <f t="shared" si="9"/>
        <v>450013989230</v>
      </c>
      <c r="Q600" s="7" cm="1">
        <f t="array" ref="Q600:S600">VLOOKUP(P600,Hoja1!C:F,{2,3,4},FALSE)</f>
        <v>46310</v>
      </c>
      <c r="R600" t="str">
        <v>C03</v>
      </c>
      <c r="S600" t="str">
        <v>1000001470 SUDAMERICANA CAMIONES SA</v>
      </c>
      <c r="T600" t="str">
        <f>VLOOKUP(P600,Hoja2!C:D,2,FALSE)</f>
        <v>FBERARDO</v>
      </c>
    </row>
    <row r="601" spans="1:20" x14ac:dyDescent="0.3">
      <c r="A601" s="2" t="s">
        <v>14</v>
      </c>
      <c r="B601" s="3" t="s">
        <v>14</v>
      </c>
      <c r="C601" s="3" t="s">
        <v>1200</v>
      </c>
      <c r="D601" s="3" t="s">
        <v>14</v>
      </c>
      <c r="E601" s="3" t="s">
        <v>96</v>
      </c>
      <c r="F601" s="4">
        <v>46308</v>
      </c>
      <c r="G601" s="3" t="s">
        <v>43</v>
      </c>
      <c r="H601" s="6">
        <v>-436927.92</v>
      </c>
      <c r="I601" s="3" t="s">
        <v>16</v>
      </c>
      <c r="J601" s="3" t="s">
        <v>14</v>
      </c>
      <c r="K601" s="3" t="s">
        <v>14</v>
      </c>
      <c r="L601" s="3" t="s">
        <v>18</v>
      </c>
      <c r="M601" s="4">
        <v>46309</v>
      </c>
      <c r="N601" s="3" t="s">
        <v>1201</v>
      </c>
      <c r="O601" s="3" t="s">
        <v>25</v>
      </c>
      <c r="P601" t="str">
        <f t="shared" si="9"/>
        <v>450013989240</v>
      </c>
      <c r="Q601" s="7" cm="1">
        <f t="array" ref="Q601:S601">VLOOKUP(P601,Hoja1!C:F,{2,3,4},FALSE)</f>
        <v>46310</v>
      </c>
      <c r="R601" t="str">
        <v>C03</v>
      </c>
      <c r="S601" t="str">
        <v>1000001470 SUDAMERICANA CAMIONES SA</v>
      </c>
      <c r="T601" t="str">
        <f>VLOOKUP(P601,Hoja2!C:D,2,FALSE)</f>
        <v>FBERARDO</v>
      </c>
    </row>
    <row r="602" spans="1:20" x14ac:dyDescent="0.3">
      <c r="A602" s="2" t="s">
        <v>14</v>
      </c>
      <c r="B602" s="3" t="s">
        <v>14</v>
      </c>
      <c r="C602" s="3" t="s">
        <v>1200</v>
      </c>
      <c r="D602" s="3" t="s">
        <v>14</v>
      </c>
      <c r="E602" s="3" t="s">
        <v>96</v>
      </c>
      <c r="F602" s="4">
        <v>46308</v>
      </c>
      <c r="G602" s="3" t="s">
        <v>43</v>
      </c>
      <c r="H602" s="6">
        <v>-76440.52</v>
      </c>
      <c r="I602" s="3" t="s">
        <v>16</v>
      </c>
      <c r="J602" s="3" t="s">
        <v>14</v>
      </c>
      <c r="K602" s="3" t="s">
        <v>14</v>
      </c>
      <c r="L602" s="3" t="s">
        <v>18</v>
      </c>
      <c r="M602" s="4">
        <v>46309</v>
      </c>
      <c r="N602" s="3" t="s">
        <v>1201</v>
      </c>
      <c r="O602" s="3" t="s">
        <v>22</v>
      </c>
      <c r="P602" t="str">
        <f t="shared" si="9"/>
        <v>450013989250</v>
      </c>
      <c r="Q602" s="7" cm="1">
        <f t="array" ref="Q602:S602">VLOOKUP(P602,Hoja1!C:F,{2,3,4},FALSE)</f>
        <v>46310</v>
      </c>
      <c r="R602" t="str">
        <v>C03</v>
      </c>
      <c r="S602" t="str">
        <v>1000001470 SUDAMERICANA CAMIONES SA</v>
      </c>
      <c r="T602" t="str">
        <f>VLOOKUP(P602,Hoja2!C:D,2,FALSE)</f>
        <v>FBERARDO</v>
      </c>
    </row>
    <row r="603" spans="1:20" x14ac:dyDescent="0.3">
      <c r="A603" s="2" t="s">
        <v>14</v>
      </c>
      <c r="B603" s="3" t="s">
        <v>14</v>
      </c>
      <c r="C603" s="3" t="s">
        <v>1202</v>
      </c>
      <c r="D603" s="3" t="s">
        <v>14</v>
      </c>
      <c r="E603" s="3" t="s">
        <v>96</v>
      </c>
      <c r="F603" s="4">
        <v>46309</v>
      </c>
      <c r="G603" s="3" t="s">
        <v>43</v>
      </c>
      <c r="H603" s="6">
        <v>-31125.119999999999</v>
      </c>
      <c r="I603" s="3" t="s">
        <v>16</v>
      </c>
      <c r="J603" s="3" t="s">
        <v>14</v>
      </c>
      <c r="K603" s="3" t="s">
        <v>14</v>
      </c>
      <c r="L603" s="3" t="s">
        <v>86</v>
      </c>
      <c r="M603" s="4">
        <v>46309</v>
      </c>
      <c r="N603" s="3" t="s">
        <v>1203</v>
      </c>
      <c r="O603" s="3" t="s">
        <v>33</v>
      </c>
      <c r="P603" t="str">
        <f t="shared" si="9"/>
        <v>450013914710</v>
      </c>
      <c r="Q603" s="7" cm="1">
        <f t="array" ref="Q603:S603">VLOOKUP(P603,Hoja1!C:F,{2,3,4},FALSE)</f>
        <v>46301</v>
      </c>
      <c r="R603" t="str">
        <v>C28</v>
      </c>
      <c r="S603" t="str">
        <v>1000001028 SOSTEN S.A.</v>
      </c>
      <c r="T603" t="str">
        <f>VLOOKUP(P603,Hoja2!C:D,2,FALSE)</f>
        <v>GJULIANI</v>
      </c>
    </row>
    <row r="604" spans="1:20" x14ac:dyDescent="0.3">
      <c r="A604" s="2" t="s">
        <v>14</v>
      </c>
      <c r="B604" s="3" t="s">
        <v>14</v>
      </c>
      <c r="C604" s="3" t="s">
        <v>1205</v>
      </c>
      <c r="D604" s="3" t="s">
        <v>14</v>
      </c>
      <c r="E604" s="3" t="s">
        <v>96</v>
      </c>
      <c r="F604" s="4">
        <v>46309</v>
      </c>
      <c r="G604" s="3" t="s">
        <v>43</v>
      </c>
      <c r="H604" s="6">
        <v>-82521.399999999994</v>
      </c>
      <c r="I604" s="3" t="s">
        <v>16</v>
      </c>
      <c r="J604" s="3" t="s">
        <v>14</v>
      </c>
      <c r="K604" s="3" t="s">
        <v>14</v>
      </c>
      <c r="L604" s="3" t="s">
        <v>932</v>
      </c>
      <c r="M604" s="4">
        <v>46309</v>
      </c>
      <c r="N604" s="3" t="s">
        <v>1206</v>
      </c>
      <c r="O604" s="3" t="s">
        <v>33</v>
      </c>
      <c r="P604" t="str">
        <f t="shared" si="9"/>
        <v>450014053210</v>
      </c>
      <c r="Q604" s="7" cm="1">
        <f t="array" ref="Q604:S604">VLOOKUP(P604,Hoja1!C:F,{2,3,4},FALSE)</f>
        <v>46316</v>
      </c>
      <c r="R604" t="str">
        <v>C17</v>
      </c>
      <c r="S604" t="str">
        <v>1000008830 VICEM SAN JUAN S.A.</v>
      </c>
      <c r="T604" t="str">
        <f>VLOOKUP(P604,Hoja2!C:D,2,FALSE)</f>
        <v>GDIAZ</v>
      </c>
    </row>
    <row r="605" spans="1:20" x14ac:dyDescent="0.3">
      <c r="A605" s="2" t="s">
        <v>14</v>
      </c>
      <c r="B605" s="3" t="s">
        <v>14</v>
      </c>
      <c r="C605" s="3" t="s">
        <v>1208</v>
      </c>
      <c r="D605" s="3" t="s">
        <v>14</v>
      </c>
      <c r="E605" s="3" t="s">
        <v>96</v>
      </c>
      <c r="F605" s="4">
        <v>46308</v>
      </c>
      <c r="G605" s="3" t="s">
        <v>43</v>
      </c>
      <c r="H605" s="6">
        <v>-2368012.4</v>
      </c>
      <c r="I605" s="3" t="s">
        <v>16</v>
      </c>
      <c r="J605" s="3" t="s">
        <v>14</v>
      </c>
      <c r="K605" s="3" t="s">
        <v>14</v>
      </c>
      <c r="L605" s="3" t="s">
        <v>18</v>
      </c>
      <c r="M605" s="4">
        <v>46309</v>
      </c>
      <c r="N605" s="3" t="s">
        <v>1209</v>
      </c>
      <c r="O605" s="3" t="s">
        <v>33</v>
      </c>
      <c r="P605" t="str">
        <f t="shared" si="9"/>
        <v>450014044410</v>
      </c>
      <c r="Q605" s="7" cm="1">
        <f t="array" ref="Q605:S605">VLOOKUP(P605,Hoja1!C:F,{2,3,4},FALSE)</f>
        <v>46315</v>
      </c>
      <c r="R605" t="str">
        <v>C03</v>
      </c>
      <c r="S605" t="str">
        <v>1000001470 SUDAMERICANA CAMIONES SA</v>
      </c>
      <c r="T605" t="str">
        <f>VLOOKUP(P605,Hoja2!C:D,2,FALSE)</f>
        <v>FBERARDO</v>
      </c>
    </row>
    <row r="606" spans="1:20" x14ac:dyDescent="0.3">
      <c r="A606" s="2" t="s">
        <v>14</v>
      </c>
      <c r="B606" s="3" t="s">
        <v>14</v>
      </c>
      <c r="C606" s="3" t="s">
        <v>1208</v>
      </c>
      <c r="D606" s="3" t="s">
        <v>14</v>
      </c>
      <c r="E606" s="3" t="s">
        <v>96</v>
      </c>
      <c r="F606" s="4">
        <v>46308</v>
      </c>
      <c r="G606" s="3" t="s">
        <v>43</v>
      </c>
      <c r="H606" s="6">
        <v>-615022.72</v>
      </c>
      <c r="I606" s="3" t="s">
        <v>16</v>
      </c>
      <c r="J606" s="3" t="s">
        <v>14</v>
      </c>
      <c r="K606" s="3" t="s">
        <v>14</v>
      </c>
      <c r="L606" s="3" t="s">
        <v>18</v>
      </c>
      <c r="M606" s="4">
        <v>46309</v>
      </c>
      <c r="N606" s="3" t="s">
        <v>1209</v>
      </c>
      <c r="O606" s="3" t="s">
        <v>20</v>
      </c>
      <c r="P606" t="str">
        <f t="shared" si="9"/>
        <v>450014044420</v>
      </c>
      <c r="Q606" s="7" cm="1">
        <f t="array" ref="Q606:S606">VLOOKUP(P606,Hoja1!C:F,{2,3,4},FALSE)</f>
        <v>46315</v>
      </c>
      <c r="R606" t="str">
        <v>C03</v>
      </c>
      <c r="S606" t="str">
        <v>1000001470 SUDAMERICANA CAMIONES SA</v>
      </c>
      <c r="T606" t="str">
        <f>VLOOKUP(P606,Hoja2!C:D,2,FALSE)</f>
        <v>FBERARDO</v>
      </c>
    </row>
    <row r="607" spans="1:20" x14ac:dyDescent="0.3">
      <c r="A607" s="2" t="s">
        <v>14</v>
      </c>
      <c r="B607" s="3" t="s">
        <v>14</v>
      </c>
      <c r="C607" s="3" t="s">
        <v>1208</v>
      </c>
      <c r="D607" s="3" t="s">
        <v>14</v>
      </c>
      <c r="E607" s="3" t="s">
        <v>96</v>
      </c>
      <c r="F607" s="4">
        <v>46308</v>
      </c>
      <c r="G607" s="3" t="s">
        <v>43</v>
      </c>
      <c r="H607" s="6">
        <v>-112074.56</v>
      </c>
      <c r="I607" s="3" t="s">
        <v>16</v>
      </c>
      <c r="J607" s="3" t="s">
        <v>14</v>
      </c>
      <c r="K607" s="3" t="s">
        <v>14</v>
      </c>
      <c r="L607" s="3" t="s">
        <v>18</v>
      </c>
      <c r="M607" s="4">
        <v>46309</v>
      </c>
      <c r="N607" s="3" t="s">
        <v>1209</v>
      </c>
      <c r="O607" s="3" t="s">
        <v>21</v>
      </c>
      <c r="P607" t="str">
        <f t="shared" si="9"/>
        <v>450014044430</v>
      </c>
      <c r="Q607" s="7" cm="1">
        <f t="array" ref="Q607:S607">VLOOKUP(P607,Hoja1!C:F,{2,3,4},FALSE)</f>
        <v>46315</v>
      </c>
      <c r="R607" t="str">
        <v>C03</v>
      </c>
      <c r="S607" t="str">
        <v>1000001470 SUDAMERICANA CAMIONES SA</v>
      </c>
      <c r="T607" t="str">
        <f>VLOOKUP(P607,Hoja2!C:D,2,FALSE)</f>
        <v>FBERARDO</v>
      </c>
    </row>
    <row r="608" spans="1:20" x14ac:dyDescent="0.3">
      <c r="A608" s="2" t="s">
        <v>14</v>
      </c>
      <c r="B608" s="3" t="s">
        <v>14</v>
      </c>
      <c r="C608" s="3" t="s">
        <v>1208</v>
      </c>
      <c r="D608" s="3" t="s">
        <v>14</v>
      </c>
      <c r="E608" s="3" t="s">
        <v>96</v>
      </c>
      <c r="F608" s="4">
        <v>46308</v>
      </c>
      <c r="G608" s="3" t="s">
        <v>43</v>
      </c>
      <c r="H608" s="6">
        <v>-3731003.12</v>
      </c>
      <c r="I608" s="3" t="s">
        <v>16</v>
      </c>
      <c r="J608" s="3" t="s">
        <v>14</v>
      </c>
      <c r="K608" s="3" t="s">
        <v>14</v>
      </c>
      <c r="L608" s="3" t="s">
        <v>18</v>
      </c>
      <c r="M608" s="4">
        <v>46309</v>
      </c>
      <c r="N608" s="3" t="s">
        <v>1209</v>
      </c>
      <c r="O608" s="3" t="s">
        <v>25</v>
      </c>
      <c r="P608" t="str">
        <f t="shared" si="9"/>
        <v>450014044440</v>
      </c>
      <c r="Q608" s="7" cm="1">
        <f t="array" ref="Q608:S608">VLOOKUP(P608,Hoja1!C:F,{2,3,4},FALSE)</f>
        <v>46315</v>
      </c>
      <c r="R608" t="str">
        <v>C03</v>
      </c>
      <c r="S608" t="str">
        <v>1000001470 SUDAMERICANA CAMIONES SA</v>
      </c>
      <c r="T608" t="str">
        <f>VLOOKUP(P608,Hoja2!C:D,2,FALSE)</f>
        <v>FBERARDO</v>
      </c>
    </row>
    <row r="609" spans="1:20" x14ac:dyDescent="0.3">
      <c r="A609" s="2" t="s">
        <v>14</v>
      </c>
      <c r="B609" s="3" t="s">
        <v>14</v>
      </c>
      <c r="C609" s="3" t="s">
        <v>1208</v>
      </c>
      <c r="D609" s="3" t="s">
        <v>14</v>
      </c>
      <c r="E609" s="3" t="s">
        <v>96</v>
      </c>
      <c r="F609" s="4">
        <v>46308</v>
      </c>
      <c r="G609" s="3" t="s">
        <v>43</v>
      </c>
      <c r="H609" s="6">
        <v>-2255093.36</v>
      </c>
      <c r="I609" s="3" t="s">
        <v>16</v>
      </c>
      <c r="J609" s="3" t="s">
        <v>14</v>
      </c>
      <c r="K609" s="3" t="s">
        <v>14</v>
      </c>
      <c r="L609" s="3" t="s">
        <v>18</v>
      </c>
      <c r="M609" s="4">
        <v>46309</v>
      </c>
      <c r="N609" s="3" t="s">
        <v>1209</v>
      </c>
      <c r="O609" s="3" t="s">
        <v>22</v>
      </c>
      <c r="P609" t="str">
        <f t="shared" si="9"/>
        <v>450014044450</v>
      </c>
      <c r="Q609" s="7" cm="1">
        <f t="array" ref="Q609:S609">VLOOKUP(P609,Hoja1!C:F,{2,3,4},FALSE)</f>
        <v>46315</v>
      </c>
      <c r="R609" t="str">
        <v>C03</v>
      </c>
      <c r="S609" t="str">
        <v>1000001470 SUDAMERICANA CAMIONES SA</v>
      </c>
      <c r="T609" t="str">
        <f>VLOOKUP(P609,Hoja2!C:D,2,FALSE)</f>
        <v>FBERARDO</v>
      </c>
    </row>
    <row r="610" spans="1:20" x14ac:dyDescent="0.3">
      <c r="A610" s="2" t="s">
        <v>14</v>
      </c>
      <c r="B610" s="3" t="s">
        <v>14</v>
      </c>
      <c r="C610" s="3" t="s">
        <v>1210</v>
      </c>
      <c r="D610" s="3" t="s">
        <v>14</v>
      </c>
      <c r="E610" s="3" t="s">
        <v>96</v>
      </c>
      <c r="F610" s="4">
        <v>46309</v>
      </c>
      <c r="G610" s="3" t="s">
        <v>43</v>
      </c>
      <c r="H610" s="6">
        <v>-481172.64</v>
      </c>
      <c r="I610" s="3" t="s">
        <v>16</v>
      </c>
      <c r="J610" s="3" t="s">
        <v>14</v>
      </c>
      <c r="K610" s="3" t="s">
        <v>14</v>
      </c>
      <c r="L610" s="3" t="s">
        <v>1097</v>
      </c>
      <c r="M610" s="4">
        <v>46309</v>
      </c>
      <c r="N610" s="3" t="s">
        <v>1211</v>
      </c>
      <c r="O610" s="3" t="s">
        <v>33</v>
      </c>
      <c r="P610" t="str">
        <f t="shared" si="9"/>
        <v>450013781610</v>
      </c>
      <c r="Q610" s="7" cm="1">
        <f t="array" ref="Q610:S610">VLOOKUP(P610,Hoja1!C:F,{2,3,4},FALSE)</f>
        <v>46321</v>
      </c>
      <c r="R610" t="str">
        <v>C28</v>
      </c>
      <c r="S610" t="str">
        <v>1000011286 FERMEB SAS</v>
      </c>
      <c r="T610" t="str">
        <f>VLOOKUP(P610,Hoja2!C:D,2,FALSE)</f>
        <v>GJULIANI</v>
      </c>
    </row>
    <row r="611" spans="1:20" x14ac:dyDescent="0.3">
      <c r="A611" s="2" t="s">
        <v>14</v>
      </c>
      <c r="B611" s="3" t="s">
        <v>14</v>
      </c>
      <c r="C611" s="3" t="s">
        <v>1212</v>
      </c>
      <c r="D611" s="3" t="s">
        <v>14</v>
      </c>
      <c r="E611" s="3" t="s">
        <v>96</v>
      </c>
      <c r="F611" s="4">
        <v>46309</v>
      </c>
      <c r="G611" s="3" t="s">
        <v>43</v>
      </c>
      <c r="H611" s="6">
        <v>-147180.79999999999</v>
      </c>
      <c r="I611" s="3" t="s">
        <v>16</v>
      </c>
      <c r="J611" s="3" t="s">
        <v>14</v>
      </c>
      <c r="K611" s="3" t="s">
        <v>14</v>
      </c>
      <c r="L611" s="3" t="s">
        <v>1097</v>
      </c>
      <c r="M611" s="4">
        <v>46309</v>
      </c>
      <c r="N611" s="3" t="s">
        <v>1213</v>
      </c>
      <c r="O611" s="3" t="s">
        <v>33</v>
      </c>
      <c r="P611" t="str">
        <f t="shared" si="9"/>
        <v>450013807610</v>
      </c>
      <c r="Q611" s="7" cm="1">
        <f t="array" ref="Q611:S611">VLOOKUP(P611,Hoja1!C:F,{2,3,4},FALSE)</f>
        <v>46290</v>
      </c>
      <c r="R611" t="str">
        <v>C28</v>
      </c>
      <c r="S611" t="str">
        <v>1000011286 FERMEB SAS</v>
      </c>
      <c r="T611" t="str">
        <f>VLOOKUP(P611,Hoja2!C:D,2,FALSE)</f>
        <v>GJULIANI</v>
      </c>
    </row>
    <row r="612" spans="1:20" x14ac:dyDescent="0.3">
      <c r="A612" s="2" t="s">
        <v>14</v>
      </c>
      <c r="B612" s="3" t="s">
        <v>14</v>
      </c>
      <c r="C612" s="3" t="s">
        <v>1214</v>
      </c>
      <c r="D612" s="3" t="s">
        <v>14</v>
      </c>
      <c r="E612" s="3" t="s">
        <v>96</v>
      </c>
      <c r="F612" s="4">
        <v>46308</v>
      </c>
      <c r="G612" s="3" t="s">
        <v>43</v>
      </c>
      <c r="H612" s="6">
        <v>-1550872.44</v>
      </c>
      <c r="I612" s="3" t="s">
        <v>16</v>
      </c>
      <c r="J612" s="3" t="s">
        <v>14</v>
      </c>
      <c r="K612" s="3" t="s">
        <v>14</v>
      </c>
      <c r="L612" s="3" t="s">
        <v>18</v>
      </c>
      <c r="M612" s="4">
        <v>46309</v>
      </c>
      <c r="N612" s="3" t="s">
        <v>1215</v>
      </c>
      <c r="O612" s="3" t="s">
        <v>33</v>
      </c>
      <c r="P612" t="str">
        <f t="shared" si="9"/>
        <v>450014006410</v>
      </c>
      <c r="Q612" s="7" cm="1">
        <f t="array" ref="Q612:S612">VLOOKUP(P612,Hoja1!C:F,{2,3,4},FALSE)</f>
        <v>46315</v>
      </c>
      <c r="R612" t="str">
        <v>C03</v>
      </c>
      <c r="S612" t="str">
        <v>1000001470 SUDAMERICANA CAMIONES SA</v>
      </c>
      <c r="T612" t="str">
        <f>VLOOKUP(P612,Hoja2!C:D,2,FALSE)</f>
        <v>FBERARDO</v>
      </c>
    </row>
    <row r="613" spans="1:20" x14ac:dyDescent="0.3">
      <c r="A613" s="2" t="s">
        <v>14</v>
      </c>
      <c r="B613" s="3" t="s">
        <v>14</v>
      </c>
      <c r="C613" s="3" t="s">
        <v>1214</v>
      </c>
      <c r="D613" s="3" t="s">
        <v>14</v>
      </c>
      <c r="E613" s="3" t="s">
        <v>96</v>
      </c>
      <c r="F613" s="4">
        <v>46308</v>
      </c>
      <c r="G613" s="3" t="s">
        <v>43</v>
      </c>
      <c r="H613" s="6">
        <v>-50457.68</v>
      </c>
      <c r="I613" s="3" t="s">
        <v>16</v>
      </c>
      <c r="J613" s="3" t="s">
        <v>14</v>
      </c>
      <c r="K613" s="3" t="s">
        <v>14</v>
      </c>
      <c r="L613" s="3" t="s">
        <v>18</v>
      </c>
      <c r="M613" s="4">
        <v>46309</v>
      </c>
      <c r="N613" s="3" t="s">
        <v>1215</v>
      </c>
      <c r="O613" s="3" t="s">
        <v>20</v>
      </c>
      <c r="P613" t="str">
        <f t="shared" si="9"/>
        <v>450014006420</v>
      </c>
      <c r="Q613" s="7" cm="1">
        <f t="array" ref="Q613:S613">VLOOKUP(P613,Hoja1!C:F,{2,3,4},FALSE)</f>
        <v>46315</v>
      </c>
      <c r="R613" t="str">
        <v>C03</v>
      </c>
      <c r="S613" t="str">
        <v>1000001470 SUDAMERICANA CAMIONES SA</v>
      </c>
      <c r="T613" t="str">
        <f>VLOOKUP(P613,Hoja2!C:D,2,FALSE)</f>
        <v>FBERARDO</v>
      </c>
    </row>
    <row r="614" spans="1:20" x14ac:dyDescent="0.3">
      <c r="A614" s="2" t="s">
        <v>14</v>
      </c>
      <c r="B614" s="3" t="s">
        <v>14</v>
      </c>
      <c r="C614" s="3" t="s">
        <v>1214</v>
      </c>
      <c r="D614" s="3" t="s">
        <v>14</v>
      </c>
      <c r="E614" s="3" t="s">
        <v>96</v>
      </c>
      <c r="F614" s="4">
        <v>46308</v>
      </c>
      <c r="G614" s="3" t="s">
        <v>43</v>
      </c>
      <c r="H614" s="6">
        <v>-76953.240000000005</v>
      </c>
      <c r="I614" s="3" t="s">
        <v>16</v>
      </c>
      <c r="J614" s="3" t="s">
        <v>14</v>
      </c>
      <c r="K614" s="3" t="s">
        <v>14</v>
      </c>
      <c r="L614" s="3" t="s">
        <v>18</v>
      </c>
      <c r="M614" s="4">
        <v>46309</v>
      </c>
      <c r="N614" s="3" t="s">
        <v>1215</v>
      </c>
      <c r="O614" s="3" t="s">
        <v>21</v>
      </c>
      <c r="P614" t="str">
        <f t="shared" si="9"/>
        <v>450014006430</v>
      </c>
      <c r="Q614" s="7" cm="1">
        <f t="array" ref="Q614:S614">VLOOKUP(P614,Hoja1!C:F,{2,3,4},FALSE)</f>
        <v>46315</v>
      </c>
      <c r="R614" t="str">
        <v>C03</v>
      </c>
      <c r="S614" t="str">
        <v>1000001470 SUDAMERICANA CAMIONES SA</v>
      </c>
      <c r="T614" t="str">
        <f>VLOOKUP(P614,Hoja2!C:D,2,FALSE)</f>
        <v>FBERARDO</v>
      </c>
    </row>
    <row r="615" spans="1:20" x14ac:dyDescent="0.3">
      <c r="A615" s="2" t="s">
        <v>14</v>
      </c>
      <c r="B615" s="3" t="s">
        <v>14</v>
      </c>
      <c r="C615" s="3" t="s">
        <v>1214</v>
      </c>
      <c r="D615" s="3" t="s">
        <v>14</v>
      </c>
      <c r="E615" s="3" t="s">
        <v>96</v>
      </c>
      <c r="F615" s="4">
        <v>46308</v>
      </c>
      <c r="G615" s="3" t="s">
        <v>43</v>
      </c>
      <c r="H615" s="6">
        <v>-121017</v>
      </c>
      <c r="I615" s="3" t="s">
        <v>16</v>
      </c>
      <c r="J615" s="3" t="s">
        <v>14</v>
      </c>
      <c r="K615" s="3" t="s">
        <v>14</v>
      </c>
      <c r="L615" s="3" t="s">
        <v>18</v>
      </c>
      <c r="M615" s="4">
        <v>46309</v>
      </c>
      <c r="N615" s="3" t="s">
        <v>1215</v>
      </c>
      <c r="O615" s="3" t="s">
        <v>25</v>
      </c>
      <c r="P615" t="str">
        <f t="shared" si="9"/>
        <v>450014006440</v>
      </c>
      <c r="Q615" s="7" cm="1">
        <f t="array" ref="Q615:S615">VLOOKUP(P615,Hoja1!C:F,{2,3,4},FALSE)</f>
        <v>46315</v>
      </c>
      <c r="R615" t="str">
        <v>C03</v>
      </c>
      <c r="S615" t="str">
        <v>1000001470 SUDAMERICANA CAMIONES SA</v>
      </c>
      <c r="T615" t="str">
        <f>VLOOKUP(P615,Hoja2!C:D,2,FALSE)</f>
        <v>FBERARDO</v>
      </c>
    </row>
    <row r="616" spans="1:20" x14ac:dyDescent="0.3">
      <c r="A616" s="2" t="s">
        <v>14</v>
      </c>
      <c r="B616" s="3" t="s">
        <v>14</v>
      </c>
      <c r="C616" s="3" t="s">
        <v>1214</v>
      </c>
      <c r="D616" s="3" t="s">
        <v>14</v>
      </c>
      <c r="E616" s="3" t="s">
        <v>96</v>
      </c>
      <c r="F616" s="4">
        <v>46308</v>
      </c>
      <c r="G616" s="3" t="s">
        <v>43</v>
      </c>
      <c r="H616" s="6">
        <v>-77330.240000000005</v>
      </c>
      <c r="I616" s="3" t="s">
        <v>16</v>
      </c>
      <c r="J616" s="3" t="s">
        <v>14</v>
      </c>
      <c r="K616" s="3" t="s">
        <v>14</v>
      </c>
      <c r="L616" s="3" t="s">
        <v>18</v>
      </c>
      <c r="M616" s="4">
        <v>46309</v>
      </c>
      <c r="N616" s="3" t="s">
        <v>1215</v>
      </c>
      <c r="O616" s="3" t="s">
        <v>22</v>
      </c>
      <c r="P616" t="str">
        <f t="shared" si="9"/>
        <v>450014006450</v>
      </c>
      <c r="Q616" s="7" cm="1">
        <f t="array" ref="Q616:S616">VLOOKUP(P616,Hoja1!C:F,{2,3,4},FALSE)</f>
        <v>46315</v>
      </c>
      <c r="R616" t="str">
        <v>C03</v>
      </c>
      <c r="S616" t="str">
        <v>1000001470 SUDAMERICANA CAMIONES SA</v>
      </c>
      <c r="T616" t="str">
        <f>VLOOKUP(P616,Hoja2!C:D,2,FALSE)</f>
        <v>FBERARDO</v>
      </c>
    </row>
    <row r="617" spans="1:20" x14ac:dyDescent="0.3">
      <c r="A617" s="2" t="s">
        <v>14</v>
      </c>
      <c r="B617" s="3" t="s">
        <v>14</v>
      </c>
      <c r="C617" s="3" t="s">
        <v>1214</v>
      </c>
      <c r="D617" s="3" t="s">
        <v>14</v>
      </c>
      <c r="E617" s="3" t="s">
        <v>96</v>
      </c>
      <c r="F617" s="4">
        <v>46308</v>
      </c>
      <c r="G617" s="3" t="s">
        <v>43</v>
      </c>
      <c r="H617" s="6">
        <v>-272691.64</v>
      </c>
      <c r="I617" s="3" t="s">
        <v>16</v>
      </c>
      <c r="J617" s="3" t="s">
        <v>14</v>
      </c>
      <c r="K617" s="3" t="s">
        <v>14</v>
      </c>
      <c r="L617" s="3" t="s">
        <v>18</v>
      </c>
      <c r="M617" s="4">
        <v>46309</v>
      </c>
      <c r="N617" s="3" t="s">
        <v>1215</v>
      </c>
      <c r="O617" s="3" t="s">
        <v>23</v>
      </c>
      <c r="P617" t="str">
        <f t="shared" si="9"/>
        <v>450014006460</v>
      </c>
      <c r="Q617" s="7" cm="1">
        <f t="array" ref="Q617:S617">VLOOKUP(P617,Hoja1!C:F,{2,3,4},FALSE)</f>
        <v>46315</v>
      </c>
      <c r="R617" t="str">
        <v>C03</v>
      </c>
      <c r="S617" t="str">
        <v>1000001470 SUDAMERICANA CAMIONES SA</v>
      </c>
      <c r="T617" t="str">
        <f>VLOOKUP(P617,Hoja2!C:D,2,FALSE)</f>
        <v>FBERARDO</v>
      </c>
    </row>
    <row r="618" spans="1:20" x14ac:dyDescent="0.3">
      <c r="A618" s="2" t="s">
        <v>14</v>
      </c>
      <c r="B618" s="3" t="s">
        <v>14</v>
      </c>
      <c r="C618" s="3" t="s">
        <v>1214</v>
      </c>
      <c r="D618" s="3" t="s">
        <v>14</v>
      </c>
      <c r="E618" s="3" t="s">
        <v>96</v>
      </c>
      <c r="F618" s="4">
        <v>46308</v>
      </c>
      <c r="G618" s="3" t="s">
        <v>43</v>
      </c>
      <c r="H618" s="6">
        <v>-130758.68</v>
      </c>
      <c r="I618" s="3" t="s">
        <v>16</v>
      </c>
      <c r="J618" s="3" t="s">
        <v>14</v>
      </c>
      <c r="K618" s="3" t="s">
        <v>14</v>
      </c>
      <c r="L618" s="3" t="s">
        <v>18</v>
      </c>
      <c r="M618" s="4">
        <v>46309</v>
      </c>
      <c r="N618" s="3" t="s">
        <v>1215</v>
      </c>
      <c r="O618" s="3" t="s">
        <v>24</v>
      </c>
      <c r="P618" t="str">
        <f t="shared" si="9"/>
        <v>450014006470</v>
      </c>
      <c r="Q618" s="7" cm="1">
        <f t="array" ref="Q618:S618">VLOOKUP(P618,Hoja1!C:F,{2,3,4},FALSE)</f>
        <v>46315</v>
      </c>
      <c r="R618" t="str">
        <v>C03</v>
      </c>
      <c r="S618" t="str">
        <v>1000001470 SUDAMERICANA CAMIONES SA</v>
      </c>
      <c r="T618" t="str">
        <f>VLOOKUP(P618,Hoja2!C:D,2,FALSE)</f>
        <v>FBERARDO</v>
      </c>
    </row>
    <row r="619" spans="1:20" x14ac:dyDescent="0.3">
      <c r="A619" s="2" t="s">
        <v>14</v>
      </c>
      <c r="B619" s="3" t="s">
        <v>14</v>
      </c>
      <c r="C619" s="3" t="s">
        <v>1214</v>
      </c>
      <c r="D619" s="3" t="s">
        <v>14</v>
      </c>
      <c r="E619" s="3" t="s">
        <v>96</v>
      </c>
      <c r="F619" s="4">
        <v>46308</v>
      </c>
      <c r="G619" s="3" t="s">
        <v>43</v>
      </c>
      <c r="H619" s="6">
        <v>-117729.56</v>
      </c>
      <c r="I619" s="3" t="s">
        <v>16</v>
      </c>
      <c r="J619" s="3" t="s">
        <v>14</v>
      </c>
      <c r="K619" s="3" t="s">
        <v>14</v>
      </c>
      <c r="L619" s="3" t="s">
        <v>18</v>
      </c>
      <c r="M619" s="4">
        <v>46309</v>
      </c>
      <c r="N619" s="3" t="s">
        <v>1215</v>
      </c>
      <c r="O619" s="3" t="s">
        <v>321</v>
      </c>
      <c r="P619" t="str">
        <f t="shared" si="9"/>
        <v>450014006480</v>
      </c>
      <c r="Q619" s="7" cm="1">
        <f t="array" ref="Q619:S619">VLOOKUP(P619,Hoja1!C:F,{2,3,4},FALSE)</f>
        <v>46315</v>
      </c>
      <c r="R619" t="str">
        <v>C03</v>
      </c>
      <c r="S619" t="str">
        <v>1000001470 SUDAMERICANA CAMIONES SA</v>
      </c>
      <c r="T619" t="str">
        <f>VLOOKUP(P619,Hoja2!C:D,2,FALSE)</f>
        <v>FBERARDO</v>
      </c>
    </row>
    <row r="620" spans="1:20" x14ac:dyDescent="0.3">
      <c r="A620" s="2" t="s">
        <v>14</v>
      </c>
      <c r="B620" s="3" t="s">
        <v>14</v>
      </c>
      <c r="C620" s="3" t="s">
        <v>1214</v>
      </c>
      <c r="D620" s="3" t="s">
        <v>14</v>
      </c>
      <c r="E620" s="3" t="s">
        <v>96</v>
      </c>
      <c r="F620" s="4">
        <v>46308</v>
      </c>
      <c r="G620" s="3" t="s">
        <v>43</v>
      </c>
      <c r="H620" s="6">
        <v>-118679.6</v>
      </c>
      <c r="I620" s="3" t="s">
        <v>16</v>
      </c>
      <c r="J620" s="3" t="s">
        <v>14</v>
      </c>
      <c r="K620" s="3" t="s">
        <v>14</v>
      </c>
      <c r="L620" s="3" t="s">
        <v>18</v>
      </c>
      <c r="M620" s="4">
        <v>46309</v>
      </c>
      <c r="N620" s="3" t="s">
        <v>1215</v>
      </c>
      <c r="O620" s="3" t="s">
        <v>322</v>
      </c>
      <c r="P620" t="str">
        <f t="shared" si="9"/>
        <v>450014006490</v>
      </c>
      <c r="Q620" s="7" cm="1">
        <f t="array" ref="Q620:S620">VLOOKUP(P620,Hoja1!C:F,{2,3,4},FALSE)</f>
        <v>46315</v>
      </c>
      <c r="R620" t="str">
        <v>C03</v>
      </c>
      <c r="S620" t="str">
        <v>1000001470 SUDAMERICANA CAMIONES SA</v>
      </c>
      <c r="T620" t="str">
        <f>VLOOKUP(P620,Hoja2!C:D,2,FALSE)</f>
        <v>FBERARDO</v>
      </c>
    </row>
    <row r="621" spans="1:20" x14ac:dyDescent="0.3">
      <c r="A621" s="2" t="s">
        <v>14</v>
      </c>
      <c r="B621" s="3" t="s">
        <v>14</v>
      </c>
      <c r="C621" s="3" t="s">
        <v>1214</v>
      </c>
      <c r="D621" s="3" t="s">
        <v>14</v>
      </c>
      <c r="E621" s="3" t="s">
        <v>96</v>
      </c>
      <c r="F621" s="4">
        <v>46308</v>
      </c>
      <c r="G621" s="3" t="s">
        <v>43</v>
      </c>
      <c r="H621" s="6">
        <v>-1857086.92</v>
      </c>
      <c r="I621" s="3" t="s">
        <v>16</v>
      </c>
      <c r="J621" s="3" t="s">
        <v>14</v>
      </c>
      <c r="K621" s="3" t="s">
        <v>14</v>
      </c>
      <c r="L621" s="3" t="s">
        <v>18</v>
      </c>
      <c r="M621" s="4">
        <v>46309</v>
      </c>
      <c r="N621" s="3" t="s">
        <v>1215</v>
      </c>
      <c r="O621" s="3" t="s">
        <v>323</v>
      </c>
      <c r="P621" t="str">
        <f t="shared" si="9"/>
        <v>4500140064100</v>
      </c>
      <c r="Q621" s="7" cm="1">
        <f t="array" ref="Q621:S621">VLOOKUP(P621,Hoja1!C:F,{2,3,4},FALSE)</f>
        <v>46315</v>
      </c>
      <c r="R621" t="str">
        <v>C03</v>
      </c>
      <c r="S621" t="str">
        <v>1000001470 SUDAMERICANA CAMIONES SA</v>
      </c>
      <c r="T621" t="str">
        <f>VLOOKUP(P621,Hoja2!C:D,2,FALSE)</f>
        <v>FBERARDO</v>
      </c>
    </row>
    <row r="622" spans="1:20" x14ac:dyDescent="0.3">
      <c r="A622" s="2" t="s">
        <v>14</v>
      </c>
      <c r="B622" s="3" t="s">
        <v>14</v>
      </c>
      <c r="C622" s="3" t="s">
        <v>1214</v>
      </c>
      <c r="D622" s="3" t="s">
        <v>14</v>
      </c>
      <c r="E622" s="3" t="s">
        <v>96</v>
      </c>
      <c r="F622" s="4">
        <v>46308</v>
      </c>
      <c r="G622" s="3" t="s">
        <v>43</v>
      </c>
      <c r="H622" s="6">
        <v>-467389.52</v>
      </c>
      <c r="I622" s="3" t="s">
        <v>16</v>
      </c>
      <c r="J622" s="3" t="s">
        <v>14</v>
      </c>
      <c r="K622" s="3" t="s">
        <v>14</v>
      </c>
      <c r="L622" s="3" t="s">
        <v>18</v>
      </c>
      <c r="M622" s="4">
        <v>46309</v>
      </c>
      <c r="N622" s="3" t="s">
        <v>1215</v>
      </c>
      <c r="O622" s="3" t="s">
        <v>175</v>
      </c>
      <c r="P622" t="str">
        <f t="shared" si="9"/>
        <v>4500140064110</v>
      </c>
      <c r="Q622" s="7" cm="1">
        <f t="array" ref="Q622:S622">VLOOKUP(P622,Hoja1!C:F,{2,3,4},FALSE)</f>
        <v>46315</v>
      </c>
      <c r="R622" t="str">
        <v>C03</v>
      </c>
      <c r="S622" t="str">
        <v>1000001470 SUDAMERICANA CAMIONES SA</v>
      </c>
      <c r="T622" t="str">
        <f>VLOOKUP(P622,Hoja2!C:D,2,FALSE)</f>
        <v>FBERARDO</v>
      </c>
    </row>
    <row r="623" spans="1:20" x14ac:dyDescent="0.3">
      <c r="A623" s="2" t="s">
        <v>14</v>
      </c>
      <c r="B623" s="3" t="s">
        <v>14</v>
      </c>
      <c r="C623" s="3" t="s">
        <v>1214</v>
      </c>
      <c r="D623" s="3" t="s">
        <v>14</v>
      </c>
      <c r="E623" s="3" t="s">
        <v>96</v>
      </c>
      <c r="F623" s="4">
        <v>46308</v>
      </c>
      <c r="G623" s="3" t="s">
        <v>43</v>
      </c>
      <c r="H623" s="6">
        <v>-77390.559999999998</v>
      </c>
      <c r="I623" s="3" t="s">
        <v>16</v>
      </c>
      <c r="J623" s="3" t="s">
        <v>14</v>
      </c>
      <c r="K623" s="3" t="s">
        <v>14</v>
      </c>
      <c r="L623" s="3" t="s">
        <v>18</v>
      </c>
      <c r="M623" s="4">
        <v>46309</v>
      </c>
      <c r="N623" s="3" t="s">
        <v>1215</v>
      </c>
      <c r="O623" s="3" t="s">
        <v>375</v>
      </c>
      <c r="P623" t="str">
        <f t="shared" si="9"/>
        <v>4500140064120</v>
      </c>
      <c r="Q623" s="7" cm="1">
        <f t="array" ref="Q623:S623">VLOOKUP(P623,Hoja1!C:F,{2,3,4},FALSE)</f>
        <v>46315</v>
      </c>
      <c r="R623" t="str">
        <v>C03</v>
      </c>
      <c r="S623" t="str">
        <v>1000001470 SUDAMERICANA CAMIONES SA</v>
      </c>
      <c r="T623" t="str">
        <f>VLOOKUP(P623,Hoja2!C:D,2,FALSE)</f>
        <v>FBERARDO</v>
      </c>
    </row>
    <row r="624" spans="1:20" x14ac:dyDescent="0.3">
      <c r="A624" s="2" t="s">
        <v>14</v>
      </c>
      <c r="B624" s="3" t="s">
        <v>14</v>
      </c>
      <c r="C624" s="3" t="s">
        <v>1214</v>
      </c>
      <c r="D624" s="3" t="s">
        <v>14</v>
      </c>
      <c r="E624" s="3" t="s">
        <v>96</v>
      </c>
      <c r="F624" s="4">
        <v>46308</v>
      </c>
      <c r="G624" s="3" t="s">
        <v>43</v>
      </c>
      <c r="H624" s="6">
        <v>-37835.72</v>
      </c>
      <c r="I624" s="3" t="s">
        <v>16</v>
      </c>
      <c r="J624" s="3" t="s">
        <v>14</v>
      </c>
      <c r="K624" s="3" t="s">
        <v>14</v>
      </c>
      <c r="L624" s="3" t="s">
        <v>18</v>
      </c>
      <c r="M624" s="4">
        <v>46309</v>
      </c>
      <c r="N624" s="3" t="s">
        <v>1215</v>
      </c>
      <c r="O624" s="3" t="s">
        <v>203</v>
      </c>
      <c r="P624" t="str">
        <f t="shared" si="9"/>
        <v>4500140064130</v>
      </c>
      <c r="Q624" s="7" cm="1">
        <f t="array" ref="Q624:S624">VLOOKUP(P624,Hoja1!C:F,{2,3,4},FALSE)</f>
        <v>46315</v>
      </c>
      <c r="R624" t="str">
        <v>C03</v>
      </c>
      <c r="S624" t="str">
        <v>1000001470 SUDAMERICANA CAMIONES SA</v>
      </c>
      <c r="T624" t="str">
        <f>VLOOKUP(P624,Hoja2!C:D,2,FALSE)</f>
        <v>FBERARDO</v>
      </c>
    </row>
    <row r="625" spans="1:20" x14ac:dyDescent="0.3">
      <c r="A625" s="2" t="s">
        <v>14</v>
      </c>
      <c r="B625" s="3" t="s">
        <v>14</v>
      </c>
      <c r="C625" s="3" t="s">
        <v>1214</v>
      </c>
      <c r="D625" s="3" t="s">
        <v>14</v>
      </c>
      <c r="E625" s="3" t="s">
        <v>96</v>
      </c>
      <c r="F625" s="4">
        <v>46308</v>
      </c>
      <c r="G625" s="3" t="s">
        <v>43</v>
      </c>
      <c r="H625" s="6">
        <v>-130562.64</v>
      </c>
      <c r="I625" s="3" t="s">
        <v>16</v>
      </c>
      <c r="J625" s="3" t="s">
        <v>14</v>
      </c>
      <c r="K625" s="3" t="s">
        <v>14</v>
      </c>
      <c r="L625" s="3" t="s">
        <v>18</v>
      </c>
      <c r="M625" s="4">
        <v>46309</v>
      </c>
      <c r="N625" s="3" t="s">
        <v>1215</v>
      </c>
      <c r="O625" s="3" t="s">
        <v>376</v>
      </c>
      <c r="P625" t="str">
        <f t="shared" si="9"/>
        <v>4500140064140</v>
      </c>
      <c r="Q625" s="7" cm="1">
        <f t="array" ref="Q625:S625">VLOOKUP(P625,Hoja1!C:F,{2,3,4},FALSE)</f>
        <v>46315</v>
      </c>
      <c r="R625" t="str">
        <v>C03</v>
      </c>
      <c r="S625" t="str">
        <v>1000001470 SUDAMERICANA CAMIONES SA</v>
      </c>
      <c r="T625" t="str">
        <f>VLOOKUP(P625,Hoja2!C:D,2,FALSE)</f>
        <v>FBERARDO</v>
      </c>
    </row>
    <row r="626" spans="1:20" x14ac:dyDescent="0.3">
      <c r="A626" s="2" t="s">
        <v>14</v>
      </c>
      <c r="B626" s="3" t="s">
        <v>14</v>
      </c>
      <c r="C626" s="3" t="s">
        <v>1214</v>
      </c>
      <c r="D626" s="3" t="s">
        <v>14</v>
      </c>
      <c r="E626" s="3" t="s">
        <v>96</v>
      </c>
      <c r="F626" s="4">
        <v>46308</v>
      </c>
      <c r="G626" s="3" t="s">
        <v>43</v>
      </c>
      <c r="H626" s="6">
        <v>-206007.88</v>
      </c>
      <c r="I626" s="3" t="s">
        <v>16</v>
      </c>
      <c r="J626" s="3" t="s">
        <v>14</v>
      </c>
      <c r="K626" s="3" t="s">
        <v>14</v>
      </c>
      <c r="L626" s="3" t="s">
        <v>18</v>
      </c>
      <c r="M626" s="4">
        <v>46309</v>
      </c>
      <c r="N626" s="3" t="s">
        <v>1215</v>
      </c>
      <c r="O626" s="3" t="s">
        <v>377</v>
      </c>
      <c r="P626" t="str">
        <f t="shared" si="9"/>
        <v>4500140064150</v>
      </c>
      <c r="Q626" s="7" cm="1">
        <f t="array" ref="Q626:S626">VLOOKUP(P626,Hoja1!C:F,{2,3,4},FALSE)</f>
        <v>46315</v>
      </c>
      <c r="R626" t="str">
        <v>C03</v>
      </c>
      <c r="S626" t="str">
        <v>1000001470 SUDAMERICANA CAMIONES SA</v>
      </c>
      <c r="T626" t="s">
        <v>867</v>
      </c>
    </row>
    <row r="627" spans="1:20" x14ac:dyDescent="0.3">
      <c r="A627" s="2" t="s">
        <v>14</v>
      </c>
      <c r="B627" s="3" t="s">
        <v>14</v>
      </c>
      <c r="C627" s="3" t="s">
        <v>1214</v>
      </c>
      <c r="D627" s="3" t="s">
        <v>14</v>
      </c>
      <c r="E627" s="3" t="s">
        <v>96</v>
      </c>
      <c r="F627" s="4">
        <v>46308</v>
      </c>
      <c r="G627" s="3" t="s">
        <v>43</v>
      </c>
      <c r="H627" s="6">
        <v>-726780.6</v>
      </c>
      <c r="I627" s="3" t="s">
        <v>16</v>
      </c>
      <c r="J627" s="3" t="s">
        <v>14</v>
      </c>
      <c r="K627" s="3" t="s">
        <v>14</v>
      </c>
      <c r="L627" s="3" t="s">
        <v>18</v>
      </c>
      <c r="M627" s="4">
        <v>46309</v>
      </c>
      <c r="N627" s="3" t="s">
        <v>1215</v>
      </c>
      <c r="O627" s="3" t="s">
        <v>378</v>
      </c>
      <c r="P627" t="str">
        <f t="shared" si="9"/>
        <v>4500140064160</v>
      </c>
      <c r="Q627" s="7" cm="1">
        <f t="array" ref="Q627:S627">VLOOKUP(P627,Hoja1!C:F,{2,3,4},FALSE)</f>
        <v>46315</v>
      </c>
      <c r="R627" t="str">
        <v>C03</v>
      </c>
      <c r="S627" t="str">
        <v>1000001470 SUDAMERICANA CAMIONES SA</v>
      </c>
      <c r="T627" t="str">
        <f>VLOOKUP(P627,Hoja2!C:D,2,FALSE)</f>
        <v>FBERARDO</v>
      </c>
    </row>
    <row r="628" spans="1:20" x14ac:dyDescent="0.3">
      <c r="A628" s="2" t="s">
        <v>14</v>
      </c>
      <c r="B628" s="3" t="s">
        <v>14</v>
      </c>
      <c r="C628" s="3" t="s">
        <v>1214</v>
      </c>
      <c r="D628" s="3" t="s">
        <v>14</v>
      </c>
      <c r="E628" s="3" t="s">
        <v>96</v>
      </c>
      <c r="F628" s="4">
        <v>46308</v>
      </c>
      <c r="G628" s="3" t="s">
        <v>43</v>
      </c>
      <c r="H628" s="6">
        <v>-17749.16</v>
      </c>
      <c r="I628" s="3" t="s">
        <v>16</v>
      </c>
      <c r="J628" s="3" t="s">
        <v>14</v>
      </c>
      <c r="K628" s="3" t="s">
        <v>14</v>
      </c>
      <c r="L628" s="3" t="s">
        <v>18</v>
      </c>
      <c r="M628" s="4">
        <v>46309</v>
      </c>
      <c r="N628" s="3" t="s">
        <v>1215</v>
      </c>
      <c r="O628" s="3" t="s">
        <v>324</v>
      </c>
      <c r="P628" t="str">
        <f t="shared" si="9"/>
        <v>4500140064170</v>
      </c>
      <c r="Q628" s="7" cm="1">
        <f t="array" ref="Q628:S628">VLOOKUP(P628,Hoja1!C:F,{2,3,4},FALSE)</f>
        <v>46315</v>
      </c>
      <c r="R628" t="str">
        <v>C03</v>
      </c>
      <c r="S628" t="str">
        <v>1000001470 SUDAMERICANA CAMIONES SA</v>
      </c>
      <c r="T628" t="str">
        <f>VLOOKUP(P628,Hoja2!C:D,2,FALSE)</f>
        <v>FBERARDO</v>
      </c>
    </row>
    <row r="629" spans="1:20" x14ac:dyDescent="0.3">
      <c r="A629" s="2" t="s">
        <v>14</v>
      </c>
      <c r="B629" s="3" t="s">
        <v>14</v>
      </c>
      <c r="C629" s="3" t="s">
        <v>1214</v>
      </c>
      <c r="D629" s="3" t="s">
        <v>14</v>
      </c>
      <c r="E629" s="3" t="s">
        <v>96</v>
      </c>
      <c r="F629" s="4">
        <v>46308</v>
      </c>
      <c r="G629" s="3" t="s">
        <v>43</v>
      </c>
      <c r="H629" s="6">
        <v>-388822.72</v>
      </c>
      <c r="I629" s="3" t="s">
        <v>16</v>
      </c>
      <c r="J629" s="3" t="s">
        <v>14</v>
      </c>
      <c r="K629" s="3" t="s">
        <v>14</v>
      </c>
      <c r="L629" s="3" t="s">
        <v>18</v>
      </c>
      <c r="M629" s="4">
        <v>46309</v>
      </c>
      <c r="N629" s="3" t="s">
        <v>1215</v>
      </c>
      <c r="O629" s="3" t="s">
        <v>325</v>
      </c>
      <c r="P629" t="str">
        <f t="shared" si="9"/>
        <v>4500140064180</v>
      </c>
      <c r="Q629" s="7" cm="1">
        <f t="array" ref="Q629:S629">VLOOKUP(P629,Hoja1!C:F,{2,3,4},FALSE)</f>
        <v>46315</v>
      </c>
      <c r="R629" t="str">
        <v>C03</v>
      </c>
      <c r="S629" t="str">
        <v>1000001470 SUDAMERICANA CAMIONES SA</v>
      </c>
      <c r="T629" t="str">
        <f>VLOOKUP(P629,Hoja2!C:D,2,FALSE)</f>
        <v>FBERARDO</v>
      </c>
    </row>
    <row r="630" spans="1:20" x14ac:dyDescent="0.3">
      <c r="A630" s="2" t="s">
        <v>14</v>
      </c>
      <c r="B630" s="3" t="s">
        <v>14</v>
      </c>
      <c r="C630" s="3" t="s">
        <v>1214</v>
      </c>
      <c r="D630" s="3" t="s">
        <v>14</v>
      </c>
      <c r="E630" s="3" t="s">
        <v>96</v>
      </c>
      <c r="F630" s="4">
        <v>46308</v>
      </c>
      <c r="G630" s="3" t="s">
        <v>43</v>
      </c>
      <c r="H630" s="6">
        <v>-130758.68</v>
      </c>
      <c r="I630" s="3" t="s">
        <v>16</v>
      </c>
      <c r="J630" s="3" t="s">
        <v>14</v>
      </c>
      <c r="K630" s="3" t="s">
        <v>14</v>
      </c>
      <c r="L630" s="3" t="s">
        <v>18</v>
      </c>
      <c r="M630" s="4">
        <v>46309</v>
      </c>
      <c r="N630" s="3" t="s">
        <v>1215</v>
      </c>
      <c r="O630" s="3" t="s">
        <v>379</v>
      </c>
      <c r="P630" t="str">
        <f t="shared" si="9"/>
        <v>4500140064190</v>
      </c>
      <c r="Q630" s="7" cm="1">
        <f t="array" ref="Q630:S630">VLOOKUP(P630,Hoja1!C:F,{2,3,4},FALSE)</f>
        <v>46315</v>
      </c>
      <c r="R630" t="str">
        <v>C03</v>
      </c>
      <c r="S630" t="str">
        <v>1000001470 SUDAMERICANA CAMIONES SA</v>
      </c>
      <c r="T630" t="str">
        <f>VLOOKUP(P630,Hoja2!C:D,2,FALSE)</f>
        <v>FBERARDO</v>
      </c>
    </row>
    <row r="631" spans="1:20" x14ac:dyDescent="0.3">
      <c r="A631" s="2" t="s">
        <v>14</v>
      </c>
      <c r="B631" s="3" t="s">
        <v>14</v>
      </c>
      <c r="C631" s="3" t="s">
        <v>1214</v>
      </c>
      <c r="D631" s="3" t="s">
        <v>14</v>
      </c>
      <c r="E631" s="3" t="s">
        <v>96</v>
      </c>
      <c r="F631" s="4">
        <v>46308</v>
      </c>
      <c r="G631" s="3" t="s">
        <v>43</v>
      </c>
      <c r="H631" s="6">
        <v>-117729.56</v>
      </c>
      <c r="I631" s="3" t="s">
        <v>16</v>
      </c>
      <c r="J631" s="3" t="s">
        <v>14</v>
      </c>
      <c r="K631" s="3" t="s">
        <v>14</v>
      </c>
      <c r="L631" s="3" t="s">
        <v>18</v>
      </c>
      <c r="M631" s="4">
        <v>46309</v>
      </c>
      <c r="N631" s="3" t="s">
        <v>1215</v>
      </c>
      <c r="O631" s="3" t="s">
        <v>380</v>
      </c>
      <c r="P631" t="str">
        <f t="shared" si="9"/>
        <v>4500140064200</v>
      </c>
      <c r="Q631" s="7" cm="1">
        <f t="array" ref="Q631:S631">VLOOKUP(P631,Hoja1!C:F,{2,3,4},FALSE)</f>
        <v>46315</v>
      </c>
      <c r="R631" t="str">
        <v>C03</v>
      </c>
      <c r="S631" t="str">
        <v>1000001470 SUDAMERICANA CAMIONES SA</v>
      </c>
      <c r="T631" t="str">
        <f>VLOOKUP(P631,Hoja2!C:D,2,FALSE)</f>
        <v>FBERARDO</v>
      </c>
    </row>
    <row r="632" spans="1:20" x14ac:dyDescent="0.3">
      <c r="A632" s="2" t="s">
        <v>14</v>
      </c>
      <c r="B632" s="3" t="s">
        <v>14</v>
      </c>
      <c r="C632" s="3" t="s">
        <v>1214</v>
      </c>
      <c r="D632" s="3" t="s">
        <v>14</v>
      </c>
      <c r="E632" s="3" t="s">
        <v>96</v>
      </c>
      <c r="F632" s="4">
        <v>46308</v>
      </c>
      <c r="G632" s="3" t="s">
        <v>43</v>
      </c>
      <c r="H632" s="6">
        <v>-118679.6</v>
      </c>
      <c r="I632" s="3" t="s">
        <v>16</v>
      </c>
      <c r="J632" s="3" t="s">
        <v>14</v>
      </c>
      <c r="K632" s="3" t="s">
        <v>14</v>
      </c>
      <c r="L632" s="3" t="s">
        <v>18</v>
      </c>
      <c r="M632" s="4">
        <v>46309</v>
      </c>
      <c r="N632" s="3" t="s">
        <v>1215</v>
      </c>
      <c r="O632" s="3" t="s">
        <v>326</v>
      </c>
      <c r="P632" t="str">
        <f t="shared" si="9"/>
        <v>4500140064210</v>
      </c>
      <c r="Q632" s="7" cm="1">
        <f t="array" ref="Q632:S632">VLOOKUP(P632,Hoja1!C:F,{2,3,4},FALSE)</f>
        <v>46315</v>
      </c>
      <c r="R632" t="str">
        <v>C03</v>
      </c>
      <c r="S632" t="str">
        <v>1000001470 SUDAMERICANA CAMIONES SA</v>
      </c>
      <c r="T632" t="str">
        <f>VLOOKUP(P632,Hoja2!C:D,2,FALSE)</f>
        <v>FBERARDO</v>
      </c>
    </row>
    <row r="633" spans="1:20" x14ac:dyDescent="0.3">
      <c r="A633" s="2" t="s">
        <v>14</v>
      </c>
      <c r="B633" s="3" t="s">
        <v>14</v>
      </c>
      <c r="C633" s="3" t="s">
        <v>1214</v>
      </c>
      <c r="D633" s="3" t="s">
        <v>14</v>
      </c>
      <c r="E633" s="3" t="s">
        <v>96</v>
      </c>
      <c r="F633" s="4">
        <v>46308</v>
      </c>
      <c r="G633" s="3" t="s">
        <v>43</v>
      </c>
      <c r="H633" s="6">
        <v>-160722.64000000001</v>
      </c>
      <c r="I633" s="3" t="s">
        <v>16</v>
      </c>
      <c r="J633" s="3" t="s">
        <v>14</v>
      </c>
      <c r="K633" s="3" t="s">
        <v>14</v>
      </c>
      <c r="L633" s="3" t="s">
        <v>18</v>
      </c>
      <c r="M633" s="4">
        <v>46309</v>
      </c>
      <c r="N633" s="3" t="s">
        <v>1215</v>
      </c>
      <c r="O633" s="3" t="s">
        <v>413</v>
      </c>
      <c r="P633" t="str">
        <f t="shared" si="9"/>
        <v>4500140064220</v>
      </c>
      <c r="Q633" s="7" cm="1">
        <f t="array" ref="Q633:S633">VLOOKUP(P633,Hoja1!C:F,{2,3,4},FALSE)</f>
        <v>46315</v>
      </c>
      <c r="R633" t="str">
        <v>C03</v>
      </c>
      <c r="S633" t="str">
        <v>1000001470 SUDAMERICANA CAMIONES SA</v>
      </c>
      <c r="T633" t="str">
        <f>VLOOKUP(P633,Hoja2!C:D,2,FALSE)</f>
        <v>FBERARDO</v>
      </c>
    </row>
    <row r="634" spans="1:20" x14ac:dyDescent="0.3">
      <c r="A634" s="2" t="s">
        <v>14</v>
      </c>
      <c r="B634" s="3" t="s">
        <v>14</v>
      </c>
      <c r="C634" s="3" t="s">
        <v>1214</v>
      </c>
      <c r="D634" s="3" t="s">
        <v>14</v>
      </c>
      <c r="E634" s="3" t="s">
        <v>96</v>
      </c>
      <c r="F634" s="4">
        <v>46308</v>
      </c>
      <c r="G634" s="3" t="s">
        <v>43</v>
      </c>
      <c r="H634" s="6">
        <v>-100900.28</v>
      </c>
      <c r="I634" s="3" t="s">
        <v>16</v>
      </c>
      <c r="J634" s="3" t="s">
        <v>14</v>
      </c>
      <c r="K634" s="3" t="s">
        <v>14</v>
      </c>
      <c r="L634" s="3" t="s">
        <v>18</v>
      </c>
      <c r="M634" s="4">
        <v>46309</v>
      </c>
      <c r="N634" s="3" t="s">
        <v>1215</v>
      </c>
      <c r="O634" s="3" t="s">
        <v>327</v>
      </c>
      <c r="P634" t="str">
        <f t="shared" si="9"/>
        <v>4500140064230</v>
      </c>
      <c r="Q634" s="7" cm="1">
        <f t="array" ref="Q634:S634">VLOOKUP(P634,Hoja1!C:F,{2,3,4},FALSE)</f>
        <v>46315</v>
      </c>
      <c r="R634" t="str">
        <v>C03</v>
      </c>
      <c r="S634" t="str">
        <v>1000001470 SUDAMERICANA CAMIONES SA</v>
      </c>
      <c r="T634" t="str">
        <f>VLOOKUP(P634,Hoja2!C:D,2,FALSE)</f>
        <v>FBERARDO</v>
      </c>
    </row>
    <row r="635" spans="1:20" x14ac:dyDescent="0.3">
      <c r="A635" s="2" t="s">
        <v>14</v>
      </c>
      <c r="B635" s="3" t="s">
        <v>14</v>
      </c>
      <c r="C635" s="3" t="s">
        <v>1214</v>
      </c>
      <c r="D635" s="3" t="s">
        <v>14</v>
      </c>
      <c r="E635" s="3" t="s">
        <v>96</v>
      </c>
      <c r="F635" s="4">
        <v>46308</v>
      </c>
      <c r="G635" s="3" t="s">
        <v>43</v>
      </c>
      <c r="H635" s="6">
        <v>-76953.240000000005</v>
      </c>
      <c r="I635" s="3" t="s">
        <v>16</v>
      </c>
      <c r="J635" s="3" t="s">
        <v>14</v>
      </c>
      <c r="K635" s="3" t="s">
        <v>14</v>
      </c>
      <c r="L635" s="3" t="s">
        <v>18</v>
      </c>
      <c r="M635" s="4">
        <v>46309</v>
      </c>
      <c r="N635" s="3" t="s">
        <v>1215</v>
      </c>
      <c r="O635" s="3" t="s">
        <v>328</v>
      </c>
      <c r="P635" t="str">
        <f t="shared" si="9"/>
        <v>4500140064240</v>
      </c>
      <c r="Q635" s="7" cm="1">
        <f t="array" ref="Q635:S635">VLOOKUP(P635,Hoja1!C:F,{2,3,4},FALSE)</f>
        <v>46315</v>
      </c>
      <c r="R635" t="str">
        <v>C03</v>
      </c>
      <c r="S635" t="str">
        <v>1000001470 SUDAMERICANA CAMIONES SA</v>
      </c>
      <c r="T635" t="str">
        <f>VLOOKUP(P635,Hoja2!C:D,2,FALSE)</f>
        <v>FBERARDO</v>
      </c>
    </row>
    <row r="636" spans="1:20" x14ac:dyDescent="0.3">
      <c r="A636" s="2" t="s">
        <v>14</v>
      </c>
      <c r="B636" s="3" t="s">
        <v>14</v>
      </c>
      <c r="C636" s="3" t="s">
        <v>1214</v>
      </c>
      <c r="D636" s="3" t="s">
        <v>14</v>
      </c>
      <c r="E636" s="3" t="s">
        <v>96</v>
      </c>
      <c r="F636" s="4">
        <v>46308</v>
      </c>
      <c r="G636" s="3" t="s">
        <v>43</v>
      </c>
      <c r="H636" s="6">
        <v>-121017</v>
      </c>
      <c r="I636" s="3" t="s">
        <v>16</v>
      </c>
      <c r="J636" s="3" t="s">
        <v>14</v>
      </c>
      <c r="K636" s="3" t="s">
        <v>14</v>
      </c>
      <c r="L636" s="3" t="s">
        <v>18</v>
      </c>
      <c r="M636" s="4">
        <v>46309</v>
      </c>
      <c r="N636" s="3" t="s">
        <v>1215</v>
      </c>
      <c r="O636" s="3" t="s">
        <v>329</v>
      </c>
      <c r="P636" t="str">
        <f t="shared" si="9"/>
        <v>4500140064250</v>
      </c>
      <c r="Q636" s="7" cm="1">
        <f t="array" ref="Q636:S636">VLOOKUP(P636,Hoja1!C:F,{2,3,4},FALSE)</f>
        <v>46315</v>
      </c>
      <c r="R636" t="str">
        <v>C03</v>
      </c>
      <c r="S636" t="str">
        <v>1000001470 SUDAMERICANA CAMIONES SA</v>
      </c>
      <c r="T636" t="str">
        <f>VLOOKUP(P636,Hoja2!C:D,2,FALSE)</f>
        <v>FBERARDO</v>
      </c>
    </row>
    <row r="637" spans="1:20" x14ac:dyDescent="0.3">
      <c r="A637" s="2" t="s">
        <v>14</v>
      </c>
      <c r="B637" s="3" t="s">
        <v>14</v>
      </c>
      <c r="C637" s="3" t="s">
        <v>1214</v>
      </c>
      <c r="D637" s="3" t="s">
        <v>14</v>
      </c>
      <c r="E637" s="3" t="s">
        <v>96</v>
      </c>
      <c r="F637" s="4">
        <v>46308</v>
      </c>
      <c r="G637" s="3" t="s">
        <v>43</v>
      </c>
      <c r="H637" s="6">
        <v>-47290.879999999997</v>
      </c>
      <c r="I637" s="3" t="s">
        <v>16</v>
      </c>
      <c r="J637" s="3" t="s">
        <v>14</v>
      </c>
      <c r="K637" s="3" t="s">
        <v>14</v>
      </c>
      <c r="L637" s="3" t="s">
        <v>18</v>
      </c>
      <c r="M637" s="4">
        <v>46309</v>
      </c>
      <c r="N637" s="3" t="s">
        <v>1215</v>
      </c>
      <c r="O637" s="3" t="s">
        <v>330</v>
      </c>
      <c r="P637" t="str">
        <f t="shared" si="9"/>
        <v>4500140064260</v>
      </c>
      <c r="Q637" s="7" cm="1">
        <f t="array" ref="Q637:S637">VLOOKUP(P637,Hoja1!C:F,{2,3,4},FALSE)</f>
        <v>46315</v>
      </c>
      <c r="R637" t="str">
        <v>C03</v>
      </c>
      <c r="S637" t="str">
        <v>1000001470 SUDAMERICANA CAMIONES SA</v>
      </c>
      <c r="T637" t="str">
        <f>VLOOKUP(P637,Hoja2!C:D,2,FALSE)</f>
        <v>FBERARDO</v>
      </c>
    </row>
    <row r="638" spans="1:20" x14ac:dyDescent="0.3">
      <c r="A638" s="2" t="s">
        <v>14</v>
      </c>
      <c r="B638" s="3" t="s">
        <v>14</v>
      </c>
      <c r="C638" s="3" t="s">
        <v>1214</v>
      </c>
      <c r="D638" s="3" t="s">
        <v>14</v>
      </c>
      <c r="E638" s="3" t="s">
        <v>96</v>
      </c>
      <c r="F638" s="4">
        <v>46308</v>
      </c>
      <c r="G638" s="3" t="s">
        <v>43</v>
      </c>
      <c r="H638" s="6">
        <v>-77330.240000000005</v>
      </c>
      <c r="I638" s="3" t="s">
        <v>16</v>
      </c>
      <c r="J638" s="3" t="s">
        <v>14</v>
      </c>
      <c r="K638" s="3" t="s">
        <v>14</v>
      </c>
      <c r="L638" s="3" t="s">
        <v>18</v>
      </c>
      <c r="M638" s="4">
        <v>46309</v>
      </c>
      <c r="N638" s="3" t="s">
        <v>1215</v>
      </c>
      <c r="O638" s="3" t="s">
        <v>414</v>
      </c>
      <c r="P638" t="str">
        <f t="shared" si="9"/>
        <v>4500140064270</v>
      </c>
      <c r="Q638" s="7" cm="1">
        <f t="array" ref="Q638:S638">VLOOKUP(P638,Hoja1!C:F,{2,3,4},FALSE)</f>
        <v>46315</v>
      </c>
      <c r="R638" t="str">
        <v>C03</v>
      </c>
      <c r="S638" t="str">
        <v>1000001470 SUDAMERICANA CAMIONES SA</v>
      </c>
      <c r="T638" t="s">
        <v>865</v>
      </c>
    </row>
    <row r="639" spans="1:20" x14ac:dyDescent="0.3">
      <c r="A639" s="2" t="s">
        <v>14</v>
      </c>
      <c r="B639" s="3" t="s">
        <v>14</v>
      </c>
      <c r="C639" s="3" t="s">
        <v>1214</v>
      </c>
      <c r="D639" s="3" t="s">
        <v>14</v>
      </c>
      <c r="E639" s="3" t="s">
        <v>96</v>
      </c>
      <c r="F639" s="4">
        <v>46308</v>
      </c>
      <c r="G639" s="3" t="s">
        <v>43</v>
      </c>
      <c r="H639" s="6">
        <v>-818090</v>
      </c>
      <c r="I639" s="3" t="s">
        <v>16</v>
      </c>
      <c r="J639" s="3" t="s">
        <v>14</v>
      </c>
      <c r="K639" s="3" t="s">
        <v>14</v>
      </c>
      <c r="L639" s="3" t="s">
        <v>18</v>
      </c>
      <c r="M639" s="4">
        <v>46309</v>
      </c>
      <c r="N639" s="3" t="s">
        <v>1215</v>
      </c>
      <c r="O639" s="3" t="s">
        <v>415</v>
      </c>
      <c r="P639" t="str">
        <f t="shared" si="9"/>
        <v>4500140064280</v>
      </c>
      <c r="Q639" s="7" cm="1">
        <f t="array" ref="Q639:S639">VLOOKUP(P639,Hoja1!C:F,{2,3,4},FALSE)</f>
        <v>46315</v>
      </c>
      <c r="R639" t="str">
        <v>C03</v>
      </c>
      <c r="S639" t="str">
        <v>1000001470 SUDAMERICANA CAMIONES SA</v>
      </c>
      <c r="T639" t="s">
        <v>865</v>
      </c>
    </row>
    <row r="640" spans="1:20" x14ac:dyDescent="0.3">
      <c r="A640" s="2" t="s">
        <v>14</v>
      </c>
      <c r="B640" s="3" t="s">
        <v>14</v>
      </c>
      <c r="C640" s="3" t="s">
        <v>1214</v>
      </c>
      <c r="D640" s="3" t="s">
        <v>14</v>
      </c>
      <c r="E640" s="3" t="s">
        <v>96</v>
      </c>
      <c r="F640" s="4">
        <v>46308</v>
      </c>
      <c r="G640" s="3" t="s">
        <v>43</v>
      </c>
      <c r="H640" s="6">
        <v>-1550872.44</v>
      </c>
      <c r="I640" s="3" t="s">
        <v>16</v>
      </c>
      <c r="J640" s="3" t="s">
        <v>14</v>
      </c>
      <c r="K640" s="3" t="s">
        <v>14</v>
      </c>
      <c r="L640" s="3" t="s">
        <v>18</v>
      </c>
      <c r="M640" s="4">
        <v>46309</v>
      </c>
      <c r="N640" s="3" t="s">
        <v>1215</v>
      </c>
      <c r="O640" s="3" t="s">
        <v>635</v>
      </c>
      <c r="P640" t="str">
        <f t="shared" si="9"/>
        <v>4500140064300</v>
      </c>
      <c r="Q640" s="7" cm="1">
        <f t="array" ref="Q640:S640">VLOOKUP(P640,Hoja1!C:F,{2,3,4},FALSE)</f>
        <v>46315</v>
      </c>
      <c r="R640" t="str">
        <v>C03</v>
      </c>
      <c r="S640" t="str">
        <v>1000001470 SUDAMERICANA CAMIONES SA</v>
      </c>
      <c r="T640" t="str">
        <f>VLOOKUP(P640,Hoja2!C:D,2,FALSE)</f>
        <v>FBERARDO</v>
      </c>
    </row>
    <row r="641" spans="1:20" x14ac:dyDescent="0.3">
      <c r="A641" s="2" t="s">
        <v>14</v>
      </c>
      <c r="B641" s="3" t="s">
        <v>14</v>
      </c>
      <c r="C641" s="3" t="s">
        <v>1216</v>
      </c>
      <c r="D641" s="3" t="s">
        <v>14</v>
      </c>
      <c r="E641" s="3" t="s">
        <v>96</v>
      </c>
      <c r="F641" s="4">
        <v>46309</v>
      </c>
      <c r="G641" s="3" t="s">
        <v>43</v>
      </c>
      <c r="H641" s="6">
        <v>-132342.07999999999</v>
      </c>
      <c r="I641" s="3" t="s">
        <v>16</v>
      </c>
      <c r="J641" s="3" t="s">
        <v>14</v>
      </c>
      <c r="K641" s="3" t="s">
        <v>14</v>
      </c>
      <c r="L641" s="3" t="s">
        <v>1217</v>
      </c>
      <c r="M641" s="4">
        <v>46309</v>
      </c>
      <c r="N641" s="3" t="s">
        <v>1218</v>
      </c>
      <c r="O641" s="3" t="s">
        <v>33</v>
      </c>
      <c r="P641" t="str">
        <f t="shared" si="9"/>
        <v>450014072210</v>
      </c>
      <c r="Q641" s="7" cm="1">
        <f t="array" ref="Q641:S641">VLOOKUP(P641,Hoja1!C:F,{2,3,4},FALSE)</f>
        <v>46321</v>
      </c>
      <c r="R641" t="str">
        <v>L03</v>
      </c>
      <c r="S641" t="str">
        <v>1000000636 GIOVAGNOLI S.R.L.</v>
      </c>
      <c r="T641" t="str">
        <f>VLOOKUP(P641,Hoja2!C:D,2,FALSE)</f>
        <v>FBERARDO</v>
      </c>
    </row>
    <row r="642" spans="1:20" x14ac:dyDescent="0.3">
      <c r="A642" s="2" t="s">
        <v>14</v>
      </c>
      <c r="B642" s="3" t="s">
        <v>14</v>
      </c>
      <c r="C642" s="3" t="s">
        <v>1219</v>
      </c>
      <c r="D642" s="3" t="s">
        <v>35</v>
      </c>
      <c r="E642" s="3" t="s">
        <v>96</v>
      </c>
      <c r="F642" s="4">
        <v>46309</v>
      </c>
      <c r="G642" s="3" t="s">
        <v>43</v>
      </c>
      <c r="H642" s="6">
        <v>-574400</v>
      </c>
      <c r="I642" s="3" t="s">
        <v>16</v>
      </c>
      <c r="J642" s="3" t="s">
        <v>14</v>
      </c>
      <c r="K642" s="3" t="s">
        <v>14</v>
      </c>
      <c r="L642" s="3" t="s">
        <v>31</v>
      </c>
      <c r="M642" s="4">
        <v>46309</v>
      </c>
      <c r="N642" s="3" t="s">
        <v>1220</v>
      </c>
      <c r="O642" s="3" t="s">
        <v>33</v>
      </c>
      <c r="P642" t="str">
        <f t="shared" si="9"/>
        <v>450014068010</v>
      </c>
      <c r="Q642" s="7" cm="1">
        <f t="array" ref="Q642:S642">VLOOKUP(P642,Hoja1!C:F,{2,3,4},FALSE)</f>
        <v>46316</v>
      </c>
      <c r="R642" t="str">
        <v>C43</v>
      </c>
      <c r="S642" t="str">
        <v>1000003696 DOBLE TRACCION SRL</v>
      </c>
      <c r="T642" t="str">
        <f>VLOOKUP(P642,Hoja2!C:D,2,FALSE)</f>
        <v>EFUNES</v>
      </c>
    </row>
    <row r="643" spans="1:20" x14ac:dyDescent="0.3">
      <c r="A643" s="2" t="s">
        <v>14</v>
      </c>
      <c r="B643" s="3" t="s">
        <v>14</v>
      </c>
      <c r="C643" s="3" t="s">
        <v>1226</v>
      </c>
      <c r="D643" s="3" t="s">
        <v>35</v>
      </c>
      <c r="E643" s="3" t="s">
        <v>96</v>
      </c>
      <c r="F643" s="4">
        <v>46309</v>
      </c>
      <c r="G643" s="3" t="s">
        <v>43</v>
      </c>
      <c r="H643" s="6">
        <v>-31740</v>
      </c>
      <c r="I643" s="3" t="s">
        <v>16</v>
      </c>
      <c r="J643" s="3" t="s">
        <v>14</v>
      </c>
      <c r="K643" s="3" t="s">
        <v>14</v>
      </c>
      <c r="L643" s="3" t="s">
        <v>1227</v>
      </c>
      <c r="M643" s="4">
        <v>46310</v>
      </c>
      <c r="N643" s="3" t="s">
        <v>1228</v>
      </c>
      <c r="O643" s="3" t="s">
        <v>33</v>
      </c>
      <c r="P643" t="str">
        <f t="shared" ref="P643:P693" si="10">_xlfn.CONCAT(N643:O643)</f>
        <v>450014062110</v>
      </c>
      <c r="Q643" s="7" cm="1">
        <f t="array" ref="Q643:S643">VLOOKUP(P643,Hoja1!C:F,{2,3,4},FALSE)</f>
        <v>46310</v>
      </c>
      <c r="R643" t="str">
        <v>C17</v>
      </c>
      <c r="S643" t="str">
        <v>1000008319 PRANAMAR S.R.L.</v>
      </c>
      <c r="T643" t="str">
        <f>VLOOKUP(P643,Hoja2!C:D,2,FALSE)</f>
        <v>GDIAZ</v>
      </c>
    </row>
    <row r="644" spans="1:20" x14ac:dyDescent="0.3">
      <c r="A644" s="2" t="s">
        <v>14</v>
      </c>
      <c r="B644" s="3" t="s">
        <v>14</v>
      </c>
      <c r="C644" s="3" t="s">
        <v>1226</v>
      </c>
      <c r="D644" s="3" t="s">
        <v>35</v>
      </c>
      <c r="E644" s="3" t="s">
        <v>96</v>
      </c>
      <c r="F644" s="4">
        <v>46309</v>
      </c>
      <c r="G644" s="3" t="s">
        <v>43</v>
      </c>
      <c r="H644" s="6">
        <v>-35880</v>
      </c>
      <c r="I644" s="3" t="s">
        <v>16</v>
      </c>
      <c r="J644" s="3" t="s">
        <v>14</v>
      </c>
      <c r="K644" s="3" t="s">
        <v>14</v>
      </c>
      <c r="L644" s="3" t="s">
        <v>1227</v>
      </c>
      <c r="M644" s="4">
        <v>46310</v>
      </c>
      <c r="N644" s="3" t="s">
        <v>1228</v>
      </c>
      <c r="O644" s="3" t="s">
        <v>20</v>
      </c>
      <c r="P644" t="str">
        <f t="shared" si="10"/>
        <v>450014062120</v>
      </c>
      <c r="Q644" s="7" cm="1">
        <f t="array" ref="Q644:S644">VLOOKUP(P644,Hoja1!C:F,{2,3,4},FALSE)</f>
        <v>46310</v>
      </c>
      <c r="R644" t="str">
        <v>C17</v>
      </c>
      <c r="S644" t="str">
        <v>1000008319 PRANAMAR S.R.L.</v>
      </c>
      <c r="T644" t="str">
        <f>VLOOKUP(P644,Hoja2!C:D,2,FALSE)</f>
        <v>GDIAZ</v>
      </c>
    </row>
    <row r="645" spans="1:20" x14ac:dyDescent="0.3">
      <c r="A645" s="2" t="s">
        <v>14</v>
      </c>
      <c r="B645" s="3" t="s">
        <v>14</v>
      </c>
      <c r="C645" s="3" t="s">
        <v>1226</v>
      </c>
      <c r="D645" s="3" t="s">
        <v>35</v>
      </c>
      <c r="E645" s="3" t="s">
        <v>96</v>
      </c>
      <c r="F645" s="4">
        <v>46309</v>
      </c>
      <c r="G645" s="3" t="s">
        <v>43</v>
      </c>
      <c r="H645" s="6">
        <v>-22540</v>
      </c>
      <c r="I645" s="3" t="s">
        <v>16</v>
      </c>
      <c r="J645" s="3" t="s">
        <v>14</v>
      </c>
      <c r="K645" s="3" t="s">
        <v>14</v>
      </c>
      <c r="L645" s="3" t="s">
        <v>1227</v>
      </c>
      <c r="M645" s="4">
        <v>46310</v>
      </c>
      <c r="N645" s="3" t="s">
        <v>1228</v>
      </c>
      <c r="O645" s="3" t="s">
        <v>21</v>
      </c>
      <c r="P645" t="str">
        <f t="shared" si="10"/>
        <v>450014062130</v>
      </c>
      <c r="Q645" s="7" cm="1">
        <f t="array" ref="Q645:S645">VLOOKUP(P645,Hoja1!C:F,{2,3,4},FALSE)</f>
        <v>46310</v>
      </c>
      <c r="R645" t="str">
        <v>C17</v>
      </c>
      <c r="S645" t="str">
        <v>1000008319 PRANAMAR S.R.L.</v>
      </c>
      <c r="T645" t="s">
        <v>863</v>
      </c>
    </row>
    <row r="646" spans="1:20" x14ac:dyDescent="0.3">
      <c r="A646" s="2" t="s">
        <v>14</v>
      </c>
      <c r="B646" s="3" t="s">
        <v>14</v>
      </c>
      <c r="C646" s="3" t="s">
        <v>1226</v>
      </c>
      <c r="D646" s="3" t="s">
        <v>35</v>
      </c>
      <c r="E646" s="3" t="s">
        <v>96</v>
      </c>
      <c r="F646" s="4">
        <v>46309</v>
      </c>
      <c r="G646" s="3" t="s">
        <v>43</v>
      </c>
      <c r="H646" s="6">
        <v>-9840</v>
      </c>
      <c r="I646" s="3" t="s">
        <v>16</v>
      </c>
      <c r="J646" s="3" t="s">
        <v>14</v>
      </c>
      <c r="K646" s="3" t="s">
        <v>14</v>
      </c>
      <c r="L646" s="3" t="s">
        <v>1227</v>
      </c>
      <c r="M646" s="4">
        <v>46310</v>
      </c>
      <c r="N646" s="3" t="s">
        <v>1228</v>
      </c>
      <c r="O646" s="3" t="s">
        <v>25</v>
      </c>
      <c r="P646" t="str">
        <f t="shared" si="10"/>
        <v>450014062140</v>
      </c>
      <c r="Q646" s="7" cm="1">
        <f t="array" ref="Q646:S646">VLOOKUP(P646,Hoja1!C:F,{2,3,4},FALSE)</f>
        <v>46310</v>
      </c>
      <c r="R646" t="str">
        <v>C17</v>
      </c>
      <c r="S646" t="str">
        <v>1000008319 PRANAMAR S.R.L.</v>
      </c>
      <c r="T646" t="s">
        <v>863</v>
      </c>
    </row>
    <row r="647" spans="1:20" x14ac:dyDescent="0.3">
      <c r="A647" s="2" t="s">
        <v>14</v>
      </c>
      <c r="B647" s="3" t="s">
        <v>14</v>
      </c>
      <c r="C647" s="3" t="s">
        <v>1226</v>
      </c>
      <c r="D647" s="3" t="s">
        <v>35</v>
      </c>
      <c r="E647" s="3" t="s">
        <v>96</v>
      </c>
      <c r="F647" s="4">
        <v>46309</v>
      </c>
      <c r="G647" s="3" t="s">
        <v>43</v>
      </c>
      <c r="H647" s="6">
        <v>-73640</v>
      </c>
      <c r="I647" s="3" t="s">
        <v>16</v>
      </c>
      <c r="J647" s="3" t="s">
        <v>14</v>
      </c>
      <c r="K647" s="3" t="s">
        <v>14</v>
      </c>
      <c r="L647" s="3" t="s">
        <v>1227</v>
      </c>
      <c r="M647" s="4">
        <v>46310</v>
      </c>
      <c r="N647" s="3" t="s">
        <v>1228</v>
      </c>
      <c r="O647" s="3" t="s">
        <v>24</v>
      </c>
      <c r="P647" t="str">
        <f t="shared" si="10"/>
        <v>450014062170</v>
      </c>
      <c r="Q647" s="7" cm="1">
        <f t="array" ref="Q647:S647">VLOOKUP(P647,Hoja1!C:F,{2,3,4},FALSE)</f>
        <v>46310</v>
      </c>
      <c r="R647" t="str">
        <v>C17</v>
      </c>
      <c r="S647" t="str">
        <v>1000008319 PRANAMAR S.R.L.</v>
      </c>
      <c r="T647" t="str">
        <f>VLOOKUP(P647,Hoja2!C:D,2,FALSE)</f>
        <v>GDIAZ</v>
      </c>
    </row>
    <row r="648" spans="1:20" x14ac:dyDescent="0.3">
      <c r="A648" s="2" t="s">
        <v>14</v>
      </c>
      <c r="B648" s="3" t="s">
        <v>14</v>
      </c>
      <c r="C648" s="3" t="s">
        <v>1226</v>
      </c>
      <c r="D648" s="3" t="s">
        <v>35</v>
      </c>
      <c r="E648" s="3" t="s">
        <v>96</v>
      </c>
      <c r="F648" s="4">
        <v>46309</v>
      </c>
      <c r="G648" s="3" t="s">
        <v>43</v>
      </c>
      <c r="H648" s="6">
        <v>-23040</v>
      </c>
      <c r="I648" s="3" t="s">
        <v>16</v>
      </c>
      <c r="J648" s="3" t="s">
        <v>14</v>
      </c>
      <c r="K648" s="3" t="s">
        <v>14</v>
      </c>
      <c r="L648" s="3" t="s">
        <v>1227</v>
      </c>
      <c r="M648" s="4">
        <v>46310</v>
      </c>
      <c r="N648" s="3" t="s">
        <v>1228</v>
      </c>
      <c r="O648" s="3" t="s">
        <v>321</v>
      </c>
      <c r="P648" t="str">
        <f t="shared" si="10"/>
        <v>450014062180</v>
      </c>
      <c r="Q648" s="7" cm="1">
        <f t="array" ref="Q648:S648">VLOOKUP(P648,Hoja1!C:F,{2,3,4},FALSE)</f>
        <v>46310</v>
      </c>
      <c r="R648" t="str">
        <v>C17</v>
      </c>
      <c r="S648" t="str">
        <v>1000008319 PRANAMAR S.R.L.</v>
      </c>
      <c r="T648" t="str">
        <f>VLOOKUP(P648,Hoja2!C:D,2,FALSE)</f>
        <v>GDIAZ</v>
      </c>
    </row>
    <row r="649" spans="1:20" x14ac:dyDescent="0.3">
      <c r="A649" s="2" t="s">
        <v>14</v>
      </c>
      <c r="B649" s="3" t="s">
        <v>14</v>
      </c>
      <c r="C649" s="3" t="s">
        <v>1229</v>
      </c>
      <c r="D649" s="3" t="s">
        <v>14</v>
      </c>
      <c r="E649" s="3" t="s">
        <v>96</v>
      </c>
      <c r="F649" s="4">
        <v>46309</v>
      </c>
      <c r="G649" s="3" t="s">
        <v>43</v>
      </c>
      <c r="H649" s="6">
        <v>-225777.2</v>
      </c>
      <c r="I649" s="3" t="s">
        <v>16</v>
      </c>
      <c r="J649" s="3" t="s">
        <v>14</v>
      </c>
      <c r="K649" s="3" t="s">
        <v>14</v>
      </c>
      <c r="L649" s="3" t="s">
        <v>154</v>
      </c>
      <c r="M649" s="4">
        <v>46310</v>
      </c>
      <c r="N649" s="3" t="s">
        <v>1230</v>
      </c>
      <c r="O649" s="3" t="s">
        <v>33</v>
      </c>
      <c r="P649" t="str">
        <f t="shared" si="10"/>
        <v>450014056410</v>
      </c>
      <c r="Q649" s="7" cm="1">
        <f t="array" ref="Q649:S649">VLOOKUP(P649,Hoja1!C:F,{2,3,4},FALSE)</f>
        <v>46311</v>
      </c>
      <c r="R649" t="str">
        <v>C43</v>
      </c>
      <c r="S649" t="str">
        <v>1000002607 DIESEL LANGE S.R.L</v>
      </c>
      <c r="T649" t="str">
        <f>VLOOKUP(P649,Hoja2!C:D,2,FALSE)</f>
        <v>EFUNES</v>
      </c>
    </row>
    <row r="650" spans="1:20" x14ac:dyDescent="0.3">
      <c r="A650" s="2" t="s">
        <v>14</v>
      </c>
      <c r="B650" s="3" t="s">
        <v>14</v>
      </c>
      <c r="C650" s="3" t="s">
        <v>1239</v>
      </c>
      <c r="D650" s="3" t="s">
        <v>35</v>
      </c>
      <c r="E650" s="3" t="s">
        <v>96</v>
      </c>
      <c r="F650" s="4">
        <v>46310</v>
      </c>
      <c r="G650" s="3" t="s">
        <v>43</v>
      </c>
      <c r="H650" s="6">
        <v>-2145700</v>
      </c>
      <c r="I650" s="3" t="s">
        <v>16</v>
      </c>
      <c r="J650" s="3" t="s">
        <v>14</v>
      </c>
      <c r="K650" s="3" t="s">
        <v>14</v>
      </c>
      <c r="L650" s="3" t="s">
        <v>1240</v>
      </c>
      <c r="M650" s="4">
        <v>46310</v>
      </c>
      <c r="N650" s="3" t="s">
        <v>1241</v>
      </c>
      <c r="O650" s="3" t="s">
        <v>33</v>
      </c>
      <c r="P650" t="str">
        <f t="shared" si="10"/>
        <v>450014084110</v>
      </c>
      <c r="Q650" s="7" cm="1">
        <f t="array" ref="Q650:S650">VLOOKUP(P650,Hoja1!C:F,{2,3,4},FALSE)</f>
        <v>46314</v>
      </c>
      <c r="R650" t="str">
        <v>379</v>
      </c>
      <c r="S650" t="str">
        <v>1000003612 SEGOVIA OFELIA MARIA DEL VAL</v>
      </c>
      <c r="T650" t="str">
        <f>VLOOKUP(P650,Hoja2!C:D,2,FALSE)</f>
        <v>MALVAREZ</v>
      </c>
    </row>
    <row r="651" spans="1:20" x14ac:dyDescent="0.3">
      <c r="A651" s="2" t="s">
        <v>14</v>
      </c>
      <c r="B651" s="3" t="s">
        <v>14</v>
      </c>
      <c r="C651" s="3" t="s">
        <v>1245</v>
      </c>
      <c r="D651" s="3" t="s">
        <v>35</v>
      </c>
      <c r="E651" s="3" t="s">
        <v>96</v>
      </c>
      <c r="F651" s="4">
        <v>46310</v>
      </c>
      <c r="G651" s="3" t="s">
        <v>43</v>
      </c>
      <c r="H651" s="6">
        <v>-678825</v>
      </c>
      <c r="I651" s="3" t="s">
        <v>16</v>
      </c>
      <c r="J651" s="3" t="s">
        <v>14</v>
      </c>
      <c r="K651" s="3" t="s">
        <v>14</v>
      </c>
      <c r="L651" s="3" t="s">
        <v>419</v>
      </c>
      <c r="M651" s="4">
        <v>46310</v>
      </c>
      <c r="N651" s="3" t="s">
        <v>420</v>
      </c>
      <c r="O651" s="3" t="s">
        <v>33</v>
      </c>
      <c r="P651" t="str">
        <f t="shared" si="10"/>
        <v>450013481810</v>
      </c>
      <c r="Q651" s="7" cm="1">
        <f t="array" ref="Q651:S651">VLOOKUP(P651,Hoja1!C:F,{2,3,4},FALSE)</f>
        <v>46387</v>
      </c>
      <c r="R651" t="str">
        <v>C25</v>
      </c>
      <c r="S651" t="str">
        <v>1000001691 LENOR SRL</v>
      </c>
      <c r="T651" t="str">
        <f>VLOOKUP(P651,Hoja2!C:D,2,FALSE)</f>
        <v>MPITTIA</v>
      </c>
    </row>
    <row r="652" spans="1:20" x14ac:dyDescent="0.3">
      <c r="A652" s="2" t="s">
        <v>14</v>
      </c>
      <c r="B652" s="3" t="s">
        <v>14</v>
      </c>
      <c r="C652" s="3" t="s">
        <v>1245</v>
      </c>
      <c r="D652" s="3" t="s">
        <v>35</v>
      </c>
      <c r="E652" s="3" t="s">
        <v>96</v>
      </c>
      <c r="F652" s="4">
        <v>46310</v>
      </c>
      <c r="G652" s="3" t="s">
        <v>43</v>
      </c>
      <c r="H652" s="6">
        <v>-2564450</v>
      </c>
      <c r="I652" s="3" t="s">
        <v>16</v>
      </c>
      <c r="J652" s="3" t="s">
        <v>14</v>
      </c>
      <c r="K652" s="3" t="s">
        <v>14</v>
      </c>
      <c r="L652" s="3" t="s">
        <v>419</v>
      </c>
      <c r="M652" s="4">
        <v>46310</v>
      </c>
      <c r="N652" s="3" t="s">
        <v>420</v>
      </c>
      <c r="O652" s="3" t="s">
        <v>20</v>
      </c>
      <c r="P652" t="str">
        <f t="shared" si="10"/>
        <v>450013481820</v>
      </c>
      <c r="Q652" s="7" cm="1">
        <f t="array" ref="Q652:S652">VLOOKUP(P652,Hoja1!C:F,{2,3,4},FALSE)</f>
        <v>46387</v>
      </c>
      <c r="R652" t="str">
        <v>C25</v>
      </c>
      <c r="S652" t="str">
        <v>1000001691 LENOR SRL</v>
      </c>
      <c r="T652" t="str">
        <f>VLOOKUP(P652,Hoja2!C:D,2,FALSE)</f>
        <v>MPITTIA</v>
      </c>
    </row>
    <row r="653" spans="1:20" x14ac:dyDescent="0.3">
      <c r="A653" s="2" t="s">
        <v>14</v>
      </c>
      <c r="B653" s="3" t="s">
        <v>14</v>
      </c>
      <c r="C653" s="3" t="s">
        <v>1245</v>
      </c>
      <c r="D653" s="3" t="s">
        <v>35</v>
      </c>
      <c r="E653" s="3" t="s">
        <v>96</v>
      </c>
      <c r="F653" s="4">
        <v>46310</v>
      </c>
      <c r="G653" s="3" t="s">
        <v>43</v>
      </c>
      <c r="H653" s="6">
        <v>-1055950</v>
      </c>
      <c r="I653" s="3" t="s">
        <v>16</v>
      </c>
      <c r="J653" s="3" t="s">
        <v>14</v>
      </c>
      <c r="K653" s="3" t="s">
        <v>14</v>
      </c>
      <c r="L653" s="3" t="s">
        <v>419</v>
      </c>
      <c r="M653" s="4">
        <v>46310</v>
      </c>
      <c r="N653" s="3" t="s">
        <v>420</v>
      </c>
      <c r="O653" s="3" t="s">
        <v>21</v>
      </c>
      <c r="P653" t="str">
        <f t="shared" si="10"/>
        <v>450013481830</v>
      </c>
      <c r="Q653" s="7" cm="1">
        <f t="array" ref="Q653:S653">VLOOKUP(P653,Hoja1!C:F,{2,3,4},FALSE)</f>
        <v>46387</v>
      </c>
      <c r="R653" t="str">
        <v>C25</v>
      </c>
      <c r="S653" t="str">
        <v>1000001691 LENOR SRL</v>
      </c>
      <c r="T653" t="str">
        <f>VLOOKUP(P653,Hoja2!C:D,2,FALSE)</f>
        <v>MPITTIA</v>
      </c>
    </row>
    <row r="654" spans="1:20" x14ac:dyDescent="0.3">
      <c r="A654" s="2" t="s">
        <v>14</v>
      </c>
      <c r="B654" s="3" t="s">
        <v>14</v>
      </c>
      <c r="C654" s="3" t="s">
        <v>1245</v>
      </c>
      <c r="D654" s="3" t="s">
        <v>35</v>
      </c>
      <c r="E654" s="3" t="s">
        <v>96</v>
      </c>
      <c r="F654" s="4">
        <v>46310</v>
      </c>
      <c r="G654" s="3" t="s">
        <v>43</v>
      </c>
      <c r="H654" s="6">
        <v>-241360</v>
      </c>
      <c r="I654" s="3" t="s">
        <v>16</v>
      </c>
      <c r="J654" s="3" t="s">
        <v>14</v>
      </c>
      <c r="K654" s="3" t="s">
        <v>14</v>
      </c>
      <c r="L654" s="3" t="s">
        <v>419</v>
      </c>
      <c r="M654" s="4">
        <v>46310</v>
      </c>
      <c r="N654" s="3" t="s">
        <v>420</v>
      </c>
      <c r="O654" s="3" t="s">
        <v>25</v>
      </c>
      <c r="P654" t="str">
        <f t="shared" si="10"/>
        <v>450013481840</v>
      </c>
      <c r="Q654" s="7" cm="1">
        <f t="array" ref="Q654:S654">VLOOKUP(P654,Hoja1!C:F,{2,3,4},FALSE)</f>
        <v>46387</v>
      </c>
      <c r="R654" t="str">
        <v>C25</v>
      </c>
      <c r="S654" t="str">
        <v>1000001691 LENOR SRL</v>
      </c>
      <c r="T654" t="str">
        <f>VLOOKUP(P654,Hoja2!C:D,2,FALSE)</f>
        <v>MPITTIA</v>
      </c>
    </row>
    <row r="655" spans="1:20" x14ac:dyDescent="0.3">
      <c r="A655" s="2" t="s">
        <v>14</v>
      </c>
      <c r="B655" s="3" t="s">
        <v>14</v>
      </c>
      <c r="C655" s="3" t="s">
        <v>1246</v>
      </c>
      <c r="D655" s="3" t="s">
        <v>14</v>
      </c>
      <c r="E655" s="3" t="s">
        <v>96</v>
      </c>
      <c r="F655" s="4">
        <v>46309</v>
      </c>
      <c r="G655" s="3" t="s">
        <v>43</v>
      </c>
      <c r="H655" s="6">
        <v>-94281.25</v>
      </c>
      <c r="I655" s="3" t="s">
        <v>16</v>
      </c>
      <c r="J655" s="3" t="s">
        <v>14</v>
      </c>
      <c r="K655" s="3" t="s">
        <v>14</v>
      </c>
      <c r="L655" s="3" t="s">
        <v>1247</v>
      </c>
      <c r="M655" s="4">
        <v>46310</v>
      </c>
      <c r="N655" s="3" t="s">
        <v>1248</v>
      </c>
      <c r="O655" s="3" t="s">
        <v>33</v>
      </c>
      <c r="P655" t="str">
        <f t="shared" si="10"/>
        <v>450013993410</v>
      </c>
      <c r="Q655" s="7" cm="1">
        <f t="array" ref="Q655:S655">VLOOKUP(P655,Hoja1!C:F,{2,3,4},FALSE)</f>
        <v>46311</v>
      </c>
      <c r="R655" t="str">
        <v>C28</v>
      </c>
      <c r="S655" t="str">
        <v>1000013423 TECHNICAL PERFORMANCE S.A.</v>
      </c>
      <c r="T655" t="str">
        <f>VLOOKUP(P655,Hoja2!C:D,2,FALSE)</f>
        <v>GJULIANI</v>
      </c>
    </row>
    <row r="656" spans="1:20" x14ac:dyDescent="0.3">
      <c r="A656" s="2" t="s">
        <v>14</v>
      </c>
      <c r="B656" s="3" t="s">
        <v>14</v>
      </c>
      <c r="C656" s="3" t="s">
        <v>1250</v>
      </c>
      <c r="D656" s="3" t="s">
        <v>14</v>
      </c>
      <c r="E656" s="3" t="s">
        <v>96</v>
      </c>
      <c r="F656" s="4">
        <v>46310</v>
      </c>
      <c r="G656" s="3" t="s">
        <v>43</v>
      </c>
      <c r="H656" s="6">
        <v>-127815.21</v>
      </c>
      <c r="I656" s="3" t="s">
        <v>16</v>
      </c>
      <c r="J656" s="3" t="s">
        <v>14</v>
      </c>
      <c r="K656" s="3" t="s">
        <v>14</v>
      </c>
      <c r="L656" s="3" t="s">
        <v>154</v>
      </c>
      <c r="M656" s="4">
        <v>46310</v>
      </c>
      <c r="N656" s="3" t="s">
        <v>1251</v>
      </c>
      <c r="O656" s="3" t="s">
        <v>33</v>
      </c>
      <c r="P656" t="str">
        <f t="shared" si="10"/>
        <v>450014089110</v>
      </c>
      <c r="Q656" s="7" cm="1">
        <f t="array" ref="Q656:S656">VLOOKUP(P656,Hoja1!C:F,{2,3,4},FALSE)</f>
        <v>46329</v>
      </c>
      <c r="R656" t="str">
        <v>C43</v>
      </c>
      <c r="S656" t="str">
        <v>1000002607 DIESEL LANGE S.R.L</v>
      </c>
      <c r="T656" t="str">
        <f>VLOOKUP(P656,Hoja2!C:D,2,FALSE)</f>
        <v>EFUNES</v>
      </c>
    </row>
    <row r="657" spans="1:20" x14ac:dyDescent="0.3">
      <c r="A657" s="2" t="s">
        <v>14</v>
      </c>
      <c r="B657" s="3" t="s">
        <v>14</v>
      </c>
      <c r="C657" s="3" t="s">
        <v>1250</v>
      </c>
      <c r="D657" s="3" t="s">
        <v>14</v>
      </c>
      <c r="E657" s="3" t="s">
        <v>96</v>
      </c>
      <c r="F657" s="4">
        <v>46310</v>
      </c>
      <c r="G657" s="3" t="s">
        <v>43</v>
      </c>
      <c r="H657" s="6">
        <v>-3741.08</v>
      </c>
      <c r="I657" s="3" t="s">
        <v>16</v>
      </c>
      <c r="J657" s="3" t="s">
        <v>14</v>
      </c>
      <c r="K657" s="3" t="s">
        <v>14</v>
      </c>
      <c r="L657" s="3" t="s">
        <v>154</v>
      </c>
      <c r="M657" s="4">
        <v>46310</v>
      </c>
      <c r="N657" s="3" t="s">
        <v>1251</v>
      </c>
      <c r="O657" s="3" t="s">
        <v>21</v>
      </c>
      <c r="P657" t="str">
        <f t="shared" si="10"/>
        <v>450014089130</v>
      </c>
      <c r="Q657" s="7" cm="1">
        <f t="array" ref="Q657:S657">VLOOKUP(P657,Hoja1!C:F,{2,3,4},FALSE)</f>
        <v>46329</v>
      </c>
      <c r="R657" t="str">
        <v>C43</v>
      </c>
      <c r="S657" t="str">
        <v>1000002607 DIESEL LANGE S.R.L</v>
      </c>
      <c r="T657" t="str">
        <f>VLOOKUP(P657,Hoja2!C:D,2,FALSE)</f>
        <v>EFUNES</v>
      </c>
    </row>
    <row r="658" spans="1:20" x14ac:dyDescent="0.3">
      <c r="A658" s="2" t="s">
        <v>14</v>
      </c>
      <c r="B658" s="3" t="s">
        <v>14</v>
      </c>
      <c r="C658" s="3" t="s">
        <v>1252</v>
      </c>
      <c r="D658" s="3" t="s">
        <v>14</v>
      </c>
      <c r="E658" s="3" t="s">
        <v>96</v>
      </c>
      <c r="F658" s="4">
        <v>46310</v>
      </c>
      <c r="G658" s="3" t="s">
        <v>43</v>
      </c>
      <c r="H658" s="6">
        <v>-130802.04</v>
      </c>
      <c r="I658" s="3" t="s">
        <v>16</v>
      </c>
      <c r="J658" s="3" t="s">
        <v>14</v>
      </c>
      <c r="K658" s="3" t="s">
        <v>14</v>
      </c>
      <c r="L658" s="3" t="s">
        <v>18</v>
      </c>
      <c r="M658" s="4">
        <v>46310</v>
      </c>
      <c r="N658" s="3" t="s">
        <v>1253</v>
      </c>
      <c r="O658" s="3" t="s">
        <v>33</v>
      </c>
      <c r="P658" t="str">
        <f t="shared" si="10"/>
        <v>450013092110</v>
      </c>
      <c r="Q658" s="7" cm="1">
        <f t="array" ref="Q658:S658">VLOOKUP(P658,Hoja1!C:F,{2,3,4},FALSE)</f>
        <v>46315</v>
      </c>
      <c r="R658" t="str">
        <v>C03</v>
      </c>
      <c r="S658" t="str">
        <v>1000001470 SUDAMERICANA CAMIONES SA</v>
      </c>
      <c r="T658" t="str">
        <f>VLOOKUP(P658,Hoja2!C:D,2,FALSE)</f>
        <v>FBERARDO</v>
      </c>
    </row>
    <row r="659" spans="1:20" x14ac:dyDescent="0.3">
      <c r="A659" s="2" t="s">
        <v>14</v>
      </c>
      <c r="B659" s="3" t="s">
        <v>14</v>
      </c>
      <c r="C659" s="3" t="s">
        <v>1270</v>
      </c>
      <c r="D659" s="3" t="s">
        <v>14</v>
      </c>
      <c r="E659" s="3" t="s">
        <v>96</v>
      </c>
      <c r="F659" s="4">
        <v>46310</v>
      </c>
      <c r="G659" s="3" t="s">
        <v>43</v>
      </c>
      <c r="H659" s="6">
        <v>-1065438.47</v>
      </c>
      <c r="I659" s="3" t="s">
        <v>16</v>
      </c>
      <c r="J659" s="3" t="s">
        <v>14</v>
      </c>
      <c r="K659" s="3" t="s">
        <v>14</v>
      </c>
      <c r="L659" s="3" t="s">
        <v>18</v>
      </c>
      <c r="M659" s="4">
        <v>46310</v>
      </c>
      <c r="N659" s="3" t="s">
        <v>1209</v>
      </c>
      <c r="O659" s="3" t="s">
        <v>23</v>
      </c>
      <c r="P659" t="str">
        <f t="shared" si="10"/>
        <v>450014044460</v>
      </c>
      <c r="Q659" s="7" cm="1">
        <f t="array" ref="Q659:S659">VLOOKUP(P659,Hoja1!C:F,{2,3,4},FALSE)</f>
        <v>46315</v>
      </c>
      <c r="R659" t="str">
        <v>C03</v>
      </c>
      <c r="S659" t="str">
        <v>1000001470 SUDAMERICANA CAMIONES SA</v>
      </c>
      <c r="T659" t="str">
        <f>VLOOKUP(P659,Hoja2!C:D,2,FALSE)</f>
        <v>FBERARDO</v>
      </c>
    </row>
    <row r="660" spans="1:20" x14ac:dyDescent="0.3">
      <c r="A660" s="2" t="s">
        <v>14</v>
      </c>
      <c r="B660" s="3" t="s">
        <v>14</v>
      </c>
      <c r="C660" s="3" t="s">
        <v>1271</v>
      </c>
      <c r="D660" s="3" t="s">
        <v>14</v>
      </c>
      <c r="E660" s="3" t="s">
        <v>96</v>
      </c>
      <c r="F660" s="4">
        <v>46310</v>
      </c>
      <c r="G660" s="3" t="s">
        <v>43</v>
      </c>
      <c r="H660" s="6">
        <v>-119147.18</v>
      </c>
      <c r="I660" s="3" t="s">
        <v>16</v>
      </c>
      <c r="J660" s="3" t="s">
        <v>14</v>
      </c>
      <c r="K660" s="3" t="s">
        <v>14</v>
      </c>
      <c r="L660" s="3" t="s">
        <v>1272</v>
      </c>
      <c r="M660" s="4">
        <v>46310</v>
      </c>
      <c r="N660" s="3" t="s">
        <v>1273</v>
      </c>
      <c r="O660" s="3" t="s">
        <v>33</v>
      </c>
      <c r="P660" t="str">
        <f t="shared" si="10"/>
        <v>450014092510</v>
      </c>
      <c r="Q660" s="7" cm="1">
        <f t="array" ref="Q660:S660">VLOOKUP(P660,Hoja1!C:F,{2,3,4},FALSE)</f>
        <v>46321</v>
      </c>
      <c r="R660" t="str">
        <v>F13</v>
      </c>
      <c r="S660" t="str">
        <v>1000000754 AURELIA SACIYF</v>
      </c>
      <c r="T660" t="str">
        <f>VLOOKUP(P660,Hoja2!C:D,2,FALSE)</f>
        <v>RPEREZ</v>
      </c>
    </row>
    <row r="661" spans="1:20" x14ac:dyDescent="0.3">
      <c r="A661" s="2" t="s">
        <v>14</v>
      </c>
      <c r="B661" s="3" t="s">
        <v>14</v>
      </c>
      <c r="C661" s="3" t="s">
        <v>1274</v>
      </c>
      <c r="D661" s="3" t="s">
        <v>14</v>
      </c>
      <c r="E661" s="3" t="s">
        <v>96</v>
      </c>
      <c r="F661" s="4">
        <v>46310</v>
      </c>
      <c r="G661" s="3" t="s">
        <v>43</v>
      </c>
      <c r="H661" s="6">
        <v>-22929.200000000001</v>
      </c>
      <c r="I661" s="3" t="s">
        <v>16</v>
      </c>
      <c r="J661" s="3" t="s">
        <v>14</v>
      </c>
      <c r="K661" s="3" t="s">
        <v>14</v>
      </c>
      <c r="L661" s="3" t="s">
        <v>154</v>
      </c>
      <c r="M661" s="4">
        <v>46310</v>
      </c>
      <c r="N661" s="3" t="s">
        <v>1251</v>
      </c>
      <c r="O661" s="3" t="s">
        <v>20</v>
      </c>
      <c r="P661" t="str">
        <f t="shared" si="10"/>
        <v>450014089120</v>
      </c>
      <c r="Q661" s="7" cm="1">
        <f t="array" ref="Q661:S661">VLOOKUP(P661,Hoja1!C:F,{2,3,4},FALSE)</f>
        <v>46329</v>
      </c>
      <c r="R661" t="str">
        <v>C43</v>
      </c>
      <c r="S661" t="str">
        <v>1000002607 DIESEL LANGE S.R.L</v>
      </c>
      <c r="T661" t="str">
        <f>VLOOKUP(P661,Hoja2!C:D,2,FALSE)</f>
        <v>EFUNES</v>
      </c>
    </row>
    <row r="662" spans="1:20" x14ac:dyDescent="0.3">
      <c r="A662" s="2" t="s">
        <v>14</v>
      </c>
      <c r="B662" s="3" t="s">
        <v>14</v>
      </c>
      <c r="C662" s="3" t="s">
        <v>1275</v>
      </c>
      <c r="D662" s="3" t="s">
        <v>14</v>
      </c>
      <c r="E662" s="3" t="s">
        <v>96</v>
      </c>
      <c r="F662" s="4">
        <v>46310</v>
      </c>
      <c r="G662" s="3" t="s">
        <v>43</v>
      </c>
      <c r="H662" s="6">
        <v>-111085.94</v>
      </c>
      <c r="I662" s="3" t="s">
        <v>16</v>
      </c>
      <c r="J662" s="3" t="s">
        <v>14</v>
      </c>
      <c r="K662" s="3" t="s">
        <v>14</v>
      </c>
      <c r="L662" s="3" t="s">
        <v>18</v>
      </c>
      <c r="M662" s="4">
        <v>46310</v>
      </c>
      <c r="N662" s="3" t="s">
        <v>1276</v>
      </c>
      <c r="O662" s="3" t="s">
        <v>20</v>
      </c>
      <c r="P662" t="str">
        <f t="shared" si="10"/>
        <v>450014026520</v>
      </c>
      <c r="Q662" s="7" cm="1">
        <f t="array" ref="Q662:S662">VLOOKUP(P662,Hoja1!C:F,{2,3,4},FALSE)</f>
        <v>46307</v>
      </c>
      <c r="R662" t="str">
        <v>C43</v>
      </c>
      <c r="S662" t="str">
        <v>1000001470 SUDAMERICANA CAMIONES SA</v>
      </c>
      <c r="T662" t="str">
        <f>VLOOKUP(P662,Hoja2!C:D,2,FALSE)</f>
        <v>EFUNES</v>
      </c>
    </row>
    <row r="663" spans="1:20" x14ac:dyDescent="0.3">
      <c r="A663" s="2" t="s">
        <v>14</v>
      </c>
      <c r="B663" s="3" t="s">
        <v>14</v>
      </c>
      <c r="C663" s="3" t="s">
        <v>1277</v>
      </c>
      <c r="D663" s="3" t="s">
        <v>14</v>
      </c>
      <c r="E663" s="3" t="s">
        <v>96</v>
      </c>
      <c r="F663" s="4">
        <v>46310</v>
      </c>
      <c r="G663" s="3" t="s">
        <v>43</v>
      </c>
      <c r="H663" s="6">
        <v>-1581360.55</v>
      </c>
      <c r="I663" s="3" t="s">
        <v>16</v>
      </c>
      <c r="J663" s="3" t="s">
        <v>14</v>
      </c>
      <c r="K663" s="3" t="s">
        <v>14</v>
      </c>
      <c r="L663" s="3" t="s">
        <v>18</v>
      </c>
      <c r="M663" s="4">
        <v>46310</v>
      </c>
      <c r="N663" s="3" t="s">
        <v>1278</v>
      </c>
      <c r="O663" s="3" t="s">
        <v>33</v>
      </c>
      <c r="P663" t="str">
        <f t="shared" si="10"/>
        <v>450014056610</v>
      </c>
      <c r="Q663" s="7" cm="1">
        <f t="array" ref="Q663:S663">VLOOKUP(P663,Hoja1!C:F,{2,3,4},FALSE)</f>
        <v>46320</v>
      </c>
      <c r="R663" t="str">
        <v>C43</v>
      </c>
      <c r="S663" t="str">
        <v>1000001470 SUDAMERICANA CAMIONES SA</v>
      </c>
      <c r="T663" t="str">
        <f>VLOOKUP(P663,Hoja2!C:D,2,FALSE)</f>
        <v>EFUNES</v>
      </c>
    </row>
    <row r="664" spans="1:20" x14ac:dyDescent="0.3">
      <c r="A664" s="2" t="s">
        <v>14</v>
      </c>
      <c r="B664" s="3" t="s">
        <v>14</v>
      </c>
      <c r="C664" s="3" t="s">
        <v>1279</v>
      </c>
      <c r="D664" s="3" t="s">
        <v>14</v>
      </c>
      <c r="E664" s="3" t="s">
        <v>96</v>
      </c>
      <c r="F664" s="4">
        <v>46311</v>
      </c>
      <c r="G664" s="3" t="s">
        <v>43</v>
      </c>
      <c r="H664" s="6">
        <v>-310000</v>
      </c>
      <c r="I664" s="3" t="s">
        <v>16</v>
      </c>
      <c r="J664" s="3" t="s">
        <v>14</v>
      </c>
      <c r="K664" s="3" t="s">
        <v>14</v>
      </c>
      <c r="L664" s="3" t="s">
        <v>1280</v>
      </c>
      <c r="M664" s="4">
        <v>46311</v>
      </c>
      <c r="N664" s="3" t="s">
        <v>1281</v>
      </c>
      <c r="O664" s="3" t="s">
        <v>33</v>
      </c>
      <c r="P664" t="str">
        <f t="shared" si="10"/>
        <v>450014092210</v>
      </c>
      <c r="Q664" s="7" cm="1">
        <f t="array" ref="Q664:S664">VLOOKUP(P664,Hoja1!C:F,{2,3,4},FALSE)</f>
        <v>46310</v>
      </c>
      <c r="R664" t="str">
        <v>C39</v>
      </c>
      <c r="S664" t="str">
        <v>1000003731 VERINO MARCELO LEANDRO</v>
      </c>
      <c r="T664" t="str">
        <f>VLOOKUP(P664,Hoja2!C:D,2,FALSE)</f>
        <v>EFUNES</v>
      </c>
    </row>
    <row r="665" spans="1:20" x14ac:dyDescent="0.3">
      <c r="A665" s="2" t="s">
        <v>14</v>
      </c>
      <c r="B665" s="3" t="s">
        <v>14</v>
      </c>
      <c r="C665" s="3" t="s">
        <v>1282</v>
      </c>
      <c r="D665" s="3" t="s">
        <v>14</v>
      </c>
      <c r="E665" s="3" t="s">
        <v>96</v>
      </c>
      <c r="F665" s="4">
        <v>46311</v>
      </c>
      <c r="G665" s="3" t="s">
        <v>43</v>
      </c>
      <c r="H665" s="6">
        <v>-634761.72</v>
      </c>
      <c r="I665" s="3" t="s">
        <v>16</v>
      </c>
      <c r="J665" s="3" t="s">
        <v>14</v>
      </c>
      <c r="K665" s="3" t="s">
        <v>14</v>
      </c>
      <c r="L665" s="3" t="s">
        <v>1074</v>
      </c>
      <c r="M665" s="4">
        <v>46311</v>
      </c>
      <c r="N665" s="3" t="s">
        <v>1283</v>
      </c>
      <c r="O665" s="3" t="s">
        <v>33</v>
      </c>
      <c r="P665" t="str">
        <f t="shared" si="10"/>
        <v>450013493810</v>
      </c>
      <c r="Q665" s="7" cm="1">
        <f t="array" ref="Q665:S665">VLOOKUP(P665,Hoja1!C:F,{2,3,4},FALSE)</f>
        <v>46320</v>
      </c>
      <c r="R665" t="str">
        <v>C03</v>
      </c>
      <c r="S665" t="str">
        <v>1000001129 AGRONORTE S.R.L.</v>
      </c>
      <c r="T665" t="str">
        <f>VLOOKUP(P665,Hoja2!C:D,2,FALSE)</f>
        <v>RPEREZ</v>
      </c>
    </row>
    <row r="666" spans="1:20" x14ac:dyDescent="0.3">
      <c r="A666" s="2" t="s">
        <v>14</v>
      </c>
      <c r="B666" s="3" t="s">
        <v>14</v>
      </c>
      <c r="C666" s="3" t="s">
        <v>1284</v>
      </c>
      <c r="D666" s="3" t="s">
        <v>14</v>
      </c>
      <c r="E666" s="3" t="s">
        <v>96</v>
      </c>
      <c r="F666" s="4">
        <v>46311</v>
      </c>
      <c r="G666" s="3" t="s">
        <v>43</v>
      </c>
      <c r="H666" s="6">
        <v>-14466.52</v>
      </c>
      <c r="I666" s="3" t="s">
        <v>16</v>
      </c>
      <c r="J666" s="3" t="s">
        <v>14</v>
      </c>
      <c r="K666" s="3" t="s">
        <v>14</v>
      </c>
      <c r="L666" s="3" t="s">
        <v>148</v>
      </c>
      <c r="M666" s="4">
        <v>46311</v>
      </c>
      <c r="N666" s="3" t="s">
        <v>1223</v>
      </c>
      <c r="O666" s="3" t="s">
        <v>20</v>
      </c>
      <c r="P666" t="str">
        <f t="shared" si="10"/>
        <v>450014070620</v>
      </c>
      <c r="Q666" s="7" cm="1">
        <f t="array" ref="Q666:S666">VLOOKUP(P666,Hoja1!C:F,{2,3,4},FALSE)</f>
        <v>46319</v>
      </c>
      <c r="R666" t="str">
        <v>C03</v>
      </c>
      <c r="S666" t="str">
        <v>1000000062 FINNING ARGENTINA S.A.</v>
      </c>
      <c r="T666" t="str">
        <f>VLOOKUP(P666,Hoja2!C:D,2,FALSE)</f>
        <v>RPEREZ</v>
      </c>
    </row>
    <row r="667" spans="1:20" x14ac:dyDescent="0.3">
      <c r="A667" s="2" t="s">
        <v>14</v>
      </c>
      <c r="B667" s="3" t="s">
        <v>14</v>
      </c>
      <c r="C667" s="3" t="s">
        <v>1284</v>
      </c>
      <c r="D667" s="3" t="s">
        <v>14</v>
      </c>
      <c r="E667" s="3" t="s">
        <v>96</v>
      </c>
      <c r="F667" s="4">
        <v>46311</v>
      </c>
      <c r="G667" s="3" t="s">
        <v>43</v>
      </c>
      <c r="H667" s="6">
        <v>-10303.06</v>
      </c>
      <c r="I667" s="3" t="s">
        <v>16</v>
      </c>
      <c r="J667" s="3" t="s">
        <v>14</v>
      </c>
      <c r="K667" s="3" t="s">
        <v>14</v>
      </c>
      <c r="L667" s="3" t="s">
        <v>148</v>
      </c>
      <c r="M667" s="4">
        <v>46311</v>
      </c>
      <c r="N667" s="3" t="s">
        <v>1223</v>
      </c>
      <c r="O667" s="3" t="s">
        <v>25</v>
      </c>
      <c r="P667" t="str">
        <f t="shared" si="10"/>
        <v>450014070640</v>
      </c>
      <c r="Q667" s="7" cm="1">
        <f t="array" ref="Q667:S667">VLOOKUP(P667,Hoja1!C:F,{2,3,4},FALSE)</f>
        <v>46319</v>
      </c>
      <c r="R667" t="str">
        <v>C03</v>
      </c>
      <c r="S667" t="str">
        <v>1000000062 FINNING ARGENTINA S.A.</v>
      </c>
      <c r="T667" t="str">
        <f>VLOOKUP(P667,Hoja2!C:D,2,FALSE)</f>
        <v>RPEREZ</v>
      </c>
    </row>
    <row r="668" spans="1:20" x14ac:dyDescent="0.3">
      <c r="A668" s="2" t="s">
        <v>14</v>
      </c>
      <c r="B668" s="3" t="s">
        <v>14</v>
      </c>
      <c r="C668" s="3" t="s">
        <v>1285</v>
      </c>
      <c r="D668" s="3" t="s">
        <v>14</v>
      </c>
      <c r="E668" s="3" t="s">
        <v>96</v>
      </c>
      <c r="F668" s="4">
        <v>46311</v>
      </c>
      <c r="G668" s="3" t="s">
        <v>43</v>
      </c>
      <c r="H668" s="6">
        <v>-2160564.21</v>
      </c>
      <c r="I668" s="3" t="s">
        <v>16</v>
      </c>
      <c r="J668" s="3" t="s">
        <v>14</v>
      </c>
      <c r="K668" s="3" t="s">
        <v>14</v>
      </c>
      <c r="L668" s="3" t="s">
        <v>148</v>
      </c>
      <c r="M668" s="4">
        <v>46311</v>
      </c>
      <c r="N668" s="3" t="s">
        <v>1286</v>
      </c>
      <c r="O668" s="3" t="s">
        <v>33</v>
      </c>
      <c r="P668" t="str">
        <f t="shared" si="10"/>
        <v>450013947510</v>
      </c>
      <c r="Q668" s="7" cm="1">
        <f t="array" ref="Q668:S668">VLOOKUP(P668,Hoja1!C:F,{2,3,4},FALSE)</f>
        <v>46313</v>
      </c>
      <c r="R668" t="str">
        <v>C03</v>
      </c>
      <c r="S668" t="str">
        <v>1000000062 FINNING ARGENTINA S.A.</v>
      </c>
      <c r="T668" t="str">
        <f>VLOOKUP(P668,Hoja2!C:D,2,FALSE)</f>
        <v>RPEREZ</v>
      </c>
    </row>
    <row r="669" spans="1:20" x14ac:dyDescent="0.3">
      <c r="A669" s="2" t="s">
        <v>14</v>
      </c>
      <c r="B669" s="3" t="s">
        <v>14</v>
      </c>
      <c r="C669" s="3" t="s">
        <v>1287</v>
      </c>
      <c r="D669" s="3" t="s">
        <v>14</v>
      </c>
      <c r="E669" s="3" t="s">
        <v>96</v>
      </c>
      <c r="F669" s="4">
        <v>46311</v>
      </c>
      <c r="G669" s="3" t="s">
        <v>43</v>
      </c>
      <c r="H669" s="6">
        <v>-668748.22</v>
      </c>
      <c r="I669" s="3" t="s">
        <v>16</v>
      </c>
      <c r="J669" s="3" t="s">
        <v>14</v>
      </c>
      <c r="K669" s="3" t="s">
        <v>14</v>
      </c>
      <c r="L669" s="3" t="s">
        <v>148</v>
      </c>
      <c r="M669" s="4">
        <v>46311</v>
      </c>
      <c r="N669" s="3" t="s">
        <v>1288</v>
      </c>
      <c r="O669" s="3" t="s">
        <v>33</v>
      </c>
      <c r="P669" t="str">
        <f t="shared" si="10"/>
        <v>450013937610</v>
      </c>
      <c r="Q669" s="7" cm="1">
        <f t="array" ref="Q669:S669">VLOOKUP(P669,Hoja1!C:F,{2,3,4},FALSE)</f>
        <v>46310</v>
      </c>
      <c r="R669" t="str">
        <v>C03</v>
      </c>
      <c r="S669" t="str">
        <v>1000000062 FINNING ARGENTINA S.A.</v>
      </c>
      <c r="T669" t="str">
        <f>VLOOKUP(P669,Hoja2!C:D,2,FALSE)</f>
        <v>RPEREZ</v>
      </c>
    </row>
    <row r="670" spans="1:20" x14ac:dyDescent="0.3">
      <c r="A670" s="2" t="s">
        <v>14</v>
      </c>
      <c r="B670" s="3" t="s">
        <v>14</v>
      </c>
      <c r="C670" s="3" t="s">
        <v>1289</v>
      </c>
      <c r="D670" s="3" t="s">
        <v>14</v>
      </c>
      <c r="E670" s="3" t="s">
        <v>96</v>
      </c>
      <c r="F670" s="4">
        <v>46311</v>
      </c>
      <c r="G670" s="3" t="s">
        <v>43</v>
      </c>
      <c r="H670" s="6">
        <v>-149959.99</v>
      </c>
      <c r="I670" s="3" t="s">
        <v>16</v>
      </c>
      <c r="J670" s="3" t="s">
        <v>14</v>
      </c>
      <c r="K670" s="3" t="s">
        <v>14</v>
      </c>
      <c r="L670" s="3" t="s">
        <v>148</v>
      </c>
      <c r="M670" s="4">
        <v>46311</v>
      </c>
      <c r="N670" s="3" t="s">
        <v>1290</v>
      </c>
      <c r="O670" s="3" t="s">
        <v>21</v>
      </c>
      <c r="P670" t="str">
        <f t="shared" si="10"/>
        <v>450013875530</v>
      </c>
      <c r="Q670" s="7" cm="1">
        <f t="array" ref="Q670:S670">VLOOKUP(P670,Hoja1!C:F,{2,3,4},FALSE)</f>
        <v>46307</v>
      </c>
      <c r="R670" t="str">
        <v>C03</v>
      </c>
      <c r="S670" t="str">
        <v>1000000062 FINNING ARGENTINA S.A.</v>
      </c>
      <c r="T670" t="str">
        <f>VLOOKUP(P670,Hoja2!C:D,2,FALSE)</f>
        <v>RPEREZ</v>
      </c>
    </row>
    <row r="671" spans="1:20" x14ac:dyDescent="0.3">
      <c r="A671" s="2" t="s">
        <v>14</v>
      </c>
      <c r="B671" s="3" t="s">
        <v>14</v>
      </c>
      <c r="C671" s="3" t="s">
        <v>1291</v>
      </c>
      <c r="D671" s="3" t="s">
        <v>14</v>
      </c>
      <c r="E671" s="3" t="s">
        <v>96</v>
      </c>
      <c r="F671" s="4">
        <v>46311</v>
      </c>
      <c r="G671" s="3" t="s">
        <v>43</v>
      </c>
      <c r="H671" s="6">
        <v>-528246.53</v>
      </c>
      <c r="I671" s="3" t="s">
        <v>16</v>
      </c>
      <c r="J671" s="3" t="s">
        <v>14</v>
      </c>
      <c r="K671" s="3" t="s">
        <v>14</v>
      </c>
      <c r="L671" s="3" t="s">
        <v>18</v>
      </c>
      <c r="M671" s="4">
        <v>46311</v>
      </c>
      <c r="N671" s="3" t="s">
        <v>1292</v>
      </c>
      <c r="O671" s="3" t="s">
        <v>33</v>
      </c>
      <c r="P671" t="str">
        <f t="shared" si="10"/>
        <v>450014087310</v>
      </c>
      <c r="Q671" s="7" cm="1">
        <f t="array" ref="Q671:S671">VLOOKUP(P671,Hoja1!C:F,{2,3,4},FALSE)</f>
        <v>46339</v>
      </c>
      <c r="R671" t="str">
        <v>C03</v>
      </c>
      <c r="S671" t="str">
        <v>1000001470 SUDAMERICANA CAMIONES SA</v>
      </c>
      <c r="T671" t="str">
        <f>VLOOKUP(P671,Hoja2!C:D,2,FALSE)</f>
        <v>FBERARDO</v>
      </c>
    </row>
    <row r="672" spans="1:20" x14ac:dyDescent="0.3">
      <c r="A672" s="2" t="s">
        <v>14</v>
      </c>
      <c r="B672" s="3" t="s">
        <v>14</v>
      </c>
      <c r="C672" s="3" t="s">
        <v>1293</v>
      </c>
      <c r="D672" s="3" t="s">
        <v>14</v>
      </c>
      <c r="E672" s="3" t="s">
        <v>96</v>
      </c>
      <c r="F672" s="4">
        <v>46311</v>
      </c>
      <c r="G672" s="3" t="s">
        <v>43</v>
      </c>
      <c r="H672" s="6">
        <v>-27181</v>
      </c>
      <c r="I672" s="3" t="s">
        <v>16</v>
      </c>
      <c r="J672" s="3" t="s">
        <v>14</v>
      </c>
      <c r="K672" s="3" t="s">
        <v>14</v>
      </c>
      <c r="L672" s="3" t="s">
        <v>495</v>
      </c>
      <c r="M672" s="4">
        <v>46311</v>
      </c>
      <c r="N672" s="3" t="s">
        <v>1102</v>
      </c>
      <c r="O672" s="3" t="s">
        <v>21</v>
      </c>
      <c r="P672" t="str">
        <f t="shared" si="10"/>
        <v>450014035430</v>
      </c>
      <c r="Q672" s="7" cm="1">
        <f t="array" ref="Q672:S672">VLOOKUP(P672,Hoja1!C:F,{2,3,4},FALSE)</f>
        <v>46309</v>
      </c>
      <c r="R672" t="str">
        <v>C13</v>
      </c>
      <c r="S672" t="str">
        <v>1000002964 LACIAR LEANDRO ADOLFO</v>
      </c>
      <c r="T672" t="str">
        <f>VLOOKUP(P672,Hoja2!C:D,2,FALSE)</f>
        <v>JJCABRERA</v>
      </c>
    </row>
    <row r="673" spans="1:20" x14ac:dyDescent="0.3">
      <c r="A673" s="2" t="s">
        <v>14</v>
      </c>
      <c r="B673" s="3" t="s">
        <v>14</v>
      </c>
      <c r="C673" s="3" t="s">
        <v>1294</v>
      </c>
      <c r="D673" s="3" t="s">
        <v>14</v>
      </c>
      <c r="E673" s="3" t="s">
        <v>96</v>
      </c>
      <c r="F673" s="4">
        <v>46311</v>
      </c>
      <c r="G673" s="3" t="s">
        <v>43</v>
      </c>
      <c r="H673" s="6">
        <v>-164682.95000000001</v>
      </c>
      <c r="I673" s="3" t="s">
        <v>16</v>
      </c>
      <c r="J673" s="3" t="s">
        <v>14</v>
      </c>
      <c r="K673" s="3" t="s">
        <v>14</v>
      </c>
      <c r="L673" s="3" t="s">
        <v>148</v>
      </c>
      <c r="M673" s="4">
        <v>46311</v>
      </c>
      <c r="N673" s="3" t="s">
        <v>1295</v>
      </c>
      <c r="O673" s="3" t="s">
        <v>33</v>
      </c>
      <c r="P673" t="str">
        <f t="shared" si="10"/>
        <v>450014051210</v>
      </c>
      <c r="Q673" s="7" cm="1">
        <f t="array" ref="Q673:S673">VLOOKUP(P673,Hoja1!C:F,{2,3,4},FALSE)</f>
        <v>46317</v>
      </c>
      <c r="R673" t="str">
        <v>F06</v>
      </c>
      <c r="S673" t="str">
        <v>1000000062 FINNING ARGENTINA S.A.</v>
      </c>
      <c r="T673" t="str">
        <f>VLOOKUP(P673,Hoja2!C:D,2,FALSE)</f>
        <v>RPEREZ</v>
      </c>
    </row>
    <row r="674" spans="1:20" x14ac:dyDescent="0.3">
      <c r="A674" s="2" t="s">
        <v>14</v>
      </c>
      <c r="B674" s="3" t="s">
        <v>14</v>
      </c>
      <c r="C674" s="3" t="s">
        <v>1294</v>
      </c>
      <c r="D674" s="3" t="s">
        <v>14</v>
      </c>
      <c r="E674" s="3" t="s">
        <v>96</v>
      </c>
      <c r="F674" s="4">
        <v>46311</v>
      </c>
      <c r="G674" s="3" t="s">
        <v>43</v>
      </c>
      <c r="H674" s="6">
        <v>-209681.5</v>
      </c>
      <c r="I674" s="3" t="s">
        <v>16</v>
      </c>
      <c r="J674" s="3" t="s">
        <v>14</v>
      </c>
      <c r="K674" s="3" t="s">
        <v>14</v>
      </c>
      <c r="L674" s="3" t="s">
        <v>148</v>
      </c>
      <c r="M674" s="4">
        <v>46311</v>
      </c>
      <c r="N674" s="3" t="s">
        <v>1295</v>
      </c>
      <c r="O674" s="3" t="s">
        <v>20</v>
      </c>
      <c r="P674" t="str">
        <f t="shared" si="10"/>
        <v>450014051220</v>
      </c>
      <c r="Q674" s="7" cm="1">
        <f t="array" ref="Q674:S674">VLOOKUP(P674,Hoja1!C:F,{2,3,4},FALSE)</f>
        <v>46317</v>
      </c>
      <c r="R674" t="str">
        <v>F06</v>
      </c>
      <c r="S674" t="str">
        <v>1000000062 FINNING ARGENTINA S.A.</v>
      </c>
      <c r="T674" t="str">
        <f>VLOOKUP(P674,Hoja2!C:D,2,FALSE)</f>
        <v>RPEREZ</v>
      </c>
    </row>
    <row r="675" spans="1:20" x14ac:dyDescent="0.3">
      <c r="A675" s="2" t="s">
        <v>14</v>
      </c>
      <c r="B675" s="3" t="s">
        <v>14</v>
      </c>
      <c r="C675" s="3" t="s">
        <v>1294</v>
      </c>
      <c r="D675" s="3" t="s">
        <v>14</v>
      </c>
      <c r="E675" s="3" t="s">
        <v>96</v>
      </c>
      <c r="F675" s="4">
        <v>46311</v>
      </c>
      <c r="G675" s="3" t="s">
        <v>43</v>
      </c>
      <c r="H675" s="6">
        <v>-3074715.21</v>
      </c>
      <c r="I675" s="3" t="s">
        <v>16</v>
      </c>
      <c r="J675" s="3" t="s">
        <v>14</v>
      </c>
      <c r="K675" s="3" t="s">
        <v>14</v>
      </c>
      <c r="L675" s="3" t="s">
        <v>148</v>
      </c>
      <c r="M675" s="4">
        <v>46311</v>
      </c>
      <c r="N675" s="3" t="s">
        <v>1295</v>
      </c>
      <c r="O675" s="3" t="s">
        <v>21</v>
      </c>
      <c r="P675" t="str">
        <f t="shared" si="10"/>
        <v>450014051230</v>
      </c>
      <c r="Q675" s="7" cm="1">
        <f t="array" ref="Q675:S675">VLOOKUP(P675,Hoja1!C:F,{2,3,4},FALSE)</f>
        <v>46317</v>
      </c>
      <c r="R675" t="str">
        <v>F06</v>
      </c>
      <c r="S675" t="str">
        <v>1000000062 FINNING ARGENTINA S.A.</v>
      </c>
      <c r="T675" t="str">
        <f>VLOOKUP(P675,Hoja2!C:D,2,FALSE)</f>
        <v>RPEREZ</v>
      </c>
    </row>
    <row r="676" spans="1:20" x14ac:dyDescent="0.3">
      <c r="A676" s="2" t="s">
        <v>14</v>
      </c>
      <c r="B676" s="3" t="s">
        <v>14</v>
      </c>
      <c r="C676" s="3" t="s">
        <v>1294</v>
      </c>
      <c r="D676" s="3" t="s">
        <v>14</v>
      </c>
      <c r="E676" s="3" t="s">
        <v>96</v>
      </c>
      <c r="F676" s="4">
        <v>46311</v>
      </c>
      <c r="G676" s="3" t="s">
        <v>43</v>
      </c>
      <c r="H676" s="6">
        <v>-322396.62</v>
      </c>
      <c r="I676" s="3" t="s">
        <v>16</v>
      </c>
      <c r="J676" s="3" t="s">
        <v>14</v>
      </c>
      <c r="K676" s="3" t="s">
        <v>14</v>
      </c>
      <c r="L676" s="3" t="s">
        <v>148</v>
      </c>
      <c r="M676" s="4">
        <v>46311</v>
      </c>
      <c r="N676" s="3" t="s">
        <v>1295</v>
      </c>
      <c r="O676" s="3" t="s">
        <v>25</v>
      </c>
      <c r="P676" t="str">
        <f t="shared" si="10"/>
        <v>450014051240</v>
      </c>
      <c r="Q676" s="7" cm="1">
        <f t="array" ref="Q676:S676">VLOOKUP(P676,Hoja1!C:F,{2,3,4},FALSE)</f>
        <v>46317</v>
      </c>
      <c r="R676" t="str">
        <v>F06</v>
      </c>
      <c r="S676" t="str">
        <v>1000000062 FINNING ARGENTINA S.A.</v>
      </c>
      <c r="T676" t="str">
        <f>VLOOKUP(P676,Hoja2!C:D,2,FALSE)</f>
        <v>RPEREZ</v>
      </c>
    </row>
    <row r="677" spans="1:20" x14ac:dyDescent="0.3">
      <c r="A677" s="2" t="s">
        <v>14</v>
      </c>
      <c r="B677" s="3" t="s">
        <v>14</v>
      </c>
      <c r="C677" s="3" t="s">
        <v>1294</v>
      </c>
      <c r="D677" s="3" t="s">
        <v>14</v>
      </c>
      <c r="E677" s="3" t="s">
        <v>96</v>
      </c>
      <c r="F677" s="4">
        <v>46311</v>
      </c>
      <c r="G677" s="3" t="s">
        <v>43</v>
      </c>
      <c r="H677" s="6">
        <v>-644793.24</v>
      </c>
      <c r="I677" s="3" t="s">
        <v>16</v>
      </c>
      <c r="J677" s="3" t="s">
        <v>14</v>
      </c>
      <c r="K677" s="3" t="s">
        <v>14</v>
      </c>
      <c r="L677" s="3" t="s">
        <v>148</v>
      </c>
      <c r="M677" s="4">
        <v>46311</v>
      </c>
      <c r="N677" s="3" t="s">
        <v>1295</v>
      </c>
      <c r="O677" s="3" t="s">
        <v>22</v>
      </c>
      <c r="P677" t="str">
        <f t="shared" si="10"/>
        <v>450014051250</v>
      </c>
      <c r="Q677" s="7" cm="1">
        <f t="array" ref="Q677:S677">VLOOKUP(P677,Hoja1!C:F,{2,3,4},FALSE)</f>
        <v>46317</v>
      </c>
      <c r="R677" t="str">
        <v>F06</v>
      </c>
      <c r="S677" t="str">
        <v>1000000062 FINNING ARGENTINA S.A.</v>
      </c>
      <c r="T677" t="str">
        <f>VLOOKUP(P677,Hoja2!C:D,2,FALSE)</f>
        <v>RPEREZ</v>
      </c>
    </row>
    <row r="678" spans="1:20" x14ac:dyDescent="0.3">
      <c r="A678" s="2" t="s">
        <v>14</v>
      </c>
      <c r="B678" s="3" t="s">
        <v>14</v>
      </c>
      <c r="C678" s="3" t="s">
        <v>1294</v>
      </c>
      <c r="D678" s="3" t="s">
        <v>14</v>
      </c>
      <c r="E678" s="3" t="s">
        <v>96</v>
      </c>
      <c r="F678" s="4">
        <v>46311</v>
      </c>
      <c r="G678" s="3" t="s">
        <v>43</v>
      </c>
      <c r="H678" s="6">
        <v>-152177.48000000001</v>
      </c>
      <c r="I678" s="3" t="s">
        <v>16</v>
      </c>
      <c r="J678" s="3" t="s">
        <v>14</v>
      </c>
      <c r="K678" s="3" t="s">
        <v>14</v>
      </c>
      <c r="L678" s="3" t="s">
        <v>148</v>
      </c>
      <c r="M678" s="4">
        <v>46311</v>
      </c>
      <c r="N678" s="3" t="s">
        <v>1295</v>
      </c>
      <c r="O678" s="3" t="s">
        <v>23</v>
      </c>
      <c r="P678" t="str">
        <f t="shared" si="10"/>
        <v>450014051260</v>
      </c>
      <c r="Q678" s="7" cm="1">
        <f t="array" ref="Q678:S678">VLOOKUP(P678,Hoja1!C:F,{2,3,4},FALSE)</f>
        <v>46317</v>
      </c>
      <c r="R678" t="str">
        <v>F06</v>
      </c>
      <c r="S678" t="str">
        <v>1000000062 FINNING ARGENTINA S.A.</v>
      </c>
      <c r="T678" t="str">
        <f>VLOOKUP(P678,Hoja2!C:D,2,FALSE)</f>
        <v>RPEREZ</v>
      </c>
    </row>
    <row r="679" spans="1:20" x14ac:dyDescent="0.3">
      <c r="A679" s="2" t="s">
        <v>14</v>
      </c>
      <c r="B679" s="3" t="s">
        <v>14</v>
      </c>
      <c r="C679" s="3" t="s">
        <v>1294</v>
      </c>
      <c r="D679" s="3" t="s">
        <v>14</v>
      </c>
      <c r="E679" s="3" t="s">
        <v>96</v>
      </c>
      <c r="F679" s="4">
        <v>46311</v>
      </c>
      <c r="G679" s="3" t="s">
        <v>43</v>
      </c>
      <c r="H679" s="6">
        <v>-939192.1</v>
      </c>
      <c r="I679" s="3" t="s">
        <v>16</v>
      </c>
      <c r="J679" s="3" t="s">
        <v>14</v>
      </c>
      <c r="K679" s="3" t="s">
        <v>14</v>
      </c>
      <c r="L679" s="3" t="s">
        <v>148</v>
      </c>
      <c r="M679" s="4">
        <v>46311</v>
      </c>
      <c r="N679" s="3" t="s">
        <v>1295</v>
      </c>
      <c r="O679" s="3" t="s">
        <v>24</v>
      </c>
      <c r="P679" t="str">
        <f t="shared" si="10"/>
        <v>450014051270</v>
      </c>
      <c r="Q679" s="7" cm="1">
        <f t="array" ref="Q679:S679">VLOOKUP(P679,Hoja1!C:F,{2,3,4},FALSE)</f>
        <v>46317</v>
      </c>
      <c r="R679" t="str">
        <v>F06</v>
      </c>
      <c r="S679" t="str">
        <v>1000000062 FINNING ARGENTINA S.A.</v>
      </c>
      <c r="T679" t="str">
        <f>VLOOKUP(P679,Hoja2!C:D,2,FALSE)</f>
        <v>RPEREZ</v>
      </c>
    </row>
    <row r="680" spans="1:20" x14ac:dyDescent="0.3">
      <c r="A680" s="2" t="s">
        <v>14</v>
      </c>
      <c r="B680" s="3" t="s">
        <v>14</v>
      </c>
      <c r="C680" s="3" t="s">
        <v>1294</v>
      </c>
      <c r="D680" s="3" t="s">
        <v>14</v>
      </c>
      <c r="E680" s="3" t="s">
        <v>96</v>
      </c>
      <c r="F680" s="4">
        <v>46311</v>
      </c>
      <c r="G680" s="3" t="s">
        <v>43</v>
      </c>
      <c r="H680" s="6">
        <v>-176569.93</v>
      </c>
      <c r="I680" s="3" t="s">
        <v>16</v>
      </c>
      <c r="J680" s="3" t="s">
        <v>14</v>
      </c>
      <c r="K680" s="3" t="s">
        <v>14</v>
      </c>
      <c r="L680" s="3" t="s">
        <v>148</v>
      </c>
      <c r="M680" s="4">
        <v>46311</v>
      </c>
      <c r="N680" s="3" t="s">
        <v>1295</v>
      </c>
      <c r="O680" s="3" t="s">
        <v>321</v>
      </c>
      <c r="P680" t="str">
        <f t="shared" si="10"/>
        <v>450014051280</v>
      </c>
      <c r="Q680" s="7" cm="1">
        <f t="array" ref="Q680:S680">VLOOKUP(P680,Hoja1!C:F,{2,3,4},FALSE)</f>
        <v>46317</v>
      </c>
      <c r="R680" t="str">
        <v>F06</v>
      </c>
      <c r="S680" t="str">
        <v>1000000062 FINNING ARGENTINA S.A.</v>
      </c>
      <c r="T680" t="str">
        <f>VLOOKUP(P680,Hoja2!C:D,2,FALSE)</f>
        <v>RPEREZ</v>
      </c>
    </row>
    <row r="681" spans="1:20" x14ac:dyDescent="0.3">
      <c r="A681" s="2" t="s">
        <v>14</v>
      </c>
      <c r="B681" s="3" t="s">
        <v>14</v>
      </c>
      <c r="C681" s="3" t="s">
        <v>1296</v>
      </c>
      <c r="D681" s="3" t="s">
        <v>14</v>
      </c>
      <c r="E681" s="3" t="s">
        <v>96</v>
      </c>
      <c r="F681" s="4">
        <v>46311</v>
      </c>
      <c r="G681" s="3" t="s">
        <v>43</v>
      </c>
      <c r="H681" s="6">
        <v>-19851.86</v>
      </c>
      <c r="I681" s="3" t="s">
        <v>16</v>
      </c>
      <c r="J681" s="3" t="s">
        <v>14</v>
      </c>
      <c r="K681" s="3" t="s">
        <v>14</v>
      </c>
      <c r="L681" s="3" t="s">
        <v>18</v>
      </c>
      <c r="M681" s="4">
        <v>46311</v>
      </c>
      <c r="N681" s="3" t="s">
        <v>1297</v>
      </c>
      <c r="O681" s="3" t="s">
        <v>33</v>
      </c>
      <c r="P681" t="str">
        <f t="shared" si="10"/>
        <v>450014099810</v>
      </c>
      <c r="Q681" s="7" cm="1">
        <f t="array" ref="Q681:S681">VLOOKUP(P681,Hoja1!C:F,{2,3,4},FALSE)</f>
        <v>46329</v>
      </c>
      <c r="R681" t="str">
        <v>C03</v>
      </c>
      <c r="S681" t="str">
        <v>1000001470 SUDAMERICANA CAMIONES SA</v>
      </c>
      <c r="T681" t="str">
        <f>VLOOKUP(P681,Hoja2!C:D,2,FALSE)</f>
        <v>FBERARDO</v>
      </c>
    </row>
    <row r="682" spans="1:20" x14ac:dyDescent="0.3">
      <c r="A682" s="2" t="s">
        <v>14</v>
      </c>
      <c r="B682" s="3" t="s">
        <v>14</v>
      </c>
      <c r="C682" s="3" t="s">
        <v>1296</v>
      </c>
      <c r="D682" s="3" t="s">
        <v>14</v>
      </c>
      <c r="E682" s="3" t="s">
        <v>96</v>
      </c>
      <c r="F682" s="4">
        <v>46311</v>
      </c>
      <c r="G682" s="3" t="s">
        <v>43</v>
      </c>
      <c r="H682" s="6">
        <v>-787995.15</v>
      </c>
      <c r="I682" s="3" t="s">
        <v>16</v>
      </c>
      <c r="J682" s="3" t="s">
        <v>14</v>
      </c>
      <c r="K682" s="3" t="s">
        <v>14</v>
      </c>
      <c r="L682" s="3" t="s">
        <v>18</v>
      </c>
      <c r="M682" s="4">
        <v>46311</v>
      </c>
      <c r="N682" s="3" t="s">
        <v>1297</v>
      </c>
      <c r="O682" s="3" t="s">
        <v>20</v>
      </c>
      <c r="P682" t="str">
        <f t="shared" si="10"/>
        <v>450014099820</v>
      </c>
      <c r="Q682" s="7" cm="1">
        <f t="array" ref="Q682:S682">VLOOKUP(P682,Hoja1!C:F,{2,3,4},FALSE)</f>
        <v>46329</v>
      </c>
      <c r="R682" t="str">
        <v>C03</v>
      </c>
      <c r="S682" t="str">
        <v>1000001470 SUDAMERICANA CAMIONES SA</v>
      </c>
      <c r="T682" t="str">
        <f>VLOOKUP(P682,Hoja2!C:D,2,FALSE)</f>
        <v>FBERARDO</v>
      </c>
    </row>
    <row r="683" spans="1:20" x14ac:dyDescent="0.3">
      <c r="A683" s="2" t="s">
        <v>14</v>
      </c>
      <c r="B683" s="3" t="s">
        <v>14</v>
      </c>
      <c r="C683" s="3" t="s">
        <v>1296</v>
      </c>
      <c r="D683" s="3" t="s">
        <v>14</v>
      </c>
      <c r="E683" s="3" t="s">
        <v>96</v>
      </c>
      <c r="F683" s="4">
        <v>46311</v>
      </c>
      <c r="G683" s="3" t="s">
        <v>43</v>
      </c>
      <c r="H683" s="6">
        <v>-13033.44</v>
      </c>
      <c r="I683" s="3" t="s">
        <v>16</v>
      </c>
      <c r="J683" s="3" t="s">
        <v>14</v>
      </c>
      <c r="K683" s="3" t="s">
        <v>14</v>
      </c>
      <c r="L683" s="3" t="s">
        <v>18</v>
      </c>
      <c r="M683" s="4">
        <v>46311</v>
      </c>
      <c r="N683" s="3" t="s">
        <v>1297</v>
      </c>
      <c r="O683" s="3" t="s">
        <v>21</v>
      </c>
      <c r="P683" t="str">
        <f t="shared" si="10"/>
        <v>450014099830</v>
      </c>
      <c r="Q683" s="7" cm="1">
        <f t="array" ref="Q683:S683">VLOOKUP(P683,Hoja1!C:F,{2,3,4},FALSE)</f>
        <v>46329</v>
      </c>
      <c r="R683" t="str">
        <v>C03</v>
      </c>
      <c r="S683" t="str">
        <v>1000001470 SUDAMERICANA CAMIONES SA</v>
      </c>
      <c r="T683" t="str">
        <f>VLOOKUP(P683,Hoja2!C:D,2,FALSE)</f>
        <v>FBERARDO</v>
      </c>
    </row>
    <row r="684" spans="1:20" x14ac:dyDescent="0.3">
      <c r="A684" s="2" t="s">
        <v>14</v>
      </c>
      <c r="B684" s="3" t="s">
        <v>14</v>
      </c>
      <c r="C684" s="3" t="s">
        <v>1296</v>
      </c>
      <c r="D684" s="3" t="s">
        <v>14</v>
      </c>
      <c r="E684" s="3" t="s">
        <v>96</v>
      </c>
      <c r="F684" s="4">
        <v>46311</v>
      </c>
      <c r="G684" s="3" t="s">
        <v>43</v>
      </c>
      <c r="H684" s="6">
        <v>-103603.78</v>
      </c>
      <c r="I684" s="3" t="s">
        <v>16</v>
      </c>
      <c r="J684" s="3" t="s">
        <v>14</v>
      </c>
      <c r="K684" s="3" t="s">
        <v>14</v>
      </c>
      <c r="L684" s="3" t="s">
        <v>18</v>
      </c>
      <c r="M684" s="4">
        <v>46311</v>
      </c>
      <c r="N684" s="3" t="s">
        <v>1297</v>
      </c>
      <c r="O684" s="3" t="s">
        <v>22</v>
      </c>
      <c r="P684" t="str">
        <f t="shared" si="10"/>
        <v>450014099850</v>
      </c>
      <c r="Q684" s="7" cm="1">
        <f t="array" ref="Q684:S684">VLOOKUP(P684,Hoja1!C:F,{2,3,4},FALSE)</f>
        <v>46329</v>
      </c>
      <c r="R684" t="str">
        <v>C03</v>
      </c>
      <c r="S684" t="str">
        <v>1000001470 SUDAMERICANA CAMIONES SA</v>
      </c>
      <c r="T684" t="str">
        <f>VLOOKUP(P684,Hoja2!C:D,2,FALSE)</f>
        <v>FBERARDO</v>
      </c>
    </row>
    <row r="685" spans="1:20" x14ac:dyDescent="0.3">
      <c r="A685" s="2" t="s">
        <v>14</v>
      </c>
      <c r="B685" s="3" t="s">
        <v>14</v>
      </c>
      <c r="C685" s="3" t="s">
        <v>1296</v>
      </c>
      <c r="D685" s="3" t="s">
        <v>14</v>
      </c>
      <c r="E685" s="3" t="s">
        <v>96</v>
      </c>
      <c r="F685" s="4">
        <v>46311</v>
      </c>
      <c r="G685" s="3" t="s">
        <v>43</v>
      </c>
      <c r="H685" s="6">
        <v>-16970.63</v>
      </c>
      <c r="I685" s="3" t="s">
        <v>16</v>
      </c>
      <c r="J685" s="3" t="s">
        <v>14</v>
      </c>
      <c r="K685" s="3" t="s">
        <v>14</v>
      </c>
      <c r="L685" s="3" t="s">
        <v>18</v>
      </c>
      <c r="M685" s="4">
        <v>46311</v>
      </c>
      <c r="N685" s="3" t="s">
        <v>1297</v>
      </c>
      <c r="O685" s="3" t="s">
        <v>23</v>
      </c>
      <c r="P685" t="str">
        <f t="shared" si="10"/>
        <v>450014099860</v>
      </c>
      <c r="Q685" s="7" cm="1">
        <f t="array" ref="Q685:S685">VLOOKUP(P685,Hoja1!C:F,{2,3,4},FALSE)</f>
        <v>46329</v>
      </c>
      <c r="R685" t="str">
        <v>C03</v>
      </c>
      <c r="S685" t="str">
        <v>1000001470 SUDAMERICANA CAMIONES SA</v>
      </c>
      <c r="T685" t="str">
        <f>VLOOKUP(P685,Hoja2!C:D,2,FALSE)</f>
        <v>FBERARDO</v>
      </c>
    </row>
    <row r="686" spans="1:20" x14ac:dyDescent="0.3">
      <c r="A686" s="2" t="s">
        <v>14</v>
      </c>
      <c r="B686" s="3" t="s">
        <v>14</v>
      </c>
      <c r="C686" s="3" t="s">
        <v>1298</v>
      </c>
      <c r="D686" s="3" t="s">
        <v>14</v>
      </c>
      <c r="E686" s="3" t="s">
        <v>96</v>
      </c>
      <c r="F686" s="4">
        <v>46311</v>
      </c>
      <c r="G686" s="3" t="s">
        <v>43</v>
      </c>
      <c r="H686" s="6">
        <v>-993407.59</v>
      </c>
      <c r="I686" s="3" t="s">
        <v>16</v>
      </c>
      <c r="J686" s="3" t="s">
        <v>14</v>
      </c>
      <c r="K686" s="3" t="s">
        <v>14</v>
      </c>
      <c r="L686" s="3" t="s">
        <v>1299</v>
      </c>
      <c r="M686" s="4">
        <v>46311</v>
      </c>
      <c r="N686" s="3" t="s">
        <v>1300</v>
      </c>
      <c r="O686" s="3" t="s">
        <v>33</v>
      </c>
      <c r="P686" t="str">
        <f t="shared" si="10"/>
        <v>450014090510</v>
      </c>
      <c r="Q686" s="7" cm="1">
        <f t="array" ref="Q686:S686">VLOOKUP(P686,Hoja1!C:F,{2,3,4},FALSE)</f>
        <v>46310</v>
      </c>
      <c r="R686" t="str">
        <v>EFO</v>
      </c>
      <c r="S686" t="str">
        <v>1000003595 MANULI FLUICONNECTO S.R.L.</v>
      </c>
      <c r="T686" t="str">
        <f>VLOOKUP(P686,Hoja2!C:D,2,FALSE)</f>
        <v>OBANEGA</v>
      </c>
    </row>
    <row r="687" spans="1:20" x14ac:dyDescent="0.3">
      <c r="A687" s="2" t="s">
        <v>14</v>
      </c>
      <c r="B687" s="3" t="s">
        <v>14</v>
      </c>
      <c r="C687" s="3" t="s">
        <v>1301</v>
      </c>
      <c r="D687" s="3" t="s">
        <v>14</v>
      </c>
      <c r="E687" s="3" t="s">
        <v>96</v>
      </c>
      <c r="F687" s="4">
        <v>46314</v>
      </c>
      <c r="G687" s="3" t="s">
        <v>43</v>
      </c>
      <c r="H687" s="6">
        <v>-915727.27</v>
      </c>
      <c r="I687" s="3" t="s">
        <v>16</v>
      </c>
      <c r="J687" s="3" t="s">
        <v>14</v>
      </c>
      <c r="K687" s="3" t="s">
        <v>14</v>
      </c>
      <c r="L687" s="3" t="s">
        <v>346</v>
      </c>
      <c r="M687" s="4">
        <v>46314</v>
      </c>
      <c r="N687" s="3" t="s">
        <v>1302</v>
      </c>
      <c r="O687" s="3" t="s">
        <v>33</v>
      </c>
      <c r="P687" t="str">
        <f t="shared" si="10"/>
        <v>450014111210</v>
      </c>
      <c r="Q687" s="7" cm="1">
        <f t="array" ref="Q687:S687">VLOOKUP(P687,Hoja1!C:F,{2,3,4},FALSE)</f>
        <v>46318</v>
      </c>
      <c r="R687" t="str">
        <v>C39</v>
      </c>
      <c r="S687" t="str">
        <v>1000009851 CUPER S. R. L.</v>
      </c>
      <c r="T687" t="str">
        <f>VLOOKUP(P687,Hoja2!C:D,2,FALSE)</f>
        <v>EFUNES</v>
      </c>
    </row>
    <row r="688" spans="1:20" x14ac:dyDescent="0.3">
      <c r="A688" s="2" t="s">
        <v>14</v>
      </c>
      <c r="B688" s="3" t="s">
        <v>14</v>
      </c>
      <c r="C688" s="3" t="s">
        <v>1303</v>
      </c>
      <c r="D688" s="3" t="s">
        <v>14</v>
      </c>
      <c r="E688" s="3" t="s">
        <v>96</v>
      </c>
      <c r="F688" s="4">
        <v>46314</v>
      </c>
      <c r="G688" s="3" t="s">
        <v>43</v>
      </c>
      <c r="H688" s="6">
        <v>-15619.32</v>
      </c>
      <c r="I688" s="3" t="s">
        <v>16</v>
      </c>
      <c r="J688" s="3" t="s">
        <v>14</v>
      </c>
      <c r="K688" s="3" t="s">
        <v>14</v>
      </c>
      <c r="L688" s="3" t="s">
        <v>1237</v>
      </c>
      <c r="M688" s="4">
        <v>46314</v>
      </c>
      <c r="N688" s="3" t="s">
        <v>1304</v>
      </c>
      <c r="O688" s="3" t="s">
        <v>33</v>
      </c>
      <c r="P688" t="str">
        <f t="shared" si="10"/>
        <v>450013539510</v>
      </c>
      <c r="Q688" s="7" cm="1">
        <f t="array" ref="Q688:S688">VLOOKUP(P688,Hoja1!C:F,{2,3,4},FALSE)</f>
        <v>46315</v>
      </c>
      <c r="R688" t="str">
        <v>C03</v>
      </c>
      <c r="S688" t="str">
        <v>1000001756 EPIROC ARGENTINA S.A.</v>
      </c>
      <c r="T688" t="str">
        <f>VLOOKUP(P688,Hoja2!C:D,2,FALSE)</f>
        <v>EFUNES</v>
      </c>
    </row>
    <row r="689" spans="1:20" x14ac:dyDescent="0.3">
      <c r="A689" s="2" t="s">
        <v>14</v>
      </c>
      <c r="B689" s="3" t="s">
        <v>14</v>
      </c>
      <c r="C689" s="3" t="s">
        <v>1305</v>
      </c>
      <c r="D689" s="3" t="s">
        <v>14</v>
      </c>
      <c r="E689" s="3" t="s">
        <v>96</v>
      </c>
      <c r="F689" s="4">
        <v>46314</v>
      </c>
      <c r="G689" s="3" t="s">
        <v>43</v>
      </c>
      <c r="H689" s="6">
        <v>-12323488.699999999</v>
      </c>
      <c r="I689" s="3" t="s">
        <v>16</v>
      </c>
      <c r="J689" s="3" t="s">
        <v>14</v>
      </c>
      <c r="K689" s="3" t="s">
        <v>14</v>
      </c>
      <c r="L689" s="3" t="s">
        <v>476</v>
      </c>
      <c r="M689" s="4">
        <v>46314</v>
      </c>
      <c r="N689" s="3" t="s">
        <v>1306</v>
      </c>
      <c r="O689" s="3" t="s">
        <v>33</v>
      </c>
      <c r="P689" t="str">
        <f t="shared" si="10"/>
        <v>450014052410</v>
      </c>
      <c r="Q689" s="7" cm="1">
        <f t="array" ref="Q689:S689">VLOOKUP(P689,Hoja1!C:F,{2,3,4},FALSE)</f>
        <v>46320</v>
      </c>
      <c r="R689" t="str">
        <v>L01</v>
      </c>
      <c r="S689" t="str">
        <v>1000000038 YPF S.A.</v>
      </c>
      <c r="T689" t="str">
        <f>VLOOKUP(P689,Hoja2!C:D,2,FALSE)</f>
        <v>FBERARDO</v>
      </c>
    </row>
    <row r="690" spans="1:20" x14ac:dyDescent="0.3">
      <c r="A690" s="2" t="s">
        <v>14</v>
      </c>
      <c r="B690" s="3" t="s">
        <v>14</v>
      </c>
      <c r="C690" s="3" t="s">
        <v>1305</v>
      </c>
      <c r="D690" s="3" t="s">
        <v>14</v>
      </c>
      <c r="E690" s="3" t="s">
        <v>96</v>
      </c>
      <c r="F690" s="4">
        <v>46314</v>
      </c>
      <c r="G690" s="3" t="s">
        <v>43</v>
      </c>
      <c r="H690" s="6">
        <v>-18860164</v>
      </c>
      <c r="I690" s="3" t="s">
        <v>16</v>
      </c>
      <c r="J690" s="3" t="s">
        <v>14</v>
      </c>
      <c r="K690" s="3" t="s">
        <v>14</v>
      </c>
      <c r="L690" s="3" t="s">
        <v>476</v>
      </c>
      <c r="M690" s="4">
        <v>46314</v>
      </c>
      <c r="N690" s="3" t="s">
        <v>1306</v>
      </c>
      <c r="O690" s="3" t="s">
        <v>20</v>
      </c>
      <c r="P690" t="str">
        <f t="shared" si="10"/>
        <v>450014052420</v>
      </c>
      <c r="Q690" s="7" cm="1">
        <f t="array" ref="Q690:S690">VLOOKUP(P690,Hoja1!C:F,{2,3,4},FALSE)</f>
        <v>46320</v>
      </c>
      <c r="R690" t="str">
        <v>L01</v>
      </c>
      <c r="S690" t="str">
        <v>1000000038 YPF S.A.</v>
      </c>
      <c r="T690" t="str">
        <f>VLOOKUP(P690,Hoja2!C:D,2,FALSE)</f>
        <v>FBERARDO</v>
      </c>
    </row>
    <row r="691" spans="1:20" x14ac:dyDescent="0.3">
      <c r="A691" s="2" t="s">
        <v>14</v>
      </c>
      <c r="B691" s="3" t="s">
        <v>14</v>
      </c>
      <c r="C691" s="3" t="s">
        <v>1307</v>
      </c>
      <c r="D691" s="3" t="s">
        <v>14</v>
      </c>
      <c r="E691" s="3" t="s">
        <v>96</v>
      </c>
      <c r="F691" s="4">
        <v>46314</v>
      </c>
      <c r="G691" s="3" t="s">
        <v>43</v>
      </c>
      <c r="H691" s="6">
        <v>-74380.17</v>
      </c>
      <c r="I691" s="3" t="s">
        <v>16</v>
      </c>
      <c r="J691" s="3" t="s">
        <v>14</v>
      </c>
      <c r="K691" s="3" t="s">
        <v>14</v>
      </c>
      <c r="L691" s="3" t="s">
        <v>1308</v>
      </c>
      <c r="M691" s="4">
        <v>46314</v>
      </c>
      <c r="N691" s="3" t="s">
        <v>1309</v>
      </c>
      <c r="O691" s="3" t="s">
        <v>33</v>
      </c>
      <c r="P691" t="str">
        <f t="shared" si="10"/>
        <v>450014115710</v>
      </c>
      <c r="Q691" s="7" cm="1">
        <f t="array" ref="Q691:S691">VLOOKUP(P691,Hoja1!C:F,{2,3,4},FALSE)</f>
        <v>46317</v>
      </c>
      <c r="R691" t="str">
        <v>C39</v>
      </c>
      <c r="S691" t="str">
        <v>1000008421 PELLETIER JUAN CARLOS</v>
      </c>
      <c r="T691" t="str">
        <f>VLOOKUP(P691,Hoja2!C:D,2,FALSE)</f>
        <v>EFUNES</v>
      </c>
    </row>
    <row r="692" spans="1:20" x14ac:dyDescent="0.3">
      <c r="A692" s="2" t="s">
        <v>14</v>
      </c>
      <c r="B692" s="3" t="s">
        <v>14</v>
      </c>
      <c r="C692" s="3" t="s">
        <v>1310</v>
      </c>
      <c r="D692" s="3" t="s">
        <v>14</v>
      </c>
      <c r="E692" s="3" t="s">
        <v>96</v>
      </c>
      <c r="F692" s="4">
        <v>46314</v>
      </c>
      <c r="G692" s="3" t="s">
        <v>43</v>
      </c>
      <c r="H692" s="6">
        <v>-608654.03</v>
      </c>
      <c r="I692" s="3" t="s">
        <v>16</v>
      </c>
      <c r="J692" s="3" t="s">
        <v>14</v>
      </c>
      <c r="K692" s="3" t="s">
        <v>14</v>
      </c>
      <c r="L692" s="3" t="s">
        <v>1311</v>
      </c>
      <c r="M692" s="4">
        <v>46314</v>
      </c>
      <c r="N692" s="3" t="s">
        <v>1312</v>
      </c>
      <c r="O692" s="3" t="s">
        <v>33</v>
      </c>
      <c r="P692" t="str">
        <f t="shared" si="10"/>
        <v>450014104110</v>
      </c>
      <c r="Q692" s="7" cm="1">
        <f t="array" ref="Q692:S692">VLOOKUP(P692,Hoja1!C:F,{2,3,4},FALSE)</f>
        <v>46325</v>
      </c>
      <c r="R692" t="str">
        <v>F03</v>
      </c>
      <c r="S692" t="str">
        <v>1000001084 ALL SERVICE SRL</v>
      </c>
      <c r="T692" t="str">
        <f>VLOOKUP(P692,Hoja2!C:D,2,FALSE)</f>
        <v>RPEREZ</v>
      </c>
    </row>
    <row r="693" spans="1:20" x14ac:dyDescent="0.3">
      <c r="A693" s="2" t="s">
        <v>14</v>
      </c>
      <c r="B693" s="3" t="s">
        <v>14</v>
      </c>
      <c r="C693" s="3" t="s">
        <v>1313</v>
      </c>
      <c r="D693" s="3" t="s">
        <v>14</v>
      </c>
      <c r="E693" s="3" t="s">
        <v>96</v>
      </c>
      <c r="F693" s="4">
        <v>46314</v>
      </c>
      <c r="G693" s="3" t="s">
        <v>43</v>
      </c>
      <c r="H693" s="6">
        <v>-66412.38</v>
      </c>
      <c r="I693" s="3" t="s">
        <v>16</v>
      </c>
      <c r="J693" s="3" t="s">
        <v>14</v>
      </c>
      <c r="K693" s="3" t="s">
        <v>14</v>
      </c>
      <c r="L693" s="3" t="s">
        <v>1217</v>
      </c>
      <c r="M693" s="4">
        <v>46314</v>
      </c>
      <c r="N693" s="3" t="s">
        <v>1314</v>
      </c>
      <c r="O693" s="3" t="s">
        <v>33</v>
      </c>
      <c r="P693" t="str">
        <f t="shared" si="10"/>
        <v>450014107110</v>
      </c>
      <c r="Q693" s="7" cm="1">
        <f t="array" ref="Q693:S693">VLOOKUP(P693,Hoja1!C:F,{2,3,4},FALSE)</f>
        <v>46325</v>
      </c>
      <c r="R693" t="str">
        <v>L03</v>
      </c>
      <c r="S693" t="str">
        <v>1000000636 GIOVAGNOLI S.R.L.</v>
      </c>
      <c r="T693" t="str">
        <f>VLOOKUP(P693,Hoja2!C:D,2,FALSE)</f>
        <v>FBERARDO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4C7E-31FD-4FA6-A2C1-A1596C38BABE}">
  <dimension ref="A1:J1234"/>
  <sheetViews>
    <sheetView topLeftCell="A1186" workbookViewId="0">
      <selection activeCell="H1208" sqref="H1208"/>
    </sheetView>
  </sheetViews>
  <sheetFormatPr baseColWidth="10" defaultRowHeight="14.4" x14ac:dyDescent="0.3"/>
  <cols>
    <col min="1" max="1" width="11" bestFit="1" customWidth="1"/>
    <col min="2" max="2" width="8" bestFit="1" customWidth="1"/>
    <col min="3" max="3" width="17" customWidth="1"/>
    <col min="4" max="4" width="12" bestFit="1" customWidth="1"/>
  </cols>
  <sheetData>
    <row r="1" spans="1:4" x14ac:dyDescent="0.3">
      <c r="A1" s="1" t="s">
        <v>854</v>
      </c>
      <c r="B1" s="1" t="s">
        <v>855</v>
      </c>
      <c r="C1" s="1"/>
      <c r="D1" s="1" t="s">
        <v>856</v>
      </c>
    </row>
    <row r="2" spans="1:4" x14ac:dyDescent="0.3">
      <c r="A2" s="3" t="s">
        <v>681</v>
      </c>
      <c r="B2" s="3" t="s">
        <v>33</v>
      </c>
      <c r="C2" s="3" t="str">
        <f>_xlfn.CONCAT(A2:B2)</f>
        <v>450008523410</v>
      </c>
      <c r="D2" s="3" t="s">
        <v>857</v>
      </c>
    </row>
    <row r="3" spans="1:4" x14ac:dyDescent="0.3">
      <c r="A3" s="3" t="s">
        <v>681</v>
      </c>
      <c r="B3" s="3" t="s">
        <v>20</v>
      </c>
      <c r="C3" s="3" t="str">
        <f t="shared" ref="C3:C64" si="0">_xlfn.CONCAT(A3:B3)</f>
        <v>450008523420</v>
      </c>
      <c r="D3" s="3" t="s">
        <v>857</v>
      </c>
    </row>
    <row r="4" spans="1:4" x14ac:dyDescent="0.3">
      <c r="A4" s="3" t="s">
        <v>681</v>
      </c>
      <c r="B4" s="3" t="s">
        <v>21</v>
      </c>
      <c r="C4" s="3" t="str">
        <f t="shared" si="0"/>
        <v>450008523430</v>
      </c>
      <c r="D4" s="3" t="s">
        <v>857</v>
      </c>
    </row>
    <row r="5" spans="1:4" x14ac:dyDescent="0.3">
      <c r="A5" s="3" t="s">
        <v>681</v>
      </c>
      <c r="B5" s="3" t="s">
        <v>25</v>
      </c>
      <c r="C5" s="3" t="str">
        <f t="shared" si="0"/>
        <v>450008523440</v>
      </c>
      <c r="D5" s="3" t="s">
        <v>857</v>
      </c>
    </row>
    <row r="6" spans="1:4" x14ac:dyDescent="0.3">
      <c r="A6" s="3" t="s">
        <v>679</v>
      </c>
      <c r="B6" s="3" t="s">
        <v>33</v>
      </c>
      <c r="C6" s="3" t="str">
        <f t="shared" si="0"/>
        <v>450008566510</v>
      </c>
      <c r="D6" s="3" t="s">
        <v>857</v>
      </c>
    </row>
    <row r="7" spans="1:4" x14ac:dyDescent="0.3">
      <c r="A7" s="3" t="s">
        <v>581</v>
      </c>
      <c r="B7" s="3" t="s">
        <v>33</v>
      </c>
      <c r="C7" s="3" t="str">
        <f t="shared" si="0"/>
        <v>450010157010</v>
      </c>
      <c r="D7" s="3" t="s">
        <v>857</v>
      </c>
    </row>
    <row r="8" spans="1:4" x14ac:dyDescent="0.3">
      <c r="A8" s="3" t="s">
        <v>310</v>
      </c>
      <c r="B8" s="3" t="s">
        <v>33</v>
      </c>
      <c r="C8" s="3" t="str">
        <f t="shared" si="0"/>
        <v>450010123710</v>
      </c>
      <c r="D8" s="3" t="s">
        <v>858</v>
      </c>
    </row>
    <row r="9" spans="1:4" x14ac:dyDescent="0.3">
      <c r="A9" s="3" t="s">
        <v>296</v>
      </c>
      <c r="B9" s="3" t="s">
        <v>20</v>
      </c>
      <c r="C9" s="3" t="str">
        <f t="shared" si="0"/>
        <v>450011173220</v>
      </c>
      <c r="D9" s="3" t="s">
        <v>859</v>
      </c>
    </row>
    <row r="10" spans="1:4" x14ac:dyDescent="0.3">
      <c r="A10" s="3" t="s">
        <v>296</v>
      </c>
      <c r="B10" s="3" t="s">
        <v>21</v>
      </c>
      <c r="C10" s="3" t="str">
        <f t="shared" si="0"/>
        <v>450011173230</v>
      </c>
      <c r="D10" s="3" t="s">
        <v>859</v>
      </c>
    </row>
    <row r="11" spans="1:4" x14ac:dyDescent="0.3">
      <c r="A11" s="3" t="s">
        <v>296</v>
      </c>
      <c r="B11" s="3" t="s">
        <v>33</v>
      </c>
      <c r="C11" s="3" t="str">
        <f t="shared" si="0"/>
        <v>450011173210</v>
      </c>
      <c r="D11" s="3" t="s">
        <v>859</v>
      </c>
    </row>
    <row r="12" spans="1:4" x14ac:dyDescent="0.3">
      <c r="A12" s="3" t="s">
        <v>298</v>
      </c>
      <c r="B12" s="3" t="s">
        <v>22</v>
      </c>
      <c r="C12" s="3" t="str">
        <f t="shared" si="0"/>
        <v>450011181950</v>
      </c>
      <c r="D12" s="3" t="s">
        <v>859</v>
      </c>
    </row>
    <row r="13" spans="1:4" x14ac:dyDescent="0.3">
      <c r="A13" s="3" t="s">
        <v>298</v>
      </c>
      <c r="B13" s="3" t="s">
        <v>23</v>
      </c>
      <c r="C13" s="3" t="str">
        <f t="shared" si="0"/>
        <v>450011181960</v>
      </c>
      <c r="D13" s="3" t="s">
        <v>859</v>
      </c>
    </row>
    <row r="14" spans="1:4" x14ac:dyDescent="0.3">
      <c r="A14" s="3" t="s">
        <v>677</v>
      </c>
      <c r="B14" s="3" t="s">
        <v>33</v>
      </c>
      <c r="C14" s="3" t="str">
        <f t="shared" si="0"/>
        <v>450011401710</v>
      </c>
      <c r="D14" s="3" t="s">
        <v>857</v>
      </c>
    </row>
    <row r="15" spans="1:4" x14ac:dyDescent="0.3">
      <c r="A15" s="3" t="s">
        <v>677</v>
      </c>
      <c r="B15" s="3" t="s">
        <v>20</v>
      </c>
      <c r="C15" s="3" t="str">
        <f t="shared" si="0"/>
        <v>450011401720</v>
      </c>
      <c r="D15" s="3" t="s">
        <v>857</v>
      </c>
    </row>
    <row r="16" spans="1:4" x14ac:dyDescent="0.3">
      <c r="A16" s="3" t="s">
        <v>677</v>
      </c>
      <c r="B16" s="3" t="s">
        <v>21</v>
      </c>
      <c r="C16" s="3" t="str">
        <f t="shared" si="0"/>
        <v>450011401730</v>
      </c>
      <c r="D16" s="3" t="s">
        <v>857</v>
      </c>
    </row>
    <row r="17" spans="1:4" x14ac:dyDescent="0.3">
      <c r="A17" s="3" t="s">
        <v>279</v>
      </c>
      <c r="B17" s="3" t="s">
        <v>33</v>
      </c>
      <c r="C17" s="3" t="str">
        <f t="shared" si="0"/>
        <v>450011435610</v>
      </c>
      <c r="D17" s="3" t="s">
        <v>860</v>
      </c>
    </row>
    <row r="18" spans="1:4" x14ac:dyDescent="0.3">
      <c r="A18" s="3" t="s">
        <v>279</v>
      </c>
      <c r="B18" s="3" t="s">
        <v>20</v>
      </c>
      <c r="C18" s="3" t="str">
        <f t="shared" si="0"/>
        <v>450011435620</v>
      </c>
      <c r="D18" s="3" t="s">
        <v>860</v>
      </c>
    </row>
    <row r="19" spans="1:4" x14ac:dyDescent="0.3">
      <c r="A19" s="3" t="s">
        <v>279</v>
      </c>
      <c r="B19" s="3" t="s">
        <v>21</v>
      </c>
      <c r="C19" s="3" t="str">
        <f t="shared" si="0"/>
        <v>450011435630</v>
      </c>
      <c r="D19" s="3" t="s">
        <v>860</v>
      </c>
    </row>
    <row r="20" spans="1:4" x14ac:dyDescent="0.3">
      <c r="A20" s="3" t="s">
        <v>279</v>
      </c>
      <c r="B20" s="3" t="s">
        <v>25</v>
      </c>
      <c r="C20" s="3" t="str">
        <f t="shared" si="0"/>
        <v>450011435640</v>
      </c>
      <c r="D20" s="3" t="s">
        <v>860</v>
      </c>
    </row>
    <row r="21" spans="1:4" x14ac:dyDescent="0.3">
      <c r="A21" s="3" t="s">
        <v>274</v>
      </c>
      <c r="B21" s="3" t="s">
        <v>33</v>
      </c>
      <c r="C21" s="3" t="str">
        <f t="shared" si="0"/>
        <v>450011551610</v>
      </c>
      <c r="D21" s="3" t="s">
        <v>859</v>
      </c>
    </row>
    <row r="22" spans="1:4" x14ac:dyDescent="0.3">
      <c r="A22" s="3" t="s">
        <v>276</v>
      </c>
      <c r="B22" s="3" t="s">
        <v>20</v>
      </c>
      <c r="C22" s="3" t="str">
        <f t="shared" si="0"/>
        <v>450011608220</v>
      </c>
      <c r="D22" s="3" t="s">
        <v>859</v>
      </c>
    </row>
    <row r="23" spans="1:4" x14ac:dyDescent="0.3">
      <c r="A23" s="3" t="s">
        <v>276</v>
      </c>
      <c r="B23" s="3" t="s">
        <v>21</v>
      </c>
      <c r="C23" s="3" t="str">
        <f t="shared" si="0"/>
        <v>450011608230</v>
      </c>
      <c r="D23" s="3" t="s">
        <v>859</v>
      </c>
    </row>
    <row r="24" spans="1:4" x14ac:dyDescent="0.3">
      <c r="A24" s="3" t="s">
        <v>368</v>
      </c>
      <c r="B24" s="3" t="s">
        <v>20</v>
      </c>
      <c r="C24" s="3" t="str">
        <f t="shared" si="0"/>
        <v>450011638920</v>
      </c>
      <c r="D24" s="3" t="s">
        <v>861</v>
      </c>
    </row>
    <row r="25" spans="1:4" x14ac:dyDescent="0.3">
      <c r="A25" s="3" t="s">
        <v>368</v>
      </c>
      <c r="B25" s="3" t="s">
        <v>21</v>
      </c>
      <c r="C25" s="3" t="str">
        <f t="shared" si="0"/>
        <v>450011638930</v>
      </c>
      <c r="D25" s="3" t="s">
        <v>861</v>
      </c>
    </row>
    <row r="26" spans="1:4" x14ac:dyDescent="0.3">
      <c r="A26" s="3" t="s">
        <v>368</v>
      </c>
      <c r="B26" s="3" t="s">
        <v>25</v>
      </c>
      <c r="C26" s="3" t="str">
        <f t="shared" si="0"/>
        <v>450011638940</v>
      </c>
      <c r="D26" s="3" t="s">
        <v>861</v>
      </c>
    </row>
    <row r="27" spans="1:4" x14ac:dyDescent="0.3">
      <c r="A27" s="3" t="s">
        <v>368</v>
      </c>
      <c r="B27" s="3" t="s">
        <v>22</v>
      </c>
      <c r="C27" s="3" t="str">
        <f t="shared" si="0"/>
        <v>450011638950</v>
      </c>
      <c r="D27" s="3" t="s">
        <v>861</v>
      </c>
    </row>
    <row r="28" spans="1:4" x14ac:dyDescent="0.3">
      <c r="A28" s="3" t="s">
        <v>368</v>
      </c>
      <c r="B28" s="3" t="s">
        <v>23</v>
      </c>
      <c r="C28" s="3" t="str">
        <f t="shared" si="0"/>
        <v>450011638960</v>
      </c>
      <c r="D28" s="3" t="s">
        <v>861</v>
      </c>
    </row>
    <row r="29" spans="1:4" x14ac:dyDescent="0.3">
      <c r="A29" s="3" t="s">
        <v>368</v>
      </c>
      <c r="B29" s="3" t="s">
        <v>24</v>
      </c>
      <c r="C29" s="3" t="str">
        <f t="shared" si="0"/>
        <v>450011638970</v>
      </c>
      <c r="D29" s="3" t="s">
        <v>861</v>
      </c>
    </row>
    <row r="30" spans="1:4" x14ac:dyDescent="0.3">
      <c r="A30" s="3" t="s">
        <v>368</v>
      </c>
      <c r="B30" s="3" t="s">
        <v>321</v>
      </c>
      <c r="C30" s="3" t="str">
        <f t="shared" si="0"/>
        <v>450011638980</v>
      </c>
      <c r="D30" s="3" t="s">
        <v>861</v>
      </c>
    </row>
    <row r="31" spans="1:4" x14ac:dyDescent="0.3">
      <c r="A31" s="3" t="s">
        <v>368</v>
      </c>
      <c r="B31" s="3" t="s">
        <v>322</v>
      </c>
      <c r="C31" s="3" t="str">
        <f t="shared" si="0"/>
        <v>450011638990</v>
      </c>
      <c r="D31" s="3" t="s">
        <v>861</v>
      </c>
    </row>
    <row r="32" spans="1:4" x14ac:dyDescent="0.3">
      <c r="A32" s="3" t="s">
        <v>368</v>
      </c>
      <c r="B32" s="3" t="s">
        <v>323</v>
      </c>
      <c r="C32" s="3" t="str">
        <f t="shared" si="0"/>
        <v>4500116389100</v>
      </c>
      <c r="D32" s="3" t="s">
        <v>861</v>
      </c>
    </row>
    <row r="33" spans="1:4" x14ac:dyDescent="0.3">
      <c r="A33" s="3" t="s">
        <v>368</v>
      </c>
      <c r="B33" s="3" t="s">
        <v>175</v>
      </c>
      <c r="C33" s="3" t="str">
        <f t="shared" si="0"/>
        <v>4500116389110</v>
      </c>
      <c r="D33" s="3" t="s">
        <v>861</v>
      </c>
    </row>
    <row r="34" spans="1:4" x14ac:dyDescent="0.3">
      <c r="A34" s="3" t="s">
        <v>368</v>
      </c>
      <c r="B34" s="3" t="s">
        <v>375</v>
      </c>
      <c r="C34" s="3" t="str">
        <f t="shared" si="0"/>
        <v>4500116389120</v>
      </c>
      <c r="D34" s="3" t="s">
        <v>861</v>
      </c>
    </row>
    <row r="35" spans="1:4" x14ac:dyDescent="0.3">
      <c r="A35" s="3" t="s">
        <v>368</v>
      </c>
      <c r="B35" s="3" t="s">
        <v>203</v>
      </c>
      <c r="C35" s="3" t="str">
        <f t="shared" si="0"/>
        <v>4500116389130</v>
      </c>
      <c r="D35" s="3" t="s">
        <v>861</v>
      </c>
    </row>
    <row r="36" spans="1:4" x14ac:dyDescent="0.3">
      <c r="A36" s="3" t="s">
        <v>368</v>
      </c>
      <c r="B36" s="3" t="s">
        <v>376</v>
      </c>
      <c r="C36" s="3" t="str">
        <f t="shared" si="0"/>
        <v>4500116389140</v>
      </c>
      <c r="D36" s="3" t="s">
        <v>861</v>
      </c>
    </row>
    <row r="37" spans="1:4" x14ac:dyDescent="0.3">
      <c r="A37" s="3" t="s">
        <v>368</v>
      </c>
      <c r="B37" s="3" t="s">
        <v>377</v>
      </c>
      <c r="C37" s="3" t="str">
        <f t="shared" si="0"/>
        <v>4500116389150</v>
      </c>
      <c r="D37" s="3" t="s">
        <v>861</v>
      </c>
    </row>
    <row r="38" spans="1:4" x14ac:dyDescent="0.3">
      <c r="A38" s="3" t="s">
        <v>368</v>
      </c>
      <c r="B38" s="3" t="s">
        <v>378</v>
      </c>
      <c r="C38" s="3" t="str">
        <f t="shared" si="0"/>
        <v>4500116389160</v>
      </c>
      <c r="D38" s="3" t="s">
        <v>861</v>
      </c>
    </row>
    <row r="39" spans="1:4" x14ac:dyDescent="0.3">
      <c r="A39" s="3" t="s">
        <v>368</v>
      </c>
      <c r="B39" s="3" t="s">
        <v>324</v>
      </c>
      <c r="C39" s="3" t="str">
        <f t="shared" si="0"/>
        <v>4500116389170</v>
      </c>
      <c r="D39" s="3" t="s">
        <v>861</v>
      </c>
    </row>
    <row r="40" spans="1:4" x14ac:dyDescent="0.3">
      <c r="A40" s="3" t="s">
        <v>368</v>
      </c>
      <c r="B40" s="3" t="s">
        <v>325</v>
      </c>
      <c r="C40" s="3" t="str">
        <f t="shared" si="0"/>
        <v>4500116389180</v>
      </c>
      <c r="D40" s="3" t="s">
        <v>861</v>
      </c>
    </row>
    <row r="41" spans="1:4" x14ac:dyDescent="0.3">
      <c r="A41" s="3" t="s">
        <v>368</v>
      </c>
      <c r="B41" s="3" t="s">
        <v>379</v>
      </c>
      <c r="C41" s="3" t="str">
        <f t="shared" si="0"/>
        <v>4500116389190</v>
      </c>
      <c r="D41" s="3" t="s">
        <v>861</v>
      </c>
    </row>
    <row r="42" spans="1:4" x14ac:dyDescent="0.3">
      <c r="A42" s="3" t="s">
        <v>368</v>
      </c>
      <c r="B42" s="3" t="s">
        <v>380</v>
      </c>
      <c r="C42" s="3" t="str">
        <f t="shared" si="0"/>
        <v>4500116389200</v>
      </c>
      <c r="D42" s="3" t="s">
        <v>861</v>
      </c>
    </row>
    <row r="43" spans="1:4" x14ac:dyDescent="0.3">
      <c r="A43" s="3" t="s">
        <v>368</v>
      </c>
      <c r="B43" s="3" t="s">
        <v>326</v>
      </c>
      <c r="C43" s="3" t="str">
        <f t="shared" si="0"/>
        <v>4500116389210</v>
      </c>
      <c r="D43" s="3" t="s">
        <v>861</v>
      </c>
    </row>
    <row r="44" spans="1:4" x14ac:dyDescent="0.3">
      <c r="A44" s="3" t="s">
        <v>368</v>
      </c>
      <c r="B44" s="3" t="s">
        <v>413</v>
      </c>
      <c r="C44" s="3" t="str">
        <f t="shared" si="0"/>
        <v>4500116389220</v>
      </c>
      <c r="D44" s="3" t="s">
        <v>861</v>
      </c>
    </row>
    <row r="45" spans="1:4" x14ac:dyDescent="0.3">
      <c r="A45" s="3" t="s">
        <v>368</v>
      </c>
      <c r="B45" s="3" t="s">
        <v>327</v>
      </c>
      <c r="C45" s="3" t="str">
        <f t="shared" si="0"/>
        <v>4500116389230</v>
      </c>
      <c r="D45" s="3" t="s">
        <v>861</v>
      </c>
    </row>
    <row r="46" spans="1:4" x14ac:dyDescent="0.3">
      <c r="A46" s="3" t="s">
        <v>29</v>
      </c>
      <c r="B46" s="3" t="s">
        <v>33</v>
      </c>
      <c r="C46" s="3" t="str">
        <f t="shared" si="0"/>
        <v>450011645110</v>
      </c>
      <c r="D46" s="3" t="s">
        <v>859</v>
      </c>
    </row>
    <row r="47" spans="1:4" x14ac:dyDescent="0.3">
      <c r="A47" s="3" t="s">
        <v>29</v>
      </c>
      <c r="B47" s="3" t="s">
        <v>20</v>
      </c>
      <c r="C47" s="3" t="str">
        <f t="shared" si="0"/>
        <v>450011645120</v>
      </c>
      <c r="D47" s="3" t="s">
        <v>859</v>
      </c>
    </row>
    <row r="48" spans="1:4" x14ac:dyDescent="0.3">
      <c r="A48" s="3" t="s">
        <v>597</v>
      </c>
      <c r="B48" s="3" t="s">
        <v>33</v>
      </c>
      <c r="C48" s="3" t="str">
        <f t="shared" si="0"/>
        <v>450011733410</v>
      </c>
      <c r="D48" s="3" t="s">
        <v>862</v>
      </c>
    </row>
    <row r="49" spans="1:4" x14ac:dyDescent="0.3">
      <c r="A49" s="3" t="s">
        <v>149</v>
      </c>
      <c r="B49" s="3" t="s">
        <v>33</v>
      </c>
      <c r="C49" s="3" t="str">
        <f t="shared" si="0"/>
        <v>450011780310</v>
      </c>
      <c r="D49" s="3" t="s">
        <v>863</v>
      </c>
    </row>
    <row r="50" spans="1:4" x14ac:dyDescent="0.3">
      <c r="A50" s="3" t="s">
        <v>149</v>
      </c>
      <c r="B50" s="3" t="s">
        <v>20</v>
      </c>
      <c r="C50" s="3" t="str">
        <f t="shared" si="0"/>
        <v>450011780320</v>
      </c>
      <c r="D50" s="3" t="s">
        <v>863</v>
      </c>
    </row>
    <row r="51" spans="1:4" x14ac:dyDescent="0.3">
      <c r="A51" s="3" t="s">
        <v>830</v>
      </c>
      <c r="B51" s="3" t="s">
        <v>33</v>
      </c>
      <c r="C51" s="3" t="str">
        <f t="shared" si="0"/>
        <v>450011764210</v>
      </c>
      <c r="D51" s="3" t="s">
        <v>857</v>
      </c>
    </row>
    <row r="52" spans="1:4" x14ac:dyDescent="0.3">
      <c r="A52" s="3" t="s">
        <v>32</v>
      </c>
      <c r="B52" s="3" t="s">
        <v>33</v>
      </c>
      <c r="C52" s="3" t="str">
        <f t="shared" si="0"/>
        <v>450011789910</v>
      </c>
      <c r="D52" s="3" t="s">
        <v>859</v>
      </c>
    </row>
    <row r="53" spans="1:4" x14ac:dyDescent="0.3">
      <c r="A53" s="3" t="s">
        <v>141</v>
      </c>
      <c r="B53" s="3" t="s">
        <v>20</v>
      </c>
      <c r="C53" s="3" t="str">
        <f t="shared" si="0"/>
        <v>450011860420</v>
      </c>
      <c r="D53" s="3" t="s">
        <v>864</v>
      </c>
    </row>
    <row r="54" spans="1:4" x14ac:dyDescent="0.3">
      <c r="A54" s="3" t="s">
        <v>114</v>
      </c>
      <c r="B54" s="3" t="s">
        <v>33</v>
      </c>
      <c r="C54" s="3" t="str">
        <f t="shared" si="0"/>
        <v>450011902910</v>
      </c>
      <c r="D54" s="3" t="s">
        <v>865</v>
      </c>
    </row>
    <row r="55" spans="1:4" x14ac:dyDescent="0.3">
      <c r="A55" s="3" t="s">
        <v>38</v>
      </c>
      <c r="B55" s="3" t="s">
        <v>33</v>
      </c>
      <c r="C55" s="3" t="str">
        <f t="shared" si="0"/>
        <v>450011873510</v>
      </c>
      <c r="D55" s="3" t="s">
        <v>857</v>
      </c>
    </row>
    <row r="56" spans="1:4" x14ac:dyDescent="0.3">
      <c r="A56" s="3" t="s">
        <v>38</v>
      </c>
      <c r="B56" s="3" t="s">
        <v>21</v>
      </c>
      <c r="C56" s="3" t="str">
        <f t="shared" si="0"/>
        <v>450011873530</v>
      </c>
      <c r="D56" s="3" t="s">
        <v>857</v>
      </c>
    </row>
    <row r="57" spans="1:4" x14ac:dyDescent="0.3">
      <c r="A57" s="3" t="s">
        <v>38</v>
      </c>
      <c r="B57" s="3" t="s">
        <v>25</v>
      </c>
      <c r="C57" s="3" t="str">
        <f t="shared" si="0"/>
        <v>450011873540</v>
      </c>
      <c r="D57" s="3" t="s">
        <v>857</v>
      </c>
    </row>
    <row r="58" spans="1:4" x14ac:dyDescent="0.3">
      <c r="A58" s="3" t="s">
        <v>38</v>
      </c>
      <c r="B58" s="3" t="s">
        <v>22</v>
      </c>
      <c r="C58" s="3" t="str">
        <f t="shared" si="0"/>
        <v>450011873550</v>
      </c>
      <c r="D58" s="3" t="s">
        <v>857</v>
      </c>
    </row>
    <row r="59" spans="1:4" x14ac:dyDescent="0.3">
      <c r="A59" s="3" t="s">
        <v>38</v>
      </c>
      <c r="B59" s="3" t="s">
        <v>23</v>
      </c>
      <c r="C59" s="3" t="str">
        <f t="shared" si="0"/>
        <v>450011873560</v>
      </c>
      <c r="D59" s="3" t="s">
        <v>857</v>
      </c>
    </row>
    <row r="60" spans="1:4" x14ac:dyDescent="0.3">
      <c r="A60" s="3" t="s">
        <v>826</v>
      </c>
      <c r="B60" s="3" t="s">
        <v>33</v>
      </c>
      <c r="C60" s="3" t="str">
        <f t="shared" si="0"/>
        <v>450011982210</v>
      </c>
      <c r="D60" s="3" t="s">
        <v>857</v>
      </c>
    </row>
    <row r="61" spans="1:4" x14ac:dyDescent="0.3">
      <c r="A61" s="3" t="s">
        <v>826</v>
      </c>
      <c r="B61" s="3" t="s">
        <v>20</v>
      </c>
      <c r="C61" s="3" t="str">
        <f t="shared" si="0"/>
        <v>450011982220</v>
      </c>
      <c r="D61" s="3" t="s">
        <v>857</v>
      </c>
    </row>
    <row r="62" spans="1:4" x14ac:dyDescent="0.3">
      <c r="A62" s="3" t="s">
        <v>139</v>
      </c>
      <c r="B62" s="3" t="s">
        <v>33</v>
      </c>
      <c r="C62" s="3" t="str">
        <f t="shared" si="0"/>
        <v>450012003810</v>
      </c>
      <c r="D62" s="3" t="s">
        <v>866</v>
      </c>
    </row>
    <row r="63" spans="1:4" x14ac:dyDescent="0.3">
      <c r="A63" s="3" t="s">
        <v>57</v>
      </c>
      <c r="B63" s="3" t="s">
        <v>33</v>
      </c>
      <c r="C63" s="3" t="str">
        <f t="shared" si="0"/>
        <v>450012122710</v>
      </c>
      <c r="D63" s="3" t="s">
        <v>857</v>
      </c>
    </row>
    <row r="64" spans="1:4" x14ac:dyDescent="0.3">
      <c r="A64" s="3" t="s">
        <v>40</v>
      </c>
      <c r="B64" s="3" t="s">
        <v>33</v>
      </c>
      <c r="C64" s="3" t="str">
        <f t="shared" si="0"/>
        <v>450012002910</v>
      </c>
      <c r="D64" s="3" t="s">
        <v>857</v>
      </c>
    </row>
    <row r="65" spans="1:4" x14ac:dyDescent="0.3">
      <c r="A65" s="3" t="s">
        <v>40</v>
      </c>
      <c r="B65" s="3" t="s">
        <v>20</v>
      </c>
      <c r="C65" s="3" t="str">
        <f t="shared" ref="C65:C128" si="1">_xlfn.CONCAT(A65:B65)</f>
        <v>450012002920</v>
      </c>
      <c r="D65" s="3" t="s">
        <v>857</v>
      </c>
    </row>
    <row r="66" spans="1:4" x14ac:dyDescent="0.3">
      <c r="A66" s="3" t="s">
        <v>40</v>
      </c>
      <c r="B66" s="3" t="s">
        <v>21</v>
      </c>
      <c r="C66" s="3" t="str">
        <f t="shared" si="1"/>
        <v>450012002930</v>
      </c>
      <c r="D66" s="3" t="s">
        <v>857</v>
      </c>
    </row>
    <row r="67" spans="1:4" x14ac:dyDescent="0.3">
      <c r="A67" s="3" t="s">
        <v>40</v>
      </c>
      <c r="B67" s="3" t="s">
        <v>25</v>
      </c>
      <c r="C67" s="3" t="str">
        <f t="shared" si="1"/>
        <v>450012002940</v>
      </c>
      <c r="D67" s="3" t="s">
        <v>857</v>
      </c>
    </row>
    <row r="68" spans="1:4" x14ac:dyDescent="0.3">
      <c r="A68" s="3" t="s">
        <v>40</v>
      </c>
      <c r="B68" s="3" t="s">
        <v>22</v>
      </c>
      <c r="C68" s="3" t="str">
        <f t="shared" si="1"/>
        <v>450012002950</v>
      </c>
      <c r="D68" s="3" t="s">
        <v>857</v>
      </c>
    </row>
    <row r="69" spans="1:4" x14ac:dyDescent="0.3">
      <c r="A69" s="3" t="s">
        <v>40</v>
      </c>
      <c r="B69" s="3" t="s">
        <v>23</v>
      </c>
      <c r="C69" s="3" t="str">
        <f t="shared" si="1"/>
        <v>450012002960</v>
      </c>
      <c r="D69" s="3" t="s">
        <v>857</v>
      </c>
    </row>
    <row r="70" spans="1:4" x14ac:dyDescent="0.3">
      <c r="A70" s="3" t="s">
        <v>269</v>
      </c>
      <c r="B70" s="3" t="s">
        <v>33</v>
      </c>
      <c r="C70" s="3" t="str">
        <f t="shared" si="1"/>
        <v>450012126010</v>
      </c>
      <c r="D70" s="3" t="s">
        <v>859</v>
      </c>
    </row>
    <row r="71" spans="1:4" x14ac:dyDescent="0.3">
      <c r="A71" s="3" t="s">
        <v>266</v>
      </c>
      <c r="B71" s="3" t="s">
        <v>20</v>
      </c>
      <c r="C71" s="3" t="str">
        <f t="shared" si="1"/>
        <v>450012149820</v>
      </c>
      <c r="D71" s="3" t="s">
        <v>859</v>
      </c>
    </row>
    <row r="72" spans="1:4" x14ac:dyDescent="0.3">
      <c r="A72" s="3" t="s">
        <v>82</v>
      </c>
      <c r="B72" s="3" t="s">
        <v>33</v>
      </c>
      <c r="C72" s="3" t="str">
        <f t="shared" si="1"/>
        <v>450012176010</v>
      </c>
      <c r="D72" s="3" t="s">
        <v>861</v>
      </c>
    </row>
    <row r="73" spans="1:4" x14ac:dyDescent="0.3">
      <c r="A73" s="3" t="s">
        <v>82</v>
      </c>
      <c r="B73" s="3" t="s">
        <v>20</v>
      </c>
      <c r="C73" s="3" t="str">
        <f t="shared" si="1"/>
        <v>450012176020</v>
      </c>
      <c r="D73" s="3" t="s">
        <v>861</v>
      </c>
    </row>
    <row r="74" spans="1:4" x14ac:dyDescent="0.3">
      <c r="A74" s="3" t="s">
        <v>82</v>
      </c>
      <c r="B74" s="3" t="s">
        <v>24</v>
      </c>
      <c r="C74" s="3" t="str">
        <f t="shared" si="1"/>
        <v>450012176070</v>
      </c>
      <c r="D74" s="3" t="s">
        <v>861</v>
      </c>
    </row>
    <row r="75" spans="1:4" x14ac:dyDescent="0.3">
      <c r="A75" s="3" t="s">
        <v>82</v>
      </c>
      <c r="B75" s="3" t="s">
        <v>321</v>
      </c>
      <c r="C75" s="3" t="str">
        <f t="shared" si="1"/>
        <v>450012176080</v>
      </c>
      <c r="D75" s="3" t="s">
        <v>861</v>
      </c>
    </row>
    <row r="76" spans="1:4" x14ac:dyDescent="0.3">
      <c r="A76" s="3" t="s">
        <v>82</v>
      </c>
      <c r="B76" s="3" t="s">
        <v>22</v>
      </c>
      <c r="C76" s="3" t="str">
        <f t="shared" si="1"/>
        <v>450012176050</v>
      </c>
      <c r="D76" s="3" t="s">
        <v>861</v>
      </c>
    </row>
    <row r="77" spans="1:4" x14ac:dyDescent="0.3">
      <c r="A77" s="3" t="s">
        <v>82</v>
      </c>
      <c r="B77" s="3" t="s">
        <v>23</v>
      </c>
      <c r="C77" s="3" t="str">
        <f t="shared" si="1"/>
        <v>450012176060</v>
      </c>
      <c r="D77" s="3" t="s">
        <v>861</v>
      </c>
    </row>
    <row r="78" spans="1:4" x14ac:dyDescent="0.3">
      <c r="A78" s="3" t="s">
        <v>82</v>
      </c>
      <c r="B78" s="3" t="s">
        <v>25</v>
      </c>
      <c r="C78" s="3" t="str">
        <f t="shared" si="1"/>
        <v>450012176040</v>
      </c>
      <c r="D78" s="3" t="s">
        <v>861</v>
      </c>
    </row>
    <row r="79" spans="1:4" x14ac:dyDescent="0.3">
      <c r="A79" s="3" t="s">
        <v>82</v>
      </c>
      <c r="B79" s="3" t="s">
        <v>21</v>
      </c>
      <c r="C79" s="3" t="str">
        <f t="shared" si="1"/>
        <v>450012176030</v>
      </c>
      <c r="D79" s="3" t="s">
        <v>861</v>
      </c>
    </row>
    <row r="80" spans="1:4" x14ac:dyDescent="0.3">
      <c r="A80" s="3" t="s">
        <v>160</v>
      </c>
      <c r="B80" s="3" t="s">
        <v>23</v>
      </c>
      <c r="C80" s="3" t="str">
        <f t="shared" si="1"/>
        <v>450012199160</v>
      </c>
      <c r="D80" s="3" t="s">
        <v>860</v>
      </c>
    </row>
    <row r="81" spans="1:4" x14ac:dyDescent="0.3">
      <c r="A81" s="3" t="s">
        <v>160</v>
      </c>
      <c r="B81" s="3" t="s">
        <v>33</v>
      </c>
      <c r="C81" s="3" t="str">
        <f t="shared" si="1"/>
        <v>450012199110</v>
      </c>
      <c r="D81" s="3" t="s">
        <v>860</v>
      </c>
    </row>
    <row r="82" spans="1:4" x14ac:dyDescent="0.3">
      <c r="A82" s="3" t="s">
        <v>160</v>
      </c>
      <c r="B82" s="3" t="s">
        <v>20</v>
      </c>
      <c r="C82" s="3" t="str">
        <f t="shared" si="1"/>
        <v>450012199120</v>
      </c>
      <c r="D82" s="3" t="s">
        <v>860</v>
      </c>
    </row>
    <row r="83" spans="1:4" x14ac:dyDescent="0.3">
      <c r="A83" s="3" t="s">
        <v>160</v>
      </c>
      <c r="B83" s="3" t="s">
        <v>21</v>
      </c>
      <c r="C83" s="3" t="str">
        <f t="shared" si="1"/>
        <v>450012199130</v>
      </c>
      <c r="D83" s="3" t="s">
        <v>860</v>
      </c>
    </row>
    <row r="84" spans="1:4" x14ac:dyDescent="0.3">
      <c r="A84" s="3" t="s">
        <v>160</v>
      </c>
      <c r="B84" s="3" t="s">
        <v>25</v>
      </c>
      <c r="C84" s="3" t="str">
        <f t="shared" si="1"/>
        <v>450012199140</v>
      </c>
      <c r="D84" s="3" t="s">
        <v>860</v>
      </c>
    </row>
    <row r="85" spans="1:4" x14ac:dyDescent="0.3">
      <c r="A85" s="3" t="s">
        <v>160</v>
      </c>
      <c r="B85" s="3" t="s">
        <v>22</v>
      </c>
      <c r="C85" s="3" t="str">
        <f t="shared" si="1"/>
        <v>450012199150</v>
      </c>
      <c r="D85" s="3" t="s">
        <v>860</v>
      </c>
    </row>
    <row r="86" spans="1:4" x14ac:dyDescent="0.3">
      <c r="A86" s="3" t="s">
        <v>272</v>
      </c>
      <c r="B86" s="3" t="s">
        <v>33</v>
      </c>
      <c r="C86" s="3" t="str">
        <f t="shared" si="1"/>
        <v>450012336910</v>
      </c>
      <c r="D86" s="3" t="s">
        <v>859</v>
      </c>
    </row>
    <row r="87" spans="1:4" x14ac:dyDescent="0.3">
      <c r="A87" s="3" t="s">
        <v>585</v>
      </c>
      <c r="B87" s="3" t="s">
        <v>33</v>
      </c>
      <c r="C87" s="3" t="str">
        <f t="shared" si="1"/>
        <v>450012426610</v>
      </c>
      <c r="D87" s="3" t="s">
        <v>857</v>
      </c>
    </row>
    <row r="88" spans="1:4" x14ac:dyDescent="0.3">
      <c r="A88" s="3" t="s">
        <v>585</v>
      </c>
      <c r="B88" s="3" t="s">
        <v>20</v>
      </c>
      <c r="C88" s="3" t="str">
        <f t="shared" si="1"/>
        <v>450012426620</v>
      </c>
      <c r="D88" s="3" t="s">
        <v>857</v>
      </c>
    </row>
    <row r="89" spans="1:4" x14ac:dyDescent="0.3">
      <c r="A89" s="3" t="s">
        <v>239</v>
      </c>
      <c r="B89" s="3" t="s">
        <v>33</v>
      </c>
      <c r="C89" s="3" t="str">
        <f t="shared" si="1"/>
        <v>450012417910</v>
      </c>
      <c r="D89" s="3" t="s">
        <v>863</v>
      </c>
    </row>
    <row r="90" spans="1:4" x14ac:dyDescent="0.3">
      <c r="A90" s="3" t="s">
        <v>239</v>
      </c>
      <c r="B90" s="3" t="s">
        <v>20</v>
      </c>
      <c r="C90" s="3" t="str">
        <f t="shared" si="1"/>
        <v>450012417920</v>
      </c>
      <c r="D90" s="3" t="s">
        <v>863</v>
      </c>
    </row>
    <row r="91" spans="1:4" x14ac:dyDescent="0.3">
      <c r="A91" s="3" t="s">
        <v>239</v>
      </c>
      <c r="B91" s="3" t="s">
        <v>21</v>
      </c>
      <c r="C91" s="3" t="str">
        <f t="shared" si="1"/>
        <v>450012417930</v>
      </c>
      <c r="D91" s="3" t="s">
        <v>863</v>
      </c>
    </row>
    <row r="92" spans="1:4" x14ac:dyDescent="0.3">
      <c r="A92" s="3" t="s">
        <v>239</v>
      </c>
      <c r="B92" s="3" t="s">
        <v>25</v>
      </c>
      <c r="C92" s="3" t="str">
        <f t="shared" si="1"/>
        <v>450012417940</v>
      </c>
      <c r="D92" s="3" t="s">
        <v>863</v>
      </c>
    </row>
    <row r="93" spans="1:4" x14ac:dyDescent="0.3">
      <c r="A93" s="3" t="s">
        <v>239</v>
      </c>
      <c r="B93" s="3" t="s">
        <v>22</v>
      </c>
      <c r="C93" s="3" t="str">
        <f t="shared" si="1"/>
        <v>450012417950</v>
      </c>
      <c r="D93" s="3" t="s">
        <v>863</v>
      </c>
    </row>
    <row r="94" spans="1:4" x14ac:dyDescent="0.3">
      <c r="A94" s="3" t="s">
        <v>239</v>
      </c>
      <c r="B94" s="3" t="s">
        <v>23</v>
      </c>
      <c r="C94" s="3" t="str">
        <f t="shared" si="1"/>
        <v>450012417960</v>
      </c>
      <c r="D94" s="3" t="s">
        <v>863</v>
      </c>
    </row>
    <row r="95" spans="1:4" x14ac:dyDescent="0.3">
      <c r="A95" s="3" t="s">
        <v>239</v>
      </c>
      <c r="B95" s="3" t="s">
        <v>24</v>
      </c>
      <c r="C95" s="3" t="str">
        <f t="shared" si="1"/>
        <v>450012417970</v>
      </c>
      <c r="D95" s="3" t="s">
        <v>863</v>
      </c>
    </row>
    <row r="96" spans="1:4" x14ac:dyDescent="0.3">
      <c r="A96" s="3" t="s">
        <v>239</v>
      </c>
      <c r="B96" s="3" t="s">
        <v>321</v>
      </c>
      <c r="C96" s="3" t="str">
        <f t="shared" si="1"/>
        <v>450012417980</v>
      </c>
      <c r="D96" s="3" t="s">
        <v>863</v>
      </c>
    </row>
    <row r="97" spans="1:4" x14ac:dyDescent="0.3">
      <c r="A97" s="3" t="s">
        <v>239</v>
      </c>
      <c r="B97" s="3" t="s">
        <v>322</v>
      </c>
      <c r="C97" s="3" t="str">
        <f t="shared" si="1"/>
        <v>450012417990</v>
      </c>
      <c r="D97" s="3" t="s">
        <v>863</v>
      </c>
    </row>
    <row r="98" spans="1:4" x14ac:dyDescent="0.3">
      <c r="A98" s="3" t="s">
        <v>199</v>
      </c>
      <c r="B98" s="3" t="s">
        <v>33</v>
      </c>
      <c r="C98" s="3" t="str">
        <f t="shared" si="1"/>
        <v>450012471010</v>
      </c>
      <c r="D98" s="3" t="s">
        <v>867</v>
      </c>
    </row>
    <row r="99" spans="1:4" x14ac:dyDescent="0.3">
      <c r="A99" s="3" t="s">
        <v>199</v>
      </c>
      <c r="B99" s="3" t="s">
        <v>20</v>
      </c>
      <c r="C99" s="3" t="str">
        <f t="shared" si="1"/>
        <v>450012471020</v>
      </c>
      <c r="D99" s="3" t="s">
        <v>867</v>
      </c>
    </row>
    <row r="100" spans="1:4" x14ac:dyDescent="0.3">
      <c r="A100" s="3" t="s">
        <v>199</v>
      </c>
      <c r="B100" s="3" t="s">
        <v>21</v>
      </c>
      <c r="C100" s="3" t="str">
        <f t="shared" si="1"/>
        <v>450012471030</v>
      </c>
      <c r="D100" s="3" t="s">
        <v>867</v>
      </c>
    </row>
    <row r="101" spans="1:4" x14ac:dyDescent="0.3">
      <c r="A101" s="3" t="s">
        <v>199</v>
      </c>
      <c r="B101" s="3" t="s">
        <v>25</v>
      </c>
      <c r="C101" s="3" t="str">
        <f t="shared" si="1"/>
        <v>450012471040</v>
      </c>
      <c r="D101" s="3" t="s">
        <v>867</v>
      </c>
    </row>
    <row r="102" spans="1:4" x14ac:dyDescent="0.3">
      <c r="A102" s="3" t="s">
        <v>186</v>
      </c>
      <c r="B102" s="3" t="s">
        <v>20</v>
      </c>
      <c r="C102" s="3" t="str">
        <f t="shared" si="1"/>
        <v>450012480120</v>
      </c>
      <c r="D102" s="3" t="s">
        <v>865</v>
      </c>
    </row>
    <row r="103" spans="1:4" x14ac:dyDescent="0.3">
      <c r="A103" s="3" t="s">
        <v>186</v>
      </c>
      <c r="B103" s="3" t="s">
        <v>33</v>
      </c>
      <c r="C103" s="3" t="str">
        <f t="shared" si="1"/>
        <v>450012480110</v>
      </c>
      <c r="D103" s="3" t="s">
        <v>865</v>
      </c>
    </row>
    <row r="104" spans="1:4" x14ac:dyDescent="0.3">
      <c r="A104" s="3" t="s">
        <v>289</v>
      </c>
      <c r="B104" s="3" t="s">
        <v>33</v>
      </c>
      <c r="C104" s="3" t="str">
        <f t="shared" si="1"/>
        <v>450012822310</v>
      </c>
      <c r="D104" s="3" t="s">
        <v>863</v>
      </c>
    </row>
    <row r="105" spans="1:4" x14ac:dyDescent="0.3">
      <c r="A105" s="3" t="s">
        <v>289</v>
      </c>
      <c r="B105" s="3" t="s">
        <v>20</v>
      </c>
      <c r="C105" s="3" t="str">
        <f t="shared" si="1"/>
        <v>450012822320</v>
      </c>
      <c r="D105" s="3" t="s">
        <v>863</v>
      </c>
    </row>
    <row r="106" spans="1:4" x14ac:dyDescent="0.3">
      <c r="A106" s="3" t="s">
        <v>221</v>
      </c>
      <c r="B106" s="3" t="s">
        <v>33</v>
      </c>
      <c r="C106" s="3" t="str">
        <f t="shared" si="1"/>
        <v>450012716010</v>
      </c>
      <c r="D106" s="3" t="s">
        <v>868</v>
      </c>
    </row>
    <row r="107" spans="1:4" x14ac:dyDescent="0.3">
      <c r="A107" s="3" t="s">
        <v>47</v>
      </c>
      <c r="B107" s="3" t="s">
        <v>33</v>
      </c>
      <c r="C107" s="3" t="str">
        <f t="shared" si="1"/>
        <v>450012764410</v>
      </c>
      <c r="D107" s="3" t="s">
        <v>859</v>
      </c>
    </row>
    <row r="108" spans="1:4" x14ac:dyDescent="0.3">
      <c r="A108" s="3" t="s">
        <v>49</v>
      </c>
      <c r="B108" s="3" t="s">
        <v>33</v>
      </c>
      <c r="C108" s="3" t="str">
        <f t="shared" si="1"/>
        <v>450012764510</v>
      </c>
      <c r="D108" s="3" t="s">
        <v>859</v>
      </c>
    </row>
    <row r="109" spans="1:4" x14ac:dyDescent="0.3">
      <c r="A109" s="3" t="s">
        <v>60</v>
      </c>
      <c r="B109" s="3" t="s">
        <v>33</v>
      </c>
      <c r="C109" s="3" t="str">
        <f t="shared" si="1"/>
        <v>450012764610</v>
      </c>
      <c r="D109" s="3" t="s">
        <v>859</v>
      </c>
    </row>
    <row r="110" spans="1:4" x14ac:dyDescent="0.3">
      <c r="A110" s="3" t="s">
        <v>678</v>
      </c>
      <c r="B110" s="3" t="s">
        <v>33</v>
      </c>
      <c r="C110" s="3" t="str">
        <f t="shared" si="1"/>
        <v>450012970910</v>
      </c>
      <c r="D110" s="3" t="s">
        <v>857</v>
      </c>
    </row>
    <row r="111" spans="1:4" x14ac:dyDescent="0.3">
      <c r="A111" s="3" t="s">
        <v>291</v>
      </c>
      <c r="B111" s="3" t="s">
        <v>33</v>
      </c>
      <c r="C111" s="3" t="str">
        <f t="shared" si="1"/>
        <v>450012941210</v>
      </c>
      <c r="D111" s="3" t="s">
        <v>868</v>
      </c>
    </row>
    <row r="112" spans="1:4" x14ac:dyDescent="0.3">
      <c r="A112" s="3" t="s">
        <v>680</v>
      </c>
      <c r="B112" s="3" t="s">
        <v>33</v>
      </c>
      <c r="C112" s="3" t="str">
        <f t="shared" si="1"/>
        <v>450013031610</v>
      </c>
      <c r="D112" s="3" t="s">
        <v>857</v>
      </c>
    </row>
    <row r="113" spans="1:4" x14ac:dyDescent="0.3">
      <c r="A113" s="3" t="s">
        <v>507</v>
      </c>
      <c r="B113" s="3" t="s">
        <v>33</v>
      </c>
      <c r="C113" s="3" t="str">
        <f t="shared" si="1"/>
        <v>450012994310</v>
      </c>
      <c r="D113" s="3" t="s">
        <v>860</v>
      </c>
    </row>
    <row r="114" spans="1:4" x14ac:dyDescent="0.3">
      <c r="A114" s="3" t="s">
        <v>507</v>
      </c>
      <c r="B114" s="3" t="s">
        <v>20</v>
      </c>
      <c r="C114" s="3" t="str">
        <f t="shared" si="1"/>
        <v>450012994320</v>
      </c>
      <c r="D114" s="3" t="s">
        <v>860</v>
      </c>
    </row>
    <row r="115" spans="1:4" x14ac:dyDescent="0.3">
      <c r="A115" s="3" t="s">
        <v>833</v>
      </c>
      <c r="B115" s="3" t="s">
        <v>33</v>
      </c>
      <c r="C115" s="3" t="str">
        <f t="shared" si="1"/>
        <v>450013129910</v>
      </c>
      <c r="D115" s="3" t="s">
        <v>860</v>
      </c>
    </row>
    <row r="116" spans="1:4" x14ac:dyDescent="0.3">
      <c r="A116" s="3" t="s">
        <v>833</v>
      </c>
      <c r="B116" s="3" t="s">
        <v>20</v>
      </c>
      <c r="C116" s="3" t="str">
        <f t="shared" si="1"/>
        <v>450013129920</v>
      </c>
      <c r="D116" s="3" t="s">
        <v>860</v>
      </c>
    </row>
    <row r="117" spans="1:4" x14ac:dyDescent="0.3">
      <c r="A117" s="3" t="s">
        <v>833</v>
      </c>
      <c r="B117" s="3" t="s">
        <v>21</v>
      </c>
      <c r="C117" s="3" t="str">
        <f t="shared" si="1"/>
        <v>450013129930</v>
      </c>
      <c r="D117" s="3" t="s">
        <v>860</v>
      </c>
    </row>
    <row r="118" spans="1:4" x14ac:dyDescent="0.3">
      <c r="A118" s="3" t="s">
        <v>833</v>
      </c>
      <c r="B118" s="3" t="s">
        <v>23</v>
      </c>
      <c r="C118" s="3" t="str">
        <f t="shared" si="1"/>
        <v>450013129960</v>
      </c>
      <c r="D118" s="3" t="s">
        <v>860</v>
      </c>
    </row>
    <row r="119" spans="1:4" x14ac:dyDescent="0.3">
      <c r="A119" s="3" t="s">
        <v>833</v>
      </c>
      <c r="B119" s="3" t="s">
        <v>321</v>
      </c>
      <c r="C119" s="3" t="str">
        <f t="shared" si="1"/>
        <v>450013129980</v>
      </c>
      <c r="D119" s="3" t="s">
        <v>860</v>
      </c>
    </row>
    <row r="120" spans="1:4" x14ac:dyDescent="0.3">
      <c r="A120" s="3" t="s">
        <v>66</v>
      </c>
      <c r="B120" s="3" t="s">
        <v>33</v>
      </c>
      <c r="C120" s="3" t="str">
        <f t="shared" si="1"/>
        <v>450013173210</v>
      </c>
      <c r="D120" s="3" t="s">
        <v>859</v>
      </c>
    </row>
    <row r="121" spans="1:4" x14ac:dyDescent="0.3">
      <c r="A121" s="3" t="s">
        <v>66</v>
      </c>
      <c r="B121" s="3" t="s">
        <v>20</v>
      </c>
      <c r="C121" s="3" t="str">
        <f t="shared" si="1"/>
        <v>450013173220</v>
      </c>
      <c r="D121" s="3" t="s">
        <v>859</v>
      </c>
    </row>
    <row r="122" spans="1:4" x14ac:dyDescent="0.3">
      <c r="A122" s="3" t="s">
        <v>314</v>
      </c>
      <c r="B122" s="3" t="s">
        <v>20</v>
      </c>
      <c r="C122" s="3" t="str">
        <f t="shared" si="1"/>
        <v>450013159920</v>
      </c>
      <c r="D122" s="3" t="s">
        <v>860</v>
      </c>
    </row>
    <row r="123" spans="1:4" x14ac:dyDescent="0.3">
      <c r="A123" s="3" t="s">
        <v>341</v>
      </c>
      <c r="B123" s="3" t="s">
        <v>33</v>
      </c>
      <c r="C123" s="3" t="str">
        <f t="shared" si="1"/>
        <v>450013169610</v>
      </c>
      <c r="D123" s="3" t="s">
        <v>860</v>
      </c>
    </row>
    <row r="124" spans="1:4" x14ac:dyDescent="0.3">
      <c r="A124" s="3" t="s">
        <v>355</v>
      </c>
      <c r="B124" s="3" t="s">
        <v>25</v>
      </c>
      <c r="C124" s="3" t="str">
        <f t="shared" si="1"/>
        <v>450013213740</v>
      </c>
      <c r="D124" s="3" t="s">
        <v>865</v>
      </c>
    </row>
    <row r="125" spans="1:4" x14ac:dyDescent="0.3">
      <c r="A125" s="3" t="s">
        <v>355</v>
      </c>
      <c r="B125" s="3" t="s">
        <v>22</v>
      </c>
      <c r="C125" s="3" t="str">
        <f t="shared" si="1"/>
        <v>450013213750</v>
      </c>
      <c r="D125" s="3" t="s">
        <v>865</v>
      </c>
    </row>
    <row r="126" spans="1:4" x14ac:dyDescent="0.3">
      <c r="A126" s="3" t="s">
        <v>355</v>
      </c>
      <c r="B126" s="3" t="s">
        <v>21</v>
      </c>
      <c r="C126" s="3" t="str">
        <f t="shared" si="1"/>
        <v>450013213730</v>
      </c>
      <c r="D126" s="3" t="s">
        <v>865</v>
      </c>
    </row>
    <row r="127" spans="1:4" x14ac:dyDescent="0.3">
      <c r="A127" s="3" t="s">
        <v>355</v>
      </c>
      <c r="B127" s="3" t="s">
        <v>20</v>
      </c>
      <c r="C127" s="3" t="str">
        <f t="shared" si="1"/>
        <v>450013213720</v>
      </c>
      <c r="D127" s="3" t="s">
        <v>865</v>
      </c>
    </row>
    <row r="128" spans="1:4" x14ac:dyDescent="0.3">
      <c r="A128" s="3" t="s">
        <v>355</v>
      </c>
      <c r="B128" s="3" t="s">
        <v>33</v>
      </c>
      <c r="C128" s="3" t="str">
        <f t="shared" si="1"/>
        <v>450013213710</v>
      </c>
      <c r="D128" s="3" t="s">
        <v>865</v>
      </c>
    </row>
    <row r="129" spans="1:4" x14ac:dyDescent="0.3">
      <c r="A129" s="3" t="s">
        <v>336</v>
      </c>
      <c r="B129" s="3" t="s">
        <v>33</v>
      </c>
      <c r="C129" s="3" t="str">
        <f t="shared" ref="C129:C191" si="2">_xlfn.CONCAT(A129:B129)</f>
        <v>450013196510</v>
      </c>
      <c r="D129" s="3" t="s">
        <v>860</v>
      </c>
    </row>
    <row r="130" spans="1:4" x14ac:dyDescent="0.3">
      <c r="A130" s="3" t="s">
        <v>336</v>
      </c>
      <c r="B130" s="3" t="s">
        <v>20</v>
      </c>
      <c r="C130" s="3" t="str">
        <f t="shared" si="2"/>
        <v>450013196520</v>
      </c>
      <c r="D130" s="3" t="s">
        <v>860</v>
      </c>
    </row>
    <row r="131" spans="1:4" x14ac:dyDescent="0.3">
      <c r="A131" s="3" t="s">
        <v>584</v>
      </c>
      <c r="B131" s="3" t="s">
        <v>21</v>
      </c>
      <c r="C131" s="3" t="str">
        <f t="shared" si="2"/>
        <v>450013266130</v>
      </c>
      <c r="D131" s="3" t="s">
        <v>869</v>
      </c>
    </row>
    <row r="132" spans="1:4" x14ac:dyDescent="0.3">
      <c r="A132" s="3" t="s">
        <v>584</v>
      </c>
      <c r="B132" s="3" t="s">
        <v>33</v>
      </c>
      <c r="C132" s="3" t="str">
        <f t="shared" si="2"/>
        <v>450013266110</v>
      </c>
      <c r="D132" s="3" t="s">
        <v>869</v>
      </c>
    </row>
    <row r="133" spans="1:4" x14ac:dyDescent="0.3">
      <c r="A133" s="3" t="s">
        <v>584</v>
      </c>
      <c r="B133" s="3" t="s">
        <v>20</v>
      </c>
      <c r="C133" s="3" t="str">
        <f t="shared" si="2"/>
        <v>450013266120</v>
      </c>
      <c r="D133" s="3" t="s">
        <v>869</v>
      </c>
    </row>
    <row r="134" spans="1:4" x14ac:dyDescent="0.3">
      <c r="A134" s="3" t="s">
        <v>588</v>
      </c>
      <c r="B134" s="3" t="s">
        <v>33</v>
      </c>
      <c r="C134" s="3" t="str">
        <f t="shared" si="2"/>
        <v>450013245910</v>
      </c>
      <c r="D134" s="3" t="s">
        <v>870</v>
      </c>
    </row>
    <row r="135" spans="1:4" x14ac:dyDescent="0.3">
      <c r="A135" s="3" t="s">
        <v>343</v>
      </c>
      <c r="B135" s="3" t="s">
        <v>33</v>
      </c>
      <c r="C135" s="3" t="str">
        <f t="shared" si="2"/>
        <v>450013225710</v>
      </c>
      <c r="D135" s="3" t="s">
        <v>860</v>
      </c>
    </row>
    <row r="136" spans="1:4" x14ac:dyDescent="0.3">
      <c r="A136" s="3" t="s">
        <v>71</v>
      </c>
      <c r="B136" s="3" t="s">
        <v>33</v>
      </c>
      <c r="C136" s="3" t="str">
        <f t="shared" si="2"/>
        <v>450013297010</v>
      </c>
      <c r="D136" s="3" t="s">
        <v>859</v>
      </c>
    </row>
    <row r="137" spans="1:4" x14ac:dyDescent="0.3">
      <c r="A137" s="3" t="s">
        <v>87</v>
      </c>
      <c r="B137" s="3" t="s">
        <v>33</v>
      </c>
      <c r="C137" s="3" t="str">
        <f t="shared" si="2"/>
        <v>450013335110</v>
      </c>
      <c r="D137" s="3" t="s">
        <v>867</v>
      </c>
    </row>
    <row r="138" spans="1:4" x14ac:dyDescent="0.3">
      <c r="A138" s="3" t="s">
        <v>87</v>
      </c>
      <c r="B138" s="3" t="s">
        <v>20</v>
      </c>
      <c r="C138" s="3" t="str">
        <f t="shared" si="2"/>
        <v>450013335120</v>
      </c>
      <c r="D138" s="3" t="s">
        <v>867</v>
      </c>
    </row>
    <row r="139" spans="1:4" x14ac:dyDescent="0.3">
      <c r="A139" s="3" t="s">
        <v>536</v>
      </c>
      <c r="B139" s="3" t="s">
        <v>33</v>
      </c>
      <c r="C139" s="3" t="str">
        <f t="shared" si="2"/>
        <v>450013297110</v>
      </c>
      <c r="D139" s="3" t="s">
        <v>859</v>
      </c>
    </row>
    <row r="140" spans="1:4" x14ac:dyDescent="0.3">
      <c r="A140" s="3" t="s">
        <v>542</v>
      </c>
      <c r="B140" s="3" t="s">
        <v>33</v>
      </c>
      <c r="C140" s="3" t="str">
        <f t="shared" si="2"/>
        <v>450013450510</v>
      </c>
      <c r="D140" s="3" t="s">
        <v>861</v>
      </c>
    </row>
    <row r="141" spans="1:4" x14ac:dyDescent="0.3">
      <c r="A141" s="3" t="s">
        <v>542</v>
      </c>
      <c r="B141" s="3" t="s">
        <v>20</v>
      </c>
      <c r="C141" s="3" t="str">
        <f t="shared" si="2"/>
        <v>450013450520</v>
      </c>
      <c r="D141" s="3" t="s">
        <v>861</v>
      </c>
    </row>
    <row r="142" spans="1:4" x14ac:dyDescent="0.3">
      <c r="A142" s="3" t="s">
        <v>542</v>
      </c>
      <c r="B142" s="3" t="s">
        <v>21</v>
      </c>
      <c r="C142" s="3" t="str">
        <f t="shared" si="2"/>
        <v>450013450530</v>
      </c>
      <c r="D142" s="3" t="s">
        <v>861</v>
      </c>
    </row>
    <row r="143" spans="1:4" x14ac:dyDescent="0.3">
      <c r="A143" s="3" t="s">
        <v>94</v>
      </c>
      <c r="B143" s="3" t="s">
        <v>33</v>
      </c>
      <c r="C143" s="3" t="str">
        <f t="shared" si="2"/>
        <v>450013294610</v>
      </c>
      <c r="D143" s="3" t="s">
        <v>871</v>
      </c>
    </row>
    <row r="144" spans="1:4" x14ac:dyDescent="0.3">
      <c r="A144" s="3" t="s">
        <v>601</v>
      </c>
      <c r="B144" s="3" t="s">
        <v>33</v>
      </c>
      <c r="C144" s="3" t="str">
        <f t="shared" si="2"/>
        <v>450013311810</v>
      </c>
      <c r="D144" s="3" t="s">
        <v>859</v>
      </c>
    </row>
    <row r="145" spans="1:4" x14ac:dyDescent="0.3">
      <c r="A145" s="3" t="s">
        <v>601</v>
      </c>
      <c r="B145" s="3" t="s">
        <v>20</v>
      </c>
      <c r="C145" s="3" t="str">
        <f t="shared" si="2"/>
        <v>450013311820</v>
      </c>
      <c r="D145" s="3" t="s">
        <v>859</v>
      </c>
    </row>
    <row r="146" spans="1:4" x14ac:dyDescent="0.3">
      <c r="A146" s="3" t="s">
        <v>73</v>
      </c>
      <c r="B146" s="3" t="s">
        <v>33</v>
      </c>
      <c r="C146" s="3" t="str">
        <f t="shared" si="2"/>
        <v>450013335210</v>
      </c>
      <c r="D146" s="3" t="s">
        <v>859</v>
      </c>
    </row>
    <row r="147" spans="1:4" x14ac:dyDescent="0.3">
      <c r="A147" s="3" t="s">
        <v>74</v>
      </c>
      <c r="B147" s="3" t="s">
        <v>33</v>
      </c>
      <c r="C147" s="3" t="str">
        <f t="shared" si="2"/>
        <v>450013335310</v>
      </c>
      <c r="D147" s="3" t="s">
        <v>859</v>
      </c>
    </row>
    <row r="148" spans="1:4" x14ac:dyDescent="0.3">
      <c r="A148" s="3" t="s">
        <v>75</v>
      </c>
      <c r="B148" s="3" t="s">
        <v>33</v>
      </c>
      <c r="C148" s="3" t="str">
        <f t="shared" si="2"/>
        <v>450013335410</v>
      </c>
      <c r="D148" s="3" t="s">
        <v>859</v>
      </c>
    </row>
    <row r="149" spans="1:4" x14ac:dyDescent="0.3">
      <c r="A149" s="3" t="s">
        <v>524</v>
      </c>
      <c r="B149" s="3" t="s">
        <v>322</v>
      </c>
      <c r="C149" s="3" t="str">
        <f t="shared" si="2"/>
        <v>450013344190</v>
      </c>
      <c r="D149" s="3" t="s">
        <v>863</v>
      </c>
    </row>
    <row r="150" spans="1:4" x14ac:dyDescent="0.3">
      <c r="A150" s="3" t="s">
        <v>524</v>
      </c>
      <c r="B150" s="3" t="s">
        <v>323</v>
      </c>
      <c r="C150" s="3" t="str">
        <f t="shared" si="2"/>
        <v>4500133441100</v>
      </c>
      <c r="D150" s="3" t="s">
        <v>863</v>
      </c>
    </row>
    <row r="151" spans="1:4" x14ac:dyDescent="0.3">
      <c r="A151" s="3" t="s">
        <v>524</v>
      </c>
      <c r="B151" s="3" t="s">
        <v>175</v>
      </c>
      <c r="C151" s="3" t="str">
        <f t="shared" si="2"/>
        <v>4500133441110</v>
      </c>
      <c r="D151" s="3" t="s">
        <v>863</v>
      </c>
    </row>
    <row r="152" spans="1:4" x14ac:dyDescent="0.3">
      <c r="A152" s="3" t="s">
        <v>524</v>
      </c>
      <c r="B152" s="3" t="s">
        <v>375</v>
      </c>
      <c r="C152" s="3" t="str">
        <f t="shared" si="2"/>
        <v>4500133441120</v>
      </c>
      <c r="D152" s="3" t="s">
        <v>863</v>
      </c>
    </row>
    <row r="153" spans="1:4" x14ac:dyDescent="0.3">
      <c r="A153" s="3" t="s">
        <v>524</v>
      </c>
      <c r="B153" s="3" t="s">
        <v>203</v>
      </c>
      <c r="C153" s="3" t="str">
        <f t="shared" si="2"/>
        <v>4500133441130</v>
      </c>
      <c r="D153" s="3" t="s">
        <v>863</v>
      </c>
    </row>
    <row r="154" spans="1:4" x14ac:dyDescent="0.3">
      <c r="A154" s="3" t="s">
        <v>660</v>
      </c>
      <c r="B154" s="3" t="s">
        <v>33</v>
      </c>
      <c r="C154" s="3" t="str">
        <f t="shared" si="2"/>
        <v>450013338510</v>
      </c>
      <c r="D154" s="3" t="s">
        <v>857</v>
      </c>
    </row>
    <row r="155" spans="1:4" x14ac:dyDescent="0.3">
      <c r="A155" s="3" t="s">
        <v>660</v>
      </c>
      <c r="B155" s="3" t="s">
        <v>20</v>
      </c>
      <c r="C155" s="3" t="str">
        <f t="shared" si="2"/>
        <v>450013338520</v>
      </c>
      <c r="D155" s="3" t="s">
        <v>857</v>
      </c>
    </row>
    <row r="156" spans="1:4" x14ac:dyDescent="0.3">
      <c r="A156" s="3" t="s">
        <v>660</v>
      </c>
      <c r="B156" s="3" t="s">
        <v>21</v>
      </c>
      <c r="C156" s="3" t="str">
        <f t="shared" si="2"/>
        <v>450013338530</v>
      </c>
      <c r="D156" s="3" t="s">
        <v>857</v>
      </c>
    </row>
    <row r="157" spans="1:4" x14ac:dyDescent="0.3">
      <c r="A157" s="3" t="s">
        <v>363</v>
      </c>
      <c r="B157" s="3" t="s">
        <v>33</v>
      </c>
      <c r="C157" s="3" t="str">
        <f t="shared" si="2"/>
        <v>450013343710</v>
      </c>
      <c r="D157" s="3" t="s">
        <v>860</v>
      </c>
    </row>
    <row r="158" spans="1:4" x14ac:dyDescent="0.3">
      <c r="A158" s="3" t="s">
        <v>488</v>
      </c>
      <c r="B158" s="3" t="s">
        <v>33</v>
      </c>
      <c r="C158" s="3" t="str">
        <f t="shared" si="2"/>
        <v>450013464710</v>
      </c>
      <c r="D158" s="3" t="s">
        <v>867</v>
      </c>
    </row>
    <row r="159" spans="1:4" x14ac:dyDescent="0.3">
      <c r="A159" s="3" t="s">
        <v>488</v>
      </c>
      <c r="B159" s="3" t="s">
        <v>20</v>
      </c>
      <c r="C159" s="3" t="str">
        <f t="shared" si="2"/>
        <v>450013464720</v>
      </c>
      <c r="D159" s="3" t="s">
        <v>867</v>
      </c>
    </row>
    <row r="160" spans="1:4" x14ac:dyDescent="0.3">
      <c r="A160" s="3" t="s">
        <v>488</v>
      </c>
      <c r="B160" s="3" t="s">
        <v>21</v>
      </c>
      <c r="C160" s="3" t="str">
        <f t="shared" si="2"/>
        <v>450013464730</v>
      </c>
      <c r="D160" s="3" t="s">
        <v>867</v>
      </c>
    </row>
    <row r="161" spans="1:4" x14ac:dyDescent="0.3">
      <c r="A161" s="3" t="s">
        <v>488</v>
      </c>
      <c r="B161" s="3" t="s">
        <v>25</v>
      </c>
      <c r="C161" s="3" t="str">
        <f t="shared" si="2"/>
        <v>450013464740</v>
      </c>
      <c r="D161" s="3" t="s">
        <v>867</v>
      </c>
    </row>
    <row r="162" spans="1:4" x14ac:dyDescent="0.3">
      <c r="A162" s="3" t="s">
        <v>820</v>
      </c>
      <c r="B162" s="3" t="s">
        <v>33</v>
      </c>
      <c r="C162" s="3" t="str">
        <f t="shared" si="2"/>
        <v>450013442310</v>
      </c>
      <c r="D162" s="3" t="s">
        <v>861</v>
      </c>
    </row>
    <row r="163" spans="1:4" x14ac:dyDescent="0.3">
      <c r="A163" s="3" t="s">
        <v>606</v>
      </c>
      <c r="B163" s="3" t="s">
        <v>33</v>
      </c>
      <c r="C163" s="3" t="str">
        <f t="shared" si="2"/>
        <v>450013444910</v>
      </c>
      <c r="D163" s="3" t="s">
        <v>857</v>
      </c>
    </row>
    <row r="164" spans="1:4" x14ac:dyDescent="0.3">
      <c r="A164" s="3" t="s">
        <v>540</v>
      </c>
      <c r="B164" s="3" t="s">
        <v>33</v>
      </c>
      <c r="C164" s="3" t="str">
        <f t="shared" si="2"/>
        <v>450013579310</v>
      </c>
      <c r="D164" s="3" t="s">
        <v>868</v>
      </c>
    </row>
    <row r="165" spans="1:4" x14ac:dyDescent="0.3">
      <c r="A165" s="3" t="s">
        <v>829</v>
      </c>
      <c r="B165" s="3" t="s">
        <v>33</v>
      </c>
      <c r="C165" s="3" t="str">
        <f t="shared" si="2"/>
        <v>450013660210</v>
      </c>
      <c r="D165" s="3" t="s">
        <v>872</v>
      </c>
    </row>
    <row r="166" spans="1:4" x14ac:dyDescent="0.3">
      <c r="A166" s="3" t="s">
        <v>591</v>
      </c>
      <c r="B166" s="3" t="s">
        <v>33</v>
      </c>
      <c r="C166" s="3" t="str">
        <f t="shared" si="2"/>
        <v>450013711010</v>
      </c>
      <c r="D166" s="3" t="s">
        <v>872</v>
      </c>
    </row>
    <row r="167" spans="1:4" x14ac:dyDescent="0.3">
      <c r="A167" s="3" t="s">
        <v>420</v>
      </c>
      <c r="B167" s="3" t="s">
        <v>33</v>
      </c>
      <c r="C167" s="3" t="str">
        <f t="shared" si="2"/>
        <v>450013481810</v>
      </c>
      <c r="D167" s="3" t="s">
        <v>857</v>
      </c>
    </row>
    <row r="168" spans="1:4" x14ac:dyDescent="0.3">
      <c r="A168" s="3" t="s">
        <v>420</v>
      </c>
      <c r="B168" s="3" t="s">
        <v>20</v>
      </c>
      <c r="C168" s="3" t="str">
        <f t="shared" si="2"/>
        <v>450013481820</v>
      </c>
      <c r="D168" s="3" t="s">
        <v>857</v>
      </c>
    </row>
    <row r="169" spans="1:4" x14ac:dyDescent="0.3">
      <c r="A169" s="3" t="s">
        <v>420</v>
      </c>
      <c r="B169" s="3" t="s">
        <v>21</v>
      </c>
      <c r="C169" s="3" t="str">
        <f t="shared" si="2"/>
        <v>450013481830</v>
      </c>
      <c r="D169" s="3" t="s">
        <v>857</v>
      </c>
    </row>
    <row r="170" spans="1:4" x14ac:dyDescent="0.3">
      <c r="A170" s="3" t="s">
        <v>420</v>
      </c>
      <c r="B170" s="3" t="s">
        <v>25</v>
      </c>
      <c r="C170" s="3" t="str">
        <f t="shared" si="2"/>
        <v>450013481840</v>
      </c>
      <c r="D170" s="3" t="s">
        <v>857</v>
      </c>
    </row>
    <row r="171" spans="1:4" x14ac:dyDescent="0.3">
      <c r="A171" s="3" t="s">
        <v>486</v>
      </c>
      <c r="B171" s="3" t="s">
        <v>33</v>
      </c>
      <c r="C171" s="3" t="str">
        <f t="shared" si="2"/>
        <v>450013666510</v>
      </c>
      <c r="D171" s="3" t="s">
        <v>872</v>
      </c>
    </row>
    <row r="172" spans="1:4" x14ac:dyDescent="0.3">
      <c r="A172" s="3" t="s">
        <v>818</v>
      </c>
      <c r="B172" s="3" t="s">
        <v>33</v>
      </c>
      <c r="C172" s="3" t="str">
        <f t="shared" si="2"/>
        <v>450013758110</v>
      </c>
      <c r="D172" s="3" t="s">
        <v>873</v>
      </c>
    </row>
    <row r="173" spans="1:4" x14ac:dyDescent="0.3">
      <c r="A173" s="3" t="s">
        <v>831</v>
      </c>
      <c r="B173" s="3" t="s">
        <v>20</v>
      </c>
      <c r="C173" s="3" t="str">
        <f t="shared" si="2"/>
        <v>450013572020</v>
      </c>
      <c r="D173" s="3" t="s">
        <v>861</v>
      </c>
    </row>
    <row r="174" spans="1:4" x14ac:dyDescent="0.3">
      <c r="A174" s="3" t="s">
        <v>832</v>
      </c>
      <c r="B174" s="3" t="s">
        <v>22</v>
      </c>
      <c r="C174" s="3" t="str">
        <f t="shared" si="2"/>
        <v>450013550850</v>
      </c>
      <c r="D174" s="3" t="s">
        <v>865</v>
      </c>
    </row>
    <row r="175" spans="1:4" x14ac:dyDescent="0.3">
      <c r="A175" s="3" t="s">
        <v>648</v>
      </c>
      <c r="B175" s="3" t="s">
        <v>33</v>
      </c>
      <c r="C175" s="3" t="str">
        <f t="shared" si="2"/>
        <v>450013756010</v>
      </c>
      <c r="D175" s="3" t="s">
        <v>873</v>
      </c>
    </row>
    <row r="176" spans="1:4" x14ac:dyDescent="0.3">
      <c r="A176" s="3" t="s">
        <v>832</v>
      </c>
      <c r="B176" s="3" t="s">
        <v>21</v>
      </c>
      <c r="C176" s="3" t="str">
        <f t="shared" si="2"/>
        <v>450013550830</v>
      </c>
      <c r="D176" s="3" t="s">
        <v>865</v>
      </c>
    </row>
    <row r="177" spans="1:4" x14ac:dyDescent="0.3">
      <c r="A177" s="3" t="s">
        <v>832</v>
      </c>
      <c r="B177" s="3" t="s">
        <v>25</v>
      </c>
      <c r="C177" s="3" t="str">
        <f t="shared" si="2"/>
        <v>450013550840</v>
      </c>
      <c r="D177" s="3" t="s">
        <v>865</v>
      </c>
    </row>
    <row r="178" spans="1:4" x14ac:dyDescent="0.3">
      <c r="A178" s="3" t="s">
        <v>832</v>
      </c>
      <c r="B178" s="3" t="s">
        <v>20</v>
      </c>
      <c r="C178" s="3" t="str">
        <f t="shared" si="2"/>
        <v>450013550820</v>
      </c>
      <c r="D178" s="3" t="s">
        <v>865</v>
      </c>
    </row>
    <row r="179" spans="1:4" x14ac:dyDescent="0.3">
      <c r="A179" s="3" t="s">
        <v>832</v>
      </c>
      <c r="B179" s="3" t="s">
        <v>33</v>
      </c>
      <c r="C179" s="3" t="str">
        <f t="shared" si="2"/>
        <v>450013550810</v>
      </c>
      <c r="D179" s="3" t="s">
        <v>865</v>
      </c>
    </row>
    <row r="180" spans="1:4" x14ac:dyDescent="0.3">
      <c r="A180" s="3" t="s">
        <v>831</v>
      </c>
      <c r="B180" s="3" t="s">
        <v>33</v>
      </c>
      <c r="C180" s="3" t="str">
        <f t="shared" si="2"/>
        <v>450013572010</v>
      </c>
      <c r="D180" s="3" t="s">
        <v>861</v>
      </c>
    </row>
    <row r="181" spans="1:4" x14ac:dyDescent="0.3">
      <c r="A181" s="3" t="s">
        <v>486</v>
      </c>
      <c r="B181" s="3" t="s">
        <v>20</v>
      </c>
      <c r="C181" s="3" t="str">
        <f t="shared" si="2"/>
        <v>450013666520</v>
      </c>
      <c r="D181" s="3" t="s">
        <v>872</v>
      </c>
    </row>
    <row r="182" spans="1:4" x14ac:dyDescent="0.3">
      <c r="A182" s="3" t="s">
        <v>486</v>
      </c>
      <c r="B182" s="3" t="s">
        <v>21</v>
      </c>
      <c r="C182" s="3" t="str">
        <f t="shared" si="2"/>
        <v>450013666530</v>
      </c>
      <c r="D182" s="3" t="s">
        <v>872</v>
      </c>
    </row>
    <row r="183" spans="1:4" x14ac:dyDescent="0.3">
      <c r="A183" s="3" t="s">
        <v>486</v>
      </c>
      <c r="B183" s="3" t="s">
        <v>25</v>
      </c>
      <c r="C183" s="3" t="str">
        <f t="shared" si="2"/>
        <v>450013666540</v>
      </c>
      <c r="D183" s="3" t="s">
        <v>872</v>
      </c>
    </row>
    <row r="184" spans="1:4" x14ac:dyDescent="0.3">
      <c r="A184" s="3" t="s">
        <v>529</v>
      </c>
      <c r="B184" s="3" t="s">
        <v>33</v>
      </c>
      <c r="C184" s="3" t="str">
        <f t="shared" si="2"/>
        <v>450013804510</v>
      </c>
      <c r="D184" s="3" t="s">
        <v>872</v>
      </c>
    </row>
    <row r="185" spans="1:4" x14ac:dyDescent="0.3">
      <c r="A185" s="3" t="s">
        <v>486</v>
      </c>
      <c r="B185" s="3" t="s">
        <v>22</v>
      </c>
      <c r="C185" s="3" t="str">
        <f t="shared" si="2"/>
        <v>450013666550</v>
      </c>
      <c r="D185" s="3" t="s">
        <v>872</v>
      </c>
    </row>
    <row r="186" spans="1:4" x14ac:dyDescent="0.3">
      <c r="A186" s="3" t="s">
        <v>486</v>
      </c>
      <c r="B186" s="3" t="s">
        <v>23</v>
      </c>
      <c r="C186" s="3" t="str">
        <f t="shared" si="2"/>
        <v>450013666560</v>
      </c>
      <c r="D186" s="3" t="s">
        <v>872</v>
      </c>
    </row>
    <row r="187" spans="1:4" x14ac:dyDescent="0.3">
      <c r="A187" s="3" t="s">
        <v>437</v>
      </c>
      <c r="B187" s="3" t="s">
        <v>33</v>
      </c>
      <c r="C187" s="3" t="str">
        <f t="shared" si="2"/>
        <v>450013585310</v>
      </c>
      <c r="D187" s="3" t="s">
        <v>867</v>
      </c>
    </row>
    <row r="188" spans="1:4" x14ac:dyDescent="0.3">
      <c r="A188" s="3" t="s">
        <v>437</v>
      </c>
      <c r="B188" s="3" t="s">
        <v>20</v>
      </c>
      <c r="C188" s="3" t="str">
        <f t="shared" si="2"/>
        <v>450013585320</v>
      </c>
      <c r="D188" s="3" t="s">
        <v>867</v>
      </c>
    </row>
    <row r="189" spans="1:4" x14ac:dyDescent="0.3">
      <c r="A189" s="3" t="s">
        <v>437</v>
      </c>
      <c r="B189" s="3" t="s">
        <v>21</v>
      </c>
      <c r="C189" s="3" t="str">
        <f t="shared" si="2"/>
        <v>450013585330</v>
      </c>
      <c r="D189" s="3" t="s">
        <v>867</v>
      </c>
    </row>
    <row r="190" spans="1:4" x14ac:dyDescent="0.3">
      <c r="A190" s="3" t="s">
        <v>437</v>
      </c>
      <c r="B190" s="3" t="s">
        <v>25</v>
      </c>
      <c r="C190" s="3" t="str">
        <f t="shared" si="2"/>
        <v>450013585340</v>
      </c>
      <c r="D190" s="3" t="s">
        <v>867</v>
      </c>
    </row>
    <row r="191" spans="1:4" x14ac:dyDescent="0.3">
      <c r="A191" s="3" t="s">
        <v>437</v>
      </c>
      <c r="B191" s="3" t="s">
        <v>22</v>
      </c>
      <c r="C191" s="3" t="str">
        <f t="shared" si="2"/>
        <v>450013585350</v>
      </c>
      <c r="D191" s="3" t="s">
        <v>867</v>
      </c>
    </row>
    <row r="192" spans="1:4" x14ac:dyDescent="0.3">
      <c r="A192" s="3" t="s">
        <v>442</v>
      </c>
      <c r="B192" s="3" t="s">
        <v>33</v>
      </c>
      <c r="C192" s="3" t="str">
        <f t="shared" ref="C192:C255" si="3">_xlfn.CONCAT(A192:B192)</f>
        <v>450013572310</v>
      </c>
      <c r="D192" s="3" t="s">
        <v>861</v>
      </c>
    </row>
    <row r="193" spans="1:4" x14ac:dyDescent="0.3">
      <c r="A193" s="3" t="s">
        <v>442</v>
      </c>
      <c r="B193" s="3" t="s">
        <v>20</v>
      </c>
      <c r="C193" s="3" t="str">
        <f t="shared" si="3"/>
        <v>450013572320</v>
      </c>
      <c r="D193" s="3" t="s">
        <v>861</v>
      </c>
    </row>
    <row r="194" spans="1:4" x14ac:dyDescent="0.3">
      <c r="A194" s="3" t="s">
        <v>442</v>
      </c>
      <c r="B194" s="3" t="s">
        <v>21</v>
      </c>
      <c r="C194" s="3" t="str">
        <f t="shared" si="3"/>
        <v>450013572330</v>
      </c>
      <c r="D194" s="3" t="s">
        <v>861</v>
      </c>
    </row>
    <row r="195" spans="1:4" x14ac:dyDescent="0.3">
      <c r="A195" s="3" t="s">
        <v>442</v>
      </c>
      <c r="B195" s="3" t="s">
        <v>25</v>
      </c>
      <c r="C195" s="3" t="str">
        <f t="shared" si="3"/>
        <v>450013572340</v>
      </c>
      <c r="D195" s="3" t="s">
        <v>861</v>
      </c>
    </row>
    <row r="196" spans="1:4" x14ac:dyDescent="0.3">
      <c r="A196" s="3" t="s">
        <v>486</v>
      </c>
      <c r="B196" s="3" t="s">
        <v>24</v>
      </c>
      <c r="C196" s="3" t="str">
        <f t="shared" si="3"/>
        <v>450013666570</v>
      </c>
      <c r="D196" s="3" t="s">
        <v>872</v>
      </c>
    </row>
    <row r="197" spans="1:4" x14ac:dyDescent="0.3">
      <c r="A197" s="3" t="s">
        <v>486</v>
      </c>
      <c r="B197" s="3" t="s">
        <v>321</v>
      </c>
      <c r="C197" s="3" t="str">
        <f t="shared" si="3"/>
        <v>450013666580</v>
      </c>
      <c r="D197" s="3" t="s">
        <v>872</v>
      </c>
    </row>
    <row r="198" spans="1:4" x14ac:dyDescent="0.3">
      <c r="A198" s="3" t="s">
        <v>554</v>
      </c>
      <c r="B198" s="3" t="s">
        <v>33</v>
      </c>
      <c r="C198" s="3" t="str">
        <f t="shared" si="3"/>
        <v>450013657410</v>
      </c>
      <c r="D198" s="3" t="s">
        <v>863</v>
      </c>
    </row>
    <row r="199" spans="1:4" x14ac:dyDescent="0.3">
      <c r="A199" s="3" t="s">
        <v>554</v>
      </c>
      <c r="B199" s="3" t="s">
        <v>20</v>
      </c>
      <c r="C199" s="3" t="str">
        <f t="shared" si="3"/>
        <v>450013657420</v>
      </c>
      <c r="D199" s="3" t="s">
        <v>863</v>
      </c>
    </row>
    <row r="200" spans="1:4" x14ac:dyDescent="0.3">
      <c r="A200" s="3" t="s">
        <v>554</v>
      </c>
      <c r="B200" s="3" t="s">
        <v>21</v>
      </c>
      <c r="C200" s="3" t="str">
        <f t="shared" si="3"/>
        <v>450013657430</v>
      </c>
      <c r="D200" s="3" t="s">
        <v>863</v>
      </c>
    </row>
    <row r="201" spans="1:4" x14ac:dyDescent="0.3">
      <c r="A201" s="3" t="s">
        <v>554</v>
      </c>
      <c r="B201" s="3" t="s">
        <v>25</v>
      </c>
      <c r="C201" s="3" t="str">
        <f t="shared" si="3"/>
        <v>450013657440</v>
      </c>
      <c r="D201" s="3" t="s">
        <v>863</v>
      </c>
    </row>
    <row r="202" spans="1:4" x14ac:dyDescent="0.3">
      <c r="A202" s="3" t="s">
        <v>554</v>
      </c>
      <c r="B202" s="3" t="s">
        <v>22</v>
      </c>
      <c r="C202" s="3" t="str">
        <f t="shared" si="3"/>
        <v>450013657450</v>
      </c>
      <c r="D202" s="3" t="s">
        <v>863</v>
      </c>
    </row>
    <row r="203" spans="1:4" x14ac:dyDescent="0.3">
      <c r="A203" s="3" t="s">
        <v>554</v>
      </c>
      <c r="B203" s="3" t="s">
        <v>23</v>
      </c>
      <c r="C203" s="3" t="str">
        <f t="shared" si="3"/>
        <v>450013657460</v>
      </c>
      <c r="D203" s="3" t="s">
        <v>863</v>
      </c>
    </row>
    <row r="204" spans="1:4" x14ac:dyDescent="0.3">
      <c r="A204" s="3" t="s">
        <v>554</v>
      </c>
      <c r="B204" s="3" t="s">
        <v>24</v>
      </c>
      <c r="C204" s="3" t="str">
        <f t="shared" si="3"/>
        <v>450013657470</v>
      </c>
      <c r="D204" s="3" t="s">
        <v>863</v>
      </c>
    </row>
    <row r="205" spans="1:4" x14ac:dyDescent="0.3">
      <c r="A205" s="3" t="s">
        <v>554</v>
      </c>
      <c r="B205" s="3" t="s">
        <v>321</v>
      </c>
      <c r="C205" s="3" t="str">
        <f t="shared" si="3"/>
        <v>450013657480</v>
      </c>
      <c r="D205" s="3" t="s">
        <v>863</v>
      </c>
    </row>
    <row r="206" spans="1:4" x14ac:dyDescent="0.3">
      <c r="A206" s="3" t="s">
        <v>837</v>
      </c>
      <c r="B206" s="3" t="s">
        <v>33</v>
      </c>
      <c r="C206" s="3" t="str">
        <f t="shared" si="3"/>
        <v>450013677610</v>
      </c>
      <c r="D206" s="3" t="s">
        <v>860</v>
      </c>
    </row>
    <row r="207" spans="1:4" x14ac:dyDescent="0.3">
      <c r="A207" s="3" t="s">
        <v>836</v>
      </c>
      <c r="B207" s="3" t="s">
        <v>33</v>
      </c>
      <c r="C207" s="3" t="str">
        <f t="shared" si="3"/>
        <v>450013659910</v>
      </c>
      <c r="D207" s="3" t="s">
        <v>867</v>
      </c>
    </row>
    <row r="208" spans="1:4" x14ac:dyDescent="0.3">
      <c r="A208" s="3" t="s">
        <v>836</v>
      </c>
      <c r="B208" s="3" t="s">
        <v>20</v>
      </c>
      <c r="C208" s="3" t="str">
        <f t="shared" si="3"/>
        <v>450013659920</v>
      </c>
      <c r="D208" s="3" t="s">
        <v>867</v>
      </c>
    </row>
    <row r="209" spans="1:4" x14ac:dyDescent="0.3">
      <c r="A209" s="3" t="s">
        <v>836</v>
      </c>
      <c r="B209" s="3" t="s">
        <v>21</v>
      </c>
      <c r="C209" s="3" t="str">
        <f t="shared" si="3"/>
        <v>450013659930</v>
      </c>
      <c r="D209" s="3" t="s">
        <v>867</v>
      </c>
    </row>
    <row r="210" spans="1:4" x14ac:dyDescent="0.3">
      <c r="A210" s="3" t="s">
        <v>836</v>
      </c>
      <c r="B210" s="3" t="s">
        <v>25</v>
      </c>
      <c r="C210" s="3" t="str">
        <f t="shared" si="3"/>
        <v>450013659940</v>
      </c>
      <c r="D210" s="3" t="s">
        <v>867</v>
      </c>
    </row>
    <row r="211" spans="1:4" x14ac:dyDescent="0.3">
      <c r="A211" s="3" t="s">
        <v>836</v>
      </c>
      <c r="B211" s="3" t="s">
        <v>22</v>
      </c>
      <c r="C211" s="3" t="str">
        <f t="shared" si="3"/>
        <v>450013659950</v>
      </c>
      <c r="D211" s="3" t="s">
        <v>867</v>
      </c>
    </row>
    <row r="212" spans="1:4" x14ac:dyDescent="0.3">
      <c r="A212" s="3" t="s">
        <v>555</v>
      </c>
      <c r="B212" s="3" t="s">
        <v>33</v>
      </c>
      <c r="C212" s="3" t="str">
        <f t="shared" si="3"/>
        <v>450013687910</v>
      </c>
      <c r="D212" s="3" t="s">
        <v>874</v>
      </c>
    </row>
    <row r="213" spans="1:4" x14ac:dyDescent="0.3">
      <c r="A213" s="3" t="s">
        <v>458</v>
      </c>
      <c r="B213" s="3" t="s">
        <v>33</v>
      </c>
      <c r="C213" s="3" t="str">
        <f t="shared" si="3"/>
        <v>450013675710</v>
      </c>
      <c r="D213" s="3" t="s">
        <v>865</v>
      </c>
    </row>
    <row r="214" spans="1:4" x14ac:dyDescent="0.3">
      <c r="A214" s="3" t="s">
        <v>458</v>
      </c>
      <c r="B214" s="3" t="s">
        <v>20</v>
      </c>
      <c r="C214" s="3" t="str">
        <f t="shared" si="3"/>
        <v>450013675720</v>
      </c>
      <c r="D214" s="3" t="s">
        <v>865</v>
      </c>
    </row>
    <row r="215" spans="1:4" x14ac:dyDescent="0.3">
      <c r="A215" s="3" t="s">
        <v>458</v>
      </c>
      <c r="B215" s="3" t="s">
        <v>21</v>
      </c>
      <c r="C215" s="3" t="str">
        <f t="shared" si="3"/>
        <v>450013675730</v>
      </c>
      <c r="D215" s="3" t="s">
        <v>865</v>
      </c>
    </row>
    <row r="216" spans="1:4" x14ac:dyDescent="0.3">
      <c r="A216" s="3" t="s">
        <v>461</v>
      </c>
      <c r="B216" s="3" t="s">
        <v>33</v>
      </c>
      <c r="C216" s="3" t="str">
        <f t="shared" si="3"/>
        <v>450013690910</v>
      </c>
      <c r="D216" s="3" t="s">
        <v>865</v>
      </c>
    </row>
    <row r="217" spans="1:4" x14ac:dyDescent="0.3">
      <c r="A217" s="3" t="s">
        <v>448</v>
      </c>
      <c r="B217" s="3" t="s">
        <v>33</v>
      </c>
      <c r="C217" s="3" t="str">
        <f t="shared" si="3"/>
        <v>450013678110</v>
      </c>
      <c r="D217" s="3" t="s">
        <v>860</v>
      </c>
    </row>
    <row r="218" spans="1:4" x14ac:dyDescent="0.3">
      <c r="A218" s="3" t="s">
        <v>448</v>
      </c>
      <c r="B218" s="3" t="s">
        <v>20</v>
      </c>
      <c r="C218" s="3" t="str">
        <f t="shared" si="3"/>
        <v>450013678120</v>
      </c>
      <c r="D218" s="3" t="s">
        <v>860</v>
      </c>
    </row>
    <row r="219" spans="1:4" x14ac:dyDescent="0.3">
      <c r="A219" s="3" t="s">
        <v>448</v>
      </c>
      <c r="B219" s="3" t="s">
        <v>21</v>
      </c>
      <c r="C219" s="3" t="str">
        <f t="shared" si="3"/>
        <v>450013678130</v>
      </c>
      <c r="D219" s="3" t="s">
        <v>860</v>
      </c>
    </row>
    <row r="220" spans="1:4" x14ac:dyDescent="0.3">
      <c r="A220" s="3" t="s">
        <v>528</v>
      </c>
      <c r="B220" s="3" t="s">
        <v>33</v>
      </c>
      <c r="C220" s="3" t="str">
        <f t="shared" si="3"/>
        <v>450013805310</v>
      </c>
      <c r="D220" s="3" t="s">
        <v>872</v>
      </c>
    </row>
    <row r="221" spans="1:4" x14ac:dyDescent="0.3">
      <c r="A221" s="3" t="s">
        <v>468</v>
      </c>
      <c r="B221" s="3" t="s">
        <v>33</v>
      </c>
      <c r="C221" s="3" t="str">
        <f t="shared" si="3"/>
        <v>450013732810</v>
      </c>
      <c r="D221" s="3" t="s">
        <v>875</v>
      </c>
    </row>
    <row r="222" spans="1:4" x14ac:dyDescent="0.3">
      <c r="A222" s="3" t="s">
        <v>506</v>
      </c>
      <c r="B222" s="3" t="s">
        <v>33</v>
      </c>
      <c r="C222" s="3" t="str">
        <f t="shared" si="3"/>
        <v>450013762410</v>
      </c>
      <c r="D222" s="3" t="s">
        <v>860</v>
      </c>
    </row>
    <row r="223" spans="1:4" x14ac:dyDescent="0.3">
      <c r="A223" s="3" t="s">
        <v>508</v>
      </c>
      <c r="B223" s="3" t="s">
        <v>33</v>
      </c>
      <c r="C223" s="3" t="str">
        <f t="shared" si="3"/>
        <v>450013743510</v>
      </c>
      <c r="D223" s="3" t="s">
        <v>865</v>
      </c>
    </row>
    <row r="224" spans="1:4" x14ac:dyDescent="0.3">
      <c r="A224" s="3" t="s">
        <v>834</v>
      </c>
      <c r="B224" s="3" t="s">
        <v>33</v>
      </c>
      <c r="C224" s="3" t="str">
        <f t="shared" si="3"/>
        <v>450013762810</v>
      </c>
      <c r="D224" s="3" t="s">
        <v>863</v>
      </c>
    </row>
    <row r="225" spans="1:4" x14ac:dyDescent="0.3">
      <c r="A225" s="3" t="s">
        <v>548</v>
      </c>
      <c r="B225" s="3" t="s">
        <v>33</v>
      </c>
      <c r="C225" s="3" t="str">
        <f t="shared" si="3"/>
        <v>450013751110</v>
      </c>
      <c r="D225" s="3" t="s">
        <v>861</v>
      </c>
    </row>
    <row r="226" spans="1:4" x14ac:dyDescent="0.3">
      <c r="A226" s="3" t="s">
        <v>822</v>
      </c>
      <c r="B226" s="3" t="s">
        <v>20</v>
      </c>
      <c r="C226" s="3" t="str">
        <f t="shared" si="3"/>
        <v>450013832420</v>
      </c>
      <c r="D226" s="3" t="s">
        <v>863</v>
      </c>
    </row>
    <row r="227" spans="1:4" x14ac:dyDescent="0.3">
      <c r="A227" s="3" t="s">
        <v>822</v>
      </c>
      <c r="B227" s="3" t="s">
        <v>33</v>
      </c>
      <c r="C227" s="3" t="str">
        <f t="shared" si="3"/>
        <v>450013832410</v>
      </c>
      <c r="D227" s="3" t="s">
        <v>863</v>
      </c>
    </row>
    <row r="228" spans="1:4" x14ac:dyDescent="0.3">
      <c r="A228" s="3" t="s">
        <v>810</v>
      </c>
      <c r="B228" s="3" t="s">
        <v>21</v>
      </c>
      <c r="C228" s="3" t="str">
        <f t="shared" si="3"/>
        <v>450013811430</v>
      </c>
      <c r="D228" s="3" t="s">
        <v>865</v>
      </c>
    </row>
    <row r="229" spans="1:4" x14ac:dyDescent="0.3">
      <c r="A229" s="3" t="s">
        <v>810</v>
      </c>
      <c r="B229" s="3" t="s">
        <v>33</v>
      </c>
      <c r="C229" s="3" t="str">
        <f t="shared" si="3"/>
        <v>450013811410</v>
      </c>
      <c r="D229" s="3" t="s">
        <v>865</v>
      </c>
    </row>
    <row r="230" spans="1:4" x14ac:dyDescent="0.3">
      <c r="A230" s="3" t="s">
        <v>810</v>
      </c>
      <c r="B230" s="3" t="s">
        <v>20</v>
      </c>
      <c r="C230" s="3" t="str">
        <f t="shared" si="3"/>
        <v>450013811420</v>
      </c>
      <c r="D230" s="3" t="s">
        <v>865</v>
      </c>
    </row>
    <row r="231" spans="1:4" x14ac:dyDescent="0.3">
      <c r="A231" s="3" t="s">
        <v>821</v>
      </c>
      <c r="B231" s="3" t="s">
        <v>33</v>
      </c>
      <c r="C231" s="3" t="str">
        <f t="shared" si="3"/>
        <v>450013820610</v>
      </c>
      <c r="D231" s="3" t="s">
        <v>863</v>
      </c>
    </row>
    <row r="232" spans="1:4" x14ac:dyDescent="0.3">
      <c r="A232" s="3" t="s">
        <v>838</v>
      </c>
      <c r="B232" s="3" t="s">
        <v>33</v>
      </c>
      <c r="C232" s="3" t="str">
        <f t="shared" si="3"/>
        <v>450013920310</v>
      </c>
      <c r="D232" s="3" t="s">
        <v>867</v>
      </c>
    </row>
    <row r="233" spans="1:4" x14ac:dyDescent="0.3">
      <c r="A233" s="3" t="s">
        <v>821</v>
      </c>
      <c r="B233" s="3" t="s">
        <v>325</v>
      </c>
      <c r="C233" s="3" t="str">
        <f t="shared" si="3"/>
        <v>4500138206180</v>
      </c>
      <c r="D233" s="3" t="s">
        <v>863</v>
      </c>
    </row>
    <row r="234" spans="1:4" x14ac:dyDescent="0.3">
      <c r="A234" s="3" t="s">
        <v>821</v>
      </c>
      <c r="B234" s="3" t="s">
        <v>375</v>
      </c>
      <c r="C234" s="3" t="str">
        <f t="shared" si="3"/>
        <v>4500138206120</v>
      </c>
      <c r="D234" s="3" t="s">
        <v>863</v>
      </c>
    </row>
    <row r="235" spans="1:4" x14ac:dyDescent="0.3">
      <c r="A235" s="3" t="s">
        <v>821</v>
      </c>
      <c r="B235" s="3" t="s">
        <v>203</v>
      </c>
      <c r="C235" s="3" t="str">
        <f t="shared" si="3"/>
        <v>4500138206130</v>
      </c>
      <c r="D235" s="3" t="s">
        <v>863</v>
      </c>
    </row>
    <row r="236" spans="1:4" x14ac:dyDescent="0.3">
      <c r="A236" s="3" t="s">
        <v>821</v>
      </c>
      <c r="B236" s="3" t="s">
        <v>376</v>
      </c>
      <c r="C236" s="3" t="str">
        <f t="shared" si="3"/>
        <v>4500138206140</v>
      </c>
      <c r="D236" s="3" t="s">
        <v>863</v>
      </c>
    </row>
    <row r="237" spans="1:4" x14ac:dyDescent="0.3">
      <c r="A237" s="3" t="s">
        <v>821</v>
      </c>
      <c r="B237" s="3" t="s">
        <v>377</v>
      </c>
      <c r="C237" s="3" t="str">
        <f t="shared" si="3"/>
        <v>4500138206150</v>
      </c>
      <c r="D237" s="3" t="s">
        <v>863</v>
      </c>
    </row>
    <row r="238" spans="1:4" x14ac:dyDescent="0.3">
      <c r="A238" s="3" t="s">
        <v>821</v>
      </c>
      <c r="B238" s="3" t="s">
        <v>378</v>
      </c>
      <c r="C238" s="3" t="str">
        <f t="shared" si="3"/>
        <v>4500138206160</v>
      </c>
      <c r="D238" s="3" t="s">
        <v>863</v>
      </c>
    </row>
    <row r="239" spans="1:4" x14ac:dyDescent="0.3">
      <c r="A239" s="3" t="s">
        <v>821</v>
      </c>
      <c r="B239" s="3" t="s">
        <v>324</v>
      </c>
      <c r="C239" s="3" t="str">
        <f t="shared" si="3"/>
        <v>4500138206170</v>
      </c>
      <c r="D239" s="3" t="s">
        <v>863</v>
      </c>
    </row>
    <row r="240" spans="1:4" x14ac:dyDescent="0.3">
      <c r="A240" s="3" t="s">
        <v>656</v>
      </c>
      <c r="B240" s="3" t="s">
        <v>20</v>
      </c>
      <c r="C240" s="3" t="str">
        <f t="shared" si="3"/>
        <v>450013834820</v>
      </c>
      <c r="D240" s="3" t="s">
        <v>861</v>
      </c>
    </row>
    <row r="241" spans="1:4" x14ac:dyDescent="0.3">
      <c r="A241" s="3" t="s">
        <v>656</v>
      </c>
      <c r="B241" s="3" t="s">
        <v>21</v>
      </c>
      <c r="C241" s="3" t="str">
        <f t="shared" si="3"/>
        <v>450013834830</v>
      </c>
      <c r="D241" s="3" t="s">
        <v>861</v>
      </c>
    </row>
    <row r="242" spans="1:4" x14ac:dyDescent="0.3">
      <c r="A242" s="3" t="s">
        <v>656</v>
      </c>
      <c r="B242" s="3" t="s">
        <v>25</v>
      </c>
      <c r="C242" s="3" t="str">
        <f t="shared" si="3"/>
        <v>450013834840</v>
      </c>
      <c r="D242" s="3" t="s">
        <v>861</v>
      </c>
    </row>
    <row r="243" spans="1:4" x14ac:dyDescent="0.3">
      <c r="A243" s="3" t="s">
        <v>821</v>
      </c>
      <c r="B243" s="3" t="s">
        <v>20</v>
      </c>
      <c r="C243" s="3" t="str">
        <f t="shared" si="3"/>
        <v>450013820620</v>
      </c>
      <c r="D243" s="3" t="s">
        <v>863</v>
      </c>
    </row>
    <row r="244" spans="1:4" x14ac:dyDescent="0.3">
      <c r="A244" s="3" t="s">
        <v>821</v>
      </c>
      <c r="B244" s="3" t="s">
        <v>21</v>
      </c>
      <c r="C244" s="3" t="str">
        <f t="shared" si="3"/>
        <v>450013820630</v>
      </c>
      <c r="D244" s="3" t="s">
        <v>863</v>
      </c>
    </row>
    <row r="245" spans="1:4" x14ac:dyDescent="0.3">
      <c r="A245" s="3" t="s">
        <v>812</v>
      </c>
      <c r="B245" s="3" t="s">
        <v>33</v>
      </c>
      <c r="C245" s="3" t="str">
        <f t="shared" si="3"/>
        <v>450013845210</v>
      </c>
      <c r="D245" s="3" t="s">
        <v>863</v>
      </c>
    </row>
    <row r="246" spans="1:4" x14ac:dyDescent="0.3">
      <c r="A246" s="3" t="s">
        <v>821</v>
      </c>
      <c r="B246" s="3" t="s">
        <v>22</v>
      </c>
      <c r="C246" s="3" t="str">
        <f t="shared" si="3"/>
        <v>450013820650</v>
      </c>
      <c r="D246" s="3" t="s">
        <v>863</v>
      </c>
    </row>
    <row r="247" spans="1:4" x14ac:dyDescent="0.3">
      <c r="A247" s="3" t="s">
        <v>821</v>
      </c>
      <c r="B247" s="3" t="s">
        <v>23</v>
      </c>
      <c r="C247" s="3" t="str">
        <f t="shared" si="3"/>
        <v>450013820660</v>
      </c>
      <c r="D247" s="3" t="s">
        <v>863</v>
      </c>
    </row>
    <row r="248" spans="1:4" x14ac:dyDescent="0.3">
      <c r="A248" s="3" t="s">
        <v>812</v>
      </c>
      <c r="B248" s="3" t="s">
        <v>20</v>
      </c>
      <c r="C248" s="3" t="str">
        <f t="shared" si="3"/>
        <v>450013845220</v>
      </c>
      <c r="D248" s="3" t="s">
        <v>863</v>
      </c>
    </row>
    <row r="249" spans="1:4" x14ac:dyDescent="0.3">
      <c r="A249" s="3" t="s">
        <v>812</v>
      </c>
      <c r="B249" s="3" t="s">
        <v>21</v>
      </c>
      <c r="C249" s="3" t="str">
        <f t="shared" si="3"/>
        <v>450013845230</v>
      </c>
      <c r="D249" s="3" t="s">
        <v>863</v>
      </c>
    </row>
    <row r="250" spans="1:4" x14ac:dyDescent="0.3">
      <c r="A250" s="3" t="s">
        <v>821</v>
      </c>
      <c r="B250" s="3" t="s">
        <v>322</v>
      </c>
      <c r="C250" s="3" t="str">
        <f t="shared" si="3"/>
        <v>450013820690</v>
      </c>
      <c r="D250" s="3" t="s">
        <v>863</v>
      </c>
    </row>
    <row r="251" spans="1:4" x14ac:dyDescent="0.3">
      <c r="A251" s="3" t="s">
        <v>812</v>
      </c>
      <c r="B251" s="3" t="s">
        <v>25</v>
      </c>
      <c r="C251" s="3" t="str">
        <f t="shared" si="3"/>
        <v>450013845240</v>
      </c>
      <c r="D251" s="3" t="s">
        <v>863</v>
      </c>
    </row>
    <row r="252" spans="1:4" x14ac:dyDescent="0.3">
      <c r="A252" s="3" t="s">
        <v>812</v>
      </c>
      <c r="B252" s="3" t="s">
        <v>22</v>
      </c>
      <c r="C252" s="3" t="str">
        <f t="shared" si="3"/>
        <v>450013845250</v>
      </c>
      <c r="D252" s="3" t="s">
        <v>863</v>
      </c>
    </row>
    <row r="253" spans="1:4" x14ac:dyDescent="0.3">
      <c r="A253" s="3" t="s">
        <v>19</v>
      </c>
      <c r="B253" s="3" t="s">
        <v>23</v>
      </c>
      <c r="C253" s="3" t="str">
        <f t="shared" si="3"/>
        <v>450013836860</v>
      </c>
      <c r="D253" s="3" t="s">
        <v>865</v>
      </c>
    </row>
    <row r="254" spans="1:4" x14ac:dyDescent="0.3">
      <c r="A254" s="3" t="s">
        <v>19</v>
      </c>
      <c r="B254" s="3" t="s">
        <v>24</v>
      </c>
      <c r="C254" s="3" t="str">
        <f t="shared" si="3"/>
        <v>450013836870</v>
      </c>
      <c r="D254" s="3" t="s">
        <v>865</v>
      </c>
    </row>
    <row r="255" spans="1:4" x14ac:dyDescent="0.3">
      <c r="A255" s="3" t="s">
        <v>19</v>
      </c>
      <c r="B255" s="3" t="s">
        <v>25</v>
      </c>
      <c r="C255" s="3" t="str">
        <f t="shared" si="3"/>
        <v>450013836840</v>
      </c>
      <c r="D255" s="3" t="s">
        <v>865</v>
      </c>
    </row>
    <row r="256" spans="1:4" x14ac:dyDescent="0.3">
      <c r="A256" s="3" t="s">
        <v>19</v>
      </c>
      <c r="B256" s="3" t="s">
        <v>22</v>
      </c>
      <c r="C256" s="3" t="str">
        <f t="shared" ref="C256:C318" si="4">_xlfn.CONCAT(A256:B256)</f>
        <v>450013836850</v>
      </c>
      <c r="D256" s="3" t="s">
        <v>865</v>
      </c>
    </row>
    <row r="257" spans="1:4" x14ac:dyDescent="0.3">
      <c r="A257" s="3" t="s">
        <v>19</v>
      </c>
      <c r="B257" s="3" t="s">
        <v>21</v>
      </c>
      <c r="C257" s="3" t="str">
        <f t="shared" si="4"/>
        <v>450013836830</v>
      </c>
      <c r="D257" s="3" t="s">
        <v>865</v>
      </c>
    </row>
    <row r="258" spans="1:4" x14ac:dyDescent="0.3">
      <c r="A258" s="3" t="s">
        <v>19</v>
      </c>
      <c r="B258" s="3" t="s">
        <v>20</v>
      </c>
      <c r="C258" s="3" t="str">
        <f t="shared" si="4"/>
        <v>450013836820</v>
      </c>
      <c r="D258" s="3" t="s">
        <v>865</v>
      </c>
    </row>
    <row r="259" spans="1:4" x14ac:dyDescent="0.3">
      <c r="A259" s="3" t="s">
        <v>19</v>
      </c>
      <c r="B259" s="3" t="s">
        <v>33</v>
      </c>
      <c r="C259" s="3" t="str">
        <f t="shared" si="4"/>
        <v>450013836810</v>
      </c>
      <c r="D259" s="3" t="s">
        <v>865</v>
      </c>
    </row>
    <row r="260" spans="1:4" x14ac:dyDescent="0.3">
      <c r="A260" s="3" t="s">
        <v>816</v>
      </c>
      <c r="B260" s="3" t="s">
        <v>33</v>
      </c>
      <c r="C260" s="3" t="str">
        <f t="shared" si="4"/>
        <v>450013856910</v>
      </c>
      <c r="D260" s="3" t="s">
        <v>863</v>
      </c>
    </row>
    <row r="261" spans="1:4" x14ac:dyDescent="0.3">
      <c r="A261" s="3" t="s">
        <v>812</v>
      </c>
      <c r="B261" s="3" t="s">
        <v>321</v>
      </c>
      <c r="C261" s="3" t="str">
        <f t="shared" si="4"/>
        <v>450013845280</v>
      </c>
      <c r="D261" s="3" t="s">
        <v>863</v>
      </c>
    </row>
    <row r="262" spans="1:4" x14ac:dyDescent="0.3">
      <c r="A262" s="3" t="s">
        <v>812</v>
      </c>
      <c r="B262" s="3" t="s">
        <v>322</v>
      </c>
      <c r="C262" s="3" t="str">
        <f t="shared" si="4"/>
        <v>450013845290</v>
      </c>
      <c r="D262" s="3" t="s">
        <v>863</v>
      </c>
    </row>
    <row r="263" spans="1:4" x14ac:dyDescent="0.3">
      <c r="A263" s="3" t="s">
        <v>812</v>
      </c>
      <c r="B263" s="3" t="s">
        <v>323</v>
      </c>
      <c r="C263" s="3" t="str">
        <f t="shared" si="4"/>
        <v>4500138452100</v>
      </c>
      <c r="D263" s="3" t="s">
        <v>863</v>
      </c>
    </row>
    <row r="264" spans="1:4" x14ac:dyDescent="0.3">
      <c r="A264" s="3" t="s">
        <v>812</v>
      </c>
      <c r="B264" s="3" t="s">
        <v>24</v>
      </c>
      <c r="C264" s="3" t="str">
        <f t="shared" si="4"/>
        <v>450013845270</v>
      </c>
      <c r="D264" s="3" t="s">
        <v>863</v>
      </c>
    </row>
    <row r="265" spans="1:4" x14ac:dyDescent="0.3">
      <c r="A265" s="3" t="s">
        <v>816</v>
      </c>
      <c r="B265" s="3" t="s">
        <v>20</v>
      </c>
      <c r="C265" s="3" t="str">
        <f t="shared" si="4"/>
        <v>450013856920</v>
      </c>
      <c r="D265" s="3" t="s">
        <v>863</v>
      </c>
    </row>
    <row r="266" spans="1:4" x14ac:dyDescent="0.3">
      <c r="A266" s="3" t="s">
        <v>553</v>
      </c>
      <c r="B266" s="3" t="s">
        <v>33</v>
      </c>
      <c r="C266" s="3" t="str">
        <f t="shared" si="4"/>
        <v>450013866710</v>
      </c>
      <c r="D266" s="3" t="s">
        <v>875</v>
      </c>
    </row>
    <row r="267" spans="1:4" x14ac:dyDescent="0.3">
      <c r="A267" s="3" t="s">
        <v>599</v>
      </c>
      <c r="B267" s="3" t="s">
        <v>20</v>
      </c>
      <c r="C267" s="3" t="str">
        <f t="shared" si="4"/>
        <v>450013931120</v>
      </c>
      <c r="D267" s="3" t="s">
        <v>861</v>
      </c>
    </row>
    <row r="268" spans="1:4" x14ac:dyDescent="0.3">
      <c r="A268" s="3" t="s">
        <v>835</v>
      </c>
      <c r="B268" s="3" t="s">
        <v>33</v>
      </c>
      <c r="C268" s="3" t="str">
        <f t="shared" si="4"/>
        <v>450013898210</v>
      </c>
      <c r="D268" s="3" t="s">
        <v>860</v>
      </c>
    </row>
    <row r="269" spans="1:4" x14ac:dyDescent="0.3">
      <c r="A269" s="3" t="s">
        <v>520</v>
      </c>
      <c r="B269" s="3" t="s">
        <v>33</v>
      </c>
      <c r="C269" s="3" t="str">
        <f t="shared" si="4"/>
        <v>450013868010</v>
      </c>
      <c r="D269" s="3" t="s">
        <v>860</v>
      </c>
    </row>
    <row r="270" spans="1:4" x14ac:dyDescent="0.3">
      <c r="A270" s="3" t="s">
        <v>670</v>
      </c>
      <c r="B270" s="3" t="s">
        <v>33</v>
      </c>
      <c r="C270" s="3" t="str">
        <f t="shared" si="4"/>
        <v>450013895110</v>
      </c>
      <c r="D270" s="3" t="s">
        <v>873</v>
      </c>
    </row>
    <row r="271" spans="1:4" x14ac:dyDescent="0.3">
      <c r="A271" s="3" t="s">
        <v>594</v>
      </c>
      <c r="B271" s="3" t="s">
        <v>33</v>
      </c>
      <c r="C271" s="3" t="str">
        <f t="shared" si="4"/>
        <v>450013988810</v>
      </c>
      <c r="D271" s="3" t="s">
        <v>876</v>
      </c>
    </row>
    <row r="272" spans="1:4" x14ac:dyDescent="0.3">
      <c r="A272" s="3" t="s">
        <v>561</v>
      </c>
      <c r="B272" s="3" t="s">
        <v>33</v>
      </c>
      <c r="C272" s="3" t="str">
        <f t="shared" si="4"/>
        <v>450013938210</v>
      </c>
      <c r="D272" s="3" t="s">
        <v>867</v>
      </c>
    </row>
    <row r="273" spans="1:4" x14ac:dyDescent="0.3">
      <c r="A273" s="3" t="s">
        <v>686</v>
      </c>
      <c r="B273" s="3" t="s">
        <v>33</v>
      </c>
      <c r="C273" s="3" t="str">
        <f t="shared" si="4"/>
        <v>450013901610</v>
      </c>
      <c r="D273" s="3" t="s">
        <v>860</v>
      </c>
    </row>
    <row r="274" spans="1:4" x14ac:dyDescent="0.3">
      <c r="A274" s="3" t="s">
        <v>562</v>
      </c>
      <c r="B274" s="3" t="s">
        <v>33</v>
      </c>
      <c r="C274" s="3" t="str">
        <f t="shared" si="4"/>
        <v>450013917310</v>
      </c>
      <c r="D274" s="3" t="s">
        <v>877</v>
      </c>
    </row>
    <row r="275" spans="1:4" x14ac:dyDescent="0.3">
      <c r="A275" s="3" t="s">
        <v>562</v>
      </c>
      <c r="B275" s="3" t="s">
        <v>20</v>
      </c>
      <c r="C275" s="3" t="str">
        <f t="shared" si="4"/>
        <v>450013917320</v>
      </c>
      <c r="D275" s="3" t="s">
        <v>877</v>
      </c>
    </row>
    <row r="276" spans="1:4" x14ac:dyDescent="0.3">
      <c r="A276" s="3" t="s">
        <v>562</v>
      </c>
      <c r="B276" s="3" t="s">
        <v>21</v>
      </c>
      <c r="C276" s="3" t="str">
        <f t="shared" si="4"/>
        <v>450013917330</v>
      </c>
      <c r="D276" s="3" t="s">
        <v>877</v>
      </c>
    </row>
    <row r="277" spans="1:4" x14ac:dyDescent="0.3">
      <c r="A277" s="3" t="s">
        <v>562</v>
      </c>
      <c r="B277" s="3" t="s">
        <v>25</v>
      </c>
      <c r="C277" s="3" t="str">
        <f t="shared" si="4"/>
        <v>450013917340</v>
      </c>
      <c r="D277" s="3" t="s">
        <v>877</v>
      </c>
    </row>
    <row r="278" spans="1:4" x14ac:dyDescent="0.3">
      <c r="A278" s="3" t="s">
        <v>608</v>
      </c>
      <c r="B278" s="3" t="s">
        <v>33</v>
      </c>
      <c r="C278" s="3" t="str">
        <f t="shared" si="4"/>
        <v>450013902710</v>
      </c>
      <c r="D278" s="3" t="s">
        <v>872</v>
      </c>
    </row>
    <row r="279" spans="1:4" x14ac:dyDescent="0.3">
      <c r="A279" s="3" t="s">
        <v>653</v>
      </c>
      <c r="B279" s="3" t="s">
        <v>33</v>
      </c>
      <c r="C279" s="3" t="str">
        <f t="shared" si="4"/>
        <v>450013920910</v>
      </c>
      <c r="D279" s="3" t="s">
        <v>860</v>
      </c>
    </row>
    <row r="280" spans="1:4" x14ac:dyDescent="0.3">
      <c r="A280" s="3" t="s">
        <v>653</v>
      </c>
      <c r="B280" s="3" t="s">
        <v>20</v>
      </c>
      <c r="C280" s="3" t="str">
        <f t="shared" si="4"/>
        <v>450013920920</v>
      </c>
      <c r="D280" s="3" t="s">
        <v>860</v>
      </c>
    </row>
    <row r="281" spans="1:4" x14ac:dyDescent="0.3">
      <c r="A281" s="3" t="s">
        <v>695</v>
      </c>
      <c r="B281" s="3" t="s">
        <v>33</v>
      </c>
      <c r="C281" s="3" t="str">
        <f t="shared" si="4"/>
        <v>450013953010</v>
      </c>
      <c r="D281" s="3" t="s">
        <v>868</v>
      </c>
    </row>
    <row r="282" spans="1:4" x14ac:dyDescent="0.3">
      <c r="A282" s="3" t="s">
        <v>695</v>
      </c>
      <c r="B282" s="3" t="s">
        <v>20</v>
      </c>
      <c r="C282" s="3" t="str">
        <f t="shared" si="4"/>
        <v>450013953020</v>
      </c>
      <c r="D282" s="3" t="s">
        <v>868</v>
      </c>
    </row>
    <row r="283" spans="1:4" x14ac:dyDescent="0.3">
      <c r="A283" s="3" t="s">
        <v>839</v>
      </c>
      <c r="B283" s="3" t="s">
        <v>33</v>
      </c>
      <c r="C283" s="3" t="str">
        <f t="shared" si="4"/>
        <v>450013939610</v>
      </c>
      <c r="D283" s="3" t="s">
        <v>872</v>
      </c>
    </row>
    <row r="284" spans="1:4" x14ac:dyDescent="0.3">
      <c r="A284" s="3" t="s">
        <v>671</v>
      </c>
      <c r="B284" s="3" t="s">
        <v>24</v>
      </c>
      <c r="C284" s="3" t="str">
        <f t="shared" si="4"/>
        <v>450013950570</v>
      </c>
      <c r="D284" s="3" t="s">
        <v>865</v>
      </c>
    </row>
    <row r="285" spans="1:4" x14ac:dyDescent="0.3">
      <c r="A285" s="3" t="s">
        <v>841</v>
      </c>
      <c r="B285" s="3" t="s">
        <v>33</v>
      </c>
      <c r="C285" s="3" t="str">
        <f t="shared" si="4"/>
        <v>450013958410</v>
      </c>
      <c r="D285" s="3" t="s">
        <v>872</v>
      </c>
    </row>
    <row r="286" spans="1:4" x14ac:dyDescent="0.3">
      <c r="A286" s="3" t="s">
        <v>841</v>
      </c>
      <c r="B286" s="3" t="s">
        <v>20</v>
      </c>
      <c r="C286" s="3" t="str">
        <f t="shared" si="4"/>
        <v>450013958420</v>
      </c>
      <c r="D286" s="3" t="s">
        <v>872</v>
      </c>
    </row>
    <row r="287" spans="1:4" x14ac:dyDescent="0.3">
      <c r="A287" s="3" t="s">
        <v>607</v>
      </c>
      <c r="B287" s="3" t="s">
        <v>33</v>
      </c>
      <c r="C287" s="3" t="str">
        <f t="shared" si="4"/>
        <v>450013981910</v>
      </c>
      <c r="D287" s="3" t="s">
        <v>863</v>
      </c>
    </row>
    <row r="288" spans="1:4" x14ac:dyDescent="0.3">
      <c r="A288" s="3" t="s">
        <v>683</v>
      </c>
      <c r="B288" s="3" t="s">
        <v>33</v>
      </c>
      <c r="C288" s="3" t="str">
        <f t="shared" si="4"/>
        <v>450013960110</v>
      </c>
      <c r="D288" s="3" t="s">
        <v>860</v>
      </c>
    </row>
    <row r="289" spans="1:4" x14ac:dyDescent="0.3">
      <c r="A289" s="3" t="s">
        <v>689</v>
      </c>
      <c r="B289" s="3" t="s">
        <v>33</v>
      </c>
      <c r="C289" s="3" t="str">
        <f t="shared" si="4"/>
        <v>450013969610</v>
      </c>
      <c r="D289" s="3" t="s">
        <v>860</v>
      </c>
    </row>
    <row r="290" spans="1:4" x14ac:dyDescent="0.3">
      <c r="A290" s="3" t="s">
        <v>685</v>
      </c>
      <c r="B290" s="3" t="s">
        <v>33</v>
      </c>
      <c r="C290" s="3" t="str">
        <f t="shared" si="4"/>
        <v>450013960210</v>
      </c>
      <c r="D290" s="3" t="s">
        <v>860</v>
      </c>
    </row>
    <row r="291" spans="1:4" x14ac:dyDescent="0.3">
      <c r="A291" s="3" t="s">
        <v>690</v>
      </c>
      <c r="B291" s="3" t="s">
        <v>33</v>
      </c>
      <c r="C291" s="3" t="str">
        <f t="shared" si="4"/>
        <v>450013961110</v>
      </c>
      <c r="D291" s="3" t="s">
        <v>860</v>
      </c>
    </row>
    <row r="292" spans="1:4" x14ac:dyDescent="0.3">
      <c r="A292" s="3" t="s">
        <v>691</v>
      </c>
      <c r="B292" s="3" t="s">
        <v>33</v>
      </c>
      <c r="C292" s="3" t="str">
        <f t="shared" si="4"/>
        <v>450013969710</v>
      </c>
      <c r="D292" s="3" t="s">
        <v>860</v>
      </c>
    </row>
    <row r="293" spans="1:4" x14ac:dyDescent="0.3">
      <c r="A293" s="3" t="s">
        <v>603</v>
      </c>
      <c r="B293" s="3" t="s">
        <v>33</v>
      </c>
      <c r="C293" s="3" t="str">
        <f t="shared" si="4"/>
        <v>450013977410</v>
      </c>
      <c r="D293" s="3" t="s">
        <v>872</v>
      </c>
    </row>
    <row r="294" spans="1:4" x14ac:dyDescent="0.3">
      <c r="A294" s="3" t="s">
        <v>603</v>
      </c>
      <c r="B294" s="3" t="s">
        <v>20</v>
      </c>
      <c r="C294" s="3" t="str">
        <f t="shared" si="4"/>
        <v>450013977420</v>
      </c>
      <c r="D294" s="3" t="s">
        <v>872</v>
      </c>
    </row>
    <row r="295" spans="1:4" x14ac:dyDescent="0.3">
      <c r="A295" s="3" t="s">
        <v>603</v>
      </c>
      <c r="B295" s="3" t="s">
        <v>21</v>
      </c>
      <c r="C295" s="3" t="str">
        <f t="shared" si="4"/>
        <v>450013977430</v>
      </c>
      <c r="D295" s="3" t="s">
        <v>872</v>
      </c>
    </row>
    <row r="296" spans="1:4" x14ac:dyDescent="0.3">
      <c r="A296" s="3" t="s">
        <v>603</v>
      </c>
      <c r="B296" s="3" t="s">
        <v>25</v>
      </c>
      <c r="C296" s="3" t="str">
        <f t="shared" si="4"/>
        <v>450013977440</v>
      </c>
      <c r="D296" s="3" t="s">
        <v>872</v>
      </c>
    </row>
    <row r="297" spans="1:4" x14ac:dyDescent="0.3">
      <c r="A297" s="3" t="s">
        <v>603</v>
      </c>
      <c r="B297" s="3" t="s">
        <v>22</v>
      </c>
      <c r="C297" s="3" t="str">
        <f t="shared" si="4"/>
        <v>450013977450</v>
      </c>
      <c r="D297" s="3" t="s">
        <v>872</v>
      </c>
    </row>
    <row r="298" spans="1:4" x14ac:dyDescent="0.3">
      <c r="A298" s="3" t="s">
        <v>603</v>
      </c>
      <c r="B298" s="3" t="s">
        <v>23</v>
      </c>
      <c r="C298" s="3" t="str">
        <f t="shared" si="4"/>
        <v>450013977460</v>
      </c>
      <c r="D298" s="3" t="s">
        <v>872</v>
      </c>
    </row>
    <row r="299" spans="1:4" x14ac:dyDescent="0.3">
      <c r="A299" s="3" t="s">
        <v>603</v>
      </c>
      <c r="B299" s="3" t="s">
        <v>24</v>
      </c>
      <c r="C299" s="3" t="str">
        <f t="shared" si="4"/>
        <v>450013977470</v>
      </c>
      <c r="D299" s="3" t="s">
        <v>872</v>
      </c>
    </row>
    <row r="300" spans="1:4" x14ac:dyDescent="0.3">
      <c r="A300" s="3" t="s">
        <v>603</v>
      </c>
      <c r="B300" s="3" t="s">
        <v>321</v>
      </c>
      <c r="C300" s="3" t="str">
        <f t="shared" si="4"/>
        <v>450013977480</v>
      </c>
      <c r="D300" s="3" t="s">
        <v>872</v>
      </c>
    </row>
    <row r="301" spans="1:4" x14ac:dyDescent="0.3">
      <c r="A301" s="3" t="s">
        <v>603</v>
      </c>
      <c r="B301" s="3" t="s">
        <v>322</v>
      </c>
      <c r="C301" s="3" t="str">
        <f t="shared" si="4"/>
        <v>450013977490</v>
      </c>
      <c r="D301" s="3" t="s">
        <v>872</v>
      </c>
    </row>
    <row r="302" spans="1:4" x14ac:dyDescent="0.3">
      <c r="A302" s="3" t="s">
        <v>603</v>
      </c>
      <c r="B302" s="3" t="s">
        <v>323</v>
      </c>
      <c r="C302" s="3" t="str">
        <f t="shared" si="4"/>
        <v>4500139774100</v>
      </c>
      <c r="D302" s="3" t="s">
        <v>872</v>
      </c>
    </row>
    <row r="303" spans="1:4" x14ac:dyDescent="0.3">
      <c r="A303" s="3" t="s">
        <v>603</v>
      </c>
      <c r="B303" s="3" t="s">
        <v>175</v>
      </c>
      <c r="C303" s="3" t="str">
        <f t="shared" si="4"/>
        <v>4500139774110</v>
      </c>
      <c r="D303" s="3" t="s">
        <v>872</v>
      </c>
    </row>
    <row r="304" spans="1:4" x14ac:dyDescent="0.3">
      <c r="A304" s="3" t="s">
        <v>603</v>
      </c>
      <c r="B304" s="3" t="s">
        <v>375</v>
      </c>
      <c r="C304" s="3" t="str">
        <f t="shared" si="4"/>
        <v>4500139774120</v>
      </c>
      <c r="D304" s="3" t="s">
        <v>872</v>
      </c>
    </row>
    <row r="305" spans="1:4" x14ac:dyDescent="0.3">
      <c r="A305" s="3" t="s">
        <v>819</v>
      </c>
      <c r="B305" s="3" t="s">
        <v>20</v>
      </c>
      <c r="C305" s="3" t="str">
        <f t="shared" si="4"/>
        <v>450013993620</v>
      </c>
      <c r="D305" s="3" t="s">
        <v>863</v>
      </c>
    </row>
    <row r="306" spans="1:4" x14ac:dyDescent="0.3">
      <c r="A306" s="3" t="s">
        <v>828</v>
      </c>
      <c r="B306" s="3" t="s">
        <v>20</v>
      </c>
      <c r="C306" s="3" t="str">
        <f t="shared" si="4"/>
        <v>450013992520</v>
      </c>
      <c r="D306" s="3" t="s">
        <v>860</v>
      </c>
    </row>
    <row r="307" spans="1:4" x14ac:dyDescent="0.3">
      <c r="A307" s="3" t="s">
        <v>819</v>
      </c>
      <c r="B307" s="3" t="s">
        <v>33</v>
      </c>
      <c r="C307" s="3" t="str">
        <f t="shared" si="4"/>
        <v>450013993610</v>
      </c>
      <c r="D307" s="3" t="s">
        <v>863</v>
      </c>
    </row>
    <row r="308" spans="1:4" x14ac:dyDescent="0.3">
      <c r="A308" s="3" t="s">
        <v>134</v>
      </c>
      <c r="B308" s="3" t="s">
        <v>33</v>
      </c>
      <c r="C308" s="3" t="str">
        <f t="shared" si="4"/>
        <v>450011890610</v>
      </c>
      <c r="D308" s="3" t="s">
        <v>861</v>
      </c>
    </row>
    <row r="309" spans="1:4" x14ac:dyDescent="0.3">
      <c r="A309" s="3" t="s">
        <v>102</v>
      </c>
      <c r="B309" s="3" t="s">
        <v>33</v>
      </c>
      <c r="C309" s="3" t="str">
        <f t="shared" si="4"/>
        <v>450011865410</v>
      </c>
      <c r="D309" s="3" t="s">
        <v>859</v>
      </c>
    </row>
    <row r="310" spans="1:4" x14ac:dyDescent="0.3">
      <c r="A310" s="3" t="s">
        <v>115</v>
      </c>
      <c r="B310" s="3" t="s">
        <v>33</v>
      </c>
      <c r="C310" s="3" t="str">
        <f t="shared" si="4"/>
        <v>450011903210</v>
      </c>
      <c r="D310" s="3" t="s">
        <v>865</v>
      </c>
    </row>
    <row r="311" spans="1:4" x14ac:dyDescent="0.3">
      <c r="A311" s="3" t="s">
        <v>145</v>
      </c>
      <c r="B311" s="3" t="s">
        <v>33</v>
      </c>
      <c r="C311" s="3" t="str">
        <f t="shared" si="4"/>
        <v>450011888510</v>
      </c>
      <c r="D311" s="3" t="s">
        <v>859</v>
      </c>
    </row>
    <row r="312" spans="1:4" x14ac:dyDescent="0.3">
      <c r="A312" s="3" t="s">
        <v>169</v>
      </c>
      <c r="B312" s="3" t="s">
        <v>33</v>
      </c>
      <c r="C312" s="3" t="str">
        <f t="shared" si="4"/>
        <v>450011868210</v>
      </c>
      <c r="D312" s="3" t="s">
        <v>859</v>
      </c>
    </row>
    <row r="313" spans="1:4" x14ac:dyDescent="0.3">
      <c r="A313" s="3" t="s">
        <v>163</v>
      </c>
      <c r="B313" s="3" t="s">
        <v>33</v>
      </c>
      <c r="C313" s="3" t="str">
        <f t="shared" si="4"/>
        <v>450011911710</v>
      </c>
      <c r="D313" s="3" t="s">
        <v>866</v>
      </c>
    </row>
    <row r="314" spans="1:4" x14ac:dyDescent="0.3">
      <c r="A314" s="3" t="s">
        <v>106</v>
      </c>
      <c r="B314" s="3" t="s">
        <v>33</v>
      </c>
      <c r="C314" s="3" t="str">
        <f t="shared" si="4"/>
        <v>450011888610</v>
      </c>
      <c r="D314" s="3" t="s">
        <v>859</v>
      </c>
    </row>
    <row r="315" spans="1:4" x14ac:dyDescent="0.3">
      <c r="A315" s="3" t="s">
        <v>118</v>
      </c>
      <c r="B315" s="3" t="s">
        <v>33</v>
      </c>
      <c r="C315" s="3" t="str">
        <f t="shared" si="4"/>
        <v>450011915910</v>
      </c>
      <c r="D315" s="3" t="s">
        <v>860</v>
      </c>
    </row>
    <row r="316" spans="1:4" x14ac:dyDescent="0.3">
      <c r="A316" s="3" t="s">
        <v>127</v>
      </c>
      <c r="B316" s="3" t="s">
        <v>33</v>
      </c>
      <c r="C316" s="3" t="str">
        <f t="shared" si="4"/>
        <v>450011995310</v>
      </c>
      <c r="D316" s="3" t="s">
        <v>860</v>
      </c>
    </row>
    <row r="317" spans="1:4" x14ac:dyDescent="0.3">
      <c r="A317" s="3" t="s">
        <v>572</v>
      </c>
      <c r="B317" s="3" t="s">
        <v>33</v>
      </c>
      <c r="C317" s="3" t="str">
        <f t="shared" si="4"/>
        <v>450012086910</v>
      </c>
      <c r="D317" s="3" t="s">
        <v>859</v>
      </c>
    </row>
    <row r="318" spans="1:4" x14ac:dyDescent="0.3">
      <c r="A318" s="3" t="s">
        <v>347</v>
      </c>
      <c r="B318" s="3" t="s">
        <v>33</v>
      </c>
      <c r="C318" s="3" t="str">
        <f t="shared" si="4"/>
        <v>450012187310</v>
      </c>
      <c r="D318" s="3" t="s">
        <v>859</v>
      </c>
    </row>
    <row r="319" spans="1:4" x14ac:dyDescent="0.3">
      <c r="A319" s="3" t="s">
        <v>155</v>
      </c>
      <c r="B319" s="3" t="s">
        <v>33</v>
      </c>
      <c r="C319" s="3" t="str">
        <f t="shared" ref="C319:C382" si="5">_xlfn.CONCAT(A319:B319)</f>
        <v>450012221110</v>
      </c>
      <c r="D319" s="3" t="s">
        <v>860</v>
      </c>
    </row>
    <row r="320" spans="1:4" x14ac:dyDescent="0.3">
      <c r="A320" s="3" t="s">
        <v>174</v>
      </c>
      <c r="B320" s="3" t="s">
        <v>33</v>
      </c>
      <c r="C320" s="3" t="str">
        <f t="shared" si="5"/>
        <v>450012273510</v>
      </c>
      <c r="D320" s="3" t="s">
        <v>863</v>
      </c>
    </row>
    <row r="321" spans="1:4" x14ac:dyDescent="0.3">
      <c r="A321" s="3" t="s">
        <v>174</v>
      </c>
      <c r="B321" s="3" t="s">
        <v>20</v>
      </c>
      <c r="C321" s="3" t="str">
        <f t="shared" si="5"/>
        <v>450012273520</v>
      </c>
      <c r="D321" s="3" t="s">
        <v>863</v>
      </c>
    </row>
    <row r="322" spans="1:4" x14ac:dyDescent="0.3">
      <c r="A322" s="3" t="s">
        <v>174</v>
      </c>
      <c r="B322" s="3" t="s">
        <v>21</v>
      </c>
      <c r="C322" s="3" t="str">
        <f t="shared" si="5"/>
        <v>450012273530</v>
      </c>
      <c r="D322" s="3" t="s">
        <v>863</v>
      </c>
    </row>
    <row r="323" spans="1:4" x14ac:dyDescent="0.3">
      <c r="A323" s="3" t="s">
        <v>174</v>
      </c>
      <c r="B323" s="3" t="s">
        <v>25</v>
      </c>
      <c r="C323" s="3" t="str">
        <f t="shared" si="5"/>
        <v>450012273540</v>
      </c>
      <c r="D323" s="3" t="s">
        <v>863</v>
      </c>
    </row>
    <row r="324" spans="1:4" x14ac:dyDescent="0.3">
      <c r="A324" s="3" t="s">
        <v>174</v>
      </c>
      <c r="B324" s="3" t="s">
        <v>22</v>
      </c>
      <c r="C324" s="3" t="str">
        <f t="shared" si="5"/>
        <v>450012273550</v>
      </c>
      <c r="D324" s="3" t="s">
        <v>863</v>
      </c>
    </row>
    <row r="325" spans="1:4" x14ac:dyDescent="0.3">
      <c r="A325" s="3" t="s">
        <v>174</v>
      </c>
      <c r="B325" s="3" t="s">
        <v>23</v>
      </c>
      <c r="C325" s="3" t="str">
        <f t="shared" si="5"/>
        <v>450012273560</v>
      </c>
      <c r="D325" s="3" t="s">
        <v>863</v>
      </c>
    </row>
    <row r="326" spans="1:4" x14ac:dyDescent="0.3">
      <c r="A326" s="3" t="s">
        <v>174</v>
      </c>
      <c r="B326" s="3" t="s">
        <v>24</v>
      </c>
      <c r="C326" s="3" t="str">
        <f t="shared" si="5"/>
        <v>450012273570</v>
      </c>
      <c r="D326" s="3" t="s">
        <v>863</v>
      </c>
    </row>
    <row r="327" spans="1:4" x14ac:dyDescent="0.3">
      <c r="A327" s="3" t="s">
        <v>174</v>
      </c>
      <c r="B327" s="3" t="s">
        <v>321</v>
      </c>
      <c r="C327" s="3" t="str">
        <f t="shared" si="5"/>
        <v>450012273580</v>
      </c>
      <c r="D327" s="3" t="s">
        <v>863</v>
      </c>
    </row>
    <row r="328" spans="1:4" x14ac:dyDescent="0.3">
      <c r="A328" s="3" t="s">
        <v>174</v>
      </c>
      <c r="B328" s="3" t="s">
        <v>322</v>
      </c>
      <c r="C328" s="3" t="str">
        <f t="shared" si="5"/>
        <v>450012273590</v>
      </c>
      <c r="D328" s="3" t="s">
        <v>863</v>
      </c>
    </row>
    <row r="329" spans="1:4" x14ac:dyDescent="0.3">
      <c r="A329" s="3" t="s">
        <v>174</v>
      </c>
      <c r="B329" s="3" t="s">
        <v>323</v>
      </c>
      <c r="C329" s="3" t="str">
        <f t="shared" si="5"/>
        <v>4500122735100</v>
      </c>
      <c r="D329" s="3" t="s">
        <v>863</v>
      </c>
    </row>
    <row r="330" spans="1:4" x14ac:dyDescent="0.3">
      <c r="A330" s="3" t="s">
        <v>174</v>
      </c>
      <c r="B330" s="3" t="s">
        <v>175</v>
      </c>
      <c r="C330" s="3" t="str">
        <f t="shared" si="5"/>
        <v>4500122735110</v>
      </c>
      <c r="D330" s="3" t="s">
        <v>863</v>
      </c>
    </row>
    <row r="331" spans="1:4" x14ac:dyDescent="0.3">
      <c r="A331" s="3" t="s">
        <v>174</v>
      </c>
      <c r="B331" s="3" t="s">
        <v>375</v>
      </c>
      <c r="C331" s="3" t="str">
        <f t="shared" si="5"/>
        <v>4500122735120</v>
      </c>
      <c r="D331" s="3" t="s">
        <v>863</v>
      </c>
    </row>
    <row r="332" spans="1:4" x14ac:dyDescent="0.3">
      <c r="A332" s="3" t="s">
        <v>174</v>
      </c>
      <c r="B332" s="3" t="s">
        <v>203</v>
      </c>
      <c r="C332" s="3" t="str">
        <f t="shared" si="5"/>
        <v>4500122735130</v>
      </c>
      <c r="D332" s="3" t="s">
        <v>863</v>
      </c>
    </row>
    <row r="333" spans="1:4" x14ac:dyDescent="0.3">
      <c r="A333" s="3" t="s">
        <v>174</v>
      </c>
      <c r="B333" s="3" t="s">
        <v>376</v>
      </c>
      <c r="C333" s="3" t="str">
        <f t="shared" si="5"/>
        <v>4500122735140</v>
      </c>
      <c r="D333" s="3" t="s">
        <v>863</v>
      </c>
    </row>
    <row r="334" spans="1:4" x14ac:dyDescent="0.3">
      <c r="A334" s="3" t="s">
        <v>174</v>
      </c>
      <c r="B334" s="3" t="s">
        <v>377</v>
      </c>
      <c r="C334" s="3" t="str">
        <f t="shared" si="5"/>
        <v>4500122735150</v>
      </c>
      <c r="D334" s="3" t="s">
        <v>863</v>
      </c>
    </row>
    <row r="335" spans="1:4" x14ac:dyDescent="0.3">
      <c r="A335" s="3" t="s">
        <v>174</v>
      </c>
      <c r="B335" s="3" t="s">
        <v>378</v>
      </c>
      <c r="C335" s="3" t="str">
        <f t="shared" si="5"/>
        <v>4500122735160</v>
      </c>
      <c r="D335" s="3" t="s">
        <v>863</v>
      </c>
    </row>
    <row r="336" spans="1:4" x14ac:dyDescent="0.3">
      <c r="A336" s="3" t="s">
        <v>174</v>
      </c>
      <c r="B336" s="3" t="s">
        <v>324</v>
      </c>
      <c r="C336" s="3" t="str">
        <f t="shared" si="5"/>
        <v>4500122735170</v>
      </c>
      <c r="D336" s="3" t="s">
        <v>863</v>
      </c>
    </row>
    <row r="337" spans="1:4" x14ac:dyDescent="0.3">
      <c r="A337" s="3" t="s">
        <v>174</v>
      </c>
      <c r="B337" s="3" t="s">
        <v>325</v>
      </c>
      <c r="C337" s="3" t="str">
        <f t="shared" si="5"/>
        <v>4500122735180</v>
      </c>
      <c r="D337" s="3" t="s">
        <v>863</v>
      </c>
    </row>
    <row r="338" spans="1:4" x14ac:dyDescent="0.3">
      <c r="A338" s="3" t="s">
        <v>174</v>
      </c>
      <c r="B338" s="3" t="s">
        <v>379</v>
      </c>
      <c r="C338" s="3" t="str">
        <f t="shared" si="5"/>
        <v>4500122735190</v>
      </c>
      <c r="D338" s="3" t="s">
        <v>863</v>
      </c>
    </row>
    <row r="339" spans="1:4" x14ac:dyDescent="0.3">
      <c r="A339" s="3" t="s">
        <v>80</v>
      </c>
      <c r="B339" s="3" t="s">
        <v>33</v>
      </c>
      <c r="C339" s="3" t="str">
        <f t="shared" si="5"/>
        <v>450012381510</v>
      </c>
      <c r="D339" s="3" t="s">
        <v>863</v>
      </c>
    </row>
    <row r="340" spans="1:4" x14ac:dyDescent="0.3">
      <c r="A340" s="3" t="s">
        <v>177</v>
      </c>
      <c r="B340" s="3" t="s">
        <v>21</v>
      </c>
      <c r="C340" s="3" t="str">
        <f t="shared" si="5"/>
        <v>450012444930</v>
      </c>
      <c r="D340" s="3" t="s">
        <v>860</v>
      </c>
    </row>
    <row r="341" spans="1:4" x14ac:dyDescent="0.3">
      <c r="A341" s="3" t="s">
        <v>194</v>
      </c>
      <c r="B341" s="3" t="s">
        <v>33</v>
      </c>
      <c r="C341" s="3" t="str">
        <f t="shared" si="5"/>
        <v>450012420610</v>
      </c>
      <c r="D341" s="3" t="s">
        <v>866</v>
      </c>
    </row>
    <row r="342" spans="1:4" x14ac:dyDescent="0.3">
      <c r="A342" s="3" t="s">
        <v>388</v>
      </c>
      <c r="B342" s="3" t="s">
        <v>33</v>
      </c>
      <c r="C342" s="3" t="str">
        <f t="shared" si="5"/>
        <v>450012404110</v>
      </c>
      <c r="D342" s="3" t="s">
        <v>863</v>
      </c>
    </row>
    <row r="343" spans="1:4" x14ac:dyDescent="0.3">
      <c r="A343" s="3" t="s">
        <v>388</v>
      </c>
      <c r="B343" s="3" t="s">
        <v>20</v>
      </c>
      <c r="C343" s="3" t="str">
        <f t="shared" si="5"/>
        <v>450012404120</v>
      </c>
      <c r="D343" s="3" t="s">
        <v>863</v>
      </c>
    </row>
    <row r="344" spans="1:4" x14ac:dyDescent="0.3">
      <c r="A344" s="3" t="s">
        <v>388</v>
      </c>
      <c r="B344" s="3" t="s">
        <v>21</v>
      </c>
      <c r="C344" s="3" t="str">
        <f t="shared" si="5"/>
        <v>450012404130</v>
      </c>
      <c r="D344" s="3" t="s">
        <v>863</v>
      </c>
    </row>
    <row r="345" spans="1:4" x14ac:dyDescent="0.3">
      <c r="A345" s="3" t="s">
        <v>388</v>
      </c>
      <c r="B345" s="3" t="s">
        <v>25</v>
      </c>
      <c r="C345" s="3" t="str">
        <f t="shared" si="5"/>
        <v>450012404140</v>
      </c>
      <c r="D345" s="3" t="s">
        <v>863</v>
      </c>
    </row>
    <row r="346" spans="1:4" x14ac:dyDescent="0.3">
      <c r="A346" s="3" t="s">
        <v>388</v>
      </c>
      <c r="B346" s="3" t="s">
        <v>22</v>
      </c>
      <c r="C346" s="3" t="str">
        <f t="shared" si="5"/>
        <v>450012404150</v>
      </c>
      <c r="D346" s="3" t="s">
        <v>863</v>
      </c>
    </row>
    <row r="347" spans="1:4" x14ac:dyDescent="0.3">
      <c r="A347" s="3" t="s">
        <v>388</v>
      </c>
      <c r="B347" s="3" t="s">
        <v>23</v>
      </c>
      <c r="C347" s="3" t="str">
        <f t="shared" si="5"/>
        <v>450012404160</v>
      </c>
      <c r="D347" s="3" t="s">
        <v>863</v>
      </c>
    </row>
    <row r="348" spans="1:4" x14ac:dyDescent="0.3">
      <c r="A348" s="3" t="s">
        <v>388</v>
      </c>
      <c r="B348" s="3" t="s">
        <v>24</v>
      </c>
      <c r="C348" s="3" t="str">
        <f t="shared" si="5"/>
        <v>450012404170</v>
      </c>
      <c r="D348" s="3" t="s">
        <v>863</v>
      </c>
    </row>
    <row r="349" spans="1:4" x14ac:dyDescent="0.3">
      <c r="A349" s="3" t="s">
        <v>388</v>
      </c>
      <c r="B349" s="3" t="s">
        <v>321</v>
      </c>
      <c r="C349" s="3" t="str">
        <f t="shared" si="5"/>
        <v>450012404180</v>
      </c>
      <c r="D349" s="3" t="s">
        <v>863</v>
      </c>
    </row>
    <row r="350" spans="1:4" x14ac:dyDescent="0.3">
      <c r="A350" s="3" t="s">
        <v>388</v>
      </c>
      <c r="B350" s="3" t="s">
        <v>322</v>
      </c>
      <c r="C350" s="3" t="str">
        <f t="shared" si="5"/>
        <v>450012404190</v>
      </c>
      <c r="D350" s="3" t="s">
        <v>863</v>
      </c>
    </row>
    <row r="351" spans="1:4" x14ac:dyDescent="0.3">
      <c r="A351" s="3" t="s">
        <v>388</v>
      </c>
      <c r="B351" s="3" t="s">
        <v>323</v>
      </c>
      <c r="C351" s="3" t="str">
        <f t="shared" si="5"/>
        <v>4500124041100</v>
      </c>
      <c r="D351" s="3" t="s">
        <v>863</v>
      </c>
    </row>
    <row r="352" spans="1:4" x14ac:dyDescent="0.3">
      <c r="A352" s="3" t="s">
        <v>388</v>
      </c>
      <c r="B352" s="3" t="s">
        <v>175</v>
      </c>
      <c r="C352" s="3" t="str">
        <f t="shared" si="5"/>
        <v>4500124041110</v>
      </c>
      <c r="D352" s="3" t="s">
        <v>863</v>
      </c>
    </row>
    <row r="353" spans="1:4" x14ac:dyDescent="0.3">
      <c r="A353" s="3" t="s">
        <v>388</v>
      </c>
      <c r="B353" s="3" t="s">
        <v>375</v>
      </c>
      <c r="C353" s="3" t="str">
        <f t="shared" si="5"/>
        <v>4500124041120</v>
      </c>
      <c r="D353" s="3" t="s">
        <v>863</v>
      </c>
    </row>
    <row r="354" spans="1:4" x14ac:dyDescent="0.3">
      <c r="A354" s="3" t="s">
        <v>201</v>
      </c>
      <c r="B354" s="3" t="s">
        <v>33</v>
      </c>
      <c r="C354" s="3" t="str">
        <f t="shared" si="5"/>
        <v>450012446410</v>
      </c>
      <c r="D354" s="3" t="s">
        <v>863</v>
      </c>
    </row>
    <row r="355" spans="1:4" x14ac:dyDescent="0.3">
      <c r="A355" s="3" t="s">
        <v>393</v>
      </c>
      <c r="B355" s="3" t="s">
        <v>33</v>
      </c>
      <c r="C355" s="3" t="str">
        <f t="shared" si="5"/>
        <v>450013443810</v>
      </c>
      <c r="D355" s="3" t="s">
        <v>861</v>
      </c>
    </row>
    <row r="356" spans="1:4" x14ac:dyDescent="0.3">
      <c r="A356" s="3" t="s">
        <v>254</v>
      </c>
      <c r="B356" s="3" t="s">
        <v>33</v>
      </c>
      <c r="C356" s="3" t="str">
        <f t="shared" si="5"/>
        <v>450012417110</v>
      </c>
      <c r="D356" s="3" t="s">
        <v>861</v>
      </c>
    </row>
    <row r="357" spans="1:4" x14ac:dyDescent="0.3">
      <c r="A357" s="3" t="s">
        <v>237</v>
      </c>
      <c r="B357" s="3" t="s">
        <v>20</v>
      </c>
      <c r="C357" s="3" t="str">
        <f t="shared" si="5"/>
        <v>450012443320</v>
      </c>
      <c r="D357" s="3" t="s">
        <v>859</v>
      </c>
    </row>
    <row r="358" spans="1:4" x14ac:dyDescent="0.3">
      <c r="A358" s="3" t="s">
        <v>237</v>
      </c>
      <c r="B358" s="3" t="s">
        <v>33</v>
      </c>
      <c r="C358" s="3" t="str">
        <f t="shared" si="5"/>
        <v>450012443310</v>
      </c>
      <c r="D358" s="3" t="s">
        <v>859</v>
      </c>
    </row>
    <row r="359" spans="1:4" x14ac:dyDescent="0.3">
      <c r="A359" s="3" t="s">
        <v>517</v>
      </c>
      <c r="B359" s="3" t="s">
        <v>33</v>
      </c>
      <c r="C359" s="3" t="str">
        <f t="shared" si="5"/>
        <v>450012451910</v>
      </c>
      <c r="D359" s="3" t="s">
        <v>861</v>
      </c>
    </row>
    <row r="360" spans="1:4" x14ac:dyDescent="0.3">
      <c r="A360" s="3" t="s">
        <v>517</v>
      </c>
      <c r="B360" s="3" t="s">
        <v>20</v>
      </c>
      <c r="C360" s="3" t="str">
        <f t="shared" si="5"/>
        <v>450012451920</v>
      </c>
      <c r="D360" s="3" t="s">
        <v>861</v>
      </c>
    </row>
    <row r="361" spans="1:4" x14ac:dyDescent="0.3">
      <c r="A361" s="3" t="s">
        <v>517</v>
      </c>
      <c r="B361" s="3" t="s">
        <v>21</v>
      </c>
      <c r="C361" s="3" t="str">
        <f t="shared" si="5"/>
        <v>450012451930</v>
      </c>
      <c r="D361" s="3" t="s">
        <v>861</v>
      </c>
    </row>
    <row r="362" spans="1:4" x14ac:dyDescent="0.3">
      <c r="A362" s="3" t="s">
        <v>517</v>
      </c>
      <c r="B362" s="3" t="s">
        <v>25</v>
      </c>
      <c r="C362" s="3" t="str">
        <f t="shared" si="5"/>
        <v>450012451940</v>
      </c>
      <c r="D362" s="3" t="s">
        <v>861</v>
      </c>
    </row>
    <row r="363" spans="1:4" x14ac:dyDescent="0.3">
      <c r="A363" s="3" t="s">
        <v>517</v>
      </c>
      <c r="B363" s="3" t="s">
        <v>22</v>
      </c>
      <c r="C363" s="3" t="str">
        <f t="shared" si="5"/>
        <v>450012451950</v>
      </c>
      <c r="D363" s="3" t="s">
        <v>861</v>
      </c>
    </row>
    <row r="364" spans="1:4" x14ac:dyDescent="0.3">
      <c r="A364" s="3" t="s">
        <v>517</v>
      </c>
      <c r="B364" s="3" t="s">
        <v>23</v>
      </c>
      <c r="C364" s="3" t="str">
        <f t="shared" si="5"/>
        <v>450012451960</v>
      </c>
      <c r="D364" s="3" t="s">
        <v>861</v>
      </c>
    </row>
    <row r="365" spans="1:4" x14ac:dyDescent="0.3">
      <c r="A365" s="3" t="s">
        <v>517</v>
      </c>
      <c r="B365" s="3" t="s">
        <v>24</v>
      </c>
      <c r="C365" s="3" t="str">
        <f t="shared" si="5"/>
        <v>450012451970</v>
      </c>
      <c r="D365" s="3" t="s">
        <v>861</v>
      </c>
    </row>
    <row r="366" spans="1:4" x14ac:dyDescent="0.3">
      <c r="A366" s="3" t="s">
        <v>517</v>
      </c>
      <c r="B366" s="3" t="s">
        <v>321</v>
      </c>
      <c r="C366" s="3" t="str">
        <f t="shared" si="5"/>
        <v>450012451980</v>
      </c>
      <c r="D366" s="3" t="s">
        <v>861</v>
      </c>
    </row>
    <row r="367" spans="1:4" x14ac:dyDescent="0.3">
      <c r="A367" s="3" t="s">
        <v>517</v>
      </c>
      <c r="B367" s="3" t="s">
        <v>322</v>
      </c>
      <c r="C367" s="3" t="str">
        <f t="shared" si="5"/>
        <v>450012451990</v>
      </c>
      <c r="D367" s="3" t="s">
        <v>861</v>
      </c>
    </row>
    <row r="368" spans="1:4" x14ac:dyDescent="0.3">
      <c r="A368" s="3" t="s">
        <v>517</v>
      </c>
      <c r="B368" s="3" t="s">
        <v>323</v>
      </c>
      <c r="C368" s="3" t="str">
        <f t="shared" si="5"/>
        <v>4500124519100</v>
      </c>
      <c r="D368" s="3" t="s">
        <v>861</v>
      </c>
    </row>
    <row r="369" spans="1:4" x14ac:dyDescent="0.3">
      <c r="A369" s="3" t="s">
        <v>517</v>
      </c>
      <c r="B369" s="3" t="s">
        <v>175</v>
      </c>
      <c r="C369" s="3" t="str">
        <f t="shared" si="5"/>
        <v>4500124519110</v>
      </c>
      <c r="D369" s="3" t="s">
        <v>861</v>
      </c>
    </row>
    <row r="370" spans="1:4" x14ac:dyDescent="0.3">
      <c r="A370" s="3" t="s">
        <v>517</v>
      </c>
      <c r="B370" s="3" t="s">
        <v>375</v>
      </c>
      <c r="C370" s="3" t="str">
        <f t="shared" si="5"/>
        <v>4500124519120</v>
      </c>
      <c r="D370" s="3" t="s">
        <v>861</v>
      </c>
    </row>
    <row r="371" spans="1:4" x14ac:dyDescent="0.3">
      <c r="A371" s="3" t="s">
        <v>517</v>
      </c>
      <c r="B371" s="3" t="s">
        <v>203</v>
      </c>
      <c r="C371" s="3" t="str">
        <f t="shared" si="5"/>
        <v>4500124519130</v>
      </c>
      <c r="D371" s="3" t="s">
        <v>861</v>
      </c>
    </row>
    <row r="372" spans="1:4" x14ac:dyDescent="0.3">
      <c r="A372" s="3" t="s">
        <v>517</v>
      </c>
      <c r="B372" s="3" t="s">
        <v>376</v>
      </c>
      <c r="C372" s="3" t="str">
        <f t="shared" si="5"/>
        <v>4500124519140</v>
      </c>
      <c r="D372" s="3" t="s">
        <v>861</v>
      </c>
    </row>
    <row r="373" spans="1:4" x14ac:dyDescent="0.3">
      <c r="A373" s="3" t="s">
        <v>517</v>
      </c>
      <c r="B373" s="3" t="s">
        <v>377</v>
      </c>
      <c r="C373" s="3" t="str">
        <f t="shared" si="5"/>
        <v>4500124519150</v>
      </c>
      <c r="D373" s="3" t="s">
        <v>861</v>
      </c>
    </row>
    <row r="374" spans="1:4" x14ac:dyDescent="0.3">
      <c r="A374" s="3" t="s">
        <v>517</v>
      </c>
      <c r="B374" s="3" t="s">
        <v>378</v>
      </c>
      <c r="C374" s="3" t="str">
        <f t="shared" si="5"/>
        <v>4500124519160</v>
      </c>
      <c r="D374" s="3" t="s">
        <v>861</v>
      </c>
    </row>
    <row r="375" spans="1:4" x14ac:dyDescent="0.3">
      <c r="A375" s="3" t="s">
        <v>517</v>
      </c>
      <c r="B375" s="3" t="s">
        <v>324</v>
      </c>
      <c r="C375" s="3" t="str">
        <f t="shared" si="5"/>
        <v>4500124519170</v>
      </c>
      <c r="D375" s="3" t="s">
        <v>861</v>
      </c>
    </row>
    <row r="376" spans="1:4" x14ac:dyDescent="0.3">
      <c r="A376" s="3" t="s">
        <v>517</v>
      </c>
      <c r="B376" s="3" t="s">
        <v>325</v>
      </c>
      <c r="C376" s="3" t="str">
        <f t="shared" si="5"/>
        <v>4500124519180</v>
      </c>
      <c r="D376" s="3" t="s">
        <v>861</v>
      </c>
    </row>
    <row r="377" spans="1:4" x14ac:dyDescent="0.3">
      <c r="A377" s="3" t="s">
        <v>261</v>
      </c>
      <c r="B377" s="3" t="s">
        <v>33</v>
      </c>
      <c r="C377" s="3" t="str">
        <f t="shared" si="5"/>
        <v>450012665410</v>
      </c>
      <c r="D377" s="3" t="s">
        <v>863</v>
      </c>
    </row>
    <row r="378" spans="1:4" x14ac:dyDescent="0.3">
      <c r="A378" s="3" t="s">
        <v>211</v>
      </c>
      <c r="B378" s="3" t="s">
        <v>33</v>
      </c>
      <c r="C378" s="3" t="str">
        <f t="shared" si="5"/>
        <v>450012623010</v>
      </c>
      <c r="D378" s="3" t="s">
        <v>875</v>
      </c>
    </row>
    <row r="379" spans="1:4" x14ac:dyDescent="0.3">
      <c r="A379" s="3" t="s">
        <v>368</v>
      </c>
      <c r="B379" s="3" t="s">
        <v>328</v>
      </c>
      <c r="C379" s="3" t="str">
        <f t="shared" si="5"/>
        <v>4500116389240</v>
      </c>
      <c r="D379" s="3" t="s">
        <v>861</v>
      </c>
    </row>
    <row r="380" spans="1:4" x14ac:dyDescent="0.3">
      <c r="A380" s="3" t="s">
        <v>246</v>
      </c>
      <c r="B380" s="3" t="s">
        <v>21</v>
      </c>
      <c r="C380" s="3" t="str">
        <f t="shared" si="5"/>
        <v>450012748630</v>
      </c>
      <c r="D380" s="3" t="s">
        <v>863</v>
      </c>
    </row>
    <row r="381" spans="1:4" x14ac:dyDescent="0.3">
      <c r="A381" s="3" t="s">
        <v>246</v>
      </c>
      <c r="B381" s="3" t="s">
        <v>20</v>
      </c>
      <c r="C381" s="3" t="str">
        <f t="shared" si="5"/>
        <v>450012748620</v>
      </c>
      <c r="D381" s="3" t="s">
        <v>863</v>
      </c>
    </row>
    <row r="382" spans="1:4" x14ac:dyDescent="0.3">
      <c r="A382" s="3" t="s">
        <v>246</v>
      </c>
      <c r="B382" s="3" t="s">
        <v>33</v>
      </c>
      <c r="C382" s="3" t="str">
        <f t="shared" si="5"/>
        <v>450012748610</v>
      </c>
      <c r="D382" s="3" t="s">
        <v>863</v>
      </c>
    </row>
    <row r="383" spans="1:4" x14ac:dyDescent="0.3">
      <c r="A383" s="3" t="s">
        <v>53</v>
      </c>
      <c r="B383" s="3" t="s">
        <v>33</v>
      </c>
      <c r="C383" s="3" t="str">
        <f t="shared" ref="C383:C446" si="6">_xlfn.CONCAT(A383:B383)</f>
        <v>450012818110</v>
      </c>
      <c r="D383" s="3" t="s">
        <v>859</v>
      </c>
    </row>
    <row r="384" spans="1:4" x14ac:dyDescent="0.3">
      <c r="A384" s="3" t="s">
        <v>676</v>
      </c>
      <c r="B384" s="3" t="s">
        <v>33</v>
      </c>
      <c r="C384" s="3" t="str">
        <f t="shared" si="6"/>
        <v>450014002610</v>
      </c>
      <c r="D384" s="3" t="s">
        <v>860</v>
      </c>
    </row>
    <row r="385" spans="1:4" x14ac:dyDescent="0.3">
      <c r="A385" s="3" t="s">
        <v>316</v>
      </c>
      <c r="B385" s="3" t="s">
        <v>33</v>
      </c>
      <c r="C385" s="3" t="str">
        <f t="shared" si="6"/>
        <v>450012873510</v>
      </c>
      <c r="D385" s="3" t="s">
        <v>875</v>
      </c>
    </row>
    <row r="386" spans="1:4" x14ac:dyDescent="0.3">
      <c r="A386" s="3" t="s">
        <v>305</v>
      </c>
      <c r="B386" s="3" t="s">
        <v>33</v>
      </c>
      <c r="C386" s="3" t="str">
        <f t="shared" si="6"/>
        <v>450013130110</v>
      </c>
      <c r="D386" s="3" t="s">
        <v>860</v>
      </c>
    </row>
    <row r="387" spans="1:4" x14ac:dyDescent="0.3">
      <c r="A387" s="3" t="s">
        <v>338</v>
      </c>
      <c r="B387" s="3" t="s">
        <v>33</v>
      </c>
      <c r="C387" s="3" t="str">
        <f t="shared" si="6"/>
        <v>450013023810</v>
      </c>
      <c r="D387" s="3" t="s">
        <v>863</v>
      </c>
    </row>
    <row r="388" spans="1:4" x14ac:dyDescent="0.3">
      <c r="A388" s="3" t="s">
        <v>338</v>
      </c>
      <c r="B388" s="3" t="s">
        <v>20</v>
      </c>
      <c r="C388" s="3" t="str">
        <f t="shared" si="6"/>
        <v>450013023820</v>
      </c>
      <c r="D388" s="3" t="s">
        <v>863</v>
      </c>
    </row>
    <row r="389" spans="1:4" x14ac:dyDescent="0.3">
      <c r="A389" s="3" t="s">
        <v>808</v>
      </c>
      <c r="B389" s="3" t="s">
        <v>322</v>
      </c>
      <c r="C389" s="3" t="str">
        <f t="shared" si="6"/>
        <v>450013262190</v>
      </c>
      <c r="D389" s="3" t="s">
        <v>859</v>
      </c>
    </row>
    <row r="390" spans="1:4" x14ac:dyDescent="0.3">
      <c r="A390" s="3" t="s">
        <v>338</v>
      </c>
      <c r="B390" s="3" t="s">
        <v>203</v>
      </c>
      <c r="C390" s="3" t="str">
        <f t="shared" si="6"/>
        <v>4500130238130</v>
      </c>
      <c r="D390" s="3" t="s">
        <v>863</v>
      </c>
    </row>
    <row r="391" spans="1:4" x14ac:dyDescent="0.3">
      <c r="A391" s="3" t="s">
        <v>338</v>
      </c>
      <c r="B391" s="3" t="s">
        <v>376</v>
      </c>
      <c r="C391" s="3" t="str">
        <f t="shared" si="6"/>
        <v>4500130238140</v>
      </c>
      <c r="D391" s="3" t="s">
        <v>863</v>
      </c>
    </row>
    <row r="392" spans="1:4" x14ac:dyDescent="0.3">
      <c r="A392" s="3" t="s">
        <v>338</v>
      </c>
      <c r="B392" s="3" t="s">
        <v>377</v>
      </c>
      <c r="C392" s="3" t="str">
        <f t="shared" si="6"/>
        <v>4500130238150</v>
      </c>
      <c r="D392" s="3" t="s">
        <v>863</v>
      </c>
    </row>
    <row r="393" spans="1:4" x14ac:dyDescent="0.3">
      <c r="A393" s="3" t="s">
        <v>338</v>
      </c>
      <c r="B393" s="3" t="s">
        <v>378</v>
      </c>
      <c r="C393" s="3" t="str">
        <f t="shared" si="6"/>
        <v>4500130238160</v>
      </c>
      <c r="D393" s="3" t="s">
        <v>863</v>
      </c>
    </row>
    <row r="394" spans="1:4" x14ac:dyDescent="0.3">
      <c r="A394" s="3" t="s">
        <v>338</v>
      </c>
      <c r="B394" s="3" t="s">
        <v>324</v>
      </c>
      <c r="C394" s="3" t="str">
        <f t="shared" si="6"/>
        <v>4500130238170</v>
      </c>
      <c r="D394" s="3" t="s">
        <v>863</v>
      </c>
    </row>
    <row r="395" spans="1:4" x14ac:dyDescent="0.3">
      <c r="A395" s="3" t="s">
        <v>338</v>
      </c>
      <c r="B395" s="3" t="s">
        <v>325</v>
      </c>
      <c r="C395" s="3" t="str">
        <f t="shared" si="6"/>
        <v>4500130238180</v>
      </c>
      <c r="D395" s="3" t="s">
        <v>863</v>
      </c>
    </row>
    <row r="396" spans="1:4" x14ac:dyDescent="0.3">
      <c r="A396" s="3" t="s">
        <v>338</v>
      </c>
      <c r="B396" s="3" t="s">
        <v>379</v>
      </c>
      <c r="C396" s="3" t="str">
        <f t="shared" si="6"/>
        <v>4500130238190</v>
      </c>
      <c r="D396" s="3" t="s">
        <v>863</v>
      </c>
    </row>
    <row r="397" spans="1:4" x14ac:dyDescent="0.3">
      <c r="A397" s="3" t="s">
        <v>338</v>
      </c>
      <c r="B397" s="3" t="s">
        <v>326</v>
      </c>
      <c r="C397" s="3" t="str">
        <f t="shared" si="6"/>
        <v>4500130238210</v>
      </c>
      <c r="D397" s="3" t="s">
        <v>863</v>
      </c>
    </row>
    <row r="398" spans="1:4" x14ac:dyDescent="0.3">
      <c r="A398" s="3" t="s">
        <v>808</v>
      </c>
      <c r="B398" s="3" t="s">
        <v>321</v>
      </c>
      <c r="C398" s="3" t="str">
        <f t="shared" si="6"/>
        <v>450013262180</v>
      </c>
      <c r="D398" s="3" t="s">
        <v>859</v>
      </c>
    </row>
    <row r="399" spans="1:4" x14ac:dyDescent="0.3">
      <c r="A399" s="3" t="s">
        <v>338</v>
      </c>
      <c r="B399" s="3" t="s">
        <v>21</v>
      </c>
      <c r="C399" s="3" t="str">
        <f t="shared" si="6"/>
        <v>450013023830</v>
      </c>
      <c r="D399" s="3" t="s">
        <v>863</v>
      </c>
    </row>
    <row r="400" spans="1:4" x14ac:dyDescent="0.3">
      <c r="A400" s="3" t="s">
        <v>338</v>
      </c>
      <c r="B400" s="3" t="s">
        <v>25</v>
      </c>
      <c r="C400" s="3" t="str">
        <f t="shared" si="6"/>
        <v>450013023840</v>
      </c>
      <c r="D400" s="3" t="s">
        <v>863</v>
      </c>
    </row>
    <row r="401" spans="1:4" x14ac:dyDescent="0.3">
      <c r="A401" s="3" t="s">
        <v>338</v>
      </c>
      <c r="B401" s="3" t="s">
        <v>22</v>
      </c>
      <c r="C401" s="3" t="str">
        <f t="shared" si="6"/>
        <v>450013023850</v>
      </c>
      <c r="D401" s="3" t="s">
        <v>863</v>
      </c>
    </row>
    <row r="402" spans="1:4" x14ac:dyDescent="0.3">
      <c r="A402" s="3" t="s">
        <v>338</v>
      </c>
      <c r="B402" s="3" t="s">
        <v>23</v>
      </c>
      <c r="C402" s="3" t="str">
        <f t="shared" si="6"/>
        <v>450013023860</v>
      </c>
      <c r="D402" s="3" t="s">
        <v>863</v>
      </c>
    </row>
    <row r="403" spans="1:4" x14ac:dyDescent="0.3">
      <c r="A403" s="3" t="s">
        <v>338</v>
      </c>
      <c r="B403" s="3" t="s">
        <v>24</v>
      </c>
      <c r="C403" s="3" t="str">
        <f t="shared" si="6"/>
        <v>450013023870</v>
      </c>
      <c r="D403" s="3" t="s">
        <v>863</v>
      </c>
    </row>
    <row r="404" spans="1:4" x14ac:dyDescent="0.3">
      <c r="A404" s="3" t="s">
        <v>338</v>
      </c>
      <c r="B404" s="3" t="s">
        <v>321</v>
      </c>
      <c r="C404" s="3" t="str">
        <f t="shared" si="6"/>
        <v>450013023880</v>
      </c>
      <c r="D404" s="3" t="s">
        <v>863</v>
      </c>
    </row>
    <row r="405" spans="1:4" x14ac:dyDescent="0.3">
      <c r="A405" s="3" t="s">
        <v>338</v>
      </c>
      <c r="B405" s="3" t="s">
        <v>322</v>
      </c>
      <c r="C405" s="3" t="str">
        <f t="shared" si="6"/>
        <v>450013023890</v>
      </c>
      <c r="D405" s="3" t="s">
        <v>863</v>
      </c>
    </row>
    <row r="406" spans="1:4" x14ac:dyDescent="0.3">
      <c r="A406" s="3" t="s">
        <v>338</v>
      </c>
      <c r="B406" s="3" t="s">
        <v>375</v>
      </c>
      <c r="C406" s="3" t="str">
        <f t="shared" si="6"/>
        <v>4500130238120</v>
      </c>
      <c r="D406" s="3" t="s">
        <v>863</v>
      </c>
    </row>
    <row r="407" spans="1:4" x14ac:dyDescent="0.3">
      <c r="A407" s="3" t="s">
        <v>808</v>
      </c>
      <c r="B407" s="3" t="s">
        <v>23</v>
      </c>
      <c r="C407" s="3" t="str">
        <f t="shared" si="6"/>
        <v>450013262160</v>
      </c>
      <c r="D407" s="3" t="s">
        <v>859</v>
      </c>
    </row>
    <row r="408" spans="1:4" x14ac:dyDescent="0.3">
      <c r="A408" s="3" t="s">
        <v>808</v>
      </c>
      <c r="B408" s="3" t="s">
        <v>24</v>
      </c>
      <c r="C408" s="3" t="str">
        <f t="shared" si="6"/>
        <v>450013262170</v>
      </c>
      <c r="D408" s="3" t="s">
        <v>859</v>
      </c>
    </row>
    <row r="409" spans="1:4" x14ac:dyDescent="0.3">
      <c r="A409" s="3" t="s">
        <v>285</v>
      </c>
      <c r="B409" s="3" t="s">
        <v>33</v>
      </c>
      <c r="C409" s="3" t="str">
        <f t="shared" si="6"/>
        <v>450013045310</v>
      </c>
      <c r="D409" s="3" t="s">
        <v>865</v>
      </c>
    </row>
    <row r="410" spans="1:4" x14ac:dyDescent="0.3">
      <c r="A410" s="3" t="s">
        <v>287</v>
      </c>
      <c r="B410" s="3" t="s">
        <v>33</v>
      </c>
      <c r="C410" s="3" t="str">
        <f t="shared" si="6"/>
        <v>450013017110</v>
      </c>
      <c r="D410" s="3" t="s">
        <v>865</v>
      </c>
    </row>
    <row r="411" spans="1:4" x14ac:dyDescent="0.3">
      <c r="A411" s="3" t="s">
        <v>338</v>
      </c>
      <c r="B411" s="3" t="s">
        <v>323</v>
      </c>
      <c r="C411" s="3" t="str">
        <f t="shared" si="6"/>
        <v>4500130238100</v>
      </c>
      <c r="D411" s="3" t="s">
        <v>863</v>
      </c>
    </row>
    <row r="412" spans="1:4" x14ac:dyDescent="0.3">
      <c r="A412" s="3" t="s">
        <v>338</v>
      </c>
      <c r="B412" s="3" t="s">
        <v>175</v>
      </c>
      <c r="C412" s="3" t="str">
        <f t="shared" si="6"/>
        <v>4500130238110</v>
      </c>
      <c r="D412" s="3" t="s">
        <v>863</v>
      </c>
    </row>
    <row r="413" spans="1:4" x14ac:dyDescent="0.3">
      <c r="A413" s="3" t="s">
        <v>353</v>
      </c>
      <c r="B413" s="3" t="s">
        <v>33</v>
      </c>
      <c r="C413" s="3" t="str">
        <f t="shared" si="6"/>
        <v>450013040410</v>
      </c>
      <c r="D413" s="3" t="s">
        <v>868</v>
      </c>
    </row>
    <row r="414" spans="1:4" x14ac:dyDescent="0.3">
      <c r="A414" s="3" t="s">
        <v>282</v>
      </c>
      <c r="B414" s="3" t="s">
        <v>33</v>
      </c>
      <c r="C414" s="3" t="str">
        <f t="shared" si="6"/>
        <v>450013049610</v>
      </c>
      <c r="D414" s="3" t="s">
        <v>878</v>
      </c>
    </row>
    <row r="415" spans="1:4" x14ac:dyDescent="0.3">
      <c r="A415" s="3" t="s">
        <v>302</v>
      </c>
      <c r="B415" s="3" t="s">
        <v>33</v>
      </c>
      <c r="C415" s="3" t="str">
        <f t="shared" si="6"/>
        <v>450013077310</v>
      </c>
      <c r="D415" s="3" t="s">
        <v>865</v>
      </c>
    </row>
    <row r="416" spans="1:4" x14ac:dyDescent="0.3">
      <c r="A416" s="3" t="s">
        <v>320</v>
      </c>
      <c r="B416" s="3" t="s">
        <v>175</v>
      </c>
      <c r="C416" s="3" t="str">
        <f t="shared" si="6"/>
        <v>4500130855110</v>
      </c>
      <c r="D416" s="3" t="s">
        <v>863</v>
      </c>
    </row>
    <row r="417" spans="1:4" x14ac:dyDescent="0.3">
      <c r="A417" s="3" t="s">
        <v>320</v>
      </c>
      <c r="B417" s="3" t="s">
        <v>375</v>
      </c>
      <c r="C417" s="3" t="str">
        <f t="shared" si="6"/>
        <v>4500130855120</v>
      </c>
      <c r="D417" s="3" t="s">
        <v>863</v>
      </c>
    </row>
    <row r="418" spans="1:4" x14ac:dyDescent="0.3">
      <c r="A418" s="3" t="s">
        <v>320</v>
      </c>
      <c r="B418" s="3" t="s">
        <v>203</v>
      </c>
      <c r="C418" s="3" t="str">
        <f t="shared" si="6"/>
        <v>4500130855130</v>
      </c>
      <c r="D418" s="3" t="s">
        <v>863</v>
      </c>
    </row>
    <row r="419" spans="1:4" x14ac:dyDescent="0.3">
      <c r="A419" s="3" t="s">
        <v>320</v>
      </c>
      <c r="B419" s="3" t="s">
        <v>324</v>
      </c>
      <c r="C419" s="3" t="str">
        <f t="shared" si="6"/>
        <v>4500130855170</v>
      </c>
      <c r="D419" s="3" t="s">
        <v>863</v>
      </c>
    </row>
    <row r="420" spans="1:4" x14ac:dyDescent="0.3">
      <c r="A420" s="3" t="s">
        <v>320</v>
      </c>
      <c r="B420" s="3" t="s">
        <v>325</v>
      </c>
      <c r="C420" s="3" t="str">
        <f t="shared" si="6"/>
        <v>4500130855180</v>
      </c>
      <c r="D420" s="3" t="s">
        <v>863</v>
      </c>
    </row>
    <row r="421" spans="1:4" x14ac:dyDescent="0.3">
      <c r="A421" s="3" t="s">
        <v>320</v>
      </c>
      <c r="B421" s="3" t="s">
        <v>326</v>
      </c>
      <c r="C421" s="3" t="str">
        <f t="shared" si="6"/>
        <v>4500130855210</v>
      </c>
      <c r="D421" s="3" t="s">
        <v>863</v>
      </c>
    </row>
    <row r="422" spans="1:4" x14ac:dyDescent="0.3">
      <c r="A422" s="3" t="s">
        <v>320</v>
      </c>
      <c r="B422" s="3" t="s">
        <v>327</v>
      </c>
      <c r="C422" s="3" t="str">
        <f t="shared" si="6"/>
        <v>4500130855230</v>
      </c>
      <c r="D422" s="3" t="s">
        <v>863</v>
      </c>
    </row>
    <row r="423" spans="1:4" x14ac:dyDescent="0.3">
      <c r="A423" s="3" t="s">
        <v>320</v>
      </c>
      <c r="B423" s="3" t="s">
        <v>328</v>
      </c>
      <c r="C423" s="3" t="str">
        <f t="shared" si="6"/>
        <v>4500130855240</v>
      </c>
      <c r="D423" s="3" t="s">
        <v>863</v>
      </c>
    </row>
    <row r="424" spans="1:4" x14ac:dyDescent="0.3">
      <c r="A424" s="3" t="s">
        <v>320</v>
      </c>
      <c r="B424" s="3" t="s">
        <v>329</v>
      </c>
      <c r="C424" s="3" t="str">
        <f t="shared" si="6"/>
        <v>4500130855250</v>
      </c>
      <c r="D424" s="3" t="s">
        <v>863</v>
      </c>
    </row>
    <row r="425" spans="1:4" x14ac:dyDescent="0.3">
      <c r="A425" s="3" t="s">
        <v>320</v>
      </c>
      <c r="B425" s="3" t="s">
        <v>330</v>
      </c>
      <c r="C425" s="3" t="str">
        <f t="shared" si="6"/>
        <v>4500130855260</v>
      </c>
      <c r="D425" s="3" t="s">
        <v>863</v>
      </c>
    </row>
    <row r="426" spans="1:4" x14ac:dyDescent="0.3">
      <c r="A426" s="3" t="s">
        <v>320</v>
      </c>
      <c r="B426" s="3" t="s">
        <v>33</v>
      </c>
      <c r="C426" s="3" t="str">
        <f t="shared" si="6"/>
        <v>450013085510</v>
      </c>
      <c r="D426" s="3" t="s">
        <v>863</v>
      </c>
    </row>
    <row r="427" spans="1:4" x14ac:dyDescent="0.3">
      <c r="A427" s="3" t="s">
        <v>320</v>
      </c>
      <c r="B427" s="3" t="s">
        <v>20</v>
      </c>
      <c r="C427" s="3" t="str">
        <f t="shared" si="6"/>
        <v>450013085520</v>
      </c>
      <c r="D427" s="3" t="s">
        <v>863</v>
      </c>
    </row>
    <row r="428" spans="1:4" x14ac:dyDescent="0.3">
      <c r="A428" s="3" t="s">
        <v>320</v>
      </c>
      <c r="B428" s="3" t="s">
        <v>21</v>
      </c>
      <c r="C428" s="3" t="str">
        <f t="shared" si="6"/>
        <v>450013085530</v>
      </c>
      <c r="D428" s="3" t="s">
        <v>863</v>
      </c>
    </row>
    <row r="429" spans="1:4" x14ac:dyDescent="0.3">
      <c r="A429" s="3" t="s">
        <v>320</v>
      </c>
      <c r="B429" s="3" t="s">
        <v>25</v>
      </c>
      <c r="C429" s="3" t="str">
        <f t="shared" si="6"/>
        <v>450013085540</v>
      </c>
      <c r="D429" s="3" t="s">
        <v>863</v>
      </c>
    </row>
    <row r="430" spans="1:4" x14ac:dyDescent="0.3">
      <c r="A430" s="3" t="s">
        <v>320</v>
      </c>
      <c r="B430" s="3" t="s">
        <v>22</v>
      </c>
      <c r="C430" s="3" t="str">
        <f t="shared" si="6"/>
        <v>450013085550</v>
      </c>
      <c r="D430" s="3" t="s">
        <v>863</v>
      </c>
    </row>
    <row r="431" spans="1:4" x14ac:dyDescent="0.3">
      <c r="A431" s="3" t="s">
        <v>320</v>
      </c>
      <c r="B431" s="3" t="s">
        <v>23</v>
      </c>
      <c r="C431" s="3" t="str">
        <f t="shared" si="6"/>
        <v>450013085560</v>
      </c>
      <c r="D431" s="3" t="s">
        <v>863</v>
      </c>
    </row>
    <row r="432" spans="1:4" x14ac:dyDescent="0.3">
      <c r="A432" s="3" t="s">
        <v>320</v>
      </c>
      <c r="B432" s="3" t="s">
        <v>24</v>
      </c>
      <c r="C432" s="3" t="str">
        <f t="shared" si="6"/>
        <v>450013085570</v>
      </c>
      <c r="D432" s="3" t="s">
        <v>863</v>
      </c>
    </row>
    <row r="433" spans="1:4" x14ac:dyDescent="0.3">
      <c r="A433" s="3" t="s">
        <v>320</v>
      </c>
      <c r="B433" s="3" t="s">
        <v>321</v>
      </c>
      <c r="C433" s="3" t="str">
        <f t="shared" si="6"/>
        <v>450013085580</v>
      </c>
      <c r="D433" s="3" t="s">
        <v>863</v>
      </c>
    </row>
    <row r="434" spans="1:4" x14ac:dyDescent="0.3">
      <c r="A434" s="3" t="s">
        <v>320</v>
      </c>
      <c r="B434" s="3" t="s">
        <v>322</v>
      </c>
      <c r="C434" s="3" t="str">
        <f t="shared" si="6"/>
        <v>450013085590</v>
      </c>
      <c r="D434" s="3" t="s">
        <v>863</v>
      </c>
    </row>
    <row r="435" spans="1:4" x14ac:dyDescent="0.3">
      <c r="A435" s="3" t="s">
        <v>320</v>
      </c>
      <c r="B435" s="3" t="s">
        <v>323</v>
      </c>
      <c r="C435" s="3" t="str">
        <f t="shared" si="6"/>
        <v>4500130855100</v>
      </c>
      <c r="D435" s="3" t="s">
        <v>863</v>
      </c>
    </row>
    <row r="436" spans="1:4" x14ac:dyDescent="0.3">
      <c r="A436" s="3" t="s">
        <v>808</v>
      </c>
      <c r="B436" s="3" t="s">
        <v>33</v>
      </c>
      <c r="C436" s="3" t="str">
        <f t="shared" si="6"/>
        <v>450013262110</v>
      </c>
      <c r="D436" s="3" t="s">
        <v>859</v>
      </c>
    </row>
    <row r="437" spans="1:4" x14ac:dyDescent="0.3">
      <c r="A437" s="3" t="s">
        <v>808</v>
      </c>
      <c r="B437" s="3" t="s">
        <v>25</v>
      </c>
      <c r="C437" s="3" t="str">
        <f t="shared" si="6"/>
        <v>450013262140</v>
      </c>
      <c r="D437" s="3" t="s">
        <v>859</v>
      </c>
    </row>
    <row r="438" spans="1:4" x14ac:dyDescent="0.3">
      <c r="A438" s="3" t="s">
        <v>808</v>
      </c>
      <c r="B438" s="3" t="s">
        <v>21</v>
      </c>
      <c r="C438" s="3" t="str">
        <f t="shared" si="6"/>
        <v>450013262130</v>
      </c>
      <c r="D438" s="3" t="s">
        <v>859</v>
      </c>
    </row>
    <row r="439" spans="1:4" x14ac:dyDescent="0.3">
      <c r="A439" s="3" t="s">
        <v>407</v>
      </c>
      <c r="B439" s="3" t="s">
        <v>33</v>
      </c>
      <c r="C439" s="3" t="str">
        <f t="shared" si="6"/>
        <v>450013552910</v>
      </c>
      <c r="D439" s="3" t="s">
        <v>860</v>
      </c>
    </row>
    <row r="440" spans="1:4" x14ac:dyDescent="0.3">
      <c r="A440" s="3" t="s">
        <v>367</v>
      </c>
      <c r="B440" s="3" t="s">
        <v>33</v>
      </c>
      <c r="C440" s="3" t="str">
        <f t="shared" si="6"/>
        <v>450013216210</v>
      </c>
      <c r="D440" s="3" t="s">
        <v>860</v>
      </c>
    </row>
    <row r="441" spans="1:4" x14ac:dyDescent="0.3">
      <c r="A441" s="3" t="s">
        <v>364</v>
      </c>
      <c r="B441" s="3" t="s">
        <v>33</v>
      </c>
      <c r="C441" s="3" t="str">
        <f t="shared" si="6"/>
        <v>450013283310</v>
      </c>
      <c r="D441" s="3" t="s">
        <v>859</v>
      </c>
    </row>
    <row r="442" spans="1:4" x14ac:dyDescent="0.3">
      <c r="A442" s="3" t="s">
        <v>808</v>
      </c>
      <c r="B442" s="3" t="s">
        <v>20</v>
      </c>
      <c r="C442" s="3" t="str">
        <f t="shared" si="6"/>
        <v>450013262120</v>
      </c>
      <c r="D442" s="3" t="s">
        <v>859</v>
      </c>
    </row>
    <row r="443" spans="1:4" x14ac:dyDescent="0.3">
      <c r="A443" s="3" t="s">
        <v>395</v>
      </c>
      <c r="B443" s="3" t="s">
        <v>33</v>
      </c>
      <c r="C443" s="3" t="str">
        <f t="shared" si="6"/>
        <v>450013482110</v>
      </c>
      <c r="D443" s="3" t="s">
        <v>860</v>
      </c>
    </row>
    <row r="444" spans="1:4" x14ac:dyDescent="0.3">
      <c r="A444" s="3" t="s">
        <v>403</v>
      </c>
      <c r="B444" s="3" t="s">
        <v>20</v>
      </c>
      <c r="C444" s="3" t="str">
        <f t="shared" si="6"/>
        <v>450013527520</v>
      </c>
      <c r="D444" s="3" t="s">
        <v>860</v>
      </c>
    </row>
    <row r="445" spans="1:4" x14ac:dyDescent="0.3">
      <c r="A445" s="3" t="s">
        <v>374</v>
      </c>
      <c r="B445" s="3" t="s">
        <v>378</v>
      </c>
      <c r="C445" s="3" t="str">
        <f t="shared" si="6"/>
        <v>4500132791160</v>
      </c>
      <c r="D445" s="3" t="s">
        <v>865</v>
      </c>
    </row>
    <row r="446" spans="1:4" x14ac:dyDescent="0.3">
      <c r="A446" s="3" t="s">
        <v>374</v>
      </c>
      <c r="B446" s="3" t="s">
        <v>324</v>
      </c>
      <c r="C446" s="3" t="str">
        <f t="shared" si="6"/>
        <v>4500132791170</v>
      </c>
      <c r="D446" s="3" t="s">
        <v>865</v>
      </c>
    </row>
    <row r="447" spans="1:4" x14ac:dyDescent="0.3">
      <c r="A447" s="3" t="s">
        <v>374</v>
      </c>
      <c r="B447" s="3" t="s">
        <v>325</v>
      </c>
      <c r="C447" s="3" t="str">
        <f t="shared" ref="C447:C510" si="7">_xlfn.CONCAT(A447:B447)</f>
        <v>4500132791180</v>
      </c>
      <c r="D447" s="3" t="s">
        <v>865</v>
      </c>
    </row>
    <row r="448" spans="1:4" x14ac:dyDescent="0.3">
      <c r="A448" s="3" t="s">
        <v>374</v>
      </c>
      <c r="B448" s="3" t="s">
        <v>379</v>
      </c>
      <c r="C448" s="3" t="str">
        <f t="shared" si="7"/>
        <v>4500132791190</v>
      </c>
      <c r="D448" s="3" t="s">
        <v>865</v>
      </c>
    </row>
    <row r="449" spans="1:4" x14ac:dyDescent="0.3">
      <c r="A449" s="3" t="s">
        <v>374</v>
      </c>
      <c r="B449" s="3" t="s">
        <v>380</v>
      </c>
      <c r="C449" s="3" t="str">
        <f t="shared" si="7"/>
        <v>4500132791200</v>
      </c>
      <c r="D449" s="3" t="s">
        <v>865</v>
      </c>
    </row>
    <row r="450" spans="1:4" x14ac:dyDescent="0.3">
      <c r="A450" s="3" t="s">
        <v>374</v>
      </c>
      <c r="B450" s="3" t="s">
        <v>326</v>
      </c>
      <c r="C450" s="3" t="str">
        <f t="shared" si="7"/>
        <v>4500132791210</v>
      </c>
      <c r="D450" s="3" t="s">
        <v>865</v>
      </c>
    </row>
    <row r="451" spans="1:4" x14ac:dyDescent="0.3">
      <c r="A451" s="3" t="s">
        <v>374</v>
      </c>
      <c r="B451" s="3" t="s">
        <v>33</v>
      </c>
      <c r="C451" s="3" t="str">
        <f t="shared" si="7"/>
        <v>450013279110</v>
      </c>
      <c r="D451" s="3" t="s">
        <v>865</v>
      </c>
    </row>
    <row r="452" spans="1:4" x14ac:dyDescent="0.3">
      <c r="A452" s="3" t="s">
        <v>374</v>
      </c>
      <c r="B452" s="3" t="s">
        <v>20</v>
      </c>
      <c r="C452" s="3" t="str">
        <f t="shared" si="7"/>
        <v>450013279120</v>
      </c>
      <c r="D452" s="3" t="s">
        <v>865</v>
      </c>
    </row>
    <row r="453" spans="1:4" x14ac:dyDescent="0.3">
      <c r="A453" s="3" t="s">
        <v>374</v>
      </c>
      <c r="B453" s="3" t="s">
        <v>21</v>
      </c>
      <c r="C453" s="3" t="str">
        <f t="shared" si="7"/>
        <v>450013279130</v>
      </c>
      <c r="D453" s="3" t="s">
        <v>865</v>
      </c>
    </row>
    <row r="454" spans="1:4" x14ac:dyDescent="0.3">
      <c r="A454" s="3" t="s">
        <v>374</v>
      </c>
      <c r="B454" s="3" t="s">
        <v>25</v>
      </c>
      <c r="C454" s="3" t="str">
        <f t="shared" si="7"/>
        <v>450013279140</v>
      </c>
      <c r="D454" s="3" t="s">
        <v>865</v>
      </c>
    </row>
    <row r="455" spans="1:4" x14ac:dyDescent="0.3">
      <c r="A455" s="3" t="s">
        <v>374</v>
      </c>
      <c r="B455" s="3" t="s">
        <v>22</v>
      </c>
      <c r="C455" s="3" t="str">
        <f t="shared" si="7"/>
        <v>450013279150</v>
      </c>
      <c r="D455" s="3" t="s">
        <v>865</v>
      </c>
    </row>
    <row r="456" spans="1:4" x14ac:dyDescent="0.3">
      <c r="A456" s="3" t="s">
        <v>374</v>
      </c>
      <c r="B456" s="3" t="s">
        <v>23</v>
      </c>
      <c r="C456" s="3" t="str">
        <f t="shared" si="7"/>
        <v>450013279160</v>
      </c>
      <c r="D456" s="3" t="s">
        <v>865</v>
      </c>
    </row>
    <row r="457" spans="1:4" x14ac:dyDescent="0.3">
      <c r="A457" s="3" t="s">
        <v>374</v>
      </c>
      <c r="B457" s="3" t="s">
        <v>24</v>
      </c>
      <c r="C457" s="3" t="str">
        <f t="shared" si="7"/>
        <v>450013279170</v>
      </c>
      <c r="D457" s="3" t="s">
        <v>865</v>
      </c>
    </row>
    <row r="458" spans="1:4" x14ac:dyDescent="0.3">
      <c r="A458" s="3" t="s">
        <v>374</v>
      </c>
      <c r="B458" s="3" t="s">
        <v>321</v>
      </c>
      <c r="C458" s="3" t="str">
        <f t="shared" si="7"/>
        <v>450013279180</v>
      </c>
      <c r="D458" s="3" t="s">
        <v>865</v>
      </c>
    </row>
    <row r="459" spans="1:4" x14ac:dyDescent="0.3">
      <c r="A459" s="3" t="s">
        <v>374</v>
      </c>
      <c r="B459" s="3" t="s">
        <v>322</v>
      </c>
      <c r="C459" s="3" t="str">
        <f t="shared" si="7"/>
        <v>450013279190</v>
      </c>
      <c r="D459" s="3" t="s">
        <v>865</v>
      </c>
    </row>
    <row r="460" spans="1:4" x14ac:dyDescent="0.3">
      <c r="A460" s="3" t="s">
        <v>374</v>
      </c>
      <c r="B460" s="3" t="s">
        <v>323</v>
      </c>
      <c r="C460" s="3" t="str">
        <f t="shared" si="7"/>
        <v>4500132791100</v>
      </c>
      <c r="D460" s="3" t="s">
        <v>865</v>
      </c>
    </row>
    <row r="461" spans="1:4" x14ac:dyDescent="0.3">
      <c r="A461" s="3" t="s">
        <v>374</v>
      </c>
      <c r="B461" s="3" t="s">
        <v>175</v>
      </c>
      <c r="C461" s="3" t="str">
        <f t="shared" si="7"/>
        <v>4500132791110</v>
      </c>
      <c r="D461" s="3" t="s">
        <v>865</v>
      </c>
    </row>
    <row r="462" spans="1:4" x14ac:dyDescent="0.3">
      <c r="A462" s="3" t="s">
        <v>374</v>
      </c>
      <c r="B462" s="3" t="s">
        <v>375</v>
      </c>
      <c r="C462" s="3" t="str">
        <f t="shared" si="7"/>
        <v>4500132791120</v>
      </c>
      <c r="D462" s="3" t="s">
        <v>865</v>
      </c>
    </row>
    <row r="463" spans="1:4" x14ac:dyDescent="0.3">
      <c r="A463" s="3" t="s">
        <v>374</v>
      </c>
      <c r="B463" s="3" t="s">
        <v>203</v>
      </c>
      <c r="C463" s="3" t="str">
        <f t="shared" si="7"/>
        <v>4500132791130</v>
      </c>
      <c r="D463" s="3" t="s">
        <v>865</v>
      </c>
    </row>
    <row r="464" spans="1:4" x14ac:dyDescent="0.3">
      <c r="A464" s="3" t="s">
        <v>374</v>
      </c>
      <c r="B464" s="3" t="s">
        <v>376</v>
      </c>
      <c r="C464" s="3" t="str">
        <f t="shared" si="7"/>
        <v>4500132791140</v>
      </c>
      <c r="D464" s="3" t="s">
        <v>865</v>
      </c>
    </row>
    <row r="465" spans="1:4" x14ac:dyDescent="0.3">
      <c r="A465" s="3" t="s">
        <v>374</v>
      </c>
      <c r="B465" s="3" t="s">
        <v>377</v>
      </c>
      <c r="C465" s="3" t="str">
        <f t="shared" si="7"/>
        <v>4500132791150</v>
      </c>
      <c r="D465" s="3" t="s">
        <v>865</v>
      </c>
    </row>
    <row r="466" spans="1:4" x14ac:dyDescent="0.3">
      <c r="A466" s="3" t="s">
        <v>351</v>
      </c>
      <c r="B466" s="3" t="s">
        <v>33</v>
      </c>
      <c r="C466" s="3" t="str">
        <f t="shared" si="7"/>
        <v>450013317710</v>
      </c>
      <c r="D466" s="3" t="s">
        <v>860</v>
      </c>
    </row>
    <row r="467" spans="1:4" x14ac:dyDescent="0.3">
      <c r="A467" s="3" t="s">
        <v>563</v>
      </c>
      <c r="B467" s="3" t="s">
        <v>33</v>
      </c>
      <c r="C467" s="3" t="str">
        <f t="shared" si="7"/>
        <v>450013464610</v>
      </c>
      <c r="D467" s="3" t="s">
        <v>867</v>
      </c>
    </row>
    <row r="468" spans="1:4" x14ac:dyDescent="0.3">
      <c r="A468" s="3" t="s">
        <v>563</v>
      </c>
      <c r="B468" s="3" t="s">
        <v>20</v>
      </c>
      <c r="C468" s="3" t="str">
        <f t="shared" si="7"/>
        <v>450013464620</v>
      </c>
      <c r="D468" s="3" t="s">
        <v>867</v>
      </c>
    </row>
    <row r="469" spans="1:4" x14ac:dyDescent="0.3">
      <c r="A469" s="3" t="s">
        <v>563</v>
      </c>
      <c r="B469" s="3" t="s">
        <v>21</v>
      </c>
      <c r="C469" s="3" t="str">
        <f t="shared" si="7"/>
        <v>450013464630</v>
      </c>
      <c r="D469" s="3" t="s">
        <v>867</v>
      </c>
    </row>
    <row r="470" spans="1:4" x14ac:dyDescent="0.3">
      <c r="A470" s="3" t="s">
        <v>563</v>
      </c>
      <c r="B470" s="3" t="s">
        <v>25</v>
      </c>
      <c r="C470" s="3" t="str">
        <f t="shared" si="7"/>
        <v>450013464640</v>
      </c>
      <c r="D470" s="3" t="s">
        <v>867</v>
      </c>
    </row>
    <row r="471" spans="1:4" x14ac:dyDescent="0.3">
      <c r="A471" s="3" t="s">
        <v>563</v>
      </c>
      <c r="B471" s="3" t="s">
        <v>22</v>
      </c>
      <c r="C471" s="3" t="str">
        <f t="shared" si="7"/>
        <v>450013464650</v>
      </c>
      <c r="D471" s="3" t="s">
        <v>867</v>
      </c>
    </row>
    <row r="472" spans="1:4" x14ac:dyDescent="0.3">
      <c r="A472" s="3" t="s">
        <v>563</v>
      </c>
      <c r="B472" s="3" t="s">
        <v>23</v>
      </c>
      <c r="C472" s="3" t="str">
        <f t="shared" si="7"/>
        <v>450013464660</v>
      </c>
      <c r="D472" s="3" t="s">
        <v>867</v>
      </c>
    </row>
    <row r="473" spans="1:4" x14ac:dyDescent="0.3">
      <c r="A473" s="3" t="s">
        <v>563</v>
      </c>
      <c r="B473" s="3" t="s">
        <v>24</v>
      </c>
      <c r="C473" s="3" t="str">
        <f t="shared" si="7"/>
        <v>450013464670</v>
      </c>
      <c r="D473" s="3" t="s">
        <v>867</v>
      </c>
    </row>
    <row r="474" spans="1:4" x14ac:dyDescent="0.3">
      <c r="A474" s="3" t="s">
        <v>563</v>
      </c>
      <c r="B474" s="3" t="s">
        <v>321</v>
      </c>
      <c r="C474" s="3" t="str">
        <f t="shared" si="7"/>
        <v>450013464680</v>
      </c>
      <c r="D474" s="3" t="s">
        <v>867</v>
      </c>
    </row>
    <row r="475" spans="1:4" x14ac:dyDescent="0.3">
      <c r="A475" s="3" t="s">
        <v>563</v>
      </c>
      <c r="B475" s="3" t="s">
        <v>322</v>
      </c>
      <c r="C475" s="3" t="str">
        <f t="shared" si="7"/>
        <v>450013464690</v>
      </c>
      <c r="D475" s="3" t="s">
        <v>867</v>
      </c>
    </row>
    <row r="476" spans="1:4" x14ac:dyDescent="0.3">
      <c r="A476" s="3" t="s">
        <v>563</v>
      </c>
      <c r="B476" s="3" t="s">
        <v>323</v>
      </c>
      <c r="C476" s="3" t="str">
        <f t="shared" si="7"/>
        <v>4500134646100</v>
      </c>
      <c r="D476" s="3" t="s">
        <v>867</v>
      </c>
    </row>
    <row r="477" spans="1:4" x14ac:dyDescent="0.3">
      <c r="A477" s="3" t="s">
        <v>563</v>
      </c>
      <c r="B477" s="3" t="s">
        <v>175</v>
      </c>
      <c r="C477" s="3" t="str">
        <f t="shared" si="7"/>
        <v>4500134646110</v>
      </c>
      <c r="D477" s="3" t="s">
        <v>867</v>
      </c>
    </row>
    <row r="478" spans="1:4" x14ac:dyDescent="0.3">
      <c r="A478" s="3" t="s">
        <v>563</v>
      </c>
      <c r="B478" s="3" t="s">
        <v>375</v>
      </c>
      <c r="C478" s="3" t="str">
        <f t="shared" si="7"/>
        <v>4500134646120</v>
      </c>
      <c r="D478" s="3" t="s">
        <v>867</v>
      </c>
    </row>
    <row r="479" spans="1:4" x14ac:dyDescent="0.3">
      <c r="A479" s="3" t="s">
        <v>563</v>
      </c>
      <c r="B479" s="3" t="s">
        <v>203</v>
      </c>
      <c r="C479" s="3" t="str">
        <f t="shared" si="7"/>
        <v>4500134646130</v>
      </c>
      <c r="D479" s="3" t="s">
        <v>867</v>
      </c>
    </row>
    <row r="480" spans="1:4" x14ac:dyDescent="0.3">
      <c r="A480" s="3" t="s">
        <v>563</v>
      </c>
      <c r="B480" s="3" t="s">
        <v>376</v>
      </c>
      <c r="C480" s="3" t="str">
        <f t="shared" si="7"/>
        <v>4500134646140</v>
      </c>
      <c r="D480" s="3" t="s">
        <v>867</v>
      </c>
    </row>
    <row r="481" spans="1:4" x14ac:dyDescent="0.3">
      <c r="A481" s="3" t="s">
        <v>563</v>
      </c>
      <c r="B481" s="3" t="s">
        <v>377</v>
      </c>
      <c r="C481" s="3" t="str">
        <f t="shared" si="7"/>
        <v>4500134646150</v>
      </c>
      <c r="D481" s="3" t="s">
        <v>867</v>
      </c>
    </row>
    <row r="482" spans="1:4" x14ac:dyDescent="0.3">
      <c r="A482" s="3" t="s">
        <v>563</v>
      </c>
      <c r="B482" s="3" t="s">
        <v>378</v>
      </c>
      <c r="C482" s="3" t="str">
        <f t="shared" si="7"/>
        <v>4500134646160</v>
      </c>
      <c r="D482" s="3" t="s">
        <v>867</v>
      </c>
    </row>
    <row r="483" spans="1:4" x14ac:dyDescent="0.3">
      <c r="A483" s="3" t="s">
        <v>563</v>
      </c>
      <c r="B483" s="3" t="s">
        <v>324</v>
      </c>
      <c r="C483" s="3" t="str">
        <f t="shared" si="7"/>
        <v>4500134646170</v>
      </c>
      <c r="D483" s="3" t="s">
        <v>867</v>
      </c>
    </row>
    <row r="484" spans="1:4" x14ac:dyDescent="0.3">
      <c r="A484" s="3" t="s">
        <v>563</v>
      </c>
      <c r="B484" s="3" t="s">
        <v>325</v>
      </c>
      <c r="C484" s="3" t="str">
        <f t="shared" si="7"/>
        <v>4500134646180</v>
      </c>
      <c r="D484" s="3" t="s">
        <v>867</v>
      </c>
    </row>
    <row r="485" spans="1:4" x14ac:dyDescent="0.3">
      <c r="A485" s="3" t="s">
        <v>563</v>
      </c>
      <c r="B485" s="3" t="s">
        <v>379</v>
      </c>
      <c r="C485" s="3" t="str">
        <f t="shared" si="7"/>
        <v>4500134646190</v>
      </c>
      <c r="D485" s="3" t="s">
        <v>867</v>
      </c>
    </row>
    <row r="486" spans="1:4" x14ac:dyDescent="0.3">
      <c r="A486" s="3" t="s">
        <v>563</v>
      </c>
      <c r="B486" s="3" t="s">
        <v>380</v>
      </c>
      <c r="C486" s="3" t="str">
        <f t="shared" si="7"/>
        <v>4500134646200</v>
      </c>
      <c r="D486" s="3" t="s">
        <v>867</v>
      </c>
    </row>
    <row r="487" spans="1:4" x14ac:dyDescent="0.3">
      <c r="A487" s="3" t="s">
        <v>563</v>
      </c>
      <c r="B487" s="3" t="s">
        <v>326</v>
      </c>
      <c r="C487" s="3" t="str">
        <f t="shared" si="7"/>
        <v>4500134646210</v>
      </c>
      <c r="D487" s="3" t="s">
        <v>867</v>
      </c>
    </row>
    <row r="488" spans="1:4" x14ac:dyDescent="0.3">
      <c r="A488" s="3" t="s">
        <v>563</v>
      </c>
      <c r="B488" s="3" t="s">
        <v>413</v>
      </c>
      <c r="C488" s="3" t="str">
        <f t="shared" si="7"/>
        <v>4500134646220</v>
      </c>
      <c r="D488" s="3" t="s">
        <v>867</v>
      </c>
    </row>
    <row r="489" spans="1:4" x14ac:dyDescent="0.3">
      <c r="A489" s="3" t="s">
        <v>563</v>
      </c>
      <c r="B489" s="3" t="s">
        <v>327</v>
      </c>
      <c r="C489" s="3" t="str">
        <f t="shared" si="7"/>
        <v>4500134646230</v>
      </c>
      <c r="D489" s="3" t="s">
        <v>867</v>
      </c>
    </row>
    <row r="490" spans="1:4" x14ac:dyDescent="0.3">
      <c r="A490" s="3" t="s">
        <v>563</v>
      </c>
      <c r="B490" s="3" t="s">
        <v>328</v>
      </c>
      <c r="C490" s="3" t="str">
        <f t="shared" si="7"/>
        <v>4500134646240</v>
      </c>
      <c r="D490" s="3" t="s">
        <v>867</v>
      </c>
    </row>
    <row r="491" spans="1:4" x14ac:dyDescent="0.3">
      <c r="A491" s="3" t="s">
        <v>563</v>
      </c>
      <c r="B491" s="3" t="s">
        <v>329</v>
      </c>
      <c r="C491" s="3" t="str">
        <f t="shared" si="7"/>
        <v>4500134646250</v>
      </c>
      <c r="D491" s="3" t="s">
        <v>867</v>
      </c>
    </row>
    <row r="492" spans="1:4" x14ac:dyDescent="0.3">
      <c r="A492" s="3" t="s">
        <v>563</v>
      </c>
      <c r="B492" s="3" t="s">
        <v>330</v>
      </c>
      <c r="C492" s="3" t="str">
        <f t="shared" si="7"/>
        <v>4500134646260</v>
      </c>
      <c r="D492" s="3" t="s">
        <v>867</v>
      </c>
    </row>
    <row r="493" spans="1:4" x14ac:dyDescent="0.3">
      <c r="A493" s="3" t="s">
        <v>563</v>
      </c>
      <c r="B493" s="3" t="s">
        <v>414</v>
      </c>
      <c r="C493" s="3" t="str">
        <f t="shared" si="7"/>
        <v>4500134646270</v>
      </c>
      <c r="D493" s="3" t="s">
        <v>867</v>
      </c>
    </row>
    <row r="494" spans="1:4" x14ac:dyDescent="0.3">
      <c r="A494" s="3" t="s">
        <v>563</v>
      </c>
      <c r="B494" s="3" t="s">
        <v>415</v>
      </c>
      <c r="C494" s="3" t="str">
        <f t="shared" si="7"/>
        <v>4500134646280</v>
      </c>
      <c r="D494" s="3" t="s">
        <v>867</v>
      </c>
    </row>
    <row r="495" spans="1:4" x14ac:dyDescent="0.3">
      <c r="A495" s="3" t="s">
        <v>563</v>
      </c>
      <c r="B495" s="3" t="s">
        <v>634</v>
      </c>
      <c r="C495" s="3" t="str">
        <f t="shared" si="7"/>
        <v>4500134646290</v>
      </c>
      <c r="D495" s="3" t="s">
        <v>867</v>
      </c>
    </row>
    <row r="496" spans="1:4" x14ac:dyDescent="0.3">
      <c r="A496" s="3" t="s">
        <v>563</v>
      </c>
      <c r="B496" s="3" t="s">
        <v>635</v>
      </c>
      <c r="C496" s="3" t="str">
        <f t="shared" si="7"/>
        <v>4500134646300</v>
      </c>
      <c r="D496" s="3" t="s">
        <v>867</v>
      </c>
    </row>
    <row r="497" spans="1:4" x14ac:dyDescent="0.3">
      <c r="A497" s="3" t="s">
        <v>563</v>
      </c>
      <c r="B497" s="3" t="s">
        <v>636</v>
      </c>
      <c r="C497" s="3" t="str">
        <f t="shared" si="7"/>
        <v>4500134646310</v>
      </c>
      <c r="D497" s="3" t="s">
        <v>867</v>
      </c>
    </row>
    <row r="498" spans="1:4" x14ac:dyDescent="0.3">
      <c r="A498" s="3" t="s">
        <v>91</v>
      </c>
      <c r="B498" s="3" t="s">
        <v>33</v>
      </c>
      <c r="C498" s="3" t="str">
        <f t="shared" si="7"/>
        <v>450013337410</v>
      </c>
      <c r="D498" s="3" t="s">
        <v>861</v>
      </c>
    </row>
    <row r="499" spans="1:4" x14ac:dyDescent="0.3">
      <c r="A499" s="3" t="s">
        <v>91</v>
      </c>
      <c r="B499" s="3" t="s">
        <v>20</v>
      </c>
      <c r="C499" s="3" t="str">
        <f t="shared" si="7"/>
        <v>450013337420</v>
      </c>
      <c r="D499" s="3" t="s">
        <v>861</v>
      </c>
    </row>
    <row r="500" spans="1:4" x14ac:dyDescent="0.3">
      <c r="A500" s="3" t="s">
        <v>398</v>
      </c>
      <c r="B500" s="3" t="s">
        <v>20</v>
      </c>
      <c r="C500" s="3" t="str">
        <f t="shared" si="7"/>
        <v>450013397420</v>
      </c>
      <c r="D500" s="3" t="s">
        <v>865</v>
      </c>
    </row>
    <row r="501" spans="1:4" x14ac:dyDescent="0.3">
      <c r="A501" s="3" t="s">
        <v>398</v>
      </c>
      <c r="B501" s="3" t="s">
        <v>21</v>
      </c>
      <c r="C501" s="3" t="str">
        <f t="shared" si="7"/>
        <v>450013397430</v>
      </c>
      <c r="D501" s="3" t="s">
        <v>865</v>
      </c>
    </row>
    <row r="502" spans="1:4" x14ac:dyDescent="0.3">
      <c r="A502" s="3" t="s">
        <v>398</v>
      </c>
      <c r="B502" s="3" t="s">
        <v>25</v>
      </c>
      <c r="C502" s="3" t="str">
        <f t="shared" si="7"/>
        <v>450013397440</v>
      </c>
      <c r="D502" s="3" t="s">
        <v>865</v>
      </c>
    </row>
    <row r="503" spans="1:4" x14ac:dyDescent="0.3">
      <c r="A503" s="3" t="s">
        <v>398</v>
      </c>
      <c r="B503" s="3" t="s">
        <v>23</v>
      </c>
      <c r="C503" s="3" t="str">
        <f t="shared" si="7"/>
        <v>450013397460</v>
      </c>
      <c r="D503" s="3" t="s">
        <v>865</v>
      </c>
    </row>
    <row r="504" spans="1:4" x14ac:dyDescent="0.3">
      <c r="A504" s="3" t="s">
        <v>398</v>
      </c>
      <c r="B504" s="3" t="s">
        <v>24</v>
      </c>
      <c r="C504" s="3" t="str">
        <f t="shared" si="7"/>
        <v>450013397470</v>
      </c>
      <c r="D504" s="3" t="s">
        <v>865</v>
      </c>
    </row>
    <row r="505" spans="1:4" x14ac:dyDescent="0.3">
      <c r="A505" s="3" t="s">
        <v>398</v>
      </c>
      <c r="B505" s="3" t="s">
        <v>321</v>
      </c>
      <c r="C505" s="3" t="str">
        <f t="shared" si="7"/>
        <v>450013397480</v>
      </c>
      <c r="D505" s="3" t="s">
        <v>865</v>
      </c>
    </row>
    <row r="506" spans="1:4" x14ac:dyDescent="0.3">
      <c r="A506" s="3" t="s">
        <v>398</v>
      </c>
      <c r="B506" s="3" t="s">
        <v>322</v>
      </c>
      <c r="C506" s="3" t="str">
        <f t="shared" si="7"/>
        <v>450013397490</v>
      </c>
      <c r="D506" s="3" t="s">
        <v>865</v>
      </c>
    </row>
    <row r="507" spans="1:4" x14ac:dyDescent="0.3">
      <c r="A507" s="3" t="s">
        <v>398</v>
      </c>
      <c r="B507" s="3" t="s">
        <v>323</v>
      </c>
      <c r="C507" s="3" t="str">
        <f t="shared" si="7"/>
        <v>4500133974100</v>
      </c>
      <c r="D507" s="3" t="s">
        <v>865</v>
      </c>
    </row>
    <row r="508" spans="1:4" x14ac:dyDescent="0.3">
      <c r="A508" s="3" t="s">
        <v>398</v>
      </c>
      <c r="B508" s="3" t="s">
        <v>375</v>
      </c>
      <c r="C508" s="3" t="str">
        <f t="shared" si="7"/>
        <v>4500133974120</v>
      </c>
      <c r="D508" s="3" t="s">
        <v>865</v>
      </c>
    </row>
    <row r="509" spans="1:4" x14ac:dyDescent="0.3">
      <c r="A509" s="3" t="s">
        <v>398</v>
      </c>
      <c r="B509" s="3" t="s">
        <v>376</v>
      </c>
      <c r="C509" s="3" t="str">
        <f t="shared" si="7"/>
        <v>4500133974140</v>
      </c>
      <c r="D509" s="3" t="s">
        <v>865</v>
      </c>
    </row>
    <row r="510" spans="1:4" x14ac:dyDescent="0.3">
      <c r="A510" s="3" t="s">
        <v>398</v>
      </c>
      <c r="B510" s="3" t="s">
        <v>377</v>
      </c>
      <c r="C510" s="3" t="str">
        <f t="shared" si="7"/>
        <v>4500133974150</v>
      </c>
      <c r="D510" s="3" t="s">
        <v>865</v>
      </c>
    </row>
    <row r="511" spans="1:4" x14ac:dyDescent="0.3">
      <c r="A511" s="3" t="s">
        <v>398</v>
      </c>
      <c r="B511" s="3" t="s">
        <v>378</v>
      </c>
      <c r="C511" s="3" t="str">
        <f t="shared" ref="C511:C574" si="8">_xlfn.CONCAT(A511:B511)</f>
        <v>4500133974160</v>
      </c>
      <c r="D511" s="3" t="s">
        <v>865</v>
      </c>
    </row>
    <row r="512" spans="1:4" x14ac:dyDescent="0.3">
      <c r="A512" s="3" t="s">
        <v>398</v>
      </c>
      <c r="B512" s="3" t="s">
        <v>324</v>
      </c>
      <c r="C512" s="3" t="str">
        <f t="shared" si="8"/>
        <v>4500133974170</v>
      </c>
      <c r="D512" s="3" t="s">
        <v>865</v>
      </c>
    </row>
    <row r="513" spans="1:4" x14ac:dyDescent="0.3">
      <c r="A513" s="3" t="s">
        <v>398</v>
      </c>
      <c r="B513" s="3" t="s">
        <v>379</v>
      </c>
      <c r="C513" s="3" t="str">
        <f t="shared" si="8"/>
        <v>4500133974190</v>
      </c>
      <c r="D513" s="3" t="s">
        <v>865</v>
      </c>
    </row>
    <row r="514" spans="1:4" x14ac:dyDescent="0.3">
      <c r="A514" s="3" t="s">
        <v>398</v>
      </c>
      <c r="B514" s="3" t="s">
        <v>380</v>
      </c>
      <c r="C514" s="3" t="str">
        <f t="shared" si="8"/>
        <v>4500133974200</v>
      </c>
      <c r="D514" s="3" t="s">
        <v>865</v>
      </c>
    </row>
    <row r="515" spans="1:4" x14ac:dyDescent="0.3">
      <c r="A515" s="3" t="s">
        <v>398</v>
      </c>
      <c r="B515" s="3" t="s">
        <v>326</v>
      </c>
      <c r="C515" s="3" t="str">
        <f t="shared" si="8"/>
        <v>4500133974210</v>
      </c>
      <c r="D515" s="3" t="s">
        <v>865</v>
      </c>
    </row>
    <row r="516" spans="1:4" x14ac:dyDescent="0.3">
      <c r="A516" s="3" t="s">
        <v>398</v>
      </c>
      <c r="B516" s="3" t="s">
        <v>327</v>
      </c>
      <c r="C516" s="3" t="str">
        <f t="shared" si="8"/>
        <v>4500133974230</v>
      </c>
      <c r="D516" s="3" t="s">
        <v>865</v>
      </c>
    </row>
    <row r="517" spans="1:4" x14ac:dyDescent="0.3">
      <c r="A517" s="3" t="s">
        <v>398</v>
      </c>
      <c r="B517" s="3" t="s">
        <v>329</v>
      </c>
      <c r="C517" s="3" t="str">
        <f t="shared" si="8"/>
        <v>4500133974250</v>
      </c>
      <c r="D517" s="3" t="s">
        <v>865</v>
      </c>
    </row>
    <row r="518" spans="1:4" x14ac:dyDescent="0.3">
      <c r="A518" s="3" t="s">
        <v>398</v>
      </c>
      <c r="B518" s="3" t="s">
        <v>330</v>
      </c>
      <c r="C518" s="3" t="str">
        <f t="shared" si="8"/>
        <v>4500133974260</v>
      </c>
      <c r="D518" s="3" t="s">
        <v>865</v>
      </c>
    </row>
    <row r="519" spans="1:4" x14ac:dyDescent="0.3">
      <c r="A519" s="3" t="s">
        <v>398</v>
      </c>
      <c r="B519" s="3" t="s">
        <v>414</v>
      </c>
      <c r="C519" s="3" t="str">
        <f t="shared" si="8"/>
        <v>4500133974270</v>
      </c>
      <c r="D519" s="3" t="s">
        <v>865</v>
      </c>
    </row>
    <row r="520" spans="1:4" x14ac:dyDescent="0.3">
      <c r="A520" s="3" t="s">
        <v>398</v>
      </c>
      <c r="B520" s="3" t="s">
        <v>415</v>
      </c>
      <c r="C520" s="3" t="str">
        <f t="shared" si="8"/>
        <v>4500133974280</v>
      </c>
      <c r="D520" s="3" t="s">
        <v>865</v>
      </c>
    </row>
    <row r="521" spans="1:4" x14ac:dyDescent="0.3">
      <c r="A521" s="3" t="s">
        <v>398</v>
      </c>
      <c r="B521" s="3" t="s">
        <v>33</v>
      </c>
      <c r="C521" s="3" t="str">
        <f t="shared" si="8"/>
        <v>450013397410</v>
      </c>
      <c r="D521" s="3" t="s">
        <v>865</v>
      </c>
    </row>
    <row r="522" spans="1:4" x14ac:dyDescent="0.3">
      <c r="A522" s="3" t="s">
        <v>398</v>
      </c>
      <c r="B522" s="3" t="s">
        <v>22</v>
      </c>
      <c r="C522" s="3" t="str">
        <f t="shared" si="8"/>
        <v>450013397450</v>
      </c>
      <c r="D522" s="3" t="s">
        <v>865</v>
      </c>
    </row>
    <row r="523" spans="1:4" x14ac:dyDescent="0.3">
      <c r="A523" s="3" t="s">
        <v>398</v>
      </c>
      <c r="B523" s="3" t="s">
        <v>175</v>
      </c>
      <c r="C523" s="3" t="str">
        <f t="shared" si="8"/>
        <v>4500133974110</v>
      </c>
      <c r="D523" s="3" t="s">
        <v>865</v>
      </c>
    </row>
    <row r="524" spans="1:4" x14ac:dyDescent="0.3">
      <c r="A524" s="3" t="s">
        <v>398</v>
      </c>
      <c r="B524" s="3" t="s">
        <v>325</v>
      </c>
      <c r="C524" s="3" t="str">
        <f t="shared" si="8"/>
        <v>4500133974180</v>
      </c>
      <c r="D524" s="3" t="s">
        <v>865</v>
      </c>
    </row>
    <row r="525" spans="1:4" x14ac:dyDescent="0.3">
      <c r="A525" s="3" t="s">
        <v>398</v>
      </c>
      <c r="B525" s="3" t="s">
        <v>328</v>
      </c>
      <c r="C525" s="3" t="str">
        <f t="shared" si="8"/>
        <v>4500133974240</v>
      </c>
      <c r="D525" s="3" t="s">
        <v>865</v>
      </c>
    </row>
    <row r="526" spans="1:4" x14ac:dyDescent="0.3">
      <c r="A526" s="3" t="s">
        <v>398</v>
      </c>
      <c r="B526" s="3" t="s">
        <v>203</v>
      </c>
      <c r="C526" s="3" t="str">
        <f t="shared" si="8"/>
        <v>4500133974130</v>
      </c>
      <c r="D526" s="3" t="s">
        <v>865</v>
      </c>
    </row>
    <row r="527" spans="1:4" x14ac:dyDescent="0.3">
      <c r="A527" s="3" t="s">
        <v>398</v>
      </c>
      <c r="B527" s="3" t="s">
        <v>413</v>
      </c>
      <c r="C527" s="3" t="str">
        <f t="shared" si="8"/>
        <v>4500133974220</v>
      </c>
      <c r="D527" s="3" t="s">
        <v>865</v>
      </c>
    </row>
    <row r="528" spans="1:4" x14ac:dyDescent="0.3">
      <c r="A528" s="3" t="s">
        <v>357</v>
      </c>
      <c r="B528" s="3" t="s">
        <v>33</v>
      </c>
      <c r="C528" s="3" t="str">
        <f t="shared" si="8"/>
        <v>450013334610</v>
      </c>
      <c r="D528" s="3" t="s">
        <v>860</v>
      </c>
    </row>
    <row r="529" spans="1:4" x14ac:dyDescent="0.3">
      <c r="A529" s="3" t="s">
        <v>524</v>
      </c>
      <c r="B529" s="3" t="s">
        <v>33</v>
      </c>
      <c r="C529" s="3" t="str">
        <f t="shared" si="8"/>
        <v>450013344110</v>
      </c>
      <c r="D529" s="3" t="s">
        <v>863</v>
      </c>
    </row>
    <row r="530" spans="1:4" x14ac:dyDescent="0.3">
      <c r="A530" s="3" t="s">
        <v>524</v>
      </c>
      <c r="B530" s="3" t="s">
        <v>20</v>
      </c>
      <c r="C530" s="3" t="str">
        <f t="shared" si="8"/>
        <v>450013344120</v>
      </c>
      <c r="D530" s="3" t="s">
        <v>863</v>
      </c>
    </row>
    <row r="531" spans="1:4" x14ac:dyDescent="0.3">
      <c r="A531" s="3" t="s">
        <v>524</v>
      </c>
      <c r="B531" s="3" t="s">
        <v>21</v>
      </c>
      <c r="C531" s="3" t="str">
        <f t="shared" si="8"/>
        <v>450013344130</v>
      </c>
      <c r="D531" s="3" t="s">
        <v>863</v>
      </c>
    </row>
    <row r="532" spans="1:4" x14ac:dyDescent="0.3">
      <c r="A532" s="3" t="s">
        <v>524</v>
      </c>
      <c r="B532" s="3" t="s">
        <v>25</v>
      </c>
      <c r="C532" s="3" t="str">
        <f t="shared" si="8"/>
        <v>450013344140</v>
      </c>
      <c r="D532" s="3" t="s">
        <v>863</v>
      </c>
    </row>
    <row r="533" spans="1:4" x14ac:dyDescent="0.3">
      <c r="A533" s="3" t="s">
        <v>524</v>
      </c>
      <c r="B533" s="3" t="s">
        <v>22</v>
      </c>
      <c r="C533" s="3" t="str">
        <f t="shared" si="8"/>
        <v>450013344150</v>
      </c>
      <c r="D533" s="3" t="s">
        <v>863</v>
      </c>
    </row>
    <row r="534" spans="1:4" x14ac:dyDescent="0.3">
      <c r="A534" s="3" t="s">
        <v>524</v>
      </c>
      <c r="B534" s="3" t="s">
        <v>23</v>
      </c>
      <c r="C534" s="3" t="str">
        <f t="shared" si="8"/>
        <v>450013344160</v>
      </c>
      <c r="D534" s="3" t="s">
        <v>863</v>
      </c>
    </row>
    <row r="535" spans="1:4" x14ac:dyDescent="0.3">
      <c r="A535" s="3" t="s">
        <v>524</v>
      </c>
      <c r="B535" s="3" t="s">
        <v>24</v>
      </c>
      <c r="C535" s="3" t="str">
        <f t="shared" si="8"/>
        <v>450013344170</v>
      </c>
      <c r="D535" s="3" t="s">
        <v>863</v>
      </c>
    </row>
    <row r="536" spans="1:4" x14ac:dyDescent="0.3">
      <c r="A536" s="3" t="s">
        <v>524</v>
      </c>
      <c r="B536" s="3" t="s">
        <v>321</v>
      </c>
      <c r="C536" s="3" t="str">
        <f t="shared" si="8"/>
        <v>450013344180</v>
      </c>
      <c r="D536" s="3" t="s">
        <v>863</v>
      </c>
    </row>
    <row r="537" spans="1:4" x14ac:dyDescent="0.3">
      <c r="A537" s="3" t="s">
        <v>360</v>
      </c>
      <c r="B537" s="3" t="s">
        <v>33</v>
      </c>
      <c r="C537" s="3" t="str">
        <f t="shared" si="8"/>
        <v>450013346210</v>
      </c>
      <c r="D537" s="3" t="s">
        <v>860</v>
      </c>
    </row>
    <row r="538" spans="1:4" x14ac:dyDescent="0.3">
      <c r="A538" s="3" t="s">
        <v>472</v>
      </c>
      <c r="B538" s="3" t="s">
        <v>33</v>
      </c>
      <c r="C538" s="3" t="str">
        <f t="shared" si="8"/>
        <v>450013675610</v>
      </c>
      <c r="D538" s="3" t="s">
        <v>875</v>
      </c>
    </row>
    <row r="539" spans="1:4" x14ac:dyDescent="0.3">
      <c r="A539" s="3" t="s">
        <v>401</v>
      </c>
      <c r="B539" s="3" t="s">
        <v>33</v>
      </c>
      <c r="C539" s="3" t="str">
        <f t="shared" si="8"/>
        <v>450013402110</v>
      </c>
      <c r="D539" s="3" t="s">
        <v>879</v>
      </c>
    </row>
    <row r="540" spans="1:4" x14ac:dyDescent="0.3">
      <c r="A540" s="3" t="s">
        <v>401</v>
      </c>
      <c r="B540" s="3" t="s">
        <v>20</v>
      </c>
      <c r="C540" s="3" t="str">
        <f t="shared" si="8"/>
        <v>450013402120</v>
      </c>
      <c r="D540" s="3" t="s">
        <v>879</v>
      </c>
    </row>
    <row r="541" spans="1:4" x14ac:dyDescent="0.3">
      <c r="A541" s="3" t="s">
        <v>401</v>
      </c>
      <c r="B541" s="3" t="s">
        <v>21</v>
      </c>
      <c r="C541" s="3" t="str">
        <f t="shared" si="8"/>
        <v>450013402130</v>
      </c>
      <c r="D541" s="3" t="s">
        <v>879</v>
      </c>
    </row>
    <row r="542" spans="1:4" x14ac:dyDescent="0.3">
      <c r="A542" s="3" t="s">
        <v>491</v>
      </c>
      <c r="B542" s="3" t="s">
        <v>33</v>
      </c>
      <c r="C542" s="3" t="str">
        <f t="shared" si="8"/>
        <v>450013418410</v>
      </c>
      <c r="D542" s="3" t="s">
        <v>859</v>
      </c>
    </row>
    <row r="543" spans="1:4" x14ac:dyDescent="0.3">
      <c r="A543" s="3" t="s">
        <v>397</v>
      </c>
      <c r="B543" s="3" t="s">
        <v>33</v>
      </c>
      <c r="C543" s="3" t="str">
        <f t="shared" si="8"/>
        <v>450013482310</v>
      </c>
      <c r="D543" s="3" t="s">
        <v>860</v>
      </c>
    </row>
    <row r="544" spans="1:4" x14ac:dyDescent="0.3">
      <c r="A544" s="3" t="s">
        <v>672</v>
      </c>
      <c r="B544" s="3" t="s">
        <v>33</v>
      </c>
      <c r="C544" s="3" t="str">
        <f t="shared" si="8"/>
        <v>450013487710</v>
      </c>
      <c r="D544" s="3" t="s">
        <v>860</v>
      </c>
    </row>
    <row r="545" spans="1:4" x14ac:dyDescent="0.3">
      <c r="A545" s="3" t="s">
        <v>672</v>
      </c>
      <c r="B545" s="3" t="s">
        <v>20</v>
      </c>
      <c r="C545" s="3" t="str">
        <f t="shared" si="8"/>
        <v>450013487720</v>
      </c>
      <c r="D545" s="3" t="s">
        <v>860</v>
      </c>
    </row>
    <row r="546" spans="1:4" x14ac:dyDescent="0.3">
      <c r="A546" s="3" t="s">
        <v>574</v>
      </c>
      <c r="B546" s="3" t="s">
        <v>33</v>
      </c>
      <c r="C546" s="3" t="str">
        <f t="shared" si="8"/>
        <v>450013692310</v>
      </c>
      <c r="D546" s="3" t="s">
        <v>860</v>
      </c>
    </row>
    <row r="547" spans="1:4" x14ac:dyDescent="0.3">
      <c r="A547" s="3" t="s">
        <v>574</v>
      </c>
      <c r="B547" s="3" t="s">
        <v>20</v>
      </c>
      <c r="C547" s="3" t="str">
        <f t="shared" si="8"/>
        <v>450013692320</v>
      </c>
      <c r="D547" s="3" t="s">
        <v>860</v>
      </c>
    </row>
    <row r="548" spans="1:4" x14ac:dyDescent="0.3">
      <c r="A548" s="3" t="s">
        <v>452</v>
      </c>
      <c r="B548" s="3" t="s">
        <v>33</v>
      </c>
      <c r="C548" s="3" t="str">
        <f t="shared" si="8"/>
        <v>450013571410</v>
      </c>
      <c r="D548" s="3" t="s">
        <v>861</v>
      </c>
    </row>
    <row r="549" spans="1:4" x14ac:dyDescent="0.3">
      <c r="A549" s="3" t="s">
        <v>412</v>
      </c>
      <c r="B549" s="3" t="s">
        <v>33</v>
      </c>
      <c r="C549" s="3" t="str">
        <f t="shared" si="8"/>
        <v>450013537710</v>
      </c>
      <c r="D549" s="3" t="s">
        <v>860</v>
      </c>
    </row>
    <row r="550" spans="1:4" x14ac:dyDescent="0.3">
      <c r="A550" s="3" t="s">
        <v>409</v>
      </c>
      <c r="B550" s="3" t="s">
        <v>33</v>
      </c>
      <c r="C550" s="3" t="str">
        <f t="shared" si="8"/>
        <v>450013528210</v>
      </c>
      <c r="D550" s="3" t="s">
        <v>860</v>
      </c>
    </row>
    <row r="551" spans="1:4" x14ac:dyDescent="0.3">
      <c r="A551" s="3" t="s">
        <v>452</v>
      </c>
      <c r="B551" s="3" t="s">
        <v>21</v>
      </c>
      <c r="C551" s="3" t="str">
        <f t="shared" si="8"/>
        <v>450013571430</v>
      </c>
      <c r="D551" s="3" t="s">
        <v>861</v>
      </c>
    </row>
    <row r="552" spans="1:4" x14ac:dyDescent="0.3">
      <c r="A552" s="3" t="s">
        <v>452</v>
      </c>
      <c r="B552" s="3" t="s">
        <v>20</v>
      </c>
      <c r="C552" s="3" t="str">
        <f t="shared" si="8"/>
        <v>450013571420</v>
      </c>
      <c r="D552" s="3" t="s">
        <v>861</v>
      </c>
    </row>
    <row r="553" spans="1:4" x14ac:dyDescent="0.3">
      <c r="A553" s="3" t="s">
        <v>831</v>
      </c>
      <c r="B553" s="3" t="s">
        <v>21</v>
      </c>
      <c r="C553" s="3" t="str">
        <f t="shared" si="8"/>
        <v>450013572030</v>
      </c>
      <c r="D553" s="3" t="s">
        <v>861</v>
      </c>
    </row>
    <row r="554" spans="1:4" x14ac:dyDescent="0.3">
      <c r="A554" s="3" t="s">
        <v>88</v>
      </c>
      <c r="B554" s="3" t="s">
        <v>33</v>
      </c>
      <c r="C554" s="3" t="str">
        <f t="shared" si="8"/>
        <v>450013784910</v>
      </c>
      <c r="D554" s="3" t="s">
        <v>880</v>
      </c>
    </row>
    <row r="555" spans="1:4" x14ac:dyDescent="0.3">
      <c r="A555" s="3" t="s">
        <v>442</v>
      </c>
      <c r="B555" s="3" t="s">
        <v>22</v>
      </c>
      <c r="C555" s="3" t="str">
        <f t="shared" si="8"/>
        <v>450013572350</v>
      </c>
      <c r="D555" s="3" t="s">
        <v>861</v>
      </c>
    </row>
    <row r="556" spans="1:4" x14ac:dyDescent="0.3">
      <c r="A556" s="3" t="s">
        <v>827</v>
      </c>
      <c r="B556" s="3" t="s">
        <v>33</v>
      </c>
      <c r="C556" s="3" t="str">
        <f t="shared" si="8"/>
        <v>450013687210</v>
      </c>
      <c r="D556" s="3" t="s">
        <v>863</v>
      </c>
    </row>
    <row r="557" spans="1:4" x14ac:dyDescent="0.3">
      <c r="A557" s="3" t="s">
        <v>657</v>
      </c>
      <c r="B557" s="3" t="s">
        <v>33</v>
      </c>
      <c r="C557" s="3" t="str">
        <f t="shared" si="8"/>
        <v>450013569910</v>
      </c>
      <c r="D557" s="3" t="s">
        <v>860</v>
      </c>
    </row>
    <row r="558" spans="1:4" x14ac:dyDescent="0.3">
      <c r="A558" s="3" t="s">
        <v>657</v>
      </c>
      <c r="B558" s="3" t="s">
        <v>20</v>
      </c>
      <c r="C558" s="3" t="str">
        <f t="shared" si="8"/>
        <v>450013569920</v>
      </c>
      <c r="D558" s="3" t="s">
        <v>860</v>
      </c>
    </row>
    <row r="559" spans="1:4" x14ac:dyDescent="0.3">
      <c r="A559" s="3" t="s">
        <v>657</v>
      </c>
      <c r="B559" s="3" t="s">
        <v>21</v>
      </c>
      <c r="C559" s="3" t="str">
        <f t="shared" si="8"/>
        <v>450013569930</v>
      </c>
      <c r="D559" s="3" t="s">
        <v>860</v>
      </c>
    </row>
    <row r="560" spans="1:4" x14ac:dyDescent="0.3">
      <c r="A560" s="3" t="s">
        <v>657</v>
      </c>
      <c r="B560" s="3" t="s">
        <v>25</v>
      </c>
      <c r="C560" s="3" t="str">
        <f t="shared" si="8"/>
        <v>450013569940</v>
      </c>
      <c r="D560" s="3" t="s">
        <v>860</v>
      </c>
    </row>
    <row r="561" spans="1:4" x14ac:dyDescent="0.3">
      <c r="A561" s="3" t="s">
        <v>831</v>
      </c>
      <c r="B561" s="3" t="s">
        <v>25</v>
      </c>
      <c r="C561" s="3" t="str">
        <f t="shared" si="8"/>
        <v>450013572040</v>
      </c>
      <c r="D561" s="3" t="s">
        <v>861</v>
      </c>
    </row>
    <row r="562" spans="1:4" x14ac:dyDescent="0.3">
      <c r="A562" s="3" t="s">
        <v>567</v>
      </c>
      <c r="B562" s="3" t="s">
        <v>33</v>
      </c>
      <c r="C562" s="3" t="str">
        <f t="shared" si="8"/>
        <v>450013649010</v>
      </c>
      <c r="D562" s="3" t="s">
        <v>861</v>
      </c>
    </row>
    <row r="563" spans="1:4" x14ac:dyDescent="0.3">
      <c r="A563" s="3" t="s">
        <v>424</v>
      </c>
      <c r="B563" s="3" t="s">
        <v>25</v>
      </c>
      <c r="C563" s="3" t="str">
        <f t="shared" si="8"/>
        <v>450013608840</v>
      </c>
      <c r="D563" s="3" t="s">
        <v>860</v>
      </c>
    </row>
    <row r="564" spans="1:4" x14ac:dyDescent="0.3">
      <c r="A564" s="3" t="s">
        <v>438</v>
      </c>
      <c r="B564" s="3" t="s">
        <v>33</v>
      </c>
      <c r="C564" s="3" t="str">
        <f t="shared" si="8"/>
        <v>450013604410</v>
      </c>
      <c r="D564" s="3" t="s">
        <v>865</v>
      </c>
    </row>
    <row r="565" spans="1:4" x14ac:dyDescent="0.3">
      <c r="A565" s="3" t="s">
        <v>426</v>
      </c>
      <c r="B565" s="3" t="s">
        <v>20</v>
      </c>
      <c r="C565" s="3" t="str">
        <f t="shared" si="8"/>
        <v>450013609320</v>
      </c>
      <c r="D565" s="3" t="s">
        <v>860</v>
      </c>
    </row>
    <row r="566" spans="1:4" x14ac:dyDescent="0.3">
      <c r="A566" s="3" t="s">
        <v>424</v>
      </c>
      <c r="B566" s="3" t="s">
        <v>23</v>
      </c>
      <c r="C566" s="3" t="str">
        <f t="shared" si="8"/>
        <v>450013608860</v>
      </c>
      <c r="D566" s="3" t="s">
        <v>860</v>
      </c>
    </row>
    <row r="567" spans="1:4" x14ac:dyDescent="0.3">
      <c r="A567" s="3" t="s">
        <v>424</v>
      </c>
      <c r="B567" s="3" t="s">
        <v>24</v>
      </c>
      <c r="C567" s="3" t="str">
        <f t="shared" si="8"/>
        <v>450013608870</v>
      </c>
      <c r="D567" s="3" t="s">
        <v>860</v>
      </c>
    </row>
    <row r="568" spans="1:4" x14ac:dyDescent="0.3">
      <c r="A568" s="3" t="s">
        <v>568</v>
      </c>
      <c r="B568" s="3" t="s">
        <v>33</v>
      </c>
      <c r="C568" s="3" t="str">
        <f t="shared" si="8"/>
        <v>450013667310</v>
      </c>
      <c r="D568" s="3" t="s">
        <v>861</v>
      </c>
    </row>
    <row r="569" spans="1:4" x14ac:dyDescent="0.3">
      <c r="A569" s="3" t="s">
        <v>454</v>
      </c>
      <c r="B569" s="3" t="s">
        <v>21</v>
      </c>
      <c r="C569" s="3" t="str">
        <f t="shared" si="8"/>
        <v>450013670030</v>
      </c>
      <c r="D569" s="3" t="s">
        <v>861</v>
      </c>
    </row>
    <row r="570" spans="1:4" x14ac:dyDescent="0.3">
      <c r="A570" s="3" t="s">
        <v>454</v>
      </c>
      <c r="B570" s="3" t="s">
        <v>20</v>
      </c>
      <c r="C570" s="3" t="str">
        <f t="shared" si="8"/>
        <v>450013670020</v>
      </c>
      <c r="D570" s="3" t="s">
        <v>861</v>
      </c>
    </row>
    <row r="571" spans="1:4" x14ac:dyDescent="0.3">
      <c r="A571" s="3" t="s">
        <v>477</v>
      </c>
      <c r="B571" s="3" t="s">
        <v>33</v>
      </c>
      <c r="C571" s="3" t="str">
        <f t="shared" si="8"/>
        <v>450013632310</v>
      </c>
      <c r="D571" s="3" t="s">
        <v>865</v>
      </c>
    </row>
    <row r="572" spans="1:4" x14ac:dyDescent="0.3">
      <c r="A572" s="3" t="s">
        <v>454</v>
      </c>
      <c r="B572" s="3" t="s">
        <v>33</v>
      </c>
      <c r="C572" s="3" t="str">
        <f t="shared" si="8"/>
        <v>450013670010</v>
      </c>
      <c r="D572" s="3" t="s">
        <v>861</v>
      </c>
    </row>
    <row r="573" spans="1:4" x14ac:dyDescent="0.3">
      <c r="A573" s="3" t="s">
        <v>547</v>
      </c>
      <c r="B573" s="3" t="s">
        <v>33</v>
      </c>
      <c r="C573" s="3" t="str">
        <f t="shared" si="8"/>
        <v>450013691810</v>
      </c>
      <c r="D573" s="3" t="s">
        <v>863</v>
      </c>
    </row>
    <row r="574" spans="1:4" x14ac:dyDescent="0.3">
      <c r="A574" s="3" t="s">
        <v>547</v>
      </c>
      <c r="B574" s="3" t="s">
        <v>20</v>
      </c>
      <c r="C574" s="3" t="str">
        <f t="shared" si="8"/>
        <v>450013691820</v>
      </c>
      <c r="D574" s="3" t="s">
        <v>863</v>
      </c>
    </row>
    <row r="575" spans="1:4" x14ac:dyDescent="0.3">
      <c r="A575" s="3" t="s">
        <v>479</v>
      </c>
      <c r="B575" s="3" t="s">
        <v>33</v>
      </c>
      <c r="C575" s="3" t="str">
        <f t="shared" ref="C575:C638" si="9">_xlfn.CONCAT(A575:B575)</f>
        <v>450013693610</v>
      </c>
      <c r="D575" s="3" t="s">
        <v>861</v>
      </c>
    </row>
    <row r="576" spans="1:4" x14ac:dyDescent="0.3">
      <c r="A576" s="3" t="s">
        <v>547</v>
      </c>
      <c r="B576" s="3" t="s">
        <v>21</v>
      </c>
      <c r="C576" s="3" t="str">
        <f t="shared" si="9"/>
        <v>450013691830</v>
      </c>
      <c r="D576" s="3" t="s">
        <v>863</v>
      </c>
    </row>
    <row r="577" spans="1:4" x14ac:dyDescent="0.3">
      <c r="A577" s="3" t="s">
        <v>547</v>
      </c>
      <c r="B577" s="3" t="s">
        <v>25</v>
      </c>
      <c r="C577" s="3" t="str">
        <f t="shared" si="9"/>
        <v>450013691840</v>
      </c>
      <c r="D577" s="3" t="s">
        <v>863</v>
      </c>
    </row>
    <row r="578" spans="1:4" x14ac:dyDescent="0.3">
      <c r="A578" s="3" t="s">
        <v>445</v>
      </c>
      <c r="B578" s="3" t="s">
        <v>33</v>
      </c>
      <c r="C578" s="3" t="str">
        <f t="shared" si="9"/>
        <v>450013707610</v>
      </c>
      <c r="D578" s="3" t="s">
        <v>863</v>
      </c>
    </row>
    <row r="579" spans="1:4" x14ac:dyDescent="0.3">
      <c r="A579" s="3" t="s">
        <v>827</v>
      </c>
      <c r="B579" s="3" t="s">
        <v>20</v>
      </c>
      <c r="C579" s="3" t="str">
        <f t="shared" si="9"/>
        <v>450013687220</v>
      </c>
      <c r="D579" s="3" t="s">
        <v>863</v>
      </c>
    </row>
    <row r="580" spans="1:4" x14ac:dyDescent="0.3">
      <c r="A580" s="3" t="s">
        <v>477</v>
      </c>
      <c r="B580" s="3" t="s">
        <v>20</v>
      </c>
      <c r="C580" s="3" t="str">
        <f t="shared" si="9"/>
        <v>450013632320</v>
      </c>
      <c r="D580" s="3" t="s">
        <v>865</v>
      </c>
    </row>
    <row r="581" spans="1:4" x14ac:dyDescent="0.3">
      <c r="A581" s="3" t="s">
        <v>430</v>
      </c>
      <c r="B581" s="3" t="s">
        <v>33</v>
      </c>
      <c r="C581" s="3" t="str">
        <f t="shared" si="9"/>
        <v>450013650510</v>
      </c>
      <c r="D581" s="3" t="s">
        <v>860</v>
      </c>
    </row>
    <row r="582" spans="1:4" x14ac:dyDescent="0.3">
      <c r="A582" s="3" t="s">
        <v>430</v>
      </c>
      <c r="B582" s="3" t="s">
        <v>20</v>
      </c>
      <c r="C582" s="3" t="str">
        <f t="shared" si="9"/>
        <v>450013650520</v>
      </c>
      <c r="D582" s="3" t="s">
        <v>860</v>
      </c>
    </row>
    <row r="583" spans="1:4" x14ac:dyDescent="0.3">
      <c r="A583" s="3" t="s">
        <v>533</v>
      </c>
      <c r="B583" s="3" t="s">
        <v>20</v>
      </c>
      <c r="C583" s="3" t="str">
        <f t="shared" si="9"/>
        <v>450013672920</v>
      </c>
      <c r="D583" s="3" t="s">
        <v>867</v>
      </c>
    </row>
    <row r="584" spans="1:4" x14ac:dyDescent="0.3">
      <c r="A584" s="3" t="s">
        <v>463</v>
      </c>
      <c r="B584" s="3" t="s">
        <v>21</v>
      </c>
      <c r="C584" s="3" t="str">
        <f t="shared" si="9"/>
        <v>450013665130</v>
      </c>
      <c r="D584" s="3" t="s">
        <v>860</v>
      </c>
    </row>
    <row r="585" spans="1:4" x14ac:dyDescent="0.3">
      <c r="A585" s="3" t="s">
        <v>434</v>
      </c>
      <c r="B585" s="3" t="s">
        <v>33</v>
      </c>
      <c r="C585" s="3" t="str">
        <f t="shared" si="9"/>
        <v>450013694110</v>
      </c>
      <c r="D585" s="3" t="s">
        <v>861</v>
      </c>
    </row>
    <row r="586" spans="1:4" x14ac:dyDescent="0.3">
      <c r="A586" s="3" t="s">
        <v>533</v>
      </c>
      <c r="B586" s="3" t="s">
        <v>33</v>
      </c>
      <c r="C586" s="3" t="str">
        <f t="shared" si="9"/>
        <v>450013672910</v>
      </c>
      <c r="D586" s="3" t="s">
        <v>867</v>
      </c>
    </row>
    <row r="587" spans="1:4" x14ac:dyDescent="0.3">
      <c r="A587" s="3" t="s">
        <v>474</v>
      </c>
      <c r="B587" s="3" t="s">
        <v>33</v>
      </c>
      <c r="C587" s="3" t="str">
        <f t="shared" si="9"/>
        <v>450013678710</v>
      </c>
      <c r="D587" s="3" t="s">
        <v>860</v>
      </c>
    </row>
    <row r="588" spans="1:4" x14ac:dyDescent="0.3">
      <c r="A588" s="3" t="s">
        <v>827</v>
      </c>
      <c r="B588" s="3" t="s">
        <v>21</v>
      </c>
      <c r="C588" s="3" t="str">
        <f t="shared" si="9"/>
        <v>450013687230</v>
      </c>
      <c r="D588" s="3" t="s">
        <v>863</v>
      </c>
    </row>
    <row r="589" spans="1:4" x14ac:dyDescent="0.3">
      <c r="A589" s="3" t="s">
        <v>596</v>
      </c>
      <c r="B589" s="3" t="s">
        <v>33</v>
      </c>
      <c r="C589" s="3" t="str">
        <f t="shared" si="9"/>
        <v>450013717810</v>
      </c>
      <c r="D589" s="3" t="s">
        <v>865</v>
      </c>
    </row>
    <row r="590" spans="1:4" x14ac:dyDescent="0.3">
      <c r="A590" s="3" t="s">
        <v>569</v>
      </c>
      <c r="B590" s="3" t="s">
        <v>33</v>
      </c>
      <c r="C590" s="3" t="str">
        <f t="shared" si="9"/>
        <v>450013724010</v>
      </c>
      <c r="D590" s="3" t="s">
        <v>865</v>
      </c>
    </row>
    <row r="591" spans="1:4" x14ac:dyDescent="0.3">
      <c r="A591" s="3" t="s">
        <v>474</v>
      </c>
      <c r="B591" s="3" t="s">
        <v>20</v>
      </c>
      <c r="C591" s="3" t="str">
        <f t="shared" si="9"/>
        <v>450013678720</v>
      </c>
      <c r="D591" s="3" t="s">
        <v>860</v>
      </c>
    </row>
    <row r="592" spans="1:4" x14ac:dyDescent="0.3">
      <c r="A592" s="3" t="s">
        <v>474</v>
      </c>
      <c r="B592" s="3" t="s">
        <v>21</v>
      </c>
      <c r="C592" s="3" t="str">
        <f t="shared" si="9"/>
        <v>450013678730</v>
      </c>
      <c r="D592" s="3" t="s">
        <v>860</v>
      </c>
    </row>
    <row r="593" spans="1:4" x14ac:dyDescent="0.3">
      <c r="A593" s="3" t="s">
        <v>474</v>
      </c>
      <c r="B593" s="3" t="s">
        <v>25</v>
      </c>
      <c r="C593" s="3" t="str">
        <f t="shared" si="9"/>
        <v>450013678740</v>
      </c>
      <c r="D593" s="3" t="s">
        <v>860</v>
      </c>
    </row>
    <row r="594" spans="1:4" x14ac:dyDescent="0.3">
      <c r="A594" s="3" t="s">
        <v>550</v>
      </c>
      <c r="B594" s="3" t="s">
        <v>33</v>
      </c>
      <c r="C594" s="3" t="str">
        <f t="shared" si="9"/>
        <v>450013695410</v>
      </c>
      <c r="D594" s="3" t="s">
        <v>867</v>
      </c>
    </row>
    <row r="595" spans="1:4" x14ac:dyDescent="0.3">
      <c r="A595" s="3" t="s">
        <v>546</v>
      </c>
      <c r="B595" s="3" t="s">
        <v>22</v>
      </c>
      <c r="C595" s="3" t="str">
        <f t="shared" si="9"/>
        <v>450013695650</v>
      </c>
      <c r="D595" s="3" t="s">
        <v>867</v>
      </c>
    </row>
    <row r="596" spans="1:4" x14ac:dyDescent="0.3">
      <c r="A596" s="3" t="s">
        <v>596</v>
      </c>
      <c r="B596" s="3" t="s">
        <v>20</v>
      </c>
      <c r="C596" s="3" t="str">
        <f t="shared" si="9"/>
        <v>450013717820</v>
      </c>
      <c r="D596" s="3" t="s">
        <v>865</v>
      </c>
    </row>
    <row r="597" spans="1:4" x14ac:dyDescent="0.3">
      <c r="A597" s="3" t="s">
        <v>546</v>
      </c>
      <c r="B597" s="3" t="s">
        <v>25</v>
      </c>
      <c r="C597" s="3" t="str">
        <f t="shared" si="9"/>
        <v>450013695640</v>
      </c>
      <c r="D597" s="3" t="s">
        <v>867</v>
      </c>
    </row>
    <row r="598" spans="1:4" x14ac:dyDescent="0.3">
      <c r="A598" s="3" t="s">
        <v>465</v>
      </c>
      <c r="B598" s="3" t="s">
        <v>33</v>
      </c>
      <c r="C598" s="3" t="str">
        <f t="shared" si="9"/>
        <v>450013713310</v>
      </c>
      <c r="D598" s="3" t="s">
        <v>861</v>
      </c>
    </row>
    <row r="599" spans="1:4" x14ac:dyDescent="0.3">
      <c r="A599" s="3" t="s">
        <v>450</v>
      </c>
      <c r="B599" s="3" t="s">
        <v>33</v>
      </c>
      <c r="C599" s="3" t="str">
        <f t="shared" si="9"/>
        <v>450013700410</v>
      </c>
      <c r="D599" s="3" t="s">
        <v>865</v>
      </c>
    </row>
    <row r="600" spans="1:4" x14ac:dyDescent="0.3">
      <c r="A600" s="3" t="s">
        <v>546</v>
      </c>
      <c r="B600" s="3" t="s">
        <v>21</v>
      </c>
      <c r="C600" s="3" t="str">
        <f t="shared" si="9"/>
        <v>450013695630</v>
      </c>
      <c r="D600" s="3" t="s">
        <v>867</v>
      </c>
    </row>
    <row r="601" spans="1:4" x14ac:dyDescent="0.3">
      <c r="A601" s="3" t="s">
        <v>546</v>
      </c>
      <c r="B601" s="3" t="s">
        <v>20</v>
      </c>
      <c r="C601" s="3" t="str">
        <f t="shared" si="9"/>
        <v>450013695620</v>
      </c>
      <c r="D601" s="3" t="s">
        <v>867</v>
      </c>
    </row>
    <row r="602" spans="1:4" x14ac:dyDescent="0.3">
      <c r="A602" s="3" t="s">
        <v>546</v>
      </c>
      <c r="B602" s="3" t="s">
        <v>33</v>
      </c>
      <c r="C602" s="3" t="str">
        <f t="shared" si="9"/>
        <v>450013695610</v>
      </c>
      <c r="D602" s="3" t="s">
        <v>867</v>
      </c>
    </row>
    <row r="603" spans="1:4" x14ac:dyDescent="0.3">
      <c r="A603" s="3" t="s">
        <v>665</v>
      </c>
      <c r="B603" s="3" t="s">
        <v>33</v>
      </c>
      <c r="C603" s="3" t="str">
        <f t="shared" si="9"/>
        <v>450013686110</v>
      </c>
      <c r="D603" s="3" t="s">
        <v>860</v>
      </c>
    </row>
    <row r="604" spans="1:4" x14ac:dyDescent="0.3">
      <c r="A604" s="3" t="s">
        <v>665</v>
      </c>
      <c r="B604" s="3" t="s">
        <v>20</v>
      </c>
      <c r="C604" s="3" t="str">
        <f t="shared" si="9"/>
        <v>450013686120</v>
      </c>
      <c r="D604" s="3" t="s">
        <v>860</v>
      </c>
    </row>
    <row r="605" spans="1:4" x14ac:dyDescent="0.3">
      <c r="A605" s="3" t="s">
        <v>481</v>
      </c>
      <c r="B605" s="3" t="s">
        <v>33</v>
      </c>
      <c r="C605" s="3" t="str">
        <f t="shared" si="9"/>
        <v>450013733410</v>
      </c>
      <c r="D605" s="3" t="s">
        <v>860</v>
      </c>
    </row>
    <row r="606" spans="1:4" x14ac:dyDescent="0.3">
      <c r="A606" s="3" t="s">
        <v>514</v>
      </c>
      <c r="B606" s="3" t="s">
        <v>33</v>
      </c>
      <c r="C606" s="3" t="str">
        <f t="shared" si="9"/>
        <v>450013713610</v>
      </c>
      <c r="D606" s="3" t="s">
        <v>861</v>
      </c>
    </row>
    <row r="607" spans="1:4" x14ac:dyDescent="0.3">
      <c r="A607" s="3" t="s">
        <v>440</v>
      </c>
      <c r="B607" s="3" t="s">
        <v>21</v>
      </c>
      <c r="C607" s="3" t="str">
        <f t="shared" si="9"/>
        <v>450013717730</v>
      </c>
      <c r="D607" s="3" t="s">
        <v>860</v>
      </c>
    </row>
    <row r="608" spans="1:4" x14ac:dyDescent="0.3">
      <c r="A608" s="3" t="s">
        <v>501</v>
      </c>
      <c r="B608" s="3" t="s">
        <v>20</v>
      </c>
      <c r="C608" s="3" t="str">
        <f t="shared" si="9"/>
        <v>450013814620</v>
      </c>
      <c r="D608" s="3" t="s">
        <v>860</v>
      </c>
    </row>
    <row r="609" spans="1:4" x14ac:dyDescent="0.3">
      <c r="A609" s="3" t="s">
        <v>530</v>
      </c>
      <c r="B609" s="3" t="s">
        <v>33</v>
      </c>
      <c r="C609" s="3" t="str">
        <f t="shared" si="9"/>
        <v>450013772710</v>
      </c>
      <c r="D609" s="3" t="s">
        <v>865</v>
      </c>
    </row>
    <row r="610" spans="1:4" x14ac:dyDescent="0.3">
      <c r="A610" s="3" t="s">
        <v>667</v>
      </c>
      <c r="B610" s="3" t="s">
        <v>33</v>
      </c>
      <c r="C610" s="3" t="str">
        <f t="shared" si="9"/>
        <v>450013795210</v>
      </c>
      <c r="D610" s="3" t="s">
        <v>861</v>
      </c>
    </row>
    <row r="611" spans="1:4" x14ac:dyDescent="0.3">
      <c r="A611" s="3" t="s">
        <v>530</v>
      </c>
      <c r="B611" s="3" t="s">
        <v>20</v>
      </c>
      <c r="C611" s="3" t="str">
        <f t="shared" si="9"/>
        <v>450013772720</v>
      </c>
      <c r="D611" s="3" t="s">
        <v>865</v>
      </c>
    </row>
    <row r="612" spans="1:4" x14ac:dyDescent="0.3">
      <c r="A612" s="3" t="s">
        <v>658</v>
      </c>
      <c r="B612" s="3" t="s">
        <v>20</v>
      </c>
      <c r="C612" s="3" t="str">
        <f t="shared" si="9"/>
        <v>450013759120</v>
      </c>
      <c r="D612" s="3" t="s">
        <v>863</v>
      </c>
    </row>
    <row r="613" spans="1:4" x14ac:dyDescent="0.3">
      <c r="A613" s="3" t="s">
        <v>658</v>
      </c>
      <c r="B613" s="3" t="s">
        <v>21</v>
      </c>
      <c r="C613" s="3" t="str">
        <f t="shared" si="9"/>
        <v>450013759130</v>
      </c>
      <c r="D613" s="3" t="s">
        <v>863</v>
      </c>
    </row>
    <row r="614" spans="1:4" x14ac:dyDescent="0.3">
      <c r="A614" s="3" t="s">
        <v>658</v>
      </c>
      <c r="B614" s="3" t="s">
        <v>25</v>
      </c>
      <c r="C614" s="3" t="str">
        <f t="shared" si="9"/>
        <v>450013759140</v>
      </c>
      <c r="D614" s="3" t="s">
        <v>863</v>
      </c>
    </row>
    <row r="615" spans="1:4" x14ac:dyDescent="0.3">
      <c r="A615" s="3" t="s">
        <v>504</v>
      </c>
      <c r="B615" s="3" t="s">
        <v>33</v>
      </c>
      <c r="C615" s="3" t="str">
        <f t="shared" si="9"/>
        <v>450013764110</v>
      </c>
      <c r="D615" s="3" t="s">
        <v>863</v>
      </c>
    </row>
    <row r="616" spans="1:4" x14ac:dyDescent="0.3">
      <c r="A616" s="3" t="s">
        <v>504</v>
      </c>
      <c r="B616" s="3" t="s">
        <v>20</v>
      </c>
      <c r="C616" s="3" t="str">
        <f t="shared" si="9"/>
        <v>450013764120</v>
      </c>
      <c r="D616" s="3" t="s">
        <v>863</v>
      </c>
    </row>
    <row r="617" spans="1:4" x14ac:dyDescent="0.3">
      <c r="A617" s="3" t="s">
        <v>485</v>
      </c>
      <c r="B617" s="3" t="s">
        <v>33</v>
      </c>
      <c r="C617" s="3" t="str">
        <f t="shared" si="9"/>
        <v>450013770410</v>
      </c>
      <c r="D617" s="3" t="s">
        <v>865</v>
      </c>
    </row>
    <row r="618" spans="1:4" x14ac:dyDescent="0.3">
      <c r="A618" s="3" t="s">
        <v>504</v>
      </c>
      <c r="B618" s="3" t="s">
        <v>21</v>
      </c>
      <c r="C618" s="3" t="str">
        <f t="shared" si="9"/>
        <v>450013764130</v>
      </c>
      <c r="D618" s="3" t="s">
        <v>863</v>
      </c>
    </row>
    <row r="619" spans="1:4" x14ac:dyDescent="0.3">
      <c r="A619" s="3" t="s">
        <v>658</v>
      </c>
      <c r="B619" s="3" t="s">
        <v>33</v>
      </c>
      <c r="C619" s="3" t="str">
        <f t="shared" si="9"/>
        <v>450013759110</v>
      </c>
      <c r="D619" s="3" t="s">
        <v>863</v>
      </c>
    </row>
    <row r="620" spans="1:4" x14ac:dyDescent="0.3">
      <c r="A620" s="3" t="s">
        <v>511</v>
      </c>
      <c r="B620" s="3" t="s">
        <v>33</v>
      </c>
      <c r="C620" s="3" t="str">
        <f t="shared" si="9"/>
        <v>450013831810</v>
      </c>
      <c r="D620" s="3" t="s">
        <v>868</v>
      </c>
    </row>
    <row r="621" spans="1:4" x14ac:dyDescent="0.3">
      <c r="A621" s="3" t="s">
        <v>556</v>
      </c>
      <c r="B621" s="3" t="s">
        <v>21</v>
      </c>
      <c r="C621" s="3" t="str">
        <f t="shared" si="9"/>
        <v>450013950330</v>
      </c>
      <c r="D621" s="3" t="s">
        <v>863</v>
      </c>
    </row>
    <row r="622" spans="1:4" x14ac:dyDescent="0.3">
      <c r="A622" s="3" t="s">
        <v>503</v>
      </c>
      <c r="B622" s="3" t="s">
        <v>33</v>
      </c>
      <c r="C622" s="3" t="str">
        <f t="shared" si="9"/>
        <v>450013799610</v>
      </c>
      <c r="D622" s="3" t="s">
        <v>865</v>
      </c>
    </row>
    <row r="623" spans="1:4" x14ac:dyDescent="0.3">
      <c r="A623" s="3" t="s">
        <v>576</v>
      </c>
      <c r="B623" s="3" t="s">
        <v>33</v>
      </c>
      <c r="C623" s="3" t="str">
        <f t="shared" si="9"/>
        <v>450013813110</v>
      </c>
      <c r="D623" s="3" t="s">
        <v>865</v>
      </c>
    </row>
    <row r="624" spans="1:4" x14ac:dyDescent="0.3">
      <c r="A624" s="3" t="s">
        <v>499</v>
      </c>
      <c r="B624" s="3" t="s">
        <v>33</v>
      </c>
      <c r="C624" s="3" t="str">
        <f t="shared" si="9"/>
        <v>450013812910</v>
      </c>
      <c r="D624" s="3" t="s">
        <v>865</v>
      </c>
    </row>
    <row r="625" spans="1:4" x14ac:dyDescent="0.3">
      <c r="A625" s="3" t="s">
        <v>595</v>
      </c>
      <c r="B625" s="3" t="s">
        <v>33</v>
      </c>
      <c r="C625" s="3" t="str">
        <f t="shared" si="9"/>
        <v>450013811710</v>
      </c>
      <c r="D625" s="3" t="s">
        <v>865</v>
      </c>
    </row>
    <row r="626" spans="1:4" x14ac:dyDescent="0.3">
      <c r="A626" s="3" t="s">
        <v>556</v>
      </c>
      <c r="B626" s="3" t="s">
        <v>20</v>
      </c>
      <c r="C626" s="3" t="str">
        <f t="shared" si="9"/>
        <v>450013950320</v>
      </c>
      <c r="D626" s="3" t="s">
        <v>863</v>
      </c>
    </row>
    <row r="627" spans="1:4" x14ac:dyDescent="0.3">
      <c r="A627" s="3" t="s">
        <v>493</v>
      </c>
      <c r="B627" s="3" t="s">
        <v>33</v>
      </c>
      <c r="C627" s="3" t="str">
        <f t="shared" si="9"/>
        <v>450013806610</v>
      </c>
      <c r="D627" s="3" t="s">
        <v>860</v>
      </c>
    </row>
    <row r="628" spans="1:4" x14ac:dyDescent="0.3">
      <c r="A628" s="3" t="s">
        <v>493</v>
      </c>
      <c r="B628" s="3" t="s">
        <v>20</v>
      </c>
      <c r="C628" s="3" t="str">
        <f t="shared" si="9"/>
        <v>450013806620</v>
      </c>
      <c r="D628" s="3" t="s">
        <v>860</v>
      </c>
    </row>
    <row r="629" spans="1:4" x14ac:dyDescent="0.3">
      <c r="A629" s="3" t="s">
        <v>527</v>
      </c>
      <c r="B629" s="3" t="s">
        <v>33</v>
      </c>
      <c r="C629" s="3" t="str">
        <f t="shared" si="9"/>
        <v>450013852110</v>
      </c>
      <c r="D629" s="3" t="s">
        <v>860</v>
      </c>
    </row>
    <row r="630" spans="1:4" x14ac:dyDescent="0.3">
      <c r="A630" s="3" t="s">
        <v>556</v>
      </c>
      <c r="B630" s="3" t="s">
        <v>33</v>
      </c>
      <c r="C630" s="3" t="str">
        <f t="shared" si="9"/>
        <v>450013950310</v>
      </c>
      <c r="D630" s="3" t="s">
        <v>863</v>
      </c>
    </row>
    <row r="631" spans="1:4" x14ac:dyDescent="0.3">
      <c r="A631" s="3" t="s">
        <v>692</v>
      </c>
      <c r="B631" s="3" t="s">
        <v>325</v>
      </c>
      <c r="C631" s="3" t="str">
        <f t="shared" si="9"/>
        <v>4500138266180</v>
      </c>
      <c r="D631" s="3" t="s">
        <v>865</v>
      </c>
    </row>
    <row r="632" spans="1:4" x14ac:dyDescent="0.3">
      <c r="A632" s="3" t="s">
        <v>692</v>
      </c>
      <c r="B632" s="3" t="s">
        <v>324</v>
      </c>
      <c r="C632" s="3" t="str">
        <f t="shared" si="9"/>
        <v>4500138266170</v>
      </c>
      <c r="D632" s="3" t="s">
        <v>865</v>
      </c>
    </row>
    <row r="633" spans="1:4" x14ac:dyDescent="0.3">
      <c r="A633" s="3" t="s">
        <v>692</v>
      </c>
      <c r="B633" s="3" t="s">
        <v>33</v>
      </c>
      <c r="C633" s="3" t="str">
        <f t="shared" si="9"/>
        <v>450013826610</v>
      </c>
      <c r="D633" s="3" t="s">
        <v>865</v>
      </c>
    </row>
    <row r="634" spans="1:4" x14ac:dyDescent="0.3">
      <c r="A634" s="3" t="s">
        <v>692</v>
      </c>
      <c r="B634" s="3" t="s">
        <v>20</v>
      </c>
      <c r="C634" s="3" t="str">
        <f t="shared" si="9"/>
        <v>450013826620</v>
      </c>
      <c r="D634" s="3" t="s">
        <v>865</v>
      </c>
    </row>
    <row r="635" spans="1:4" x14ac:dyDescent="0.3">
      <c r="A635" s="3" t="s">
        <v>692</v>
      </c>
      <c r="B635" s="3" t="s">
        <v>21</v>
      </c>
      <c r="C635" s="3" t="str">
        <f t="shared" si="9"/>
        <v>450013826630</v>
      </c>
      <c r="D635" s="3" t="s">
        <v>865</v>
      </c>
    </row>
    <row r="636" spans="1:4" x14ac:dyDescent="0.3">
      <c r="A636" s="3" t="s">
        <v>692</v>
      </c>
      <c r="B636" s="3" t="s">
        <v>25</v>
      </c>
      <c r="C636" s="3" t="str">
        <f t="shared" si="9"/>
        <v>450013826640</v>
      </c>
      <c r="D636" s="3" t="s">
        <v>865</v>
      </c>
    </row>
    <row r="637" spans="1:4" x14ac:dyDescent="0.3">
      <c r="A637" s="3" t="s">
        <v>692</v>
      </c>
      <c r="B637" s="3" t="s">
        <v>22</v>
      </c>
      <c r="C637" s="3" t="str">
        <f t="shared" si="9"/>
        <v>450013826650</v>
      </c>
      <c r="D637" s="3" t="s">
        <v>865</v>
      </c>
    </row>
    <row r="638" spans="1:4" x14ac:dyDescent="0.3">
      <c r="A638" s="3" t="s">
        <v>692</v>
      </c>
      <c r="B638" s="3" t="s">
        <v>23</v>
      </c>
      <c r="C638" s="3" t="str">
        <f t="shared" si="9"/>
        <v>450013826660</v>
      </c>
      <c r="D638" s="3" t="s">
        <v>865</v>
      </c>
    </row>
    <row r="639" spans="1:4" x14ac:dyDescent="0.3">
      <c r="A639" s="3" t="s">
        <v>692</v>
      </c>
      <c r="B639" s="3" t="s">
        <v>24</v>
      </c>
      <c r="C639" s="3" t="str">
        <f t="shared" ref="C639:C702" si="10">_xlfn.CONCAT(A639:B639)</f>
        <v>450013826670</v>
      </c>
      <c r="D639" s="3" t="s">
        <v>865</v>
      </c>
    </row>
    <row r="640" spans="1:4" x14ac:dyDescent="0.3">
      <c r="A640" s="3" t="s">
        <v>692</v>
      </c>
      <c r="B640" s="3" t="s">
        <v>321</v>
      </c>
      <c r="C640" s="3" t="str">
        <f t="shared" si="10"/>
        <v>450013826680</v>
      </c>
      <c r="D640" s="3" t="s">
        <v>865</v>
      </c>
    </row>
    <row r="641" spans="1:4" x14ac:dyDescent="0.3">
      <c r="A641" s="3" t="s">
        <v>692</v>
      </c>
      <c r="B641" s="3" t="s">
        <v>322</v>
      </c>
      <c r="C641" s="3" t="str">
        <f t="shared" si="10"/>
        <v>450013826690</v>
      </c>
      <c r="D641" s="3" t="s">
        <v>865</v>
      </c>
    </row>
    <row r="642" spans="1:4" x14ac:dyDescent="0.3">
      <c r="A642" s="3" t="s">
        <v>692</v>
      </c>
      <c r="B642" s="3" t="s">
        <v>323</v>
      </c>
      <c r="C642" s="3" t="str">
        <f t="shared" si="10"/>
        <v>4500138266100</v>
      </c>
      <c r="D642" s="3" t="s">
        <v>865</v>
      </c>
    </row>
    <row r="643" spans="1:4" x14ac:dyDescent="0.3">
      <c r="A643" s="3" t="s">
        <v>692</v>
      </c>
      <c r="B643" s="3" t="s">
        <v>175</v>
      </c>
      <c r="C643" s="3" t="str">
        <f t="shared" si="10"/>
        <v>4500138266110</v>
      </c>
      <c r="D643" s="3" t="s">
        <v>865</v>
      </c>
    </row>
    <row r="644" spans="1:4" x14ac:dyDescent="0.3">
      <c r="A644" s="3" t="s">
        <v>692</v>
      </c>
      <c r="B644" s="3" t="s">
        <v>375</v>
      </c>
      <c r="C644" s="3" t="str">
        <f t="shared" si="10"/>
        <v>4500138266120</v>
      </c>
      <c r="D644" s="3" t="s">
        <v>865</v>
      </c>
    </row>
    <row r="645" spans="1:4" x14ac:dyDescent="0.3">
      <c r="A645" s="3" t="s">
        <v>692</v>
      </c>
      <c r="B645" s="3" t="s">
        <v>203</v>
      </c>
      <c r="C645" s="3" t="str">
        <f t="shared" si="10"/>
        <v>4500138266130</v>
      </c>
      <c r="D645" s="3" t="s">
        <v>865</v>
      </c>
    </row>
    <row r="646" spans="1:4" x14ac:dyDescent="0.3">
      <c r="A646" s="3" t="s">
        <v>692</v>
      </c>
      <c r="B646" s="3" t="s">
        <v>376</v>
      </c>
      <c r="C646" s="3" t="str">
        <f t="shared" si="10"/>
        <v>4500138266140</v>
      </c>
      <c r="D646" s="3" t="s">
        <v>865</v>
      </c>
    </row>
    <row r="647" spans="1:4" x14ac:dyDescent="0.3">
      <c r="A647" s="3" t="s">
        <v>656</v>
      </c>
      <c r="B647" s="3" t="s">
        <v>33</v>
      </c>
      <c r="C647" s="3" t="str">
        <f t="shared" si="10"/>
        <v>450013834810</v>
      </c>
      <c r="D647" s="3" t="s">
        <v>861</v>
      </c>
    </row>
    <row r="648" spans="1:4" x14ac:dyDescent="0.3">
      <c r="A648" s="3" t="s">
        <v>692</v>
      </c>
      <c r="B648" s="3" t="s">
        <v>377</v>
      </c>
      <c r="C648" s="3" t="str">
        <f t="shared" si="10"/>
        <v>4500138266150</v>
      </c>
      <c r="D648" s="3" t="s">
        <v>865</v>
      </c>
    </row>
    <row r="649" spans="1:4" x14ac:dyDescent="0.3">
      <c r="A649" s="3" t="s">
        <v>692</v>
      </c>
      <c r="B649" s="3" t="s">
        <v>378</v>
      </c>
      <c r="C649" s="3" t="str">
        <f t="shared" si="10"/>
        <v>4500138266160</v>
      </c>
      <c r="D649" s="3" t="s">
        <v>865</v>
      </c>
    </row>
    <row r="650" spans="1:4" x14ac:dyDescent="0.3">
      <c r="A650" s="3" t="s">
        <v>532</v>
      </c>
      <c r="B650" s="3" t="s">
        <v>24</v>
      </c>
      <c r="C650" s="3" t="str">
        <f t="shared" si="10"/>
        <v>450013870970</v>
      </c>
      <c r="D650" s="3" t="s">
        <v>863</v>
      </c>
    </row>
    <row r="651" spans="1:4" x14ac:dyDescent="0.3">
      <c r="A651" s="3" t="s">
        <v>675</v>
      </c>
      <c r="B651" s="3" t="s">
        <v>33</v>
      </c>
      <c r="C651" s="3" t="str">
        <f t="shared" si="10"/>
        <v>450013970310</v>
      </c>
      <c r="D651" s="3" t="s">
        <v>873</v>
      </c>
    </row>
    <row r="652" spans="1:4" x14ac:dyDescent="0.3">
      <c r="A652" s="3" t="s">
        <v>809</v>
      </c>
      <c r="B652" s="3" t="s">
        <v>33</v>
      </c>
      <c r="C652" s="3" t="str">
        <f t="shared" si="10"/>
        <v>450014003410</v>
      </c>
      <c r="D652" s="3" t="s">
        <v>860</v>
      </c>
    </row>
    <row r="653" spans="1:4" x14ac:dyDescent="0.3">
      <c r="A653" s="3" t="s">
        <v>663</v>
      </c>
      <c r="B653" s="3" t="s">
        <v>33</v>
      </c>
      <c r="C653" s="3" t="str">
        <f t="shared" si="10"/>
        <v>450013868110</v>
      </c>
      <c r="D653" s="3" t="s">
        <v>860</v>
      </c>
    </row>
    <row r="654" spans="1:4" x14ac:dyDescent="0.3">
      <c r="A654" s="3" t="s">
        <v>532</v>
      </c>
      <c r="B654" s="3" t="s">
        <v>23</v>
      </c>
      <c r="C654" s="3" t="str">
        <f t="shared" si="10"/>
        <v>450013870960</v>
      </c>
      <c r="D654" s="3" t="s">
        <v>863</v>
      </c>
    </row>
    <row r="655" spans="1:4" x14ac:dyDescent="0.3">
      <c r="A655" s="3" t="s">
        <v>532</v>
      </c>
      <c r="B655" s="3" t="s">
        <v>22</v>
      </c>
      <c r="C655" s="3" t="str">
        <f t="shared" si="10"/>
        <v>450013870950</v>
      </c>
      <c r="D655" s="3" t="s">
        <v>863</v>
      </c>
    </row>
    <row r="656" spans="1:4" x14ac:dyDescent="0.3">
      <c r="A656" s="3" t="s">
        <v>532</v>
      </c>
      <c r="B656" s="3" t="s">
        <v>25</v>
      </c>
      <c r="C656" s="3" t="str">
        <f t="shared" si="10"/>
        <v>450013870940</v>
      </c>
      <c r="D656" s="3" t="s">
        <v>863</v>
      </c>
    </row>
    <row r="657" spans="1:4" x14ac:dyDescent="0.3">
      <c r="A657" s="3" t="s">
        <v>532</v>
      </c>
      <c r="B657" s="3" t="s">
        <v>21</v>
      </c>
      <c r="C657" s="3" t="str">
        <f t="shared" si="10"/>
        <v>450013870930</v>
      </c>
      <c r="D657" s="3" t="s">
        <v>863</v>
      </c>
    </row>
    <row r="658" spans="1:4" x14ac:dyDescent="0.3">
      <c r="A658" s="3" t="s">
        <v>532</v>
      </c>
      <c r="B658" s="3" t="s">
        <v>20</v>
      </c>
      <c r="C658" s="3" t="str">
        <f t="shared" si="10"/>
        <v>450013870920</v>
      </c>
      <c r="D658" s="3" t="s">
        <v>863</v>
      </c>
    </row>
    <row r="659" spans="1:4" x14ac:dyDescent="0.3">
      <c r="A659" s="3" t="s">
        <v>649</v>
      </c>
      <c r="B659" s="3" t="s">
        <v>33</v>
      </c>
      <c r="C659" s="3" t="str">
        <f t="shared" si="10"/>
        <v>450013881110</v>
      </c>
      <c r="D659" s="3" t="s">
        <v>861</v>
      </c>
    </row>
    <row r="660" spans="1:4" x14ac:dyDescent="0.3">
      <c r="A660" s="3" t="s">
        <v>650</v>
      </c>
      <c r="B660" s="3" t="s">
        <v>321</v>
      </c>
      <c r="C660" s="3" t="str">
        <f t="shared" si="10"/>
        <v>450013874580</v>
      </c>
      <c r="D660" s="3" t="s">
        <v>860</v>
      </c>
    </row>
    <row r="661" spans="1:4" x14ac:dyDescent="0.3">
      <c r="A661" s="3" t="s">
        <v>649</v>
      </c>
      <c r="B661" s="3" t="s">
        <v>20</v>
      </c>
      <c r="C661" s="3" t="str">
        <f t="shared" si="10"/>
        <v>450013881120</v>
      </c>
      <c r="D661" s="3" t="s">
        <v>861</v>
      </c>
    </row>
    <row r="662" spans="1:4" x14ac:dyDescent="0.3">
      <c r="A662" s="3" t="s">
        <v>578</v>
      </c>
      <c r="B662" s="3" t="s">
        <v>33</v>
      </c>
      <c r="C662" s="3" t="str">
        <f t="shared" si="10"/>
        <v>450013914910</v>
      </c>
      <c r="D662" s="3" t="s">
        <v>872</v>
      </c>
    </row>
    <row r="663" spans="1:4" x14ac:dyDescent="0.3">
      <c r="A663" s="3" t="s">
        <v>599</v>
      </c>
      <c r="B663" s="3" t="s">
        <v>33</v>
      </c>
      <c r="C663" s="3" t="str">
        <f t="shared" si="10"/>
        <v>450013931110</v>
      </c>
      <c r="D663" s="3" t="s">
        <v>861</v>
      </c>
    </row>
    <row r="664" spans="1:4" x14ac:dyDescent="0.3">
      <c r="A664" s="3" t="s">
        <v>532</v>
      </c>
      <c r="B664" s="3" t="s">
        <v>33</v>
      </c>
      <c r="C664" s="3" t="str">
        <f t="shared" si="10"/>
        <v>450013870910</v>
      </c>
      <c r="D664" s="3" t="s">
        <v>863</v>
      </c>
    </row>
    <row r="665" spans="1:4" x14ac:dyDescent="0.3">
      <c r="A665" s="3" t="s">
        <v>564</v>
      </c>
      <c r="B665" s="3" t="s">
        <v>20</v>
      </c>
      <c r="C665" s="3" t="str">
        <f t="shared" si="10"/>
        <v>450013913420</v>
      </c>
      <c r="D665" s="3" t="s">
        <v>863</v>
      </c>
    </row>
    <row r="666" spans="1:4" x14ac:dyDescent="0.3">
      <c r="A666" s="3" t="s">
        <v>564</v>
      </c>
      <c r="B666" s="3" t="s">
        <v>25</v>
      </c>
      <c r="C666" s="3" t="str">
        <f t="shared" si="10"/>
        <v>450013913440</v>
      </c>
      <c r="D666" s="3" t="s">
        <v>863</v>
      </c>
    </row>
    <row r="667" spans="1:4" x14ac:dyDescent="0.3">
      <c r="A667" s="3" t="s">
        <v>564</v>
      </c>
      <c r="B667" s="3" t="s">
        <v>21</v>
      </c>
      <c r="C667" s="3" t="str">
        <f t="shared" si="10"/>
        <v>450013913430</v>
      </c>
      <c r="D667" s="3" t="s">
        <v>863</v>
      </c>
    </row>
    <row r="668" spans="1:4" x14ac:dyDescent="0.3">
      <c r="A668" s="3" t="s">
        <v>580</v>
      </c>
      <c r="B668" s="3" t="s">
        <v>33</v>
      </c>
      <c r="C668" s="3" t="str">
        <f t="shared" si="10"/>
        <v>450013920410</v>
      </c>
      <c r="D668" s="3" t="s">
        <v>867</v>
      </c>
    </row>
    <row r="669" spans="1:4" x14ac:dyDescent="0.3">
      <c r="A669" s="3" t="s">
        <v>577</v>
      </c>
      <c r="B669" s="3" t="s">
        <v>33</v>
      </c>
      <c r="C669" s="3" t="str">
        <f t="shared" si="10"/>
        <v>450013918210</v>
      </c>
      <c r="D669" s="3" t="s">
        <v>863</v>
      </c>
    </row>
    <row r="670" spans="1:4" x14ac:dyDescent="0.3">
      <c r="A670" s="3" t="s">
        <v>593</v>
      </c>
      <c r="B670" s="3" t="s">
        <v>20</v>
      </c>
      <c r="C670" s="3" t="str">
        <f t="shared" si="10"/>
        <v>450013912720</v>
      </c>
      <c r="D670" s="3" t="s">
        <v>865</v>
      </c>
    </row>
    <row r="671" spans="1:4" x14ac:dyDescent="0.3">
      <c r="A671" s="3" t="s">
        <v>593</v>
      </c>
      <c r="B671" s="3" t="s">
        <v>33</v>
      </c>
      <c r="C671" s="3" t="str">
        <f t="shared" si="10"/>
        <v>450013912710</v>
      </c>
      <c r="D671" s="3" t="s">
        <v>865</v>
      </c>
    </row>
    <row r="672" spans="1:4" x14ac:dyDescent="0.3">
      <c r="A672" s="3" t="s">
        <v>815</v>
      </c>
      <c r="B672" s="3" t="s">
        <v>33</v>
      </c>
      <c r="C672" s="3" t="str">
        <f t="shared" si="10"/>
        <v>450013973010</v>
      </c>
      <c r="D672" s="3" t="s">
        <v>875</v>
      </c>
    </row>
    <row r="673" spans="1:4" x14ac:dyDescent="0.3">
      <c r="A673" s="3" t="s">
        <v>564</v>
      </c>
      <c r="B673" s="3" t="s">
        <v>33</v>
      </c>
      <c r="C673" s="3" t="str">
        <f t="shared" si="10"/>
        <v>450013913410</v>
      </c>
      <c r="D673" s="3" t="s">
        <v>863</v>
      </c>
    </row>
    <row r="674" spans="1:4" x14ac:dyDescent="0.3">
      <c r="A674" s="3" t="s">
        <v>647</v>
      </c>
      <c r="B674" s="3" t="s">
        <v>33</v>
      </c>
      <c r="C674" s="3" t="str">
        <f t="shared" si="10"/>
        <v>450013921110</v>
      </c>
      <c r="D674" s="3" t="s">
        <v>860</v>
      </c>
    </row>
    <row r="675" spans="1:4" x14ac:dyDescent="0.3">
      <c r="A675" s="3" t="s">
        <v>647</v>
      </c>
      <c r="B675" s="3" t="s">
        <v>20</v>
      </c>
      <c r="C675" s="3" t="str">
        <f t="shared" si="10"/>
        <v>450013921120</v>
      </c>
      <c r="D675" s="3" t="s">
        <v>860</v>
      </c>
    </row>
    <row r="676" spans="1:4" x14ac:dyDescent="0.3">
      <c r="A676" s="3" t="s">
        <v>682</v>
      </c>
      <c r="B676" s="3" t="s">
        <v>33</v>
      </c>
      <c r="C676" s="3" t="str">
        <f t="shared" si="10"/>
        <v>450013997810</v>
      </c>
      <c r="D676" s="3" t="s">
        <v>860</v>
      </c>
    </row>
    <row r="677" spans="1:4" x14ac:dyDescent="0.3">
      <c r="A677" s="3" t="s">
        <v>592</v>
      </c>
      <c r="B677" s="3" t="s">
        <v>33</v>
      </c>
      <c r="C677" s="3" t="str">
        <f t="shared" si="10"/>
        <v>450013940110</v>
      </c>
      <c r="D677" s="3" t="s">
        <v>881</v>
      </c>
    </row>
    <row r="678" spans="1:4" x14ac:dyDescent="0.3">
      <c r="A678" s="3" t="s">
        <v>693</v>
      </c>
      <c r="B678" s="3" t="s">
        <v>33</v>
      </c>
      <c r="C678" s="3" t="str">
        <f t="shared" si="10"/>
        <v>450014002310</v>
      </c>
      <c r="D678" s="3" t="s">
        <v>860</v>
      </c>
    </row>
    <row r="679" spans="1:4" x14ac:dyDescent="0.3">
      <c r="A679" s="3" t="s">
        <v>590</v>
      </c>
      <c r="B679" s="3" t="s">
        <v>33</v>
      </c>
      <c r="C679" s="3" t="str">
        <f t="shared" si="10"/>
        <v>450013942710</v>
      </c>
      <c r="D679" s="3" t="s">
        <v>861</v>
      </c>
    </row>
    <row r="680" spans="1:4" x14ac:dyDescent="0.3">
      <c r="A680" s="3" t="s">
        <v>662</v>
      </c>
      <c r="B680" s="3" t="s">
        <v>33</v>
      </c>
      <c r="C680" s="3" t="str">
        <f t="shared" si="10"/>
        <v>450013949610</v>
      </c>
      <c r="D680" s="3" t="s">
        <v>860</v>
      </c>
    </row>
    <row r="681" spans="1:4" x14ac:dyDescent="0.3">
      <c r="A681" s="3" t="s">
        <v>671</v>
      </c>
      <c r="B681" s="3" t="s">
        <v>21</v>
      </c>
      <c r="C681" s="3" t="str">
        <f t="shared" si="10"/>
        <v>450013950530</v>
      </c>
      <c r="D681" s="3" t="s">
        <v>865</v>
      </c>
    </row>
    <row r="682" spans="1:4" x14ac:dyDescent="0.3">
      <c r="A682" s="3" t="s">
        <v>671</v>
      </c>
      <c r="B682" s="3" t="s">
        <v>25</v>
      </c>
      <c r="C682" s="3" t="str">
        <f t="shared" si="10"/>
        <v>450013950540</v>
      </c>
      <c r="D682" s="3" t="s">
        <v>865</v>
      </c>
    </row>
    <row r="683" spans="1:4" x14ac:dyDescent="0.3">
      <c r="A683" s="3" t="s">
        <v>671</v>
      </c>
      <c r="B683" s="3" t="s">
        <v>22</v>
      </c>
      <c r="C683" s="3" t="str">
        <f t="shared" si="10"/>
        <v>450013950550</v>
      </c>
      <c r="D683" s="3" t="s">
        <v>865</v>
      </c>
    </row>
    <row r="684" spans="1:4" x14ac:dyDescent="0.3">
      <c r="A684" s="3" t="s">
        <v>671</v>
      </c>
      <c r="B684" s="3" t="s">
        <v>23</v>
      </c>
      <c r="C684" s="3" t="str">
        <f t="shared" si="10"/>
        <v>450013950560</v>
      </c>
      <c r="D684" s="3" t="s">
        <v>865</v>
      </c>
    </row>
    <row r="685" spans="1:4" x14ac:dyDescent="0.3">
      <c r="A685" s="3" t="s">
        <v>671</v>
      </c>
      <c r="B685" s="3" t="s">
        <v>33</v>
      </c>
      <c r="C685" s="3" t="str">
        <f t="shared" si="10"/>
        <v>450013950510</v>
      </c>
      <c r="D685" s="3" t="s">
        <v>865</v>
      </c>
    </row>
    <row r="686" spans="1:4" x14ac:dyDescent="0.3">
      <c r="A686" s="3" t="s">
        <v>824</v>
      </c>
      <c r="B686" s="3" t="s">
        <v>33</v>
      </c>
      <c r="C686" s="3" t="str">
        <f t="shared" si="10"/>
        <v>450013954110</v>
      </c>
      <c r="D686" s="3" t="s">
        <v>868</v>
      </c>
    </row>
    <row r="687" spans="1:4" x14ac:dyDescent="0.3">
      <c r="A687" s="3" t="s">
        <v>93</v>
      </c>
      <c r="B687" s="3" t="s">
        <v>33</v>
      </c>
      <c r="C687" s="3" t="str">
        <f t="shared" si="10"/>
        <v>450013947610</v>
      </c>
      <c r="D687" s="3" t="s">
        <v>860</v>
      </c>
    </row>
    <row r="688" spans="1:4" x14ac:dyDescent="0.3">
      <c r="A688" s="3" t="s">
        <v>694</v>
      </c>
      <c r="B688" s="3" t="s">
        <v>20</v>
      </c>
      <c r="C688" s="3" t="str">
        <f t="shared" si="10"/>
        <v>450013968220</v>
      </c>
      <c r="D688" s="3" t="s">
        <v>863</v>
      </c>
    </row>
    <row r="689" spans="1:4" x14ac:dyDescent="0.3">
      <c r="A689" s="3" t="s">
        <v>694</v>
      </c>
      <c r="B689" s="3" t="s">
        <v>33</v>
      </c>
      <c r="C689" s="3" t="str">
        <f t="shared" si="10"/>
        <v>450013968210</v>
      </c>
      <c r="D689" s="3" t="s">
        <v>863</v>
      </c>
    </row>
    <row r="690" spans="1:4" x14ac:dyDescent="0.3">
      <c r="A690" s="3" t="s">
        <v>825</v>
      </c>
      <c r="B690" s="3" t="s">
        <v>33</v>
      </c>
      <c r="C690" s="3" t="str">
        <f t="shared" si="10"/>
        <v>450013974610</v>
      </c>
      <c r="D690" s="3" t="s">
        <v>865</v>
      </c>
    </row>
    <row r="691" spans="1:4" x14ac:dyDescent="0.3">
      <c r="A691" s="3" t="s">
        <v>559</v>
      </c>
      <c r="B691" s="3" t="s">
        <v>33</v>
      </c>
      <c r="C691" s="3" t="str">
        <f t="shared" si="10"/>
        <v>450013952710</v>
      </c>
      <c r="D691" s="3" t="s">
        <v>860</v>
      </c>
    </row>
    <row r="692" spans="1:4" x14ac:dyDescent="0.3">
      <c r="A692" s="3" t="s">
        <v>559</v>
      </c>
      <c r="B692" s="3" t="s">
        <v>20</v>
      </c>
      <c r="C692" s="3" t="str">
        <f t="shared" si="10"/>
        <v>450013952720</v>
      </c>
      <c r="D692" s="3" t="s">
        <v>860</v>
      </c>
    </row>
    <row r="693" spans="1:4" x14ac:dyDescent="0.3">
      <c r="A693" s="3" t="s">
        <v>664</v>
      </c>
      <c r="B693" s="3" t="s">
        <v>33</v>
      </c>
      <c r="C693" s="3" t="str">
        <f t="shared" si="10"/>
        <v>450013955610</v>
      </c>
      <c r="D693" s="3" t="s">
        <v>860</v>
      </c>
    </row>
    <row r="694" spans="1:4" x14ac:dyDescent="0.3">
      <c r="A694" s="3" t="s">
        <v>602</v>
      </c>
      <c r="B694" s="3" t="s">
        <v>33</v>
      </c>
      <c r="C694" s="3" t="str">
        <f t="shared" si="10"/>
        <v>450013973810</v>
      </c>
      <c r="D694" s="3" t="s">
        <v>865</v>
      </c>
    </row>
    <row r="695" spans="1:4" x14ac:dyDescent="0.3">
      <c r="A695" s="3" t="s">
        <v>823</v>
      </c>
      <c r="B695" s="3" t="s">
        <v>33</v>
      </c>
      <c r="C695" s="3" t="str">
        <f t="shared" si="10"/>
        <v>450013965010</v>
      </c>
      <c r="D695" s="3" t="s">
        <v>863</v>
      </c>
    </row>
    <row r="696" spans="1:4" x14ac:dyDescent="0.3">
      <c r="A696" s="3" t="s">
        <v>823</v>
      </c>
      <c r="B696" s="3" t="s">
        <v>20</v>
      </c>
      <c r="C696" s="3" t="str">
        <f t="shared" si="10"/>
        <v>450013965020</v>
      </c>
      <c r="D696" s="3" t="s">
        <v>863</v>
      </c>
    </row>
    <row r="697" spans="1:4" x14ac:dyDescent="0.3">
      <c r="A697" s="3" t="s">
        <v>694</v>
      </c>
      <c r="B697" s="3" t="s">
        <v>21</v>
      </c>
      <c r="C697" s="3" t="str">
        <f t="shared" si="10"/>
        <v>450013968230</v>
      </c>
      <c r="D697" s="3" t="s">
        <v>863</v>
      </c>
    </row>
    <row r="698" spans="1:4" x14ac:dyDescent="0.3">
      <c r="A698" s="3" t="s">
        <v>817</v>
      </c>
      <c r="B698" s="3" t="s">
        <v>33</v>
      </c>
      <c r="C698" s="3" t="str">
        <f t="shared" si="10"/>
        <v>450013989010</v>
      </c>
      <c r="D698" s="3" t="s">
        <v>863</v>
      </c>
    </row>
    <row r="699" spans="1:4" x14ac:dyDescent="0.3">
      <c r="A699" s="3" t="s">
        <v>694</v>
      </c>
      <c r="B699" s="3" t="s">
        <v>25</v>
      </c>
      <c r="C699" s="3" t="str">
        <f t="shared" si="10"/>
        <v>450013968240</v>
      </c>
      <c r="D699" s="3" t="s">
        <v>863</v>
      </c>
    </row>
    <row r="700" spans="1:4" x14ac:dyDescent="0.3">
      <c r="A700" s="3" t="s">
        <v>811</v>
      </c>
      <c r="B700" s="3" t="s">
        <v>33</v>
      </c>
      <c r="C700" s="3" t="str">
        <f t="shared" si="10"/>
        <v>450014002810</v>
      </c>
      <c r="D700" s="3" t="s">
        <v>865</v>
      </c>
    </row>
    <row r="701" spans="1:4" x14ac:dyDescent="0.3">
      <c r="A701" s="3" t="s">
        <v>684</v>
      </c>
      <c r="B701" s="3" t="s">
        <v>33</v>
      </c>
      <c r="C701" s="3" t="str">
        <f t="shared" si="10"/>
        <v>450014003510</v>
      </c>
      <c r="D701" s="3" t="s">
        <v>860</v>
      </c>
    </row>
    <row r="702" spans="1:4" x14ac:dyDescent="0.3">
      <c r="A702" s="3" t="s">
        <v>98</v>
      </c>
      <c r="B702" s="3" t="s">
        <v>33</v>
      </c>
      <c r="C702" s="3" t="str">
        <f t="shared" si="10"/>
        <v>450011680010</v>
      </c>
      <c r="D702" s="3" t="s">
        <v>868</v>
      </c>
    </row>
    <row r="703" spans="1:4" x14ac:dyDescent="0.3">
      <c r="A703" s="3" t="s">
        <v>98</v>
      </c>
      <c r="B703" s="3" t="s">
        <v>33</v>
      </c>
      <c r="C703" s="3" t="str">
        <f t="shared" ref="C703:C766" si="11">_xlfn.CONCAT(A703:B703)</f>
        <v>450011680010</v>
      </c>
      <c r="D703" s="3" t="s">
        <v>868</v>
      </c>
    </row>
    <row r="704" spans="1:4" x14ac:dyDescent="0.3">
      <c r="A704" s="3" t="s">
        <v>98</v>
      </c>
      <c r="B704" s="3" t="s">
        <v>33</v>
      </c>
      <c r="C704" s="3" t="str">
        <f t="shared" si="11"/>
        <v>450011680010</v>
      </c>
      <c r="D704" s="3" t="s">
        <v>868</v>
      </c>
    </row>
    <row r="705" spans="1:4" x14ac:dyDescent="0.3">
      <c r="A705" s="3" t="s">
        <v>98</v>
      </c>
      <c r="B705" s="3" t="s">
        <v>33</v>
      </c>
      <c r="C705" s="3" t="str">
        <f t="shared" si="11"/>
        <v>450011680010</v>
      </c>
      <c r="D705" s="3" t="s">
        <v>868</v>
      </c>
    </row>
    <row r="706" spans="1:4" x14ac:dyDescent="0.3">
      <c r="A706" s="3" t="s">
        <v>98</v>
      </c>
      <c r="B706" s="3" t="s">
        <v>33</v>
      </c>
      <c r="C706" s="3" t="str">
        <f t="shared" si="11"/>
        <v>450011680010</v>
      </c>
      <c r="D706" s="3" t="s">
        <v>868</v>
      </c>
    </row>
    <row r="707" spans="1:4" x14ac:dyDescent="0.3">
      <c r="A707" s="3" t="s">
        <v>98</v>
      </c>
      <c r="B707" s="3" t="s">
        <v>33</v>
      </c>
      <c r="C707" s="3" t="str">
        <f t="shared" si="11"/>
        <v>450011680010</v>
      </c>
      <c r="D707" s="3" t="s">
        <v>868</v>
      </c>
    </row>
    <row r="708" spans="1:4" x14ac:dyDescent="0.3">
      <c r="A708" s="3" t="s">
        <v>108</v>
      </c>
      <c r="B708" s="3" t="s">
        <v>33</v>
      </c>
      <c r="C708" s="3" t="str">
        <f t="shared" si="11"/>
        <v>450011903410</v>
      </c>
      <c r="D708" s="3" t="s">
        <v>868</v>
      </c>
    </row>
    <row r="709" spans="1:4" x14ac:dyDescent="0.3">
      <c r="A709" s="3" t="s">
        <v>108</v>
      </c>
      <c r="B709" s="3" t="s">
        <v>33</v>
      </c>
      <c r="C709" s="3" t="str">
        <f t="shared" si="11"/>
        <v>450011903410</v>
      </c>
      <c r="D709" s="3" t="s">
        <v>868</v>
      </c>
    </row>
    <row r="710" spans="1:4" x14ac:dyDescent="0.3">
      <c r="A710" s="3" t="s">
        <v>108</v>
      </c>
      <c r="B710" s="3" t="s">
        <v>33</v>
      </c>
      <c r="C710" s="3" t="str">
        <f t="shared" si="11"/>
        <v>450011903410</v>
      </c>
      <c r="D710" s="3" t="s">
        <v>868</v>
      </c>
    </row>
    <row r="711" spans="1:4" x14ac:dyDescent="0.3">
      <c r="A711" s="3" t="s">
        <v>108</v>
      </c>
      <c r="B711" s="3" t="s">
        <v>33</v>
      </c>
      <c r="C711" s="3" t="str">
        <f t="shared" si="11"/>
        <v>450011903410</v>
      </c>
      <c r="D711" s="3" t="s">
        <v>868</v>
      </c>
    </row>
    <row r="712" spans="1:4" x14ac:dyDescent="0.3">
      <c r="A712" s="3" t="s">
        <v>108</v>
      </c>
      <c r="B712" s="3" t="s">
        <v>33</v>
      </c>
      <c r="C712" s="3" t="str">
        <f t="shared" si="11"/>
        <v>450011903410</v>
      </c>
      <c r="D712" s="3" t="s">
        <v>868</v>
      </c>
    </row>
    <row r="713" spans="1:4" x14ac:dyDescent="0.3">
      <c r="A713" s="3" t="s">
        <v>108</v>
      </c>
      <c r="B713" s="3" t="s">
        <v>33</v>
      </c>
      <c r="C713" s="3" t="str">
        <f t="shared" si="11"/>
        <v>450011903410</v>
      </c>
      <c r="D713" s="3" t="s">
        <v>868</v>
      </c>
    </row>
    <row r="714" spans="1:4" x14ac:dyDescent="0.3">
      <c r="A714" s="3" t="s">
        <v>110</v>
      </c>
      <c r="B714" s="3" t="s">
        <v>33</v>
      </c>
      <c r="C714" s="3" t="str">
        <f t="shared" si="11"/>
        <v>450011904510</v>
      </c>
      <c r="D714" s="3" t="s">
        <v>868</v>
      </c>
    </row>
    <row r="715" spans="1:4" x14ac:dyDescent="0.3">
      <c r="A715" s="3" t="s">
        <v>112</v>
      </c>
      <c r="B715" s="3" t="s">
        <v>33</v>
      </c>
      <c r="C715" s="3" t="str">
        <f t="shared" si="11"/>
        <v>450011917410</v>
      </c>
      <c r="D715" s="3" t="s">
        <v>868</v>
      </c>
    </row>
    <row r="716" spans="1:4" x14ac:dyDescent="0.3">
      <c r="A716" s="3" t="s">
        <v>120</v>
      </c>
      <c r="B716" s="3" t="s">
        <v>33</v>
      </c>
      <c r="C716" s="3" t="str">
        <f t="shared" si="11"/>
        <v>450011926310</v>
      </c>
      <c r="D716" s="3" t="s">
        <v>868</v>
      </c>
    </row>
    <row r="717" spans="1:4" x14ac:dyDescent="0.3">
      <c r="A717" s="3" t="s">
        <v>122</v>
      </c>
      <c r="B717" s="3" t="s">
        <v>33</v>
      </c>
      <c r="C717" s="3" t="str">
        <f t="shared" si="11"/>
        <v>450011941310</v>
      </c>
      <c r="D717" s="3" t="s">
        <v>868</v>
      </c>
    </row>
    <row r="718" spans="1:4" x14ac:dyDescent="0.3">
      <c r="A718" s="3" t="s">
        <v>129</v>
      </c>
      <c r="B718" s="3" t="s">
        <v>33</v>
      </c>
      <c r="C718" s="3" t="str">
        <f t="shared" si="11"/>
        <v>450012018610</v>
      </c>
      <c r="D718" s="3" t="s">
        <v>868</v>
      </c>
    </row>
    <row r="719" spans="1:4" x14ac:dyDescent="0.3">
      <c r="A719" s="3" t="s">
        <v>129</v>
      </c>
      <c r="B719" s="3" t="s">
        <v>20</v>
      </c>
      <c r="C719" s="3" t="str">
        <f t="shared" si="11"/>
        <v>450012018620</v>
      </c>
      <c r="D719" s="3" t="s">
        <v>868</v>
      </c>
    </row>
    <row r="720" spans="1:4" x14ac:dyDescent="0.3">
      <c r="A720" s="3" t="s">
        <v>124</v>
      </c>
      <c r="B720" s="3" t="s">
        <v>33</v>
      </c>
      <c r="C720" s="3" t="str">
        <f t="shared" si="11"/>
        <v>450012024510</v>
      </c>
      <c r="D720" s="3" t="s">
        <v>868</v>
      </c>
    </row>
    <row r="721" spans="1:4" x14ac:dyDescent="0.3">
      <c r="A721" s="3" t="s">
        <v>124</v>
      </c>
      <c r="B721" s="3" t="s">
        <v>33</v>
      </c>
      <c r="C721" s="3" t="str">
        <f t="shared" si="11"/>
        <v>450012024510</v>
      </c>
      <c r="D721" s="3" t="s">
        <v>868</v>
      </c>
    </row>
    <row r="722" spans="1:4" x14ac:dyDescent="0.3">
      <c r="A722" s="3" t="s">
        <v>124</v>
      </c>
      <c r="B722" s="3" t="s">
        <v>33</v>
      </c>
      <c r="C722" s="3" t="str">
        <f t="shared" si="11"/>
        <v>450012024510</v>
      </c>
      <c r="D722" s="3" t="s">
        <v>868</v>
      </c>
    </row>
    <row r="723" spans="1:4" x14ac:dyDescent="0.3">
      <c r="A723" s="3" t="s">
        <v>124</v>
      </c>
      <c r="B723" s="3" t="s">
        <v>33</v>
      </c>
      <c r="C723" s="3" t="str">
        <f t="shared" si="11"/>
        <v>450012024510</v>
      </c>
      <c r="D723" s="3" t="s">
        <v>868</v>
      </c>
    </row>
    <row r="724" spans="1:4" x14ac:dyDescent="0.3">
      <c r="A724" s="3" t="s">
        <v>124</v>
      </c>
      <c r="B724" s="3" t="s">
        <v>33</v>
      </c>
      <c r="C724" s="3" t="str">
        <f t="shared" si="11"/>
        <v>450012024510</v>
      </c>
      <c r="D724" s="3" t="s">
        <v>868</v>
      </c>
    </row>
    <row r="725" spans="1:4" x14ac:dyDescent="0.3">
      <c r="A725" s="3" t="s">
        <v>124</v>
      </c>
      <c r="B725" s="3" t="s">
        <v>33</v>
      </c>
      <c r="C725" s="3" t="str">
        <f t="shared" si="11"/>
        <v>450012024510</v>
      </c>
      <c r="D725" s="3" t="s">
        <v>868</v>
      </c>
    </row>
    <row r="726" spans="1:4" x14ac:dyDescent="0.3">
      <c r="A726" s="3" t="s">
        <v>131</v>
      </c>
      <c r="B726" s="3" t="s">
        <v>33</v>
      </c>
      <c r="C726" s="3" t="str">
        <f t="shared" si="11"/>
        <v>450012035810</v>
      </c>
      <c r="D726" s="3" t="s">
        <v>868</v>
      </c>
    </row>
    <row r="727" spans="1:4" x14ac:dyDescent="0.3">
      <c r="A727" s="3" t="s">
        <v>136</v>
      </c>
      <c r="B727" s="3" t="s">
        <v>33</v>
      </c>
      <c r="C727" s="3" t="str">
        <f t="shared" si="11"/>
        <v>450012063010</v>
      </c>
      <c r="D727" s="3" t="s">
        <v>868</v>
      </c>
    </row>
    <row r="728" spans="1:4" x14ac:dyDescent="0.3">
      <c r="A728" s="3" t="s">
        <v>151</v>
      </c>
      <c r="B728" s="3" t="s">
        <v>33</v>
      </c>
      <c r="C728" s="3" t="str">
        <f t="shared" si="11"/>
        <v>450012209210</v>
      </c>
      <c r="D728" s="3" t="s">
        <v>868</v>
      </c>
    </row>
    <row r="729" spans="1:4" x14ac:dyDescent="0.3">
      <c r="A729" s="3" t="s">
        <v>151</v>
      </c>
      <c r="B729" s="3" t="s">
        <v>33</v>
      </c>
      <c r="C729" s="3" t="str">
        <f t="shared" si="11"/>
        <v>450012209210</v>
      </c>
      <c r="D729" s="3" t="s">
        <v>868</v>
      </c>
    </row>
    <row r="730" spans="1:4" x14ac:dyDescent="0.3">
      <c r="A730" s="3" t="s">
        <v>151</v>
      </c>
      <c r="B730" s="3" t="s">
        <v>33</v>
      </c>
      <c r="C730" s="3" t="str">
        <f t="shared" si="11"/>
        <v>450012209210</v>
      </c>
      <c r="D730" s="3" t="s">
        <v>868</v>
      </c>
    </row>
    <row r="731" spans="1:4" x14ac:dyDescent="0.3">
      <c r="A731" s="3" t="s">
        <v>151</v>
      </c>
      <c r="B731" s="3" t="s">
        <v>33</v>
      </c>
      <c r="C731" s="3" t="str">
        <f t="shared" si="11"/>
        <v>450012209210</v>
      </c>
      <c r="D731" s="3" t="s">
        <v>868</v>
      </c>
    </row>
    <row r="732" spans="1:4" x14ac:dyDescent="0.3">
      <c r="A732" s="3" t="s">
        <v>151</v>
      </c>
      <c r="B732" s="3" t="s">
        <v>33</v>
      </c>
      <c r="C732" s="3" t="str">
        <f t="shared" si="11"/>
        <v>450012209210</v>
      </c>
      <c r="D732" s="3" t="s">
        <v>868</v>
      </c>
    </row>
    <row r="733" spans="1:4" x14ac:dyDescent="0.3">
      <c r="A733" s="3" t="s">
        <v>151</v>
      </c>
      <c r="B733" s="3" t="s">
        <v>33</v>
      </c>
      <c r="C733" s="3" t="str">
        <f t="shared" si="11"/>
        <v>450012209210</v>
      </c>
      <c r="D733" s="3" t="s">
        <v>868</v>
      </c>
    </row>
    <row r="734" spans="1:4" x14ac:dyDescent="0.3">
      <c r="A734" s="3" t="s">
        <v>165</v>
      </c>
      <c r="B734" s="3" t="s">
        <v>33</v>
      </c>
      <c r="C734" s="3" t="str">
        <f t="shared" si="11"/>
        <v>450012338910</v>
      </c>
      <c r="D734" s="3" t="s">
        <v>868</v>
      </c>
    </row>
    <row r="735" spans="1:4" x14ac:dyDescent="0.3">
      <c r="A735" s="3" t="s">
        <v>165</v>
      </c>
      <c r="B735" s="3" t="s">
        <v>33</v>
      </c>
      <c r="C735" s="3" t="str">
        <f t="shared" si="11"/>
        <v>450012338910</v>
      </c>
      <c r="D735" s="3" t="s">
        <v>868</v>
      </c>
    </row>
    <row r="736" spans="1:4" x14ac:dyDescent="0.3">
      <c r="A736" s="3" t="s">
        <v>165</v>
      </c>
      <c r="B736" s="3" t="s">
        <v>33</v>
      </c>
      <c r="C736" s="3" t="str">
        <f t="shared" si="11"/>
        <v>450012338910</v>
      </c>
      <c r="D736" s="3" t="s">
        <v>868</v>
      </c>
    </row>
    <row r="737" spans="1:4" x14ac:dyDescent="0.3">
      <c r="A737" s="3" t="s">
        <v>165</v>
      </c>
      <c r="B737" s="3" t="s">
        <v>33</v>
      </c>
      <c r="C737" s="3" t="str">
        <f t="shared" si="11"/>
        <v>450012338910</v>
      </c>
      <c r="D737" s="3" t="s">
        <v>868</v>
      </c>
    </row>
    <row r="738" spans="1:4" x14ac:dyDescent="0.3">
      <c r="A738" s="3" t="s">
        <v>165</v>
      </c>
      <c r="B738" s="3" t="s">
        <v>33</v>
      </c>
      <c r="C738" s="3" t="str">
        <f t="shared" si="11"/>
        <v>450012338910</v>
      </c>
      <c r="D738" s="3" t="s">
        <v>868</v>
      </c>
    </row>
    <row r="739" spans="1:4" x14ac:dyDescent="0.3">
      <c r="A739" s="3" t="s">
        <v>165</v>
      </c>
      <c r="B739" s="3" t="s">
        <v>33</v>
      </c>
      <c r="C739" s="3" t="str">
        <f t="shared" si="11"/>
        <v>450012338910</v>
      </c>
      <c r="D739" s="3" t="s">
        <v>868</v>
      </c>
    </row>
    <row r="740" spans="1:4" x14ac:dyDescent="0.3">
      <c r="A740" s="3" t="s">
        <v>180</v>
      </c>
      <c r="B740" s="3" t="s">
        <v>33</v>
      </c>
      <c r="C740" s="3" t="str">
        <f t="shared" si="11"/>
        <v>450012461310</v>
      </c>
      <c r="D740" s="3" t="s">
        <v>868</v>
      </c>
    </row>
    <row r="741" spans="1:4" x14ac:dyDescent="0.3">
      <c r="A741" s="3" t="s">
        <v>180</v>
      </c>
      <c r="B741" s="3" t="s">
        <v>33</v>
      </c>
      <c r="C741" s="3" t="str">
        <f t="shared" si="11"/>
        <v>450012461310</v>
      </c>
      <c r="D741" s="3" t="s">
        <v>868</v>
      </c>
    </row>
    <row r="742" spans="1:4" x14ac:dyDescent="0.3">
      <c r="A742" s="3" t="s">
        <v>180</v>
      </c>
      <c r="B742" s="3" t="s">
        <v>33</v>
      </c>
      <c r="C742" s="3" t="str">
        <f t="shared" si="11"/>
        <v>450012461310</v>
      </c>
      <c r="D742" s="3" t="s">
        <v>868</v>
      </c>
    </row>
    <row r="743" spans="1:4" x14ac:dyDescent="0.3">
      <c r="A743" s="3" t="s">
        <v>180</v>
      </c>
      <c r="B743" s="3" t="s">
        <v>33</v>
      </c>
      <c r="C743" s="3" t="str">
        <f t="shared" si="11"/>
        <v>450012461310</v>
      </c>
      <c r="D743" s="3" t="s">
        <v>868</v>
      </c>
    </row>
    <row r="744" spans="1:4" x14ac:dyDescent="0.3">
      <c r="A744" s="3" t="s">
        <v>180</v>
      </c>
      <c r="B744" s="3" t="s">
        <v>33</v>
      </c>
      <c r="C744" s="3" t="str">
        <f t="shared" si="11"/>
        <v>450012461310</v>
      </c>
      <c r="D744" s="3" t="s">
        <v>868</v>
      </c>
    </row>
    <row r="745" spans="1:4" x14ac:dyDescent="0.3">
      <c r="A745" s="3" t="s">
        <v>180</v>
      </c>
      <c r="B745" s="3" t="s">
        <v>33</v>
      </c>
      <c r="C745" s="3" t="str">
        <f t="shared" si="11"/>
        <v>450012461310</v>
      </c>
      <c r="D745" s="3" t="s">
        <v>868</v>
      </c>
    </row>
    <row r="746" spans="1:4" x14ac:dyDescent="0.3">
      <c r="A746" s="3" t="s">
        <v>188</v>
      </c>
      <c r="B746" s="3" t="s">
        <v>33</v>
      </c>
      <c r="C746" s="3" t="str">
        <f t="shared" si="11"/>
        <v>450012528210</v>
      </c>
      <c r="D746" s="3" t="s">
        <v>868</v>
      </c>
    </row>
    <row r="747" spans="1:4" x14ac:dyDescent="0.3">
      <c r="A747" s="3" t="s">
        <v>188</v>
      </c>
      <c r="B747" s="3" t="s">
        <v>33</v>
      </c>
      <c r="C747" s="3" t="str">
        <f t="shared" si="11"/>
        <v>450012528210</v>
      </c>
      <c r="D747" s="3" t="s">
        <v>868</v>
      </c>
    </row>
    <row r="748" spans="1:4" x14ac:dyDescent="0.3">
      <c r="A748" s="3" t="s">
        <v>188</v>
      </c>
      <c r="B748" s="3" t="s">
        <v>33</v>
      </c>
      <c r="C748" s="3" t="str">
        <f t="shared" si="11"/>
        <v>450012528210</v>
      </c>
      <c r="D748" s="3" t="s">
        <v>868</v>
      </c>
    </row>
    <row r="749" spans="1:4" x14ac:dyDescent="0.3">
      <c r="A749" s="3" t="s">
        <v>188</v>
      </c>
      <c r="B749" s="3" t="s">
        <v>33</v>
      </c>
      <c r="C749" s="3" t="str">
        <f t="shared" si="11"/>
        <v>450012528210</v>
      </c>
      <c r="D749" s="3" t="s">
        <v>868</v>
      </c>
    </row>
    <row r="750" spans="1:4" x14ac:dyDescent="0.3">
      <c r="A750" s="3" t="s">
        <v>188</v>
      </c>
      <c r="B750" s="3" t="s">
        <v>33</v>
      </c>
      <c r="C750" s="3" t="str">
        <f t="shared" si="11"/>
        <v>450012528210</v>
      </c>
      <c r="D750" s="3" t="s">
        <v>868</v>
      </c>
    </row>
    <row r="751" spans="1:4" x14ac:dyDescent="0.3">
      <c r="A751" s="3" t="s">
        <v>188</v>
      </c>
      <c r="B751" s="3" t="s">
        <v>33</v>
      </c>
      <c r="C751" s="3" t="str">
        <f t="shared" si="11"/>
        <v>450012528210</v>
      </c>
      <c r="D751" s="3" t="s">
        <v>868</v>
      </c>
    </row>
    <row r="752" spans="1:4" x14ac:dyDescent="0.3">
      <c r="A752" s="3" t="s">
        <v>196</v>
      </c>
      <c r="B752" s="3" t="s">
        <v>33</v>
      </c>
      <c r="C752" s="3" t="str">
        <f t="shared" si="11"/>
        <v>450012592610</v>
      </c>
      <c r="D752" s="3" t="s">
        <v>868</v>
      </c>
    </row>
    <row r="753" spans="1:4" x14ac:dyDescent="0.3">
      <c r="A753" s="3" t="s">
        <v>196</v>
      </c>
      <c r="B753" s="3" t="s">
        <v>20</v>
      </c>
      <c r="C753" s="3" t="str">
        <f t="shared" si="11"/>
        <v>450012592620</v>
      </c>
      <c r="D753" s="3" t="s">
        <v>868</v>
      </c>
    </row>
    <row r="754" spans="1:4" x14ac:dyDescent="0.3">
      <c r="A754" s="3" t="s">
        <v>196</v>
      </c>
      <c r="B754" s="3" t="s">
        <v>21</v>
      </c>
      <c r="C754" s="3" t="str">
        <f t="shared" si="11"/>
        <v>450012592630</v>
      </c>
      <c r="D754" s="3" t="s">
        <v>868</v>
      </c>
    </row>
    <row r="755" spans="1:4" x14ac:dyDescent="0.3">
      <c r="A755" s="3" t="s">
        <v>208</v>
      </c>
      <c r="B755" s="3" t="s">
        <v>33</v>
      </c>
      <c r="C755" s="3" t="str">
        <f t="shared" si="11"/>
        <v>450012650810</v>
      </c>
      <c r="D755" s="3" t="s">
        <v>868</v>
      </c>
    </row>
    <row r="756" spans="1:4" x14ac:dyDescent="0.3">
      <c r="A756" s="3" t="s">
        <v>208</v>
      </c>
      <c r="B756" s="3" t="s">
        <v>20</v>
      </c>
      <c r="C756" s="3" t="str">
        <f t="shared" si="11"/>
        <v>450012650820</v>
      </c>
      <c r="D756" s="3" t="s">
        <v>868</v>
      </c>
    </row>
    <row r="757" spans="1:4" x14ac:dyDescent="0.3">
      <c r="A757" s="3" t="s">
        <v>214</v>
      </c>
      <c r="B757" s="3" t="s">
        <v>33</v>
      </c>
      <c r="C757" s="3" t="str">
        <f t="shared" si="11"/>
        <v>450012679210</v>
      </c>
      <c r="D757" s="3" t="s">
        <v>868</v>
      </c>
    </row>
    <row r="758" spans="1:4" x14ac:dyDescent="0.3">
      <c r="A758" s="3" t="s">
        <v>219</v>
      </c>
      <c r="B758" s="3" t="s">
        <v>33</v>
      </c>
      <c r="C758" s="3" t="str">
        <f t="shared" si="11"/>
        <v>450012701210</v>
      </c>
      <c r="D758" s="3" t="s">
        <v>868</v>
      </c>
    </row>
    <row r="759" spans="1:4" x14ac:dyDescent="0.3">
      <c r="A759" s="3" t="s">
        <v>224</v>
      </c>
      <c r="B759" s="3" t="s">
        <v>33</v>
      </c>
      <c r="C759" s="3" t="str">
        <f t="shared" si="11"/>
        <v>450012728310</v>
      </c>
      <c r="D759" s="3" t="s">
        <v>868</v>
      </c>
    </row>
    <row r="760" spans="1:4" x14ac:dyDescent="0.3">
      <c r="A760" s="3" t="s">
        <v>226</v>
      </c>
      <c r="B760" s="3" t="s">
        <v>33</v>
      </c>
      <c r="C760" s="3" t="str">
        <f t="shared" si="11"/>
        <v>450012757110</v>
      </c>
      <c r="D760" s="3" t="s">
        <v>868</v>
      </c>
    </row>
    <row r="761" spans="1:4" x14ac:dyDescent="0.3">
      <c r="A761" s="3" t="s">
        <v>226</v>
      </c>
      <c r="B761" s="3" t="s">
        <v>33</v>
      </c>
      <c r="C761" s="3" t="str">
        <f t="shared" si="11"/>
        <v>450012757110</v>
      </c>
      <c r="D761" s="3" t="s">
        <v>868</v>
      </c>
    </row>
    <row r="762" spans="1:4" x14ac:dyDescent="0.3">
      <c r="A762" s="3" t="s">
        <v>226</v>
      </c>
      <c r="B762" s="3" t="s">
        <v>33</v>
      </c>
      <c r="C762" s="3" t="str">
        <f t="shared" si="11"/>
        <v>450012757110</v>
      </c>
      <c r="D762" s="3" t="s">
        <v>868</v>
      </c>
    </row>
    <row r="763" spans="1:4" x14ac:dyDescent="0.3">
      <c r="A763" s="3" t="s">
        <v>226</v>
      </c>
      <c r="B763" s="3" t="s">
        <v>33</v>
      </c>
      <c r="C763" s="3" t="str">
        <f t="shared" si="11"/>
        <v>450012757110</v>
      </c>
      <c r="D763" s="3" t="s">
        <v>868</v>
      </c>
    </row>
    <row r="764" spans="1:4" x14ac:dyDescent="0.3">
      <c r="A764" s="3" t="s">
        <v>226</v>
      </c>
      <c r="B764" s="3" t="s">
        <v>33</v>
      </c>
      <c r="C764" s="3" t="str">
        <f t="shared" si="11"/>
        <v>450012757110</v>
      </c>
      <c r="D764" s="3" t="s">
        <v>868</v>
      </c>
    </row>
    <row r="765" spans="1:4" x14ac:dyDescent="0.3">
      <c r="A765" s="3" t="s">
        <v>226</v>
      </c>
      <c r="B765" s="3" t="s">
        <v>33</v>
      </c>
      <c r="C765" s="3" t="str">
        <f t="shared" si="11"/>
        <v>450012757110</v>
      </c>
      <c r="D765" s="3" t="s">
        <v>868</v>
      </c>
    </row>
    <row r="766" spans="1:4" x14ac:dyDescent="0.3">
      <c r="A766" s="3" t="s">
        <v>233</v>
      </c>
      <c r="B766" s="3" t="s">
        <v>33</v>
      </c>
      <c r="C766" s="3" t="str">
        <f t="shared" si="11"/>
        <v>450012790310</v>
      </c>
      <c r="D766" s="3" t="s">
        <v>868</v>
      </c>
    </row>
    <row r="767" spans="1:4" x14ac:dyDescent="0.3">
      <c r="A767" s="3" t="s">
        <v>233</v>
      </c>
      <c r="B767" s="3" t="s">
        <v>20</v>
      </c>
      <c r="C767" s="3" t="str">
        <f t="shared" ref="C767:C829" si="12">_xlfn.CONCAT(A767:B767)</f>
        <v>450012790320</v>
      </c>
      <c r="D767" s="3" t="s">
        <v>868</v>
      </c>
    </row>
    <row r="768" spans="1:4" x14ac:dyDescent="0.3">
      <c r="A768" s="3" t="s">
        <v>233</v>
      </c>
      <c r="B768" s="3" t="s">
        <v>21</v>
      </c>
      <c r="C768" s="3" t="str">
        <f t="shared" si="12"/>
        <v>450012790330</v>
      </c>
      <c r="D768" s="3" t="s">
        <v>868</v>
      </c>
    </row>
    <row r="769" spans="1:4" x14ac:dyDescent="0.3">
      <c r="A769" s="3" t="s">
        <v>242</v>
      </c>
      <c r="B769" s="3" t="s">
        <v>33</v>
      </c>
      <c r="C769" s="3" t="str">
        <f t="shared" si="12"/>
        <v>450012834510</v>
      </c>
      <c r="D769" s="3" t="s">
        <v>868</v>
      </c>
    </row>
    <row r="770" spans="1:4" x14ac:dyDescent="0.3">
      <c r="A770" s="3" t="s">
        <v>248</v>
      </c>
      <c r="B770" s="3" t="s">
        <v>33</v>
      </c>
      <c r="C770" s="3" t="str">
        <f t="shared" si="12"/>
        <v>450012883010</v>
      </c>
      <c r="D770" s="3" t="s">
        <v>868</v>
      </c>
    </row>
    <row r="771" spans="1:4" x14ac:dyDescent="0.3">
      <c r="A771" s="3" t="s">
        <v>250</v>
      </c>
      <c r="B771" s="3" t="s">
        <v>33</v>
      </c>
      <c r="C771" s="3" t="str">
        <f t="shared" si="12"/>
        <v>450012900510</v>
      </c>
      <c r="D771" s="3" t="s">
        <v>868</v>
      </c>
    </row>
    <row r="772" spans="1:4" x14ac:dyDescent="0.3">
      <c r="A772" s="3" t="s">
        <v>250</v>
      </c>
      <c r="B772" s="3" t="s">
        <v>33</v>
      </c>
      <c r="C772" s="3" t="str">
        <f t="shared" si="12"/>
        <v>450012900510</v>
      </c>
      <c r="D772" s="3" t="s">
        <v>868</v>
      </c>
    </row>
    <row r="773" spans="1:4" x14ac:dyDescent="0.3">
      <c r="A773" s="3" t="s">
        <v>250</v>
      </c>
      <c r="B773" s="3" t="s">
        <v>33</v>
      </c>
      <c r="C773" s="3" t="str">
        <f t="shared" si="12"/>
        <v>450012900510</v>
      </c>
      <c r="D773" s="3" t="s">
        <v>868</v>
      </c>
    </row>
    <row r="774" spans="1:4" x14ac:dyDescent="0.3">
      <c r="A774" s="3" t="s">
        <v>250</v>
      </c>
      <c r="B774" s="3" t="s">
        <v>33</v>
      </c>
      <c r="C774" s="3" t="str">
        <f t="shared" si="12"/>
        <v>450012900510</v>
      </c>
      <c r="D774" s="3" t="s">
        <v>868</v>
      </c>
    </row>
    <row r="775" spans="1:4" x14ac:dyDescent="0.3">
      <c r="A775" s="3" t="s">
        <v>250</v>
      </c>
      <c r="B775" s="3" t="s">
        <v>33</v>
      </c>
      <c r="C775" s="3" t="str">
        <f t="shared" si="12"/>
        <v>450012900510</v>
      </c>
      <c r="D775" s="3" t="s">
        <v>868</v>
      </c>
    </row>
    <row r="776" spans="1:4" x14ac:dyDescent="0.3">
      <c r="A776" s="3" t="s">
        <v>250</v>
      </c>
      <c r="B776" s="3" t="s">
        <v>33</v>
      </c>
      <c r="C776" s="3" t="str">
        <f t="shared" si="12"/>
        <v>450012900510</v>
      </c>
      <c r="D776" s="3" t="s">
        <v>868</v>
      </c>
    </row>
    <row r="777" spans="1:4" x14ac:dyDescent="0.3">
      <c r="A777" s="3" t="s">
        <v>256</v>
      </c>
      <c r="B777" s="3" t="s">
        <v>33</v>
      </c>
      <c r="C777" s="3" t="str">
        <f t="shared" si="12"/>
        <v>450012908110</v>
      </c>
      <c r="D777" s="3" t="s">
        <v>868</v>
      </c>
    </row>
    <row r="778" spans="1:4" x14ac:dyDescent="0.3">
      <c r="A778" s="3" t="s">
        <v>256</v>
      </c>
      <c r="B778" s="3" t="s">
        <v>20</v>
      </c>
      <c r="C778" s="3" t="str">
        <f t="shared" si="12"/>
        <v>450012908120</v>
      </c>
      <c r="D778" s="3" t="s">
        <v>868</v>
      </c>
    </row>
    <row r="779" spans="1:4" x14ac:dyDescent="0.3">
      <c r="A779" s="3" t="s">
        <v>307</v>
      </c>
      <c r="B779" s="3" t="s">
        <v>33</v>
      </c>
      <c r="C779" s="3" t="str">
        <f t="shared" si="12"/>
        <v>450013135610</v>
      </c>
      <c r="D779" s="3" t="s">
        <v>868</v>
      </c>
    </row>
    <row r="780" spans="1:4" x14ac:dyDescent="0.3">
      <c r="A780" s="3" t="s">
        <v>307</v>
      </c>
      <c r="B780" s="3" t="s">
        <v>33</v>
      </c>
      <c r="C780" s="3" t="str">
        <f t="shared" si="12"/>
        <v>450013135610</v>
      </c>
      <c r="D780" s="3" t="s">
        <v>868</v>
      </c>
    </row>
    <row r="781" spans="1:4" x14ac:dyDescent="0.3">
      <c r="A781" s="3" t="s">
        <v>307</v>
      </c>
      <c r="B781" s="3" t="s">
        <v>33</v>
      </c>
      <c r="C781" s="3" t="str">
        <f t="shared" si="12"/>
        <v>450013135610</v>
      </c>
      <c r="D781" s="3" t="s">
        <v>868</v>
      </c>
    </row>
    <row r="782" spans="1:4" x14ac:dyDescent="0.3">
      <c r="A782" s="3" t="s">
        <v>307</v>
      </c>
      <c r="B782" s="3" t="s">
        <v>33</v>
      </c>
      <c r="C782" s="3" t="str">
        <f t="shared" si="12"/>
        <v>450013135610</v>
      </c>
      <c r="D782" s="3" t="s">
        <v>868</v>
      </c>
    </row>
    <row r="783" spans="1:4" x14ac:dyDescent="0.3">
      <c r="A783" s="3" t="s">
        <v>307</v>
      </c>
      <c r="B783" s="3" t="s">
        <v>33</v>
      </c>
      <c r="C783" s="3" t="str">
        <f t="shared" si="12"/>
        <v>450013135610</v>
      </c>
      <c r="D783" s="3" t="s">
        <v>868</v>
      </c>
    </row>
    <row r="784" spans="1:4" x14ac:dyDescent="0.3">
      <c r="A784" s="3" t="s">
        <v>307</v>
      </c>
      <c r="B784" s="3" t="s">
        <v>33</v>
      </c>
      <c r="C784" s="3" t="str">
        <f t="shared" si="12"/>
        <v>450013135610</v>
      </c>
      <c r="D784" s="3" t="s">
        <v>868</v>
      </c>
    </row>
    <row r="785" spans="1:10" x14ac:dyDescent="0.3">
      <c r="A785" s="3" t="s">
        <v>307</v>
      </c>
      <c r="B785" s="3" t="s">
        <v>20</v>
      </c>
      <c r="C785" s="3" t="str">
        <f t="shared" si="12"/>
        <v>450013135620</v>
      </c>
      <c r="D785" s="3" t="s">
        <v>868</v>
      </c>
    </row>
    <row r="786" spans="1:10" x14ac:dyDescent="0.3">
      <c r="A786" s="3" t="s">
        <v>307</v>
      </c>
      <c r="B786" s="3" t="s">
        <v>20</v>
      </c>
      <c r="C786" s="3" t="str">
        <f t="shared" si="12"/>
        <v>450013135620</v>
      </c>
      <c r="D786" s="3" t="s">
        <v>868</v>
      </c>
    </row>
    <row r="787" spans="1:10" x14ac:dyDescent="0.3">
      <c r="A787" s="3" t="s">
        <v>307</v>
      </c>
      <c r="B787" s="3" t="s">
        <v>20</v>
      </c>
      <c r="C787" s="3" t="str">
        <f t="shared" si="12"/>
        <v>450013135620</v>
      </c>
      <c r="D787" s="3" t="s">
        <v>868</v>
      </c>
    </row>
    <row r="788" spans="1:10" x14ac:dyDescent="0.3">
      <c r="A788" s="3" t="s">
        <v>307</v>
      </c>
      <c r="B788" s="3" t="s">
        <v>20</v>
      </c>
      <c r="C788" s="3" t="str">
        <f t="shared" si="12"/>
        <v>450013135620</v>
      </c>
      <c r="D788" s="3" t="s">
        <v>868</v>
      </c>
    </row>
    <row r="789" spans="1:10" x14ac:dyDescent="0.3">
      <c r="A789" s="3" t="s">
        <v>307</v>
      </c>
      <c r="B789" s="3" t="s">
        <v>20</v>
      </c>
      <c r="C789" s="3" t="str">
        <f t="shared" si="12"/>
        <v>450013135620</v>
      </c>
      <c r="D789" s="3" t="s">
        <v>868</v>
      </c>
    </row>
    <row r="790" spans="1:10" x14ac:dyDescent="0.3">
      <c r="A790" s="3" t="s">
        <v>307</v>
      </c>
      <c r="B790" s="3" t="s">
        <v>20</v>
      </c>
      <c r="C790" s="3" t="str">
        <f t="shared" si="12"/>
        <v>450013135620</v>
      </c>
      <c r="D790" s="3" t="s">
        <v>868</v>
      </c>
    </row>
    <row r="791" spans="1:10" x14ac:dyDescent="0.3">
      <c r="A791" s="3" t="s">
        <v>332</v>
      </c>
      <c r="B791" s="3" t="s">
        <v>33</v>
      </c>
      <c r="C791" s="3" t="str">
        <f t="shared" si="12"/>
        <v>450013188410</v>
      </c>
      <c r="D791" s="3" t="s">
        <v>868</v>
      </c>
    </row>
    <row r="792" spans="1:10" x14ac:dyDescent="0.3">
      <c r="A792" s="3" t="s">
        <v>332</v>
      </c>
      <c r="B792" s="3" t="s">
        <v>33</v>
      </c>
      <c r="C792" s="3" t="str">
        <f t="shared" si="12"/>
        <v>450013188410</v>
      </c>
      <c r="D792" s="3" t="s">
        <v>868</v>
      </c>
    </row>
    <row r="793" spans="1:10" x14ac:dyDescent="0.3">
      <c r="A793" s="3" t="s">
        <v>332</v>
      </c>
      <c r="B793" s="3" t="s">
        <v>33</v>
      </c>
      <c r="C793" s="3" t="str">
        <f t="shared" si="12"/>
        <v>450013188410</v>
      </c>
      <c r="D793" s="3" t="s">
        <v>868</v>
      </c>
    </row>
    <row r="794" spans="1:10" x14ac:dyDescent="0.3">
      <c r="A794" s="3" t="s">
        <v>332</v>
      </c>
      <c r="B794" s="3" t="s">
        <v>33</v>
      </c>
      <c r="C794" s="3" t="str">
        <f t="shared" si="12"/>
        <v>450013188410</v>
      </c>
      <c r="D794" s="3" t="s">
        <v>868</v>
      </c>
    </row>
    <row r="795" spans="1:10" x14ac:dyDescent="0.3">
      <c r="A795" s="3" t="s">
        <v>332</v>
      </c>
      <c r="B795" s="3" t="s">
        <v>33</v>
      </c>
      <c r="C795" s="3" t="str">
        <f t="shared" si="12"/>
        <v>450013188410</v>
      </c>
      <c r="D795" s="3" t="s">
        <v>868</v>
      </c>
    </row>
    <row r="796" spans="1:10" x14ac:dyDescent="0.3">
      <c r="A796" s="3" t="s">
        <v>332</v>
      </c>
      <c r="B796" s="3" t="s">
        <v>33</v>
      </c>
      <c r="C796" s="3" t="str">
        <f t="shared" si="12"/>
        <v>450013188410</v>
      </c>
      <c r="D796" s="3" t="s">
        <v>868</v>
      </c>
    </row>
    <row r="797" spans="1:10" x14ac:dyDescent="0.3">
      <c r="A797" s="3" t="s">
        <v>525</v>
      </c>
      <c r="B797" s="3" t="s">
        <v>33</v>
      </c>
      <c r="C797" s="3" t="str">
        <f t="shared" si="12"/>
        <v>450013874910</v>
      </c>
      <c r="D797" s="3" t="s">
        <v>882</v>
      </c>
    </row>
    <row r="798" spans="1:10" x14ac:dyDescent="0.3">
      <c r="A798" s="3" t="s">
        <v>887</v>
      </c>
      <c r="B798" s="3" t="s">
        <v>33</v>
      </c>
      <c r="C798" s="3" t="str">
        <f t="shared" si="12"/>
        <v>450010894810</v>
      </c>
      <c r="D798" s="3" t="s">
        <v>873</v>
      </c>
      <c r="F798" s="3"/>
      <c r="G798" s="3"/>
      <c r="H798" s="3"/>
      <c r="I798" s="8"/>
      <c r="J798" s="3"/>
    </row>
    <row r="799" spans="1:10" x14ac:dyDescent="0.3">
      <c r="A799" s="3" t="s">
        <v>923</v>
      </c>
      <c r="B799" s="3" t="s">
        <v>33</v>
      </c>
      <c r="C799" s="3" t="str">
        <f t="shared" si="12"/>
        <v>450011219710</v>
      </c>
      <c r="D799" s="3" t="s">
        <v>857</v>
      </c>
      <c r="F799" s="3"/>
      <c r="G799" s="3"/>
      <c r="H799" s="3"/>
      <c r="I799" s="8"/>
      <c r="J799" s="3"/>
    </row>
    <row r="800" spans="1:10" x14ac:dyDescent="0.3">
      <c r="A800" s="3" t="s">
        <v>918</v>
      </c>
      <c r="B800" s="3" t="s">
        <v>33</v>
      </c>
      <c r="C800" s="3" t="str">
        <f t="shared" si="12"/>
        <v>450011282610</v>
      </c>
      <c r="D800" s="3" t="s">
        <v>857</v>
      </c>
      <c r="F800" s="3"/>
      <c r="G800" s="3"/>
      <c r="H800" s="3"/>
      <c r="I800" s="8"/>
      <c r="J800" s="3"/>
    </row>
    <row r="801" spans="1:10" x14ac:dyDescent="0.3">
      <c r="A801" s="3" t="s">
        <v>918</v>
      </c>
      <c r="B801" s="3" t="s">
        <v>20</v>
      </c>
      <c r="C801" s="3" t="str">
        <f t="shared" si="12"/>
        <v>450011282620</v>
      </c>
      <c r="D801" s="3" t="s">
        <v>857</v>
      </c>
      <c r="F801" s="3"/>
      <c r="G801" s="3"/>
      <c r="H801" s="3"/>
      <c r="I801" s="8"/>
      <c r="J801" s="3"/>
    </row>
    <row r="802" spans="1:10" x14ac:dyDescent="0.3">
      <c r="A802" s="3" t="s">
        <v>928</v>
      </c>
      <c r="B802" s="3" t="s">
        <v>33</v>
      </c>
      <c r="C802" s="3" t="str">
        <f t="shared" si="12"/>
        <v>450011584310</v>
      </c>
      <c r="D802" s="3" t="s">
        <v>857</v>
      </c>
      <c r="F802" s="3"/>
      <c r="G802" s="3"/>
      <c r="H802" s="3"/>
      <c r="I802" s="8"/>
      <c r="J802" s="3"/>
    </row>
    <row r="803" spans="1:10" x14ac:dyDescent="0.3">
      <c r="A803" s="3" t="s">
        <v>957</v>
      </c>
      <c r="B803" s="3" t="s">
        <v>33</v>
      </c>
      <c r="C803" s="3" t="str">
        <f t="shared" si="12"/>
        <v>450014036810</v>
      </c>
      <c r="D803" s="3" t="s">
        <v>865</v>
      </c>
      <c r="F803" s="3"/>
      <c r="G803" s="3"/>
      <c r="H803" s="3"/>
      <c r="I803" s="8"/>
      <c r="J803" s="3"/>
    </row>
    <row r="804" spans="1:10" x14ac:dyDescent="0.3">
      <c r="A804" s="3" t="s">
        <v>914</v>
      </c>
      <c r="B804" s="3" t="s">
        <v>33</v>
      </c>
      <c r="C804" s="3" t="str">
        <f t="shared" si="12"/>
        <v>450012341110</v>
      </c>
      <c r="D804" s="3" t="s">
        <v>869</v>
      </c>
      <c r="F804" s="3"/>
      <c r="G804" s="3"/>
      <c r="H804" s="3"/>
      <c r="I804" s="8"/>
      <c r="J804" s="3"/>
    </row>
    <row r="805" spans="1:10" x14ac:dyDescent="0.3">
      <c r="A805" s="3" t="s">
        <v>915</v>
      </c>
      <c r="B805" s="3" t="s">
        <v>33</v>
      </c>
      <c r="C805" s="3" t="str">
        <f t="shared" si="12"/>
        <v>450012342810</v>
      </c>
      <c r="D805" s="3" t="s">
        <v>869</v>
      </c>
      <c r="F805" s="3"/>
      <c r="G805" s="3"/>
      <c r="H805" s="3"/>
      <c r="I805" s="8"/>
      <c r="J805" s="3"/>
    </row>
    <row r="806" spans="1:10" x14ac:dyDescent="0.3">
      <c r="A806" s="3" t="s">
        <v>892</v>
      </c>
      <c r="B806" s="3" t="s">
        <v>33</v>
      </c>
      <c r="C806" s="3" t="str">
        <f t="shared" si="12"/>
        <v>450012676710</v>
      </c>
      <c r="D806" s="3" t="s">
        <v>857</v>
      </c>
      <c r="F806" s="3"/>
      <c r="G806" s="3"/>
      <c r="H806" s="3"/>
      <c r="I806" s="8"/>
      <c r="J806" s="3"/>
    </row>
    <row r="807" spans="1:10" x14ac:dyDescent="0.3">
      <c r="A807" s="3" t="s">
        <v>890</v>
      </c>
      <c r="B807" s="3" t="s">
        <v>33</v>
      </c>
      <c r="C807" s="3" t="str">
        <f t="shared" si="12"/>
        <v>450012860810</v>
      </c>
      <c r="D807" s="3" t="s">
        <v>873</v>
      </c>
      <c r="F807" s="3"/>
      <c r="G807" s="3"/>
      <c r="H807" s="3"/>
      <c r="I807" s="8"/>
      <c r="J807" s="3"/>
    </row>
    <row r="808" spans="1:10" x14ac:dyDescent="0.3">
      <c r="A808" s="3" t="s">
        <v>922</v>
      </c>
      <c r="B808" s="3" t="s">
        <v>33</v>
      </c>
      <c r="C808" s="3" t="str">
        <f t="shared" si="12"/>
        <v>450013033110</v>
      </c>
      <c r="D808" s="3" t="s">
        <v>857</v>
      </c>
      <c r="F808" s="3"/>
      <c r="G808" s="3"/>
      <c r="H808" s="3"/>
      <c r="I808" s="8"/>
      <c r="J808" s="3"/>
    </row>
    <row r="809" spans="1:10" x14ac:dyDescent="0.3">
      <c r="A809" s="3" t="s">
        <v>894</v>
      </c>
      <c r="B809" s="3" t="s">
        <v>33</v>
      </c>
      <c r="C809" s="3" t="str">
        <f t="shared" si="12"/>
        <v>450013034310</v>
      </c>
      <c r="D809" s="3" t="s">
        <v>857</v>
      </c>
      <c r="F809" s="3"/>
      <c r="G809" s="3"/>
      <c r="H809" s="3"/>
      <c r="I809" s="8"/>
      <c r="J809" s="3"/>
    </row>
    <row r="810" spans="1:10" x14ac:dyDescent="0.3">
      <c r="A810" s="3" t="s">
        <v>894</v>
      </c>
      <c r="B810" s="3" t="s">
        <v>20</v>
      </c>
      <c r="C810" s="3" t="str">
        <f t="shared" si="12"/>
        <v>450013034320</v>
      </c>
      <c r="D810" s="3" t="s">
        <v>857</v>
      </c>
      <c r="F810" s="3"/>
      <c r="G810" s="3"/>
      <c r="H810" s="3"/>
      <c r="I810" s="8"/>
      <c r="J810" s="3"/>
    </row>
    <row r="811" spans="1:10" x14ac:dyDescent="0.3">
      <c r="A811" s="3" t="s">
        <v>884</v>
      </c>
      <c r="B811" s="3" t="s">
        <v>33</v>
      </c>
      <c r="C811" s="3" t="str">
        <f t="shared" si="12"/>
        <v>450013243810</v>
      </c>
      <c r="D811" s="3" t="s">
        <v>873</v>
      </c>
      <c r="F811" s="3"/>
      <c r="G811" s="3"/>
      <c r="H811" s="3"/>
      <c r="I811" s="8"/>
      <c r="J811" s="3"/>
    </row>
    <row r="812" spans="1:10" x14ac:dyDescent="0.3">
      <c r="A812" s="3" t="s">
        <v>942</v>
      </c>
      <c r="B812" s="3" t="s">
        <v>33</v>
      </c>
      <c r="C812" s="3" t="str">
        <f t="shared" si="12"/>
        <v>450013897110</v>
      </c>
      <c r="D812" s="3" t="s">
        <v>872</v>
      </c>
      <c r="F812" s="3"/>
      <c r="G812" s="3"/>
      <c r="H812" s="3"/>
      <c r="I812" s="8"/>
      <c r="J812" s="3"/>
    </row>
    <row r="813" spans="1:10" x14ac:dyDescent="0.3">
      <c r="A813" s="3" t="s">
        <v>924</v>
      </c>
      <c r="B813" s="3" t="s">
        <v>33</v>
      </c>
      <c r="C813" s="3" t="str">
        <f t="shared" si="12"/>
        <v>450013567210</v>
      </c>
      <c r="D813" s="3" t="s">
        <v>870</v>
      </c>
      <c r="F813" s="3"/>
      <c r="G813" s="3"/>
      <c r="H813" s="3"/>
      <c r="I813" s="8"/>
      <c r="J813" s="3"/>
    </row>
    <row r="814" spans="1:10" x14ac:dyDescent="0.3">
      <c r="A814" s="3" t="s">
        <v>967</v>
      </c>
      <c r="B814" s="3" t="s">
        <v>33</v>
      </c>
      <c r="C814" s="3" t="str">
        <f t="shared" si="12"/>
        <v>450013589110</v>
      </c>
      <c r="D814" s="3" t="s">
        <v>857</v>
      </c>
      <c r="F814" s="3"/>
      <c r="G814" s="3"/>
      <c r="H814" s="3"/>
      <c r="I814" s="8"/>
      <c r="J814" s="3"/>
    </row>
    <row r="815" spans="1:10" x14ac:dyDescent="0.3">
      <c r="A815" s="3" t="s">
        <v>967</v>
      </c>
      <c r="B815" s="3" t="s">
        <v>20</v>
      </c>
      <c r="C815" s="3" t="str">
        <f t="shared" si="12"/>
        <v>450013589120</v>
      </c>
      <c r="D815" s="3" t="s">
        <v>857</v>
      </c>
      <c r="F815" s="3"/>
      <c r="G815" s="3"/>
      <c r="H815" s="3"/>
      <c r="I815" s="8"/>
      <c r="J815" s="3"/>
    </row>
    <row r="816" spans="1:10" x14ac:dyDescent="0.3">
      <c r="A816" s="3" t="s">
        <v>967</v>
      </c>
      <c r="B816" s="3" t="s">
        <v>21</v>
      </c>
      <c r="C816" s="3" t="str">
        <f t="shared" si="12"/>
        <v>450013589130</v>
      </c>
      <c r="D816" s="3" t="s">
        <v>857</v>
      </c>
      <c r="F816" s="3"/>
      <c r="G816" s="3"/>
      <c r="H816" s="3"/>
      <c r="I816" s="8"/>
      <c r="J816" s="3"/>
    </row>
    <row r="817" spans="1:10" x14ac:dyDescent="0.3">
      <c r="A817" s="3" t="s">
        <v>919</v>
      </c>
      <c r="B817" s="3" t="s">
        <v>33</v>
      </c>
      <c r="C817" s="3" t="str">
        <f t="shared" si="12"/>
        <v>450013653710</v>
      </c>
      <c r="D817" s="3" t="s">
        <v>869</v>
      </c>
      <c r="F817" s="3"/>
      <c r="G817" s="3"/>
      <c r="H817" s="3"/>
      <c r="I817" s="8"/>
      <c r="J817" s="3"/>
    </row>
    <row r="818" spans="1:10" x14ac:dyDescent="0.3">
      <c r="A818" s="3" t="s">
        <v>919</v>
      </c>
      <c r="B818" s="3" t="s">
        <v>20</v>
      </c>
      <c r="C818" s="3" t="str">
        <f t="shared" si="12"/>
        <v>450013653720</v>
      </c>
      <c r="D818" s="3" t="s">
        <v>869</v>
      </c>
      <c r="F818" s="3"/>
      <c r="G818" s="3"/>
      <c r="H818" s="3"/>
      <c r="I818" s="8"/>
      <c r="J818" s="3"/>
    </row>
    <row r="819" spans="1:10" x14ac:dyDescent="0.3">
      <c r="A819" s="3" t="s">
        <v>919</v>
      </c>
      <c r="B819" s="3" t="s">
        <v>21</v>
      </c>
      <c r="C819" s="3" t="str">
        <f t="shared" si="12"/>
        <v>450013653730</v>
      </c>
      <c r="D819" s="3" t="s">
        <v>869</v>
      </c>
      <c r="F819" s="3"/>
      <c r="G819" s="3"/>
      <c r="H819" s="3"/>
      <c r="I819" s="8"/>
      <c r="J819" s="3"/>
    </row>
    <row r="820" spans="1:10" x14ac:dyDescent="0.3">
      <c r="A820" s="3" t="s">
        <v>919</v>
      </c>
      <c r="B820" s="3" t="s">
        <v>22</v>
      </c>
      <c r="C820" s="3" t="str">
        <f t="shared" si="12"/>
        <v>450013653750</v>
      </c>
      <c r="D820" s="3" t="s">
        <v>869</v>
      </c>
      <c r="F820" s="3"/>
      <c r="G820" s="3"/>
      <c r="H820" s="3"/>
      <c r="I820" s="8"/>
      <c r="J820" s="3"/>
    </row>
    <row r="821" spans="1:10" x14ac:dyDescent="0.3">
      <c r="A821" s="3" t="s">
        <v>919</v>
      </c>
      <c r="B821" s="3" t="s">
        <v>23</v>
      </c>
      <c r="C821" s="3" t="str">
        <f t="shared" si="12"/>
        <v>450013653760</v>
      </c>
      <c r="D821" s="3" t="s">
        <v>869</v>
      </c>
      <c r="F821" s="3"/>
      <c r="G821" s="3"/>
      <c r="H821" s="3"/>
      <c r="I821" s="8"/>
      <c r="J821" s="3"/>
    </row>
    <row r="822" spans="1:10" x14ac:dyDescent="0.3">
      <c r="A822" s="3" t="s">
        <v>883</v>
      </c>
      <c r="B822" s="3" t="s">
        <v>33</v>
      </c>
      <c r="C822" s="3" t="str">
        <f t="shared" si="12"/>
        <v>450013624210</v>
      </c>
      <c r="D822" s="3" t="s">
        <v>874</v>
      </c>
      <c r="F822" s="3"/>
      <c r="G822" s="3"/>
      <c r="H822" s="3"/>
      <c r="I822" s="8"/>
      <c r="J822" s="3"/>
    </row>
    <row r="823" spans="1:10" x14ac:dyDescent="0.3">
      <c r="A823" s="3" t="s">
        <v>905</v>
      </c>
      <c r="B823" s="3" t="s">
        <v>33</v>
      </c>
      <c r="C823" s="3" t="str">
        <f t="shared" si="12"/>
        <v>450013841310</v>
      </c>
      <c r="D823" s="3" t="s">
        <v>880</v>
      </c>
      <c r="F823" s="3"/>
      <c r="G823" s="3"/>
      <c r="H823" s="3"/>
      <c r="I823" s="8"/>
      <c r="J823" s="3"/>
    </row>
    <row r="824" spans="1:10" x14ac:dyDescent="0.3">
      <c r="A824" s="3" t="s">
        <v>921</v>
      </c>
      <c r="B824" s="3" t="s">
        <v>33</v>
      </c>
      <c r="C824" s="3" t="str">
        <f t="shared" si="12"/>
        <v>450013698710</v>
      </c>
      <c r="D824" s="3" t="s">
        <v>861</v>
      </c>
      <c r="F824" s="3"/>
      <c r="G824" s="3"/>
      <c r="H824" s="3"/>
      <c r="I824" s="8"/>
      <c r="J824" s="3"/>
    </row>
    <row r="825" spans="1:10" x14ac:dyDescent="0.3">
      <c r="A825" s="3" t="s">
        <v>888</v>
      </c>
      <c r="B825" s="3" t="s">
        <v>33</v>
      </c>
      <c r="C825" s="3" t="str">
        <f t="shared" si="12"/>
        <v>450013695710</v>
      </c>
      <c r="D825" s="3" t="s">
        <v>874</v>
      </c>
      <c r="F825" s="3"/>
      <c r="G825" s="3"/>
      <c r="H825" s="3"/>
      <c r="I825" s="8"/>
      <c r="J825" s="3"/>
    </row>
    <row r="826" spans="1:10" x14ac:dyDescent="0.3">
      <c r="A826" s="3" t="s">
        <v>908</v>
      </c>
      <c r="B826" s="3" t="s">
        <v>33</v>
      </c>
      <c r="C826" s="3" t="str">
        <f t="shared" si="12"/>
        <v>450013887910</v>
      </c>
      <c r="D826" s="3" t="s">
        <v>872</v>
      </c>
      <c r="F826" s="3"/>
      <c r="G826" s="3"/>
      <c r="H826" s="3"/>
      <c r="I826" s="8"/>
      <c r="J826" s="3"/>
    </row>
    <row r="827" spans="1:10" x14ac:dyDescent="0.3">
      <c r="A827" s="3" t="s">
        <v>937</v>
      </c>
      <c r="B827" s="3" t="s">
        <v>20</v>
      </c>
      <c r="C827" s="3" t="str">
        <f t="shared" si="12"/>
        <v>450013818520</v>
      </c>
      <c r="D827" s="3" t="s">
        <v>861</v>
      </c>
      <c r="F827" s="3"/>
      <c r="G827" s="3"/>
      <c r="H827" s="3"/>
      <c r="I827" s="8"/>
      <c r="J827" s="3"/>
    </row>
    <row r="828" spans="1:10" x14ac:dyDescent="0.3">
      <c r="A828" s="3" t="s">
        <v>937</v>
      </c>
      <c r="B828" s="3" t="s">
        <v>33</v>
      </c>
      <c r="C828" s="3" t="str">
        <f t="shared" si="12"/>
        <v>450013818510</v>
      </c>
      <c r="D828" s="3" t="s">
        <v>861</v>
      </c>
      <c r="F828" s="3"/>
      <c r="G828" s="3"/>
      <c r="H828" s="3"/>
      <c r="I828" s="8"/>
      <c r="J828" s="3"/>
    </row>
    <row r="829" spans="1:10" x14ac:dyDescent="0.3">
      <c r="A829" s="3" t="s">
        <v>937</v>
      </c>
      <c r="B829" s="3" t="s">
        <v>21</v>
      </c>
      <c r="C829" s="3" t="str">
        <f t="shared" si="12"/>
        <v>450013818530</v>
      </c>
      <c r="D829" s="3" t="s">
        <v>861</v>
      </c>
      <c r="F829" s="3"/>
      <c r="G829" s="3"/>
      <c r="H829" s="3"/>
      <c r="I829" s="8"/>
      <c r="J829" s="3"/>
    </row>
    <row r="830" spans="1:10" x14ac:dyDescent="0.3">
      <c r="A830" s="3" t="s">
        <v>911</v>
      </c>
      <c r="B830" s="3" t="s">
        <v>33</v>
      </c>
      <c r="C830" s="3" t="str">
        <f t="shared" ref="C830:C893" si="13">_xlfn.CONCAT(A830:B830)</f>
        <v>450013897410</v>
      </c>
      <c r="D830" s="3" t="s">
        <v>872</v>
      </c>
      <c r="F830" s="3"/>
      <c r="G830" s="3"/>
      <c r="H830" s="3"/>
      <c r="I830" s="8"/>
      <c r="J830" s="3"/>
    </row>
    <row r="831" spans="1:10" x14ac:dyDescent="0.3">
      <c r="A831" s="3" t="s">
        <v>935</v>
      </c>
      <c r="B831" s="3" t="s">
        <v>33</v>
      </c>
      <c r="C831" s="3" t="str">
        <f t="shared" si="13"/>
        <v>450013983610</v>
      </c>
      <c r="D831" s="3" t="s">
        <v>872</v>
      </c>
      <c r="F831" s="3"/>
      <c r="G831" s="3"/>
      <c r="H831" s="3"/>
      <c r="I831" s="8"/>
      <c r="J831" s="3"/>
    </row>
    <row r="832" spans="1:10" x14ac:dyDescent="0.3">
      <c r="A832" s="3" t="s">
        <v>969</v>
      </c>
      <c r="B832" s="3" t="s">
        <v>33</v>
      </c>
      <c r="C832" s="3" t="str">
        <f t="shared" si="13"/>
        <v>450013980210</v>
      </c>
      <c r="D832" s="3" t="s">
        <v>860</v>
      </c>
      <c r="F832" s="3"/>
      <c r="G832" s="3"/>
      <c r="H832" s="3"/>
      <c r="I832" s="8"/>
      <c r="J832" s="3"/>
    </row>
    <row r="833" spans="1:10" x14ac:dyDescent="0.3">
      <c r="A833" s="3" t="s">
        <v>945</v>
      </c>
      <c r="B833" s="3" t="s">
        <v>33</v>
      </c>
      <c r="C833" s="3" t="str">
        <f t="shared" si="13"/>
        <v>450014038410</v>
      </c>
      <c r="D833" s="3" t="s">
        <v>874</v>
      </c>
      <c r="F833" s="3"/>
      <c r="G833" s="3"/>
      <c r="H833" s="3"/>
      <c r="I833" s="8"/>
      <c r="J833" s="3"/>
    </row>
    <row r="834" spans="1:10" x14ac:dyDescent="0.3">
      <c r="A834" s="3" t="s">
        <v>978</v>
      </c>
      <c r="B834" s="3" t="s">
        <v>33</v>
      </c>
      <c r="C834" s="3" t="str">
        <f t="shared" si="13"/>
        <v>450014039710</v>
      </c>
      <c r="D834" s="3" t="s">
        <v>860</v>
      </c>
      <c r="F834" s="3"/>
      <c r="G834" s="3"/>
      <c r="H834" s="3"/>
      <c r="I834" s="8"/>
      <c r="J834" s="3"/>
    </row>
    <row r="835" spans="1:10" x14ac:dyDescent="0.3">
      <c r="A835" s="3" t="s">
        <v>952</v>
      </c>
      <c r="B835" s="3" t="s">
        <v>33</v>
      </c>
      <c r="C835" s="3" t="str">
        <f t="shared" si="13"/>
        <v>450014022410</v>
      </c>
      <c r="D835" s="3" t="s">
        <v>877</v>
      </c>
      <c r="F835" s="3"/>
      <c r="G835" s="3"/>
      <c r="H835" s="3"/>
      <c r="I835" s="8"/>
      <c r="J835" s="3"/>
    </row>
    <row r="836" spans="1:10" x14ac:dyDescent="0.3">
      <c r="A836" s="3" t="s">
        <v>952</v>
      </c>
      <c r="B836" s="3" t="s">
        <v>20</v>
      </c>
      <c r="C836" s="3" t="str">
        <f t="shared" si="13"/>
        <v>450014022420</v>
      </c>
      <c r="D836" s="3" t="s">
        <v>877</v>
      </c>
      <c r="F836" s="3"/>
      <c r="G836" s="3"/>
      <c r="H836" s="3"/>
      <c r="I836" s="8"/>
      <c r="J836" s="3"/>
    </row>
    <row r="837" spans="1:10" x14ac:dyDescent="0.3">
      <c r="A837" s="3" t="s">
        <v>974</v>
      </c>
      <c r="B837" s="3" t="s">
        <v>33</v>
      </c>
      <c r="C837" s="3" t="str">
        <f t="shared" si="13"/>
        <v>450014039110</v>
      </c>
      <c r="D837" s="3" t="s">
        <v>860</v>
      </c>
      <c r="F837" s="3"/>
      <c r="G837" s="3"/>
      <c r="H837" s="3"/>
      <c r="I837" s="8"/>
      <c r="J837" s="3"/>
    </row>
    <row r="838" spans="1:10" x14ac:dyDescent="0.3">
      <c r="A838" s="3" t="s">
        <v>974</v>
      </c>
      <c r="B838" s="3" t="s">
        <v>20</v>
      </c>
      <c r="C838" s="3" t="str">
        <f t="shared" si="13"/>
        <v>450014039120</v>
      </c>
      <c r="D838" s="3" t="s">
        <v>860</v>
      </c>
      <c r="F838" s="3"/>
      <c r="G838" s="3"/>
      <c r="H838" s="3"/>
      <c r="I838" s="8"/>
      <c r="J838" s="3"/>
    </row>
    <row r="839" spans="1:10" x14ac:dyDescent="0.3">
      <c r="A839" s="3" t="s">
        <v>974</v>
      </c>
      <c r="B839" s="3" t="s">
        <v>21</v>
      </c>
      <c r="C839" s="3" t="str">
        <f t="shared" si="13"/>
        <v>450014039130</v>
      </c>
      <c r="D839" s="3" t="s">
        <v>860</v>
      </c>
      <c r="F839" s="3"/>
      <c r="G839" s="3"/>
      <c r="H839" s="3"/>
      <c r="I839" s="8"/>
      <c r="J839" s="3"/>
    </row>
    <row r="840" spans="1:10" x14ac:dyDescent="0.3">
      <c r="A840" s="3" t="s">
        <v>977</v>
      </c>
      <c r="B840" s="3" t="s">
        <v>33</v>
      </c>
      <c r="C840" s="3" t="str">
        <f t="shared" si="13"/>
        <v>450014039410</v>
      </c>
      <c r="D840" s="3" t="s">
        <v>860</v>
      </c>
      <c r="F840" s="3"/>
      <c r="G840" s="3"/>
      <c r="H840" s="3"/>
      <c r="I840" s="8"/>
      <c r="J840" s="3"/>
    </row>
    <row r="841" spans="1:10" x14ac:dyDescent="0.3">
      <c r="A841" s="3" t="s">
        <v>977</v>
      </c>
      <c r="B841" s="3" t="s">
        <v>20</v>
      </c>
      <c r="C841" s="3" t="str">
        <f t="shared" si="13"/>
        <v>450014039420</v>
      </c>
      <c r="D841" s="3" t="s">
        <v>860</v>
      </c>
      <c r="F841" s="3"/>
      <c r="G841" s="3"/>
      <c r="H841" s="3"/>
      <c r="I841" s="8"/>
      <c r="J841" s="3"/>
    </row>
    <row r="842" spans="1:10" x14ac:dyDescent="0.3">
      <c r="A842" s="3" t="s">
        <v>977</v>
      </c>
      <c r="B842" s="3" t="s">
        <v>21</v>
      </c>
      <c r="C842" s="3" t="str">
        <f t="shared" si="13"/>
        <v>450014039430</v>
      </c>
      <c r="D842" s="3" t="s">
        <v>860</v>
      </c>
      <c r="F842" s="3"/>
      <c r="G842" s="3"/>
      <c r="H842" s="3"/>
      <c r="I842" s="8"/>
      <c r="J842" s="3"/>
    </row>
    <row r="843" spans="1:10" x14ac:dyDescent="0.3">
      <c r="A843" s="3" t="s">
        <v>977</v>
      </c>
      <c r="B843" s="3" t="s">
        <v>25</v>
      </c>
      <c r="C843" s="3" t="str">
        <f t="shared" si="13"/>
        <v>450014039440</v>
      </c>
      <c r="D843" s="3" t="s">
        <v>860</v>
      </c>
      <c r="F843" s="3"/>
      <c r="G843" s="3"/>
      <c r="H843" s="3"/>
      <c r="I843" s="8"/>
      <c r="J843" s="3"/>
    </row>
    <row r="844" spans="1:10" x14ac:dyDescent="0.3">
      <c r="A844" s="3" t="s">
        <v>977</v>
      </c>
      <c r="B844" s="3" t="s">
        <v>22</v>
      </c>
      <c r="C844" s="3" t="str">
        <f t="shared" si="13"/>
        <v>450014039450</v>
      </c>
      <c r="D844" s="3" t="s">
        <v>860</v>
      </c>
      <c r="F844" s="3"/>
      <c r="G844" s="3"/>
      <c r="H844" s="3"/>
      <c r="I844" s="8"/>
      <c r="J844" s="3"/>
    </row>
    <row r="845" spans="1:10" x14ac:dyDescent="0.3">
      <c r="A845" s="3" t="s">
        <v>976</v>
      </c>
      <c r="B845" s="3" t="s">
        <v>23</v>
      </c>
      <c r="C845" s="3" t="str">
        <f t="shared" si="13"/>
        <v>450014039560</v>
      </c>
      <c r="D845" s="3" t="s">
        <v>860</v>
      </c>
      <c r="F845" s="3"/>
      <c r="G845" s="3"/>
      <c r="H845" s="3"/>
      <c r="I845" s="8"/>
      <c r="J845" s="3"/>
    </row>
    <row r="846" spans="1:10" x14ac:dyDescent="0.3">
      <c r="A846" s="3" t="s">
        <v>953</v>
      </c>
      <c r="B846" s="3" t="s">
        <v>33</v>
      </c>
      <c r="C846" s="3" t="str">
        <f t="shared" si="13"/>
        <v>450014036210</v>
      </c>
      <c r="D846" s="3" t="s">
        <v>877</v>
      </c>
      <c r="F846" s="3"/>
      <c r="G846" s="3"/>
      <c r="H846" s="3"/>
      <c r="I846" s="8"/>
      <c r="J846" s="3"/>
    </row>
    <row r="847" spans="1:10" x14ac:dyDescent="0.3">
      <c r="A847" s="3" t="s">
        <v>980</v>
      </c>
      <c r="B847" s="3" t="s">
        <v>33</v>
      </c>
      <c r="C847" s="3" t="str">
        <f t="shared" si="13"/>
        <v>450014040510</v>
      </c>
      <c r="D847" s="3" t="s">
        <v>860</v>
      </c>
      <c r="F847" s="3"/>
      <c r="G847" s="3"/>
      <c r="H847" s="3"/>
      <c r="I847" s="8"/>
      <c r="J847" s="3"/>
    </row>
    <row r="848" spans="1:10" x14ac:dyDescent="0.3">
      <c r="A848" s="3" t="s">
        <v>898</v>
      </c>
      <c r="B848" s="3" t="s">
        <v>33</v>
      </c>
      <c r="C848" s="3" t="str">
        <f t="shared" si="13"/>
        <v>450014048310</v>
      </c>
      <c r="D848" s="3" t="s">
        <v>877</v>
      </c>
      <c r="F848" s="3"/>
      <c r="G848" s="3"/>
      <c r="H848" s="3"/>
      <c r="I848" s="8"/>
      <c r="J848" s="3"/>
    </row>
    <row r="849" spans="1:10" x14ac:dyDescent="0.3">
      <c r="A849" s="3" t="s">
        <v>898</v>
      </c>
      <c r="B849" s="3" t="s">
        <v>20</v>
      </c>
      <c r="C849" s="3" t="str">
        <f t="shared" si="13"/>
        <v>450014048320</v>
      </c>
      <c r="D849" s="3" t="s">
        <v>877</v>
      </c>
      <c r="F849" s="3"/>
      <c r="G849" s="3"/>
      <c r="H849" s="3"/>
      <c r="I849" s="8"/>
      <c r="J849" s="3"/>
    </row>
    <row r="850" spans="1:10" x14ac:dyDescent="0.3">
      <c r="A850" s="3" t="s">
        <v>907</v>
      </c>
      <c r="B850" s="3" t="s">
        <v>20</v>
      </c>
      <c r="C850" s="3" t="str">
        <f t="shared" si="13"/>
        <v>450012915120</v>
      </c>
      <c r="D850" s="3" t="s">
        <v>865</v>
      </c>
      <c r="F850" s="3"/>
      <c r="G850" s="3"/>
      <c r="H850" s="3"/>
      <c r="I850" s="8"/>
      <c r="J850" s="3"/>
    </row>
    <row r="851" spans="1:10" x14ac:dyDescent="0.3">
      <c r="A851" s="3" t="s">
        <v>907</v>
      </c>
      <c r="B851" s="3" t="s">
        <v>33</v>
      </c>
      <c r="C851" s="3" t="str">
        <f t="shared" si="13"/>
        <v>450012915110</v>
      </c>
      <c r="D851" s="3" t="s">
        <v>865</v>
      </c>
      <c r="F851" s="3"/>
      <c r="G851" s="3"/>
      <c r="H851" s="3"/>
      <c r="I851" s="8"/>
      <c r="J851" s="3"/>
    </row>
    <row r="852" spans="1:10" x14ac:dyDescent="0.3">
      <c r="A852" s="3" t="s">
        <v>496</v>
      </c>
      <c r="B852" s="3" t="s">
        <v>33</v>
      </c>
      <c r="C852" s="3" t="str">
        <f t="shared" si="13"/>
        <v>450013332510</v>
      </c>
      <c r="D852" s="3" t="s">
        <v>867</v>
      </c>
      <c r="F852" s="3"/>
      <c r="G852" s="3"/>
      <c r="H852" s="3"/>
      <c r="I852" s="8"/>
      <c r="J852" s="3"/>
    </row>
    <row r="853" spans="1:10" x14ac:dyDescent="0.3">
      <c r="A853" s="3" t="s">
        <v>496</v>
      </c>
      <c r="B853" s="3" t="s">
        <v>20</v>
      </c>
      <c r="C853" s="3" t="str">
        <f t="shared" si="13"/>
        <v>450013332520</v>
      </c>
      <c r="D853" s="3" t="s">
        <v>867</v>
      </c>
      <c r="F853" s="3"/>
      <c r="G853" s="3"/>
      <c r="H853" s="3"/>
      <c r="I853" s="8"/>
      <c r="J853" s="3"/>
    </row>
    <row r="854" spans="1:10" x14ac:dyDescent="0.3">
      <c r="A854" s="3" t="s">
        <v>496</v>
      </c>
      <c r="B854" s="3" t="s">
        <v>21</v>
      </c>
      <c r="C854" s="3" t="str">
        <f t="shared" si="13"/>
        <v>450013332530</v>
      </c>
      <c r="D854" s="3" t="s">
        <v>867</v>
      </c>
      <c r="F854" s="3"/>
      <c r="G854" s="3"/>
      <c r="H854" s="3"/>
      <c r="I854" s="8"/>
      <c r="J854" s="3"/>
    </row>
    <row r="855" spans="1:10" x14ac:dyDescent="0.3">
      <c r="A855" s="3" t="s">
        <v>496</v>
      </c>
      <c r="B855" s="3" t="s">
        <v>25</v>
      </c>
      <c r="C855" s="3" t="str">
        <f t="shared" si="13"/>
        <v>450013332540</v>
      </c>
      <c r="D855" s="3" t="s">
        <v>867</v>
      </c>
      <c r="F855" s="3"/>
      <c r="G855" s="3"/>
      <c r="H855" s="3"/>
      <c r="I855" s="8"/>
      <c r="J855" s="3"/>
    </row>
    <row r="856" spans="1:10" x14ac:dyDescent="0.3">
      <c r="A856" s="3" t="s">
        <v>496</v>
      </c>
      <c r="B856" s="3" t="s">
        <v>22</v>
      </c>
      <c r="C856" s="3" t="str">
        <f t="shared" si="13"/>
        <v>450013332550</v>
      </c>
      <c r="D856" s="3" t="s">
        <v>867</v>
      </c>
      <c r="F856" s="3"/>
      <c r="G856" s="3"/>
      <c r="H856" s="3"/>
      <c r="I856" s="8"/>
      <c r="J856" s="3"/>
    </row>
    <row r="857" spans="1:10" x14ac:dyDescent="0.3">
      <c r="A857" s="3" t="s">
        <v>496</v>
      </c>
      <c r="B857" s="3" t="s">
        <v>23</v>
      </c>
      <c r="C857" s="3" t="str">
        <f t="shared" si="13"/>
        <v>450013332560</v>
      </c>
      <c r="D857" s="3" t="s">
        <v>867</v>
      </c>
      <c r="F857" s="3"/>
      <c r="G857" s="3"/>
      <c r="H857" s="3"/>
      <c r="I857" s="8"/>
      <c r="J857" s="3"/>
    </row>
    <row r="858" spans="1:10" x14ac:dyDescent="0.3">
      <c r="A858" s="3" t="s">
        <v>950</v>
      </c>
      <c r="B858" s="3" t="s">
        <v>20</v>
      </c>
      <c r="C858" s="3" t="str">
        <f t="shared" si="13"/>
        <v>450013466720</v>
      </c>
      <c r="D858" s="3" t="s">
        <v>861</v>
      </c>
      <c r="F858" s="3"/>
      <c r="G858" s="3"/>
      <c r="H858" s="3"/>
      <c r="I858" s="8"/>
      <c r="J858" s="3"/>
    </row>
    <row r="859" spans="1:10" x14ac:dyDescent="0.3">
      <c r="A859" s="3" t="s">
        <v>950</v>
      </c>
      <c r="B859" s="3" t="s">
        <v>33</v>
      </c>
      <c r="C859" s="3" t="str">
        <f t="shared" si="13"/>
        <v>450013466710</v>
      </c>
      <c r="D859" s="3" t="s">
        <v>861</v>
      </c>
      <c r="F859" s="3"/>
      <c r="G859" s="3"/>
      <c r="H859" s="3"/>
      <c r="I859" s="8"/>
      <c r="J859" s="3"/>
    </row>
    <row r="860" spans="1:10" x14ac:dyDescent="0.3">
      <c r="A860" s="3" t="s">
        <v>943</v>
      </c>
      <c r="B860" s="3" t="s">
        <v>33</v>
      </c>
      <c r="C860" s="3" t="str">
        <f t="shared" si="13"/>
        <v>450013859410</v>
      </c>
      <c r="D860" s="3" t="s">
        <v>879</v>
      </c>
      <c r="F860" s="3"/>
      <c r="G860" s="3"/>
      <c r="H860" s="3"/>
      <c r="I860" s="8"/>
      <c r="J860" s="3"/>
    </row>
    <row r="861" spans="1:10" x14ac:dyDescent="0.3">
      <c r="A861" s="3" t="s">
        <v>886</v>
      </c>
      <c r="B861" s="3" t="s">
        <v>25</v>
      </c>
      <c r="C861" s="3" t="str">
        <f t="shared" si="13"/>
        <v>450013859540</v>
      </c>
      <c r="D861" s="3" t="s">
        <v>879</v>
      </c>
      <c r="F861" s="3"/>
      <c r="G861" s="3"/>
      <c r="H861" s="3"/>
      <c r="I861" s="8"/>
      <c r="J861" s="3"/>
    </row>
    <row r="862" spans="1:10" x14ac:dyDescent="0.3">
      <c r="A862" s="3" t="s">
        <v>971</v>
      </c>
      <c r="B862" s="3" t="s">
        <v>33</v>
      </c>
      <c r="C862" s="3" t="str">
        <f t="shared" si="13"/>
        <v>450013671710</v>
      </c>
      <c r="D862" s="3" t="s">
        <v>865</v>
      </c>
      <c r="F862" s="3"/>
      <c r="G862" s="3"/>
      <c r="H862" s="3"/>
      <c r="I862" s="8"/>
      <c r="J862" s="3"/>
    </row>
    <row r="863" spans="1:10" x14ac:dyDescent="0.3">
      <c r="A863" s="3" t="s">
        <v>981</v>
      </c>
      <c r="B863" s="3" t="s">
        <v>33</v>
      </c>
      <c r="C863" s="3" t="str">
        <f t="shared" si="13"/>
        <v>450013671810</v>
      </c>
      <c r="D863" s="3" t="s">
        <v>865</v>
      </c>
      <c r="F863" s="3"/>
      <c r="G863" s="3"/>
      <c r="H863" s="3"/>
      <c r="I863" s="8"/>
      <c r="J863" s="3"/>
    </row>
    <row r="864" spans="1:10" x14ac:dyDescent="0.3">
      <c r="A864" s="3" t="s">
        <v>968</v>
      </c>
      <c r="B864" s="3" t="s">
        <v>20</v>
      </c>
      <c r="C864" s="3" t="str">
        <f t="shared" si="13"/>
        <v>450013730920</v>
      </c>
      <c r="D864" s="3" t="s">
        <v>863</v>
      </c>
      <c r="F864" s="3"/>
      <c r="G864" s="3"/>
      <c r="H864" s="3"/>
      <c r="I864" s="8"/>
      <c r="J864" s="3"/>
    </row>
    <row r="865" spans="1:10" x14ac:dyDescent="0.3">
      <c r="A865" s="3" t="s">
        <v>968</v>
      </c>
      <c r="B865" s="3" t="s">
        <v>33</v>
      </c>
      <c r="C865" s="3" t="str">
        <f t="shared" si="13"/>
        <v>450013730910</v>
      </c>
      <c r="D865" s="3" t="s">
        <v>863</v>
      </c>
      <c r="F865" s="3"/>
      <c r="G865" s="3"/>
      <c r="H865" s="3"/>
      <c r="I865" s="8"/>
      <c r="J865" s="3"/>
    </row>
    <row r="866" spans="1:10" x14ac:dyDescent="0.3">
      <c r="A866" s="3" t="s">
        <v>901</v>
      </c>
      <c r="B866" s="3" t="s">
        <v>20</v>
      </c>
      <c r="C866" s="3" t="str">
        <f t="shared" si="13"/>
        <v>450013786120</v>
      </c>
      <c r="D866" s="3" t="s">
        <v>863</v>
      </c>
      <c r="F866" s="3"/>
      <c r="G866" s="3"/>
      <c r="H866" s="3"/>
      <c r="I866" s="8"/>
      <c r="J866" s="3"/>
    </row>
    <row r="867" spans="1:10" x14ac:dyDescent="0.3">
      <c r="A867" s="3" t="s">
        <v>901</v>
      </c>
      <c r="B867" s="3" t="s">
        <v>21</v>
      </c>
      <c r="C867" s="3" t="str">
        <f t="shared" si="13"/>
        <v>450013786130</v>
      </c>
      <c r="D867" s="3" t="s">
        <v>863</v>
      </c>
      <c r="F867" s="3"/>
      <c r="G867" s="3"/>
      <c r="H867" s="3"/>
      <c r="I867" s="8"/>
      <c r="J867" s="3"/>
    </row>
    <row r="868" spans="1:10" x14ac:dyDescent="0.3">
      <c r="A868" s="3" t="s">
        <v>901</v>
      </c>
      <c r="B868" s="3" t="s">
        <v>33</v>
      </c>
      <c r="C868" s="3" t="str">
        <f t="shared" si="13"/>
        <v>450013786110</v>
      </c>
      <c r="D868" s="3" t="s">
        <v>863</v>
      </c>
      <c r="F868" s="3"/>
      <c r="G868" s="3"/>
      <c r="H868" s="3"/>
      <c r="I868" s="8"/>
      <c r="J868" s="3"/>
    </row>
    <row r="869" spans="1:10" x14ac:dyDescent="0.3">
      <c r="A869" s="3" t="s">
        <v>927</v>
      </c>
      <c r="B869" s="3" t="s">
        <v>33</v>
      </c>
      <c r="C869" s="3" t="str">
        <f t="shared" si="13"/>
        <v>450013905610</v>
      </c>
      <c r="D869" s="3" t="s">
        <v>860</v>
      </c>
      <c r="F869" s="3"/>
      <c r="G869" s="3"/>
      <c r="H869" s="3"/>
      <c r="I869" s="8"/>
      <c r="J869" s="3"/>
    </row>
    <row r="870" spans="1:10" x14ac:dyDescent="0.3">
      <c r="A870" s="3" t="s">
        <v>912</v>
      </c>
      <c r="B870" s="3" t="s">
        <v>33</v>
      </c>
      <c r="C870" s="3" t="str">
        <f t="shared" si="13"/>
        <v>450013897310</v>
      </c>
      <c r="D870" s="3" t="s">
        <v>872</v>
      </c>
      <c r="F870" s="3"/>
      <c r="G870" s="3"/>
      <c r="H870" s="3"/>
      <c r="I870" s="8"/>
      <c r="J870" s="3"/>
    </row>
    <row r="871" spans="1:10" x14ac:dyDescent="0.3">
      <c r="A871" s="3" t="s">
        <v>941</v>
      </c>
      <c r="B871" s="3" t="s">
        <v>33</v>
      </c>
      <c r="C871" s="3" t="str">
        <f t="shared" si="13"/>
        <v>450013954710</v>
      </c>
      <c r="D871" s="3" t="s">
        <v>880</v>
      </c>
      <c r="F871" s="3"/>
      <c r="G871" s="3"/>
      <c r="H871" s="3"/>
      <c r="I871" s="8"/>
      <c r="J871" s="3"/>
    </row>
    <row r="872" spans="1:10" x14ac:dyDescent="0.3">
      <c r="A872" s="3" t="s">
        <v>936</v>
      </c>
      <c r="B872" s="3" t="s">
        <v>22</v>
      </c>
      <c r="C872" s="3" t="str">
        <f t="shared" si="13"/>
        <v>450013913750</v>
      </c>
      <c r="D872" s="3" t="s">
        <v>863</v>
      </c>
      <c r="F872" s="3"/>
      <c r="G872" s="3"/>
      <c r="H872" s="3"/>
      <c r="I872" s="8"/>
      <c r="J872" s="3"/>
    </row>
    <row r="873" spans="1:10" x14ac:dyDescent="0.3">
      <c r="A873" s="3" t="s">
        <v>958</v>
      </c>
      <c r="B873" s="3" t="s">
        <v>33</v>
      </c>
      <c r="C873" s="3" t="str">
        <f t="shared" si="13"/>
        <v>450013913810</v>
      </c>
      <c r="D873" s="3" t="s">
        <v>861</v>
      </c>
      <c r="F873" s="3"/>
      <c r="G873" s="3"/>
      <c r="H873" s="3"/>
      <c r="I873" s="8"/>
      <c r="J873" s="3"/>
    </row>
    <row r="874" spans="1:10" x14ac:dyDescent="0.3">
      <c r="A874" s="3" t="s">
        <v>936</v>
      </c>
      <c r="B874" s="3" t="s">
        <v>20</v>
      </c>
      <c r="C874" s="3" t="str">
        <f t="shared" si="13"/>
        <v>450013913720</v>
      </c>
      <c r="D874" s="3" t="s">
        <v>863</v>
      </c>
      <c r="F874" s="3"/>
      <c r="G874" s="3"/>
      <c r="H874" s="3"/>
      <c r="I874" s="8"/>
      <c r="J874" s="3"/>
    </row>
    <row r="875" spans="1:10" x14ac:dyDescent="0.3">
      <c r="A875" s="3" t="s">
        <v>936</v>
      </c>
      <c r="B875" s="3" t="s">
        <v>33</v>
      </c>
      <c r="C875" s="3" t="str">
        <f t="shared" si="13"/>
        <v>450013913710</v>
      </c>
      <c r="D875" s="3" t="s">
        <v>863</v>
      </c>
      <c r="F875" s="3"/>
      <c r="G875" s="3"/>
      <c r="H875" s="3"/>
      <c r="I875" s="8"/>
      <c r="J875" s="3"/>
    </row>
    <row r="876" spans="1:10" x14ac:dyDescent="0.3">
      <c r="A876" s="3" t="s">
        <v>936</v>
      </c>
      <c r="B876" s="3" t="s">
        <v>25</v>
      </c>
      <c r="C876" s="3" t="str">
        <f t="shared" si="13"/>
        <v>450013913740</v>
      </c>
      <c r="D876" s="3" t="s">
        <v>863</v>
      </c>
      <c r="F876" s="3"/>
      <c r="G876" s="3"/>
      <c r="H876" s="3"/>
      <c r="I876" s="8"/>
      <c r="J876" s="3"/>
    </row>
    <row r="877" spans="1:10" x14ac:dyDescent="0.3">
      <c r="A877" s="3" t="s">
        <v>936</v>
      </c>
      <c r="B877" s="3" t="s">
        <v>21</v>
      </c>
      <c r="C877" s="3" t="str">
        <f t="shared" si="13"/>
        <v>450013913730</v>
      </c>
      <c r="D877" s="3" t="s">
        <v>863</v>
      </c>
      <c r="F877" s="3"/>
      <c r="G877" s="3"/>
      <c r="H877" s="3"/>
      <c r="I877" s="8"/>
      <c r="J877" s="3"/>
    </row>
    <row r="878" spans="1:10" x14ac:dyDescent="0.3">
      <c r="A878" s="3" t="s">
        <v>902</v>
      </c>
      <c r="B878" s="3" t="s">
        <v>33</v>
      </c>
      <c r="C878" s="3" t="str">
        <f t="shared" si="13"/>
        <v>450013919410</v>
      </c>
      <c r="D878" s="3" t="s">
        <v>872</v>
      </c>
      <c r="F878" s="3"/>
      <c r="G878" s="3"/>
      <c r="H878" s="3"/>
      <c r="I878" s="8"/>
      <c r="J878" s="3"/>
    </row>
    <row r="879" spans="1:10" x14ac:dyDescent="0.3">
      <c r="A879" s="3" t="s">
        <v>958</v>
      </c>
      <c r="B879" s="3" t="s">
        <v>20</v>
      </c>
      <c r="C879" s="3" t="str">
        <f t="shared" si="13"/>
        <v>450013913820</v>
      </c>
      <c r="D879" s="3" t="s">
        <v>861</v>
      </c>
      <c r="F879" s="3"/>
      <c r="G879" s="3"/>
      <c r="H879" s="3"/>
      <c r="I879" s="8"/>
      <c r="J879" s="3"/>
    </row>
    <row r="880" spans="1:10" x14ac:dyDescent="0.3">
      <c r="A880" s="3" t="s">
        <v>909</v>
      </c>
      <c r="B880" s="3" t="s">
        <v>33</v>
      </c>
      <c r="C880" s="3" t="str">
        <f t="shared" si="13"/>
        <v>450013958310</v>
      </c>
      <c r="D880" s="3" t="s">
        <v>872</v>
      </c>
      <c r="F880" s="3"/>
      <c r="G880" s="3"/>
      <c r="H880" s="3"/>
      <c r="I880" s="8"/>
      <c r="J880" s="3"/>
    </row>
    <row r="881" spans="1:10" x14ac:dyDescent="0.3">
      <c r="A881" s="3" t="s">
        <v>913</v>
      </c>
      <c r="B881" s="3" t="s">
        <v>33</v>
      </c>
      <c r="C881" s="3" t="str">
        <f t="shared" si="13"/>
        <v>450013956710</v>
      </c>
      <c r="D881" s="3" t="s">
        <v>868</v>
      </c>
      <c r="F881" s="3"/>
      <c r="G881" s="3"/>
      <c r="H881" s="3"/>
      <c r="I881" s="8"/>
      <c r="J881" s="3"/>
    </row>
    <row r="882" spans="1:10" x14ac:dyDescent="0.3">
      <c r="A882" s="3" t="s">
        <v>920</v>
      </c>
      <c r="B882" s="3" t="s">
        <v>33</v>
      </c>
      <c r="C882" s="3" t="str">
        <f t="shared" si="13"/>
        <v>450013953410</v>
      </c>
      <c r="D882" s="3" t="s">
        <v>865</v>
      </c>
      <c r="F882" s="3"/>
      <c r="G882" s="3"/>
      <c r="H882" s="3"/>
      <c r="I882" s="8"/>
      <c r="J882" s="3"/>
    </row>
    <row r="883" spans="1:10" x14ac:dyDescent="0.3">
      <c r="A883" s="3" t="s">
        <v>920</v>
      </c>
      <c r="B883" s="3" t="s">
        <v>20</v>
      </c>
      <c r="C883" s="3" t="str">
        <f t="shared" si="13"/>
        <v>450013953420</v>
      </c>
      <c r="D883" s="3" t="s">
        <v>865</v>
      </c>
      <c r="F883" s="3"/>
      <c r="G883" s="3"/>
      <c r="H883" s="3"/>
      <c r="I883" s="8"/>
      <c r="J883" s="3"/>
    </row>
    <row r="884" spans="1:10" x14ac:dyDescent="0.3">
      <c r="A884" s="3" t="s">
        <v>960</v>
      </c>
      <c r="B884" s="3" t="s">
        <v>33</v>
      </c>
      <c r="C884" s="3" t="str">
        <f t="shared" si="13"/>
        <v>450013990810</v>
      </c>
      <c r="D884" s="3" t="s">
        <v>863</v>
      </c>
      <c r="F884" s="3"/>
      <c r="G884" s="3"/>
      <c r="H884" s="3"/>
      <c r="I884" s="8"/>
      <c r="J884" s="3"/>
    </row>
    <row r="885" spans="1:10" x14ac:dyDescent="0.3">
      <c r="A885" s="3" t="s">
        <v>940</v>
      </c>
      <c r="B885" s="3" t="s">
        <v>33</v>
      </c>
      <c r="C885" s="3" t="str">
        <f t="shared" si="13"/>
        <v>450013999210</v>
      </c>
      <c r="D885" s="3" t="s">
        <v>868</v>
      </c>
      <c r="F885" s="3"/>
      <c r="G885" s="3"/>
      <c r="H885" s="3"/>
      <c r="I885" s="8"/>
      <c r="J885" s="3"/>
    </row>
    <row r="886" spans="1:10" x14ac:dyDescent="0.3">
      <c r="A886" s="3" t="s">
        <v>909</v>
      </c>
      <c r="B886" s="3" t="s">
        <v>20</v>
      </c>
      <c r="C886" s="3" t="str">
        <f t="shared" si="13"/>
        <v>450013958320</v>
      </c>
      <c r="D886" s="3" t="s">
        <v>872</v>
      </c>
      <c r="F886" s="3"/>
      <c r="G886" s="3"/>
      <c r="H886" s="3"/>
      <c r="I886" s="8"/>
      <c r="J886" s="3"/>
    </row>
    <row r="887" spans="1:10" x14ac:dyDescent="0.3">
      <c r="A887" s="3" t="s">
        <v>909</v>
      </c>
      <c r="B887" s="3" t="s">
        <v>21</v>
      </c>
      <c r="C887" s="3" t="str">
        <f t="shared" si="13"/>
        <v>450013958330</v>
      </c>
      <c r="D887" s="3" t="s">
        <v>872</v>
      </c>
      <c r="F887" s="3"/>
      <c r="G887" s="3"/>
      <c r="H887" s="3"/>
      <c r="I887" s="8"/>
      <c r="J887" s="3"/>
    </row>
    <row r="888" spans="1:10" x14ac:dyDescent="0.3">
      <c r="A888" s="3" t="s">
        <v>897</v>
      </c>
      <c r="B888" s="3" t="s">
        <v>33</v>
      </c>
      <c r="C888" s="3" t="str">
        <f t="shared" si="13"/>
        <v>450013967310</v>
      </c>
      <c r="D888" s="3" t="s">
        <v>860</v>
      </c>
      <c r="F888" s="3"/>
      <c r="G888" s="3"/>
      <c r="H888" s="3"/>
      <c r="I888" s="8"/>
      <c r="J888" s="3"/>
    </row>
    <row r="889" spans="1:10" x14ac:dyDescent="0.3">
      <c r="A889" s="3" t="s">
        <v>973</v>
      </c>
      <c r="B889" s="3" t="s">
        <v>33</v>
      </c>
      <c r="C889" s="3" t="str">
        <f t="shared" si="13"/>
        <v>450013960510</v>
      </c>
      <c r="D889" s="3" t="s">
        <v>860</v>
      </c>
      <c r="F889" s="3"/>
      <c r="G889" s="3"/>
      <c r="H889" s="3"/>
      <c r="I889" s="8"/>
      <c r="J889" s="3"/>
    </row>
    <row r="890" spans="1:10" x14ac:dyDescent="0.3">
      <c r="A890" s="3" t="s">
        <v>960</v>
      </c>
      <c r="B890" s="3" t="s">
        <v>20</v>
      </c>
      <c r="C890" s="3" t="str">
        <f t="shared" si="13"/>
        <v>450013990820</v>
      </c>
      <c r="D890" s="3" t="s">
        <v>863</v>
      </c>
      <c r="F890" s="3"/>
      <c r="G890" s="3"/>
      <c r="H890" s="3"/>
      <c r="I890" s="8"/>
      <c r="J890" s="3"/>
    </row>
    <row r="891" spans="1:10" x14ac:dyDescent="0.3">
      <c r="A891" s="3" t="s">
        <v>930</v>
      </c>
      <c r="B891" s="3" t="s">
        <v>33</v>
      </c>
      <c r="C891" s="3" t="str">
        <f t="shared" si="13"/>
        <v>450014011010</v>
      </c>
      <c r="D891" s="3" t="s">
        <v>863</v>
      </c>
      <c r="F891" s="3"/>
      <c r="G891" s="3"/>
      <c r="H891" s="3"/>
      <c r="I891" s="8"/>
      <c r="J891" s="3"/>
    </row>
    <row r="892" spans="1:10" x14ac:dyDescent="0.3">
      <c r="A892" s="3" t="s">
        <v>960</v>
      </c>
      <c r="B892" s="3" t="s">
        <v>21</v>
      </c>
      <c r="C892" s="3" t="str">
        <f t="shared" si="13"/>
        <v>450013990830</v>
      </c>
      <c r="D892" s="3" t="s">
        <v>863</v>
      </c>
      <c r="F892" s="3"/>
      <c r="G892" s="3"/>
      <c r="H892" s="3"/>
      <c r="I892" s="8"/>
      <c r="J892" s="3"/>
    </row>
    <row r="893" spans="1:10" x14ac:dyDescent="0.3">
      <c r="A893" s="3" t="s">
        <v>960</v>
      </c>
      <c r="B893" s="3" t="s">
        <v>22</v>
      </c>
      <c r="C893" s="3" t="str">
        <f t="shared" si="13"/>
        <v>450013990850</v>
      </c>
      <c r="D893" s="3" t="s">
        <v>863</v>
      </c>
      <c r="F893" s="3"/>
      <c r="G893" s="3"/>
      <c r="H893" s="3"/>
      <c r="I893" s="8"/>
      <c r="J893" s="3"/>
    </row>
    <row r="894" spans="1:10" x14ac:dyDescent="0.3">
      <c r="A894" s="3" t="s">
        <v>964</v>
      </c>
      <c r="B894" s="3" t="s">
        <v>33</v>
      </c>
      <c r="C894" s="3" t="str">
        <f t="shared" ref="C894:C956" si="14">_xlfn.CONCAT(A894:B894)</f>
        <v>450014002210</v>
      </c>
      <c r="D894" s="3" t="s">
        <v>860</v>
      </c>
      <c r="F894" s="3"/>
      <c r="G894" s="3"/>
      <c r="H894" s="3"/>
      <c r="I894" s="8"/>
      <c r="J894" s="3"/>
    </row>
    <row r="895" spans="1:10" x14ac:dyDescent="0.3">
      <c r="A895" s="3" t="s">
        <v>964</v>
      </c>
      <c r="B895" s="3" t="s">
        <v>20</v>
      </c>
      <c r="C895" s="3" t="str">
        <f t="shared" si="14"/>
        <v>450014002220</v>
      </c>
      <c r="D895" s="3" t="s">
        <v>860</v>
      </c>
      <c r="F895" s="3"/>
      <c r="G895" s="3"/>
      <c r="H895" s="3"/>
      <c r="I895" s="8"/>
      <c r="J895" s="3"/>
    </row>
    <row r="896" spans="1:10" x14ac:dyDescent="0.3">
      <c r="A896" s="3" t="s">
        <v>964</v>
      </c>
      <c r="B896" s="3" t="s">
        <v>21</v>
      </c>
      <c r="C896" s="3" t="str">
        <f t="shared" si="14"/>
        <v>450014002230</v>
      </c>
      <c r="D896" s="3" t="s">
        <v>860</v>
      </c>
      <c r="F896" s="3"/>
      <c r="G896" s="3"/>
      <c r="H896" s="3"/>
      <c r="I896" s="8"/>
      <c r="J896" s="3"/>
    </row>
    <row r="897" spans="1:10" x14ac:dyDescent="0.3">
      <c r="A897" s="3" t="s">
        <v>964</v>
      </c>
      <c r="B897" s="3" t="s">
        <v>25</v>
      </c>
      <c r="C897" s="3" t="str">
        <f t="shared" si="14"/>
        <v>450014002240</v>
      </c>
      <c r="D897" s="3" t="s">
        <v>860</v>
      </c>
      <c r="F897" s="3"/>
      <c r="G897" s="3"/>
      <c r="H897" s="3"/>
      <c r="I897" s="8"/>
      <c r="J897" s="3"/>
    </row>
    <row r="898" spans="1:10" x14ac:dyDescent="0.3">
      <c r="A898" s="3" t="s">
        <v>964</v>
      </c>
      <c r="B898" s="3" t="s">
        <v>22</v>
      </c>
      <c r="C898" s="3" t="str">
        <f t="shared" si="14"/>
        <v>450014002250</v>
      </c>
      <c r="D898" s="3" t="s">
        <v>860</v>
      </c>
      <c r="F898" s="3"/>
      <c r="G898" s="3"/>
      <c r="H898" s="3"/>
      <c r="I898" s="8"/>
      <c r="J898" s="3"/>
    </row>
    <row r="899" spans="1:10" x14ac:dyDescent="0.3">
      <c r="A899" s="3" t="s">
        <v>964</v>
      </c>
      <c r="B899" s="3" t="s">
        <v>23</v>
      </c>
      <c r="C899" s="3" t="str">
        <f t="shared" si="14"/>
        <v>450014002260</v>
      </c>
      <c r="D899" s="3" t="s">
        <v>860</v>
      </c>
      <c r="F899" s="3"/>
      <c r="G899" s="3"/>
      <c r="H899" s="3"/>
      <c r="I899" s="8"/>
      <c r="J899" s="3"/>
    </row>
    <row r="900" spans="1:10" x14ac:dyDescent="0.3">
      <c r="A900" s="3" t="s">
        <v>964</v>
      </c>
      <c r="B900" s="3" t="s">
        <v>24</v>
      </c>
      <c r="C900" s="3" t="str">
        <f t="shared" si="14"/>
        <v>450014002270</v>
      </c>
      <c r="D900" s="3" t="s">
        <v>860</v>
      </c>
      <c r="F900" s="3"/>
      <c r="G900" s="3"/>
      <c r="H900" s="3"/>
      <c r="I900" s="8"/>
      <c r="J900" s="3"/>
    </row>
    <row r="901" spans="1:10" x14ac:dyDescent="0.3">
      <c r="A901" s="3" t="s">
        <v>964</v>
      </c>
      <c r="B901" s="3" t="s">
        <v>321</v>
      </c>
      <c r="C901" s="3" t="str">
        <f t="shared" si="14"/>
        <v>450014002280</v>
      </c>
      <c r="D901" s="3" t="s">
        <v>860</v>
      </c>
      <c r="F901" s="3"/>
      <c r="G901" s="3"/>
      <c r="H901" s="3"/>
      <c r="I901" s="8"/>
      <c r="J901" s="3"/>
    </row>
    <row r="902" spans="1:10" x14ac:dyDescent="0.3">
      <c r="A902" s="3" t="s">
        <v>964</v>
      </c>
      <c r="B902" s="3" t="s">
        <v>322</v>
      </c>
      <c r="C902" s="3" t="str">
        <f t="shared" si="14"/>
        <v>450014002290</v>
      </c>
      <c r="D902" s="3" t="s">
        <v>860</v>
      </c>
      <c r="F902" s="3"/>
      <c r="G902" s="3"/>
      <c r="H902" s="3"/>
      <c r="I902" s="8"/>
      <c r="J902" s="3"/>
    </row>
    <row r="903" spans="1:10" x14ac:dyDescent="0.3">
      <c r="A903" s="3" t="s">
        <v>964</v>
      </c>
      <c r="B903" s="3" t="s">
        <v>323</v>
      </c>
      <c r="C903" s="3" t="str">
        <f t="shared" si="14"/>
        <v>4500140022100</v>
      </c>
      <c r="D903" s="3" t="s">
        <v>860</v>
      </c>
      <c r="F903" s="3"/>
      <c r="G903" s="3"/>
      <c r="H903" s="3"/>
      <c r="I903" s="8"/>
      <c r="J903" s="3"/>
    </row>
    <row r="904" spans="1:10" x14ac:dyDescent="0.3">
      <c r="A904" s="3" t="s">
        <v>964</v>
      </c>
      <c r="B904" s="3" t="s">
        <v>175</v>
      </c>
      <c r="C904" s="3" t="str">
        <f t="shared" si="14"/>
        <v>4500140022110</v>
      </c>
      <c r="D904" s="3" t="s">
        <v>860</v>
      </c>
      <c r="F904" s="3"/>
      <c r="G904" s="3"/>
      <c r="H904" s="3"/>
      <c r="I904" s="8"/>
      <c r="J904" s="3"/>
    </row>
    <row r="905" spans="1:10" x14ac:dyDescent="0.3">
      <c r="A905" s="3" t="s">
        <v>964</v>
      </c>
      <c r="B905" s="3" t="s">
        <v>375</v>
      </c>
      <c r="C905" s="3" t="str">
        <f t="shared" si="14"/>
        <v>4500140022120</v>
      </c>
      <c r="D905" s="3" t="s">
        <v>860</v>
      </c>
      <c r="F905" s="3"/>
      <c r="G905" s="3"/>
      <c r="H905" s="3"/>
      <c r="I905" s="8"/>
      <c r="J905" s="3"/>
    </row>
    <row r="906" spans="1:10" x14ac:dyDescent="0.3">
      <c r="A906" s="3" t="s">
        <v>964</v>
      </c>
      <c r="B906" s="3" t="s">
        <v>203</v>
      </c>
      <c r="C906" s="3" t="str">
        <f t="shared" si="14"/>
        <v>4500140022130</v>
      </c>
      <c r="D906" s="3" t="s">
        <v>860</v>
      </c>
      <c r="F906" s="3"/>
      <c r="G906" s="3"/>
      <c r="H906" s="3"/>
      <c r="I906" s="8"/>
      <c r="J906" s="3"/>
    </row>
    <row r="907" spans="1:10" x14ac:dyDescent="0.3">
      <c r="A907" s="3" t="s">
        <v>896</v>
      </c>
      <c r="B907" s="3" t="s">
        <v>33</v>
      </c>
      <c r="C907" s="3" t="str">
        <f t="shared" si="14"/>
        <v>450014038010</v>
      </c>
      <c r="D907" s="3" t="s">
        <v>879</v>
      </c>
      <c r="F907" s="3"/>
      <c r="G907" s="3"/>
      <c r="H907" s="3"/>
      <c r="I907" s="8"/>
      <c r="J907" s="3"/>
    </row>
    <row r="908" spans="1:10" x14ac:dyDescent="0.3">
      <c r="A908" s="3" t="s">
        <v>896</v>
      </c>
      <c r="B908" s="3" t="s">
        <v>20</v>
      </c>
      <c r="C908" s="3" t="str">
        <f t="shared" si="14"/>
        <v>450014038020</v>
      </c>
      <c r="D908" s="3" t="s">
        <v>879</v>
      </c>
      <c r="F908" s="3"/>
      <c r="G908" s="3"/>
      <c r="H908" s="3"/>
      <c r="I908" s="8"/>
      <c r="J908" s="3"/>
    </row>
    <row r="909" spans="1:10" x14ac:dyDescent="0.3">
      <c r="A909" s="3" t="s">
        <v>896</v>
      </c>
      <c r="B909" s="3" t="s">
        <v>21</v>
      </c>
      <c r="C909" s="3" t="str">
        <f t="shared" si="14"/>
        <v>450014038030</v>
      </c>
      <c r="D909" s="3" t="s">
        <v>879</v>
      </c>
      <c r="F909" s="3"/>
      <c r="G909" s="3"/>
      <c r="H909" s="3"/>
      <c r="I909" s="8"/>
      <c r="J909" s="3"/>
    </row>
    <row r="910" spans="1:10" x14ac:dyDescent="0.3">
      <c r="A910" s="3" t="s">
        <v>948</v>
      </c>
      <c r="B910" s="3" t="s">
        <v>33</v>
      </c>
      <c r="C910" s="3" t="str">
        <f t="shared" si="14"/>
        <v>450014022310</v>
      </c>
      <c r="D910" s="3" t="s">
        <v>865</v>
      </c>
      <c r="F910" s="3"/>
      <c r="G910" s="3"/>
      <c r="H910" s="3"/>
      <c r="I910" s="8"/>
      <c r="J910" s="3"/>
    </row>
    <row r="911" spans="1:10" x14ac:dyDescent="0.3">
      <c r="A911" s="3" t="s">
        <v>979</v>
      </c>
      <c r="B911" s="3" t="s">
        <v>33</v>
      </c>
      <c r="C911" s="3" t="str">
        <f t="shared" si="14"/>
        <v>450014036610</v>
      </c>
      <c r="D911" s="3" t="s">
        <v>860</v>
      </c>
      <c r="F911" s="3"/>
      <c r="G911" s="3"/>
      <c r="H911" s="3"/>
      <c r="I911" s="8"/>
      <c r="J911" s="3"/>
    </row>
    <row r="912" spans="1:10" x14ac:dyDescent="0.3">
      <c r="A912" s="3" t="s">
        <v>933</v>
      </c>
      <c r="B912" s="3" t="s">
        <v>33</v>
      </c>
      <c r="C912" s="3" t="str">
        <f t="shared" si="14"/>
        <v>450014025710</v>
      </c>
      <c r="D912" s="3" t="s">
        <v>873</v>
      </c>
      <c r="F912" s="3"/>
      <c r="G912" s="3"/>
      <c r="H912" s="3"/>
      <c r="I912" s="8"/>
      <c r="J912" s="3"/>
    </row>
    <row r="913" spans="1:10" x14ac:dyDescent="0.3">
      <c r="A913" s="3" t="s">
        <v>900</v>
      </c>
      <c r="B913" s="3" t="s">
        <v>33</v>
      </c>
      <c r="C913" s="3" t="str">
        <f t="shared" si="14"/>
        <v>450014034010</v>
      </c>
      <c r="D913" s="3" t="s">
        <v>865</v>
      </c>
      <c r="F913" s="3"/>
      <c r="G913" s="3"/>
      <c r="H913" s="3"/>
      <c r="I913" s="8"/>
      <c r="J913" s="3"/>
    </row>
    <row r="914" spans="1:10" x14ac:dyDescent="0.3">
      <c r="A914" s="3" t="s">
        <v>946</v>
      </c>
      <c r="B914" s="3" t="s">
        <v>33</v>
      </c>
      <c r="C914" s="3" t="str">
        <f t="shared" si="14"/>
        <v>450014040410</v>
      </c>
      <c r="D914" s="3" t="s">
        <v>860</v>
      </c>
      <c r="F914" s="3"/>
      <c r="G914" s="3"/>
      <c r="H914" s="3"/>
      <c r="I914" s="8"/>
      <c r="J914" s="3"/>
    </row>
    <row r="915" spans="1:10" x14ac:dyDescent="0.3">
      <c r="A915" s="3" t="s">
        <v>893</v>
      </c>
      <c r="B915" s="3" t="s">
        <v>33</v>
      </c>
      <c r="C915" s="3" t="str">
        <f t="shared" si="14"/>
        <v>450014043910</v>
      </c>
      <c r="D915" s="3" t="s">
        <v>881</v>
      </c>
      <c r="F915" s="3"/>
      <c r="G915" s="3"/>
      <c r="H915" s="3"/>
      <c r="I915" s="8"/>
      <c r="J915" s="3"/>
    </row>
    <row r="916" spans="1:10" x14ac:dyDescent="0.3">
      <c r="A916" s="3" t="s">
        <v>946</v>
      </c>
      <c r="B916" s="3" t="s">
        <v>20</v>
      </c>
      <c r="C916" s="3" t="str">
        <f t="shared" si="14"/>
        <v>450014040420</v>
      </c>
      <c r="D916" s="3" t="s">
        <v>860</v>
      </c>
      <c r="F916" s="3"/>
      <c r="G916" s="3"/>
      <c r="H916" s="3"/>
      <c r="I916" s="8"/>
      <c r="J916" s="3"/>
    </row>
    <row r="917" spans="1:10" x14ac:dyDescent="0.3">
      <c r="A917" s="3" t="s">
        <v>946</v>
      </c>
      <c r="B917" s="3" t="s">
        <v>21</v>
      </c>
      <c r="C917" s="3" t="str">
        <f t="shared" si="14"/>
        <v>450014040430</v>
      </c>
      <c r="D917" s="3" t="s">
        <v>860</v>
      </c>
      <c r="F917" s="3"/>
      <c r="G917" s="3"/>
      <c r="H917" s="3"/>
      <c r="I917" s="8"/>
      <c r="J917" s="3"/>
    </row>
    <row r="918" spans="1:10" x14ac:dyDescent="0.3">
      <c r="A918" s="3" t="s">
        <v>975</v>
      </c>
      <c r="B918" s="3" t="s">
        <v>33</v>
      </c>
      <c r="C918" s="3" t="str">
        <f t="shared" si="14"/>
        <v>450014040210</v>
      </c>
      <c r="D918" s="3" t="s">
        <v>860</v>
      </c>
      <c r="F918" s="3"/>
      <c r="G918" s="3"/>
      <c r="H918" s="3"/>
      <c r="I918" s="8"/>
      <c r="J918" s="3"/>
    </row>
    <row r="919" spans="1:10" x14ac:dyDescent="0.3">
      <c r="A919" s="3" t="s">
        <v>975</v>
      </c>
      <c r="B919" s="3" t="s">
        <v>20</v>
      </c>
      <c r="C919" s="3" t="str">
        <f t="shared" si="14"/>
        <v>450014040220</v>
      </c>
      <c r="D919" s="3" t="s">
        <v>860</v>
      </c>
      <c r="F919" s="3"/>
      <c r="G919" s="3"/>
      <c r="H919" s="3"/>
      <c r="I919" s="8"/>
      <c r="J919" s="3"/>
    </row>
    <row r="920" spans="1:10" x14ac:dyDescent="0.3">
      <c r="A920" s="3" t="s">
        <v>975</v>
      </c>
      <c r="B920" s="3" t="s">
        <v>21</v>
      </c>
      <c r="C920" s="3" t="str">
        <f t="shared" si="14"/>
        <v>450014040230</v>
      </c>
      <c r="D920" s="3" t="s">
        <v>860</v>
      </c>
      <c r="F920" s="3"/>
      <c r="G920" s="3"/>
      <c r="H920" s="3"/>
      <c r="I920" s="8"/>
      <c r="J920" s="3"/>
    </row>
    <row r="921" spans="1:10" x14ac:dyDescent="0.3">
      <c r="A921" s="3" t="s">
        <v>899</v>
      </c>
      <c r="B921" s="3" t="s">
        <v>33</v>
      </c>
      <c r="C921" s="3" t="str">
        <f t="shared" si="14"/>
        <v>450014026610</v>
      </c>
      <c r="D921" s="3" t="s">
        <v>860</v>
      </c>
      <c r="F921" s="3"/>
      <c r="G921" s="3"/>
      <c r="H921" s="3"/>
      <c r="I921" s="8"/>
      <c r="J921" s="3"/>
    </row>
    <row r="922" spans="1:10" x14ac:dyDescent="0.3">
      <c r="A922" s="3" t="s">
        <v>962</v>
      </c>
      <c r="B922" s="3" t="s">
        <v>33</v>
      </c>
      <c r="C922" s="3" t="str">
        <f t="shared" si="14"/>
        <v>450014026810</v>
      </c>
      <c r="D922" s="3" t="s">
        <v>860</v>
      </c>
      <c r="F922" s="3"/>
      <c r="G922" s="3"/>
      <c r="H922" s="3"/>
      <c r="I922" s="8"/>
      <c r="J922" s="3"/>
    </row>
    <row r="923" spans="1:10" x14ac:dyDescent="0.3">
      <c r="A923" s="3" t="s">
        <v>889</v>
      </c>
      <c r="B923" s="3" t="s">
        <v>33</v>
      </c>
      <c r="C923" s="3" t="str">
        <f t="shared" si="14"/>
        <v>450014042410</v>
      </c>
      <c r="D923" s="3" t="s">
        <v>881</v>
      </c>
      <c r="F923" s="3"/>
      <c r="G923" s="3"/>
      <c r="H923" s="3"/>
      <c r="I923" s="8"/>
      <c r="J923" s="3"/>
    </row>
    <row r="924" spans="1:10" x14ac:dyDescent="0.3">
      <c r="A924" s="3" t="s">
        <v>954</v>
      </c>
      <c r="B924" s="3" t="s">
        <v>33</v>
      </c>
      <c r="C924" s="3" t="str">
        <f t="shared" si="14"/>
        <v>450014043610</v>
      </c>
      <c r="D924" s="3" t="s">
        <v>1013</v>
      </c>
      <c r="F924" s="3"/>
      <c r="G924" s="3"/>
      <c r="H924" s="3"/>
      <c r="I924" s="8"/>
      <c r="J924" s="3"/>
    </row>
    <row r="925" spans="1:10" x14ac:dyDescent="0.3">
      <c r="A925" s="3" t="s">
        <v>891</v>
      </c>
      <c r="B925" s="3" t="s">
        <v>33</v>
      </c>
      <c r="C925" s="3" t="str">
        <f t="shared" si="14"/>
        <v>450014043710</v>
      </c>
      <c r="D925" s="3" t="s">
        <v>1013</v>
      </c>
      <c r="F925" s="3"/>
      <c r="G925" s="3"/>
      <c r="H925" s="3"/>
      <c r="I925" s="8"/>
      <c r="J925" s="3"/>
    </row>
    <row r="926" spans="1:10" x14ac:dyDescent="0.3">
      <c r="A926" s="3" t="s">
        <v>891</v>
      </c>
      <c r="B926" s="3" t="s">
        <v>33</v>
      </c>
      <c r="C926" s="3" t="str">
        <f t="shared" si="14"/>
        <v>450014043710</v>
      </c>
      <c r="D926" s="3" t="s">
        <v>1013</v>
      </c>
      <c r="F926" s="3"/>
      <c r="G926" s="3"/>
      <c r="H926" s="3"/>
      <c r="I926" s="8"/>
      <c r="J926" s="3"/>
    </row>
    <row r="927" spans="1:10" x14ac:dyDescent="0.3">
      <c r="A927" s="3" t="s">
        <v>895</v>
      </c>
      <c r="B927" s="3" t="s">
        <v>33</v>
      </c>
      <c r="C927" s="3" t="str">
        <f t="shared" si="14"/>
        <v>450014047410</v>
      </c>
      <c r="D927" s="3" t="s">
        <v>1014</v>
      </c>
      <c r="F927" s="3"/>
      <c r="G927" s="3"/>
      <c r="H927" s="3"/>
      <c r="I927" s="8"/>
      <c r="J927" s="3"/>
    </row>
    <row r="928" spans="1:10" x14ac:dyDescent="0.3">
      <c r="A928" s="3" t="s">
        <v>1029</v>
      </c>
      <c r="B928" s="3" t="s">
        <v>33</v>
      </c>
      <c r="C928" s="3" t="str">
        <f t="shared" si="14"/>
        <v>450011406310</v>
      </c>
      <c r="D928" s="3" t="s">
        <v>873</v>
      </c>
    </row>
    <row r="929" spans="1:4" x14ac:dyDescent="0.3">
      <c r="A929" s="3" t="s">
        <v>1030</v>
      </c>
      <c r="B929" s="3" t="s">
        <v>33</v>
      </c>
      <c r="C929" s="3" t="str">
        <f t="shared" si="14"/>
        <v>450011864810</v>
      </c>
      <c r="D929" s="3" t="s">
        <v>859</v>
      </c>
    </row>
    <row r="930" spans="1:4" x14ac:dyDescent="0.3">
      <c r="A930" s="3" t="s">
        <v>1049</v>
      </c>
      <c r="B930" s="3" t="s">
        <v>33</v>
      </c>
      <c r="C930" s="3" t="str">
        <f t="shared" si="14"/>
        <v>450013735910</v>
      </c>
      <c r="D930" s="3" t="s">
        <v>872</v>
      </c>
    </row>
    <row r="931" spans="1:4" x14ac:dyDescent="0.3">
      <c r="A931" s="3" t="s">
        <v>1034</v>
      </c>
      <c r="B931" s="3" t="s">
        <v>21</v>
      </c>
      <c r="C931" s="3" t="str">
        <f t="shared" si="14"/>
        <v>450013519130</v>
      </c>
      <c r="D931" s="3" t="s">
        <v>861</v>
      </c>
    </row>
    <row r="932" spans="1:4" x14ac:dyDescent="0.3">
      <c r="A932" s="3" t="s">
        <v>1031</v>
      </c>
      <c r="B932" s="3" t="s">
        <v>33</v>
      </c>
      <c r="C932" s="3" t="str">
        <f t="shared" si="14"/>
        <v>450013627610</v>
      </c>
      <c r="D932" s="3" t="s">
        <v>881</v>
      </c>
    </row>
    <row r="933" spans="1:4" x14ac:dyDescent="0.3">
      <c r="A933" s="3" t="s">
        <v>1027</v>
      </c>
      <c r="B933" s="3" t="s">
        <v>33</v>
      </c>
      <c r="C933" s="3" t="str">
        <f t="shared" si="14"/>
        <v>450013742710</v>
      </c>
      <c r="D933" s="3" t="s">
        <v>873</v>
      </c>
    </row>
    <row r="934" spans="1:4" x14ac:dyDescent="0.3">
      <c r="A934" s="3" t="s">
        <v>1044</v>
      </c>
      <c r="B934" s="3" t="s">
        <v>21</v>
      </c>
      <c r="C934" s="3" t="str">
        <f t="shared" si="14"/>
        <v>450013683830</v>
      </c>
      <c r="D934" s="3" t="s">
        <v>861</v>
      </c>
    </row>
    <row r="935" spans="1:4" x14ac:dyDescent="0.3">
      <c r="A935" s="3" t="s">
        <v>1044</v>
      </c>
      <c r="B935" s="3" t="s">
        <v>25</v>
      </c>
      <c r="C935" s="3" t="str">
        <f t="shared" si="14"/>
        <v>450013683840</v>
      </c>
      <c r="D935" s="3" t="s">
        <v>861</v>
      </c>
    </row>
    <row r="936" spans="1:4" x14ac:dyDescent="0.3">
      <c r="A936" s="3" t="s">
        <v>1044</v>
      </c>
      <c r="B936" s="3" t="s">
        <v>22</v>
      </c>
      <c r="C936" s="3" t="str">
        <f t="shared" si="14"/>
        <v>450013683850</v>
      </c>
      <c r="D936" s="3" t="s">
        <v>861</v>
      </c>
    </row>
    <row r="937" spans="1:4" x14ac:dyDescent="0.3">
      <c r="A937" s="3" t="s">
        <v>1036</v>
      </c>
      <c r="B937" s="3" t="s">
        <v>20</v>
      </c>
      <c r="C937" s="3" t="str">
        <f t="shared" si="14"/>
        <v>450013901720</v>
      </c>
      <c r="D937" s="3" t="s">
        <v>861</v>
      </c>
    </row>
    <row r="938" spans="1:4" x14ac:dyDescent="0.3">
      <c r="A938" s="3" t="s">
        <v>1036</v>
      </c>
      <c r="B938" s="3" t="s">
        <v>21</v>
      </c>
      <c r="C938" s="3" t="str">
        <f t="shared" si="14"/>
        <v>450013901730</v>
      </c>
      <c r="D938" s="3" t="s">
        <v>861</v>
      </c>
    </row>
    <row r="939" spans="1:4" x14ac:dyDescent="0.3">
      <c r="A939" s="3" t="s">
        <v>1036</v>
      </c>
      <c r="B939" s="3" t="s">
        <v>25</v>
      </c>
      <c r="C939" s="3" t="str">
        <f t="shared" si="14"/>
        <v>450013901740</v>
      </c>
      <c r="D939" s="3" t="s">
        <v>861</v>
      </c>
    </row>
    <row r="940" spans="1:4" x14ac:dyDescent="0.3">
      <c r="A940" s="3" t="s">
        <v>1053</v>
      </c>
      <c r="B940" s="3" t="s">
        <v>23</v>
      </c>
      <c r="C940" s="3" t="str">
        <f t="shared" si="14"/>
        <v>450014011160</v>
      </c>
      <c r="D940" s="3" t="s">
        <v>872</v>
      </c>
    </row>
    <row r="941" spans="1:4" x14ac:dyDescent="0.3">
      <c r="A941" s="3" t="s">
        <v>1055</v>
      </c>
      <c r="B941" s="3" t="s">
        <v>23</v>
      </c>
      <c r="C941" s="3" t="str">
        <f t="shared" si="14"/>
        <v>450014002960</v>
      </c>
      <c r="D941" s="3" t="s">
        <v>872</v>
      </c>
    </row>
    <row r="942" spans="1:4" x14ac:dyDescent="0.3">
      <c r="A942" s="3" t="s">
        <v>1055</v>
      </c>
      <c r="B942" s="3" t="s">
        <v>24</v>
      </c>
      <c r="C942" s="3" t="str">
        <f t="shared" si="14"/>
        <v>450014002970</v>
      </c>
      <c r="D942" s="3" t="s">
        <v>872</v>
      </c>
    </row>
    <row r="943" spans="1:4" x14ac:dyDescent="0.3">
      <c r="A943" s="3" t="s">
        <v>1053</v>
      </c>
      <c r="B943" s="3" t="s">
        <v>24</v>
      </c>
      <c r="C943" s="3" t="str">
        <f t="shared" si="14"/>
        <v>450014011170</v>
      </c>
      <c r="D943" s="3" t="s">
        <v>872</v>
      </c>
    </row>
    <row r="944" spans="1:4" x14ac:dyDescent="0.3">
      <c r="A944" s="3" t="s">
        <v>1053</v>
      </c>
      <c r="B944" s="3" t="s">
        <v>321</v>
      </c>
      <c r="C944" s="3" t="str">
        <f t="shared" si="14"/>
        <v>450014011180</v>
      </c>
      <c r="D944" s="3" t="s">
        <v>872</v>
      </c>
    </row>
    <row r="945" spans="1:4" x14ac:dyDescent="0.3">
      <c r="A945" s="3" t="s">
        <v>1055</v>
      </c>
      <c r="B945" s="3" t="s">
        <v>33</v>
      </c>
      <c r="C945" s="3" t="str">
        <f t="shared" si="14"/>
        <v>450014002910</v>
      </c>
      <c r="D945" s="3" t="s">
        <v>872</v>
      </c>
    </row>
    <row r="946" spans="1:4" x14ac:dyDescent="0.3">
      <c r="A946" s="3" t="s">
        <v>1053</v>
      </c>
      <c r="B946" s="3" t="s">
        <v>33</v>
      </c>
      <c r="C946" s="3" t="str">
        <f t="shared" si="14"/>
        <v>450014011110</v>
      </c>
      <c r="D946" s="3" t="s">
        <v>872</v>
      </c>
    </row>
    <row r="947" spans="1:4" x14ac:dyDescent="0.3">
      <c r="A947" s="3" t="s">
        <v>1055</v>
      </c>
      <c r="B947" s="3" t="s">
        <v>20</v>
      </c>
      <c r="C947" s="3" t="str">
        <f t="shared" si="14"/>
        <v>450014002920</v>
      </c>
      <c r="D947" s="3" t="s">
        <v>872</v>
      </c>
    </row>
    <row r="948" spans="1:4" x14ac:dyDescent="0.3">
      <c r="A948" s="3" t="s">
        <v>1055</v>
      </c>
      <c r="B948" s="3" t="s">
        <v>21</v>
      </c>
      <c r="C948" s="3" t="str">
        <f t="shared" si="14"/>
        <v>450014002930</v>
      </c>
      <c r="D948" s="3" t="s">
        <v>872</v>
      </c>
    </row>
    <row r="949" spans="1:4" x14ac:dyDescent="0.3">
      <c r="A949" s="3" t="s">
        <v>1055</v>
      </c>
      <c r="B949" s="3" t="s">
        <v>25</v>
      </c>
      <c r="C949" s="3" t="str">
        <f t="shared" si="14"/>
        <v>450014002940</v>
      </c>
      <c r="D949" s="3" t="s">
        <v>872</v>
      </c>
    </row>
    <row r="950" spans="1:4" x14ac:dyDescent="0.3">
      <c r="A950" s="3" t="s">
        <v>1053</v>
      </c>
      <c r="B950" s="3" t="s">
        <v>20</v>
      </c>
      <c r="C950" s="3" t="str">
        <f t="shared" si="14"/>
        <v>450014011120</v>
      </c>
      <c r="D950" s="3" t="s">
        <v>872</v>
      </c>
    </row>
    <row r="951" spans="1:4" x14ac:dyDescent="0.3">
      <c r="A951" s="3" t="s">
        <v>1053</v>
      </c>
      <c r="B951" s="3" t="s">
        <v>21</v>
      </c>
      <c r="C951" s="3" t="str">
        <f t="shared" si="14"/>
        <v>450014011130</v>
      </c>
      <c r="D951" s="3" t="s">
        <v>872</v>
      </c>
    </row>
    <row r="952" spans="1:4" x14ac:dyDescent="0.3">
      <c r="A952" s="3" t="s">
        <v>1055</v>
      </c>
      <c r="B952" s="3" t="s">
        <v>22</v>
      </c>
      <c r="C952" s="3" t="str">
        <f t="shared" si="14"/>
        <v>450014002950</v>
      </c>
      <c r="D952" s="3" t="s">
        <v>872</v>
      </c>
    </row>
    <row r="953" spans="1:4" x14ac:dyDescent="0.3">
      <c r="A953" s="3" t="s">
        <v>1053</v>
      </c>
      <c r="B953" s="3" t="s">
        <v>25</v>
      </c>
      <c r="C953" s="3" t="str">
        <f t="shared" si="14"/>
        <v>450014011140</v>
      </c>
      <c r="D953" s="3" t="s">
        <v>872</v>
      </c>
    </row>
    <row r="954" spans="1:4" x14ac:dyDescent="0.3">
      <c r="A954" s="3" t="s">
        <v>1053</v>
      </c>
      <c r="B954" s="3" t="s">
        <v>22</v>
      </c>
      <c r="C954" s="3" t="str">
        <f t="shared" si="14"/>
        <v>450014011150</v>
      </c>
      <c r="D954" s="3" t="s">
        <v>872</v>
      </c>
    </row>
    <row r="955" spans="1:4" x14ac:dyDescent="0.3">
      <c r="A955" s="3" t="s">
        <v>1018</v>
      </c>
      <c r="B955" s="3" t="s">
        <v>33</v>
      </c>
      <c r="C955" s="3" t="str">
        <f t="shared" si="14"/>
        <v>450014052210</v>
      </c>
      <c r="D955" s="3" t="s">
        <v>879</v>
      </c>
    </row>
    <row r="956" spans="1:4" x14ac:dyDescent="0.3">
      <c r="A956" s="3" t="s">
        <v>1028</v>
      </c>
      <c r="B956" s="3" t="s">
        <v>33</v>
      </c>
      <c r="C956" s="3" t="str">
        <f t="shared" si="14"/>
        <v>450014012710</v>
      </c>
      <c r="D956" s="3" t="s">
        <v>863</v>
      </c>
    </row>
    <row r="957" spans="1:4" x14ac:dyDescent="0.3">
      <c r="A957" s="3" t="s">
        <v>1024</v>
      </c>
      <c r="B957" s="3" t="s">
        <v>33</v>
      </c>
      <c r="C957" s="3" t="str">
        <f t="shared" ref="C957:C1020" si="15">_xlfn.CONCAT(A957:B957)</f>
        <v>450014011810</v>
      </c>
      <c r="D957" s="3" t="s">
        <v>865</v>
      </c>
    </row>
    <row r="958" spans="1:4" x14ac:dyDescent="0.3">
      <c r="A958" s="3" t="s">
        <v>1024</v>
      </c>
      <c r="B958" s="3" t="s">
        <v>20</v>
      </c>
      <c r="C958" s="3" t="str">
        <f t="shared" si="15"/>
        <v>450014011820</v>
      </c>
      <c r="D958" s="3" t="s">
        <v>865</v>
      </c>
    </row>
    <row r="959" spans="1:4" x14ac:dyDescent="0.3">
      <c r="A959" s="3" t="s">
        <v>1022</v>
      </c>
      <c r="B959" s="3" t="s">
        <v>25</v>
      </c>
      <c r="C959" s="3" t="str">
        <f t="shared" si="15"/>
        <v>450014057040</v>
      </c>
      <c r="D959" s="3" t="s">
        <v>860</v>
      </c>
    </row>
    <row r="960" spans="1:4" x14ac:dyDescent="0.3">
      <c r="A960" s="3" t="s">
        <v>1045</v>
      </c>
      <c r="B960" s="3" t="s">
        <v>25</v>
      </c>
      <c r="C960" s="3" t="str">
        <f t="shared" si="15"/>
        <v>450014057640</v>
      </c>
      <c r="D960" s="3" t="s">
        <v>860</v>
      </c>
    </row>
    <row r="961" spans="1:4" x14ac:dyDescent="0.3">
      <c r="A961" s="3" t="s">
        <v>1022</v>
      </c>
      <c r="B961" s="3" t="s">
        <v>21</v>
      </c>
      <c r="C961" s="3" t="str">
        <f t="shared" si="15"/>
        <v>450014057030</v>
      </c>
      <c r="D961" s="3" t="s">
        <v>860</v>
      </c>
    </row>
    <row r="962" spans="1:4" x14ac:dyDescent="0.3">
      <c r="A962" s="3" t="s">
        <v>1054</v>
      </c>
      <c r="B962" s="3" t="s">
        <v>33</v>
      </c>
      <c r="C962" s="3" t="str">
        <f t="shared" si="15"/>
        <v>450013570210</v>
      </c>
      <c r="D962" s="3" t="s">
        <v>863</v>
      </c>
    </row>
    <row r="963" spans="1:4" x14ac:dyDescent="0.3">
      <c r="A963" s="3" t="s">
        <v>1034</v>
      </c>
      <c r="B963" s="3" t="s">
        <v>20</v>
      </c>
      <c r="C963" s="3" t="str">
        <f t="shared" si="15"/>
        <v>450013519120</v>
      </c>
      <c r="D963" s="3" t="s">
        <v>861</v>
      </c>
    </row>
    <row r="964" spans="1:4" x14ac:dyDescent="0.3">
      <c r="A964" s="3" t="s">
        <v>1034</v>
      </c>
      <c r="B964" s="3" t="s">
        <v>33</v>
      </c>
      <c r="C964" s="3" t="str">
        <f t="shared" si="15"/>
        <v>450013519110</v>
      </c>
      <c r="D964" s="3" t="s">
        <v>861</v>
      </c>
    </row>
    <row r="965" spans="1:4" x14ac:dyDescent="0.3">
      <c r="A965" s="3" t="s">
        <v>1032</v>
      </c>
      <c r="B965" s="3" t="s">
        <v>33</v>
      </c>
      <c r="C965" s="3" t="str">
        <f t="shared" si="15"/>
        <v>450013534710</v>
      </c>
      <c r="D965" s="3" t="s">
        <v>861</v>
      </c>
    </row>
    <row r="966" spans="1:4" x14ac:dyDescent="0.3">
      <c r="A966" s="3" t="s">
        <v>1023</v>
      </c>
      <c r="B966" s="3" t="s">
        <v>33</v>
      </c>
      <c r="C966" s="3" t="str">
        <f t="shared" si="15"/>
        <v>450014056810</v>
      </c>
      <c r="D966" s="3" t="s">
        <v>881</v>
      </c>
    </row>
    <row r="967" spans="1:4" x14ac:dyDescent="0.3">
      <c r="A967" s="3" t="s">
        <v>1036</v>
      </c>
      <c r="B967" s="3" t="s">
        <v>33</v>
      </c>
      <c r="C967" s="3" t="str">
        <f t="shared" si="15"/>
        <v>450013901710</v>
      </c>
      <c r="D967" s="3" t="s">
        <v>861</v>
      </c>
    </row>
    <row r="968" spans="1:4" x14ac:dyDescent="0.3">
      <c r="A968" s="3" t="s">
        <v>1051</v>
      </c>
      <c r="B968" s="3" t="s">
        <v>33</v>
      </c>
      <c r="C968" s="3" t="str">
        <f t="shared" si="15"/>
        <v>450013957610</v>
      </c>
      <c r="D968" s="3" t="s">
        <v>872</v>
      </c>
    </row>
    <row r="969" spans="1:4" x14ac:dyDescent="0.3">
      <c r="A969" s="3" t="s">
        <v>1017</v>
      </c>
      <c r="B969" s="3" t="s">
        <v>20</v>
      </c>
      <c r="C969" s="3" t="str">
        <f t="shared" si="15"/>
        <v>450013942020</v>
      </c>
      <c r="D969" s="3" t="s">
        <v>867</v>
      </c>
    </row>
    <row r="970" spans="1:4" x14ac:dyDescent="0.3">
      <c r="A970" s="3" t="s">
        <v>1017</v>
      </c>
      <c r="B970" s="3" t="s">
        <v>33</v>
      </c>
      <c r="C970" s="3" t="str">
        <f t="shared" si="15"/>
        <v>450013942010</v>
      </c>
      <c r="D970" s="3" t="s">
        <v>867</v>
      </c>
    </row>
    <row r="971" spans="1:4" x14ac:dyDescent="0.3">
      <c r="A971" s="3" t="s">
        <v>1041</v>
      </c>
      <c r="B971" s="3" t="s">
        <v>21</v>
      </c>
      <c r="C971" s="3" t="str">
        <f t="shared" si="15"/>
        <v>450013971330</v>
      </c>
      <c r="D971" s="3" t="s">
        <v>863</v>
      </c>
    </row>
    <row r="972" spans="1:4" x14ac:dyDescent="0.3">
      <c r="A972" s="3" t="s">
        <v>1026</v>
      </c>
      <c r="B972" s="3" t="s">
        <v>21</v>
      </c>
      <c r="C972" s="3" t="str">
        <f t="shared" si="15"/>
        <v>450014058230</v>
      </c>
      <c r="D972" s="3" t="s">
        <v>860</v>
      </c>
    </row>
    <row r="973" spans="1:4" x14ac:dyDescent="0.3">
      <c r="A973" s="3" t="s">
        <v>1026</v>
      </c>
      <c r="B973" s="3" t="s">
        <v>25</v>
      </c>
      <c r="C973" s="3" t="str">
        <f t="shared" si="15"/>
        <v>450014058240</v>
      </c>
      <c r="D973" s="3" t="s">
        <v>860</v>
      </c>
    </row>
    <row r="974" spans="1:4" x14ac:dyDescent="0.3">
      <c r="A974" s="3" t="s">
        <v>1035</v>
      </c>
      <c r="B974" s="3" t="s">
        <v>33</v>
      </c>
      <c r="C974" s="3" t="str">
        <f t="shared" si="15"/>
        <v>450014052310</v>
      </c>
      <c r="D974" s="3" t="s">
        <v>879</v>
      </c>
    </row>
    <row r="975" spans="1:4" x14ac:dyDescent="0.3">
      <c r="A975" s="3" t="s">
        <v>1041</v>
      </c>
      <c r="B975" s="3" t="s">
        <v>20</v>
      </c>
      <c r="C975" s="3" t="str">
        <f t="shared" si="15"/>
        <v>450013971320</v>
      </c>
      <c r="D975" s="3" t="s">
        <v>863</v>
      </c>
    </row>
    <row r="976" spans="1:4" x14ac:dyDescent="0.3">
      <c r="A976" s="3" t="s">
        <v>1041</v>
      </c>
      <c r="B976" s="3" t="s">
        <v>33</v>
      </c>
      <c r="C976" s="3" t="str">
        <f t="shared" si="15"/>
        <v>450013971310</v>
      </c>
      <c r="D976" s="3" t="s">
        <v>863</v>
      </c>
    </row>
    <row r="977" spans="1:4" x14ac:dyDescent="0.3">
      <c r="A977" s="3" t="s">
        <v>1050</v>
      </c>
      <c r="B977" s="3" t="s">
        <v>33</v>
      </c>
      <c r="C977" s="3" t="str">
        <f t="shared" si="15"/>
        <v>450014066610</v>
      </c>
      <c r="D977" s="3" t="s">
        <v>860</v>
      </c>
    </row>
    <row r="978" spans="1:4" x14ac:dyDescent="0.3">
      <c r="A978" s="3" t="s">
        <v>1019</v>
      </c>
      <c r="B978" s="3" t="s">
        <v>33</v>
      </c>
      <c r="C978" s="3" t="str">
        <f t="shared" si="15"/>
        <v>450014039910</v>
      </c>
      <c r="D978" s="3" t="s">
        <v>860</v>
      </c>
    </row>
    <row r="979" spans="1:4" x14ac:dyDescent="0.3">
      <c r="A979" s="3" t="s">
        <v>1019</v>
      </c>
      <c r="B979" s="3" t="s">
        <v>20</v>
      </c>
      <c r="C979" s="3" t="str">
        <f t="shared" si="15"/>
        <v>450014039920</v>
      </c>
      <c r="D979" s="3" t="s">
        <v>860</v>
      </c>
    </row>
    <row r="980" spans="1:4" x14ac:dyDescent="0.3">
      <c r="A980" s="3" t="s">
        <v>1038</v>
      </c>
      <c r="B980" s="3" t="s">
        <v>33</v>
      </c>
      <c r="C980" s="3" t="str">
        <f t="shared" si="15"/>
        <v>450014052510</v>
      </c>
      <c r="D980" s="3" t="s">
        <v>879</v>
      </c>
    </row>
    <row r="981" spans="1:4" x14ac:dyDescent="0.3">
      <c r="A981" s="3" t="s">
        <v>1039</v>
      </c>
      <c r="B981" s="3" t="s">
        <v>33</v>
      </c>
      <c r="C981" s="3" t="str">
        <f t="shared" si="15"/>
        <v>450014052710</v>
      </c>
      <c r="D981" s="3" t="s">
        <v>879</v>
      </c>
    </row>
    <row r="982" spans="1:4" x14ac:dyDescent="0.3">
      <c r="A982" s="3" t="s">
        <v>1039</v>
      </c>
      <c r="B982" s="3" t="s">
        <v>20</v>
      </c>
      <c r="C982" s="3" t="str">
        <f t="shared" si="15"/>
        <v>450014052720</v>
      </c>
      <c r="D982" s="3" t="s">
        <v>879</v>
      </c>
    </row>
    <row r="983" spans="1:4" x14ac:dyDescent="0.3">
      <c r="A983" s="3" t="s">
        <v>1037</v>
      </c>
      <c r="B983" s="3" t="s">
        <v>33</v>
      </c>
      <c r="C983" s="3" t="str">
        <f t="shared" si="15"/>
        <v>450014052610</v>
      </c>
      <c r="D983" s="3" t="s">
        <v>879</v>
      </c>
    </row>
    <row r="984" spans="1:4" x14ac:dyDescent="0.3">
      <c r="A984" s="3" t="s">
        <v>1037</v>
      </c>
      <c r="B984" s="3" t="s">
        <v>20</v>
      </c>
      <c r="C984" s="3" t="str">
        <f t="shared" si="15"/>
        <v>450014052620</v>
      </c>
      <c r="D984" s="3" t="s">
        <v>879</v>
      </c>
    </row>
    <row r="985" spans="1:4" x14ac:dyDescent="0.3">
      <c r="A985" s="3" t="s">
        <v>1052</v>
      </c>
      <c r="B985" s="3" t="s">
        <v>33</v>
      </c>
      <c r="C985" s="3" t="str">
        <f t="shared" si="15"/>
        <v>450014025310</v>
      </c>
      <c r="D985" s="3" t="s">
        <v>860</v>
      </c>
    </row>
    <row r="986" spans="1:4" x14ac:dyDescent="0.3">
      <c r="A986" s="3" t="s">
        <v>1025</v>
      </c>
      <c r="B986" s="3" t="s">
        <v>33</v>
      </c>
      <c r="C986" s="3" t="str">
        <f t="shared" si="15"/>
        <v>450014057410</v>
      </c>
      <c r="D986" s="3" t="s">
        <v>879</v>
      </c>
    </row>
    <row r="987" spans="1:4" x14ac:dyDescent="0.3">
      <c r="A987" s="3" t="s">
        <v>1033</v>
      </c>
      <c r="B987" s="3" t="s">
        <v>25</v>
      </c>
      <c r="C987" s="3" t="str">
        <f t="shared" si="15"/>
        <v>450014052840</v>
      </c>
      <c r="D987" s="3" t="s">
        <v>879</v>
      </c>
    </row>
    <row r="988" spans="1:4" x14ac:dyDescent="0.3">
      <c r="A988" s="3" t="s">
        <v>1033</v>
      </c>
      <c r="B988" s="3" t="s">
        <v>20</v>
      </c>
      <c r="C988" s="3" t="str">
        <f t="shared" si="15"/>
        <v>450014052820</v>
      </c>
      <c r="D988" s="3" t="s">
        <v>879</v>
      </c>
    </row>
    <row r="989" spans="1:4" x14ac:dyDescent="0.3">
      <c r="A989" s="3" t="s">
        <v>1045</v>
      </c>
      <c r="B989" s="3" t="s">
        <v>21</v>
      </c>
      <c r="C989" s="3" t="str">
        <f t="shared" si="15"/>
        <v>450014057630</v>
      </c>
      <c r="D989" s="3" t="s">
        <v>860</v>
      </c>
    </row>
    <row r="990" spans="1:4" x14ac:dyDescent="0.3">
      <c r="A990" s="3" t="s">
        <v>1015</v>
      </c>
      <c r="B990" s="3" t="s">
        <v>33</v>
      </c>
      <c r="C990" s="3" t="str">
        <f t="shared" si="15"/>
        <v>450014042610</v>
      </c>
      <c r="D990" s="3" t="s">
        <v>881</v>
      </c>
    </row>
    <row r="991" spans="1:4" x14ac:dyDescent="0.3">
      <c r="A991" s="3" t="s">
        <v>1026</v>
      </c>
      <c r="B991" s="3" t="s">
        <v>22</v>
      </c>
      <c r="C991" s="3" t="str">
        <f t="shared" si="15"/>
        <v>450014058250</v>
      </c>
      <c r="D991" s="3" t="s">
        <v>860</v>
      </c>
    </row>
    <row r="992" spans="1:4" x14ac:dyDescent="0.3">
      <c r="A992" s="3" t="s">
        <v>1026</v>
      </c>
      <c r="B992" s="3" t="s">
        <v>33</v>
      </c>
      <c r="C992" s="3" t="str">
        <f t="shared" si="15"/>
        <v>450014058210</v>
      </c>
      <c r="D992" s="3" t="s">
        <v>860</v>
      </c>
    </row>
    <row r="993" spans="1:4" x14ac:dyDescent="0.3">
      <c r="A993" s="3" t="s">
        <v>1026</v>
      </c>
      <c r="B993" s="3" t="s">
        <v>20</v>
      </c>
      <c r="C993" s="3" t="str">
        <f t="shared" si="15"/>
        <v>450014058220</v>
      </c>
      <c r="D993" s="3" t="s">
        <v>860</v>
      </c>
    </row>
    <row r="994" spans="1:4" x14ac:dyDescent="0.3">
      <c r="A994" s="3" t="s">
        <v>1045</v>
      </c>
      <c r="B994" s="3" t="s">
        <v>33</v>
      </c>
      <c r="C994" s="3" t="str">
        <f t="shared" si="15"/>
        <v>450014057610</v>
      </c>
      <c r="D994" s="3" t="s">
        <v>860</v>
      </c>
    </row>
    <row r="995" spans="1:4" x14ac:dyDescent="0.3">
      <c r="A995" s="3" t="s">
        <v>1045</v>
      </c>
      <c r="B995" s="3" t="s">
        <v>20</v>
      </c>
      <c r="C995" s="3" t="str">
        <f t="shared" si="15"/>
        <v>450014057620</v>
      </c>
      <c r="D995" s="3" t="s">
        <v>860</v>
      </c>
    </row>
    <row r="996" spans="1:4" x14ac:dyDescent="0.3">
      <c r="A996" s="3" t="s">
        <v>1022</v>
      </c>
      <c r="B996" s="3" t="s">
        <v>24</v>
      </c>
      <c r="C996" s="3" t="str">
        <f t="shared" si="15"/>
        <v>450014057070</v>
      </c>
      <c r="D996" s="3" t="s">
        <v>860</v>
      </c>
    </row>
    <row r="997" spans="1:4" x14ac:dyDescent="0.3">
      <c r="A997" s="3" t="s">
        <v>1021</v>
      </c>
      <c r="B997" s="3" t="s">
        <v>33</v>
      </c>
      <c r="C997" s="3" t="str">
        <f t="shared" si="15"/>
        <v>450014055910</v>
      </c>
      <c r="D997" s="3" t="s">
        <v>881</v>
      </c>
    </row>
    <row r="998" spans="1:4" x14ac:dyDescent="0.3">
      <c r="A998" s="3" t="s">
        <v>1020</v>
      </c>
      <c r="B998" s="3" t="s">
        <v>33</v>
      </c>
      <c r="C998" s="3" t="str">
        <f t="shared" si="15"/>
        <v>450014055510</v>
      </c>
      <c r="D998" s="3" t="s">
        <v>881</v>
      </c>
    </row>
    <row r="999" spans="1:4" x14ac:dyDescent="0.3">
      <c r="A999" s="3" t="s">
        <v>1046</v>
      </c>
      <c r="B999" s="3" t="s">
        <v>20</v>
      </c>
      <c r="C999" s="3" t="str">
        <f t="shared" si="15"/>
        <v>450014059720</v>
      </c>
      <c r="D999" s="3" t="s">
        <v>879</v>
      </c>
    </row>
    <row r="1000" spans="1:4" x14ac:dyDescent="0.3">
      <c r="A1000" s="3" t="s">
        <v>1047</v>
      </c>
      <c r="B1000" s="3" t="s">
        <v>33</v>
      </c>
      <c r="C1000" s="3" t="str">
        <f t="shared" si="15"/>
        <v>450014059810</v>
      </c>
      <c r="D1000" s="3" t="s">
        <v>879</v>
      </c>
    </row>
    <row r="1001" spans="1:4" x14ac:dyDescent="0.3">
      <c r="A1001" s="3" t="s">
        <v>1048</v>
      </c>
      <c r="B1001" s="3" t="s">
        <v>33</v>
      </c>
      <c r="C1001" s="3" t="str">
        <f t="shared" si="15"/>
        <v>450014059910</v>
      </c>
      <c r="D1001" s="3" t="s">
        <v>879</v>
      </c>
    </row>
    <row r="1002" spans="1:4" x14ac:dyDescent="0.3">
      <c r="A1002" s="3" t="s">
        <v>1043</v>
      </c>
      <c r="B1002" s="3" t="s">
        <v>33</v>
      </c>
      <c r="C1002" s="3" t="str">
        <f t="shared" si="15"/>
        <v>450014060510</v>
      </c>
      <c r="D1002" s="3" t="s">
        <v>879</v>
      </c>
    </row>
    <row r="1003" spans="1:4" x14ac:dyDescent="0.3">
      <c r="A1003" s="3" t="s">
        <v>1040</v>
      </c>
      <c r="B1003" s="3" t="s">
        <v>33</v>
      </c>
      <c r="C1003" s="3" t="str">
        <f t="shared" si="15"/>
        <v>450014060610</v>
      </c>
      <c r="D1003" s="3" t="s">
        <v>879</v>
      </c>
    </row>
    <row r="1004" spans="1:4" x14ac:dyDescent="0.3">
      <c r="A1004" s="3" t="s">
        <v>1042</v>
      </c>
      <c r="B1004" s="3" t="s">
        <v>20</v>
      </c>
      <c r="C1004" s="3" t="str">
        <f t="shared" si="15"/>
        <v>450014060920</v>
      </c>
      <c r="D1004" s="3" t="s">
        <v>879</v>
      </c>
    </row>
    <row r="1005" spans="1:4" x14ac:dyDescent="0.3">
      <c r="A1005" s="3" t="s">
        <v>1040</v>
      </c>
      <c r="B1005" s="3" t="s">
        <v>20</v>
      </c>
      <c r="C1005" s="3" t="str">
        <f t="shared" si="15"/>
        <v>450014060620</v>
      </c>
      <c r="D1005" s="3" t="s">
        <v>879</v>
      </c>
    </row>
    <row r="1006" spans="1:4" x14ac:dyDescent="0.3">
      <c r="A1006" s="3" t="s">
        <v>1022</v>
      </c>
      <c r="B1006" s="3" t="s">
        <v>33</v>
      </c>
      <c r="C1006" s="3" t="str">
        <f t="shared" si="15"/>
        <v>450014057010</v>
      </c>
      <c r="D1006" s="3" t="s">
        <v>860</v>
      </c>
    </row>
    <row r="1007" spans="1:4" x14ac:dyDescent="0.3">
      <c r="A1007" s="3" t="s">
        <v>1016</v>
      </c>
      <c r="B1007" s="3" t="s">
        <v>33</v>
      </c>
      <c r="C1007" s="3" t="str">
        <f t="shared" si="15"/>
        <v>450014040810</v>
      </c>
      <c r="D1007" s="3" t="s">
        <v>870</v>
      </c>
    </row>
    <row r="1008" spans="1:4" x14ac:dyDescent="0.3">
      <c r="A1008" s="3" t="s">
        <v>1016</v>
      </c>
      <c r="B1008" s="3" t="s">
        <v>33</v>
      </c>
      <c r="C1008" s="3" t="str">
        <f t="shared" si="15"/>
        <v>450014040810</v>
      </c>
      <c r="D1008" s="3" t="s">
        <v>870</v>
      </c>
    </row>
    <row r="1009" spans="1:4" x14ac:dyDescent="0.3">
      <c r="A1009" s="3" t="s">
        <v>1016</v>
      </c>
      <c r="B1009" s="3" t="s">
        <v>20</v>
      </c>
      <c r="C1009" s="3" t="str">
        <f t="shared" si="15"/>
        <v>450014040820</v>
      </c>
      <c r="D1009" s="3" t="s">
        <v>870</v>
      </c>
    </row>
    <row r="1010" spans="1:4" x14ac:dyDescent="0.3">
      <c r="A1010" s="3" t="s">
        <v>1016</v>
      </c>
      <c r="B1010" s="3" t="s">
        <v>20</v>
      </c>
      <c r="C1010" s="3" t="str">
        <f t="shared" si="15"/>
        <v>450014040820</v>
      </c>
      <c r="D1010" s="3" t="s">
        <v>870</v>
      </c>
    </row>
    <row r="1011" spans="1:4" x14ac:dyDescent="0.3">
      <c r="A1011" s="3" t="s">
        <v>1068</v>
      </c>
      <c r="B1011" s="3" t="s">
        <v>33</v>
      </c>
      <c r="C1011" s="3" t="str">
        <f t="shared" si="15"/>
        <v>450012367510</v>
      </c>
      <c r="D1011" s="3" t="s">
        <v>857</v>
      </c>
    </row>
    <row r="1012" spans="1:4" x14ac:dyDescent="0.3">
      <c r="A1012" s="3" t="s">
        <v>1061</v>
      </c>
      <c r="B1012" s="3" t="s">
        <v>33</v>
      </c>
      <c r="C1012" s="3" t="str">
        <f t="shared" si="15"/>
        <v>450012545210</v>
      </c>
      <c r="D1012" s="3" t="s">
        <v>857</v>
      </c>
    </row>
    <row r="1013" spans="1:4" x14ac:dyDescent="0.3">
      <c r="A1013" s="3" t="s">
        <v>1071</v>
      </c>
      <c r="B1013" s="3" t="s">
        <v>33</v>
      </c>
      <c r="C1013" s="3" t="str">
        <f t="shared" si="15"/>
        <v>450012524010</v>
      </c>
      <c r="D1013" s="3" t="s">
        <v>857</v>
      </c>
    </row>
    <row r="1014" spans="1:4" x14ac:dyDescent="0.3">
      <c r="A1014" s="3" t="s">
        <v>1192</v>
      </c>
      <c r="B1014" s="3" t="s">
        <v>33</v>
      </c>
      <c r="C1014" s="3" t="str">
        <f t="shared" si="15"/>
        <v>450012893710</v>
      </c>
      <c r="D1014" s="3" t="s">
        <v>857</v>
      </c>
    </row>
    <row r="1015" spans="1:4" x14ac:dyDescent="0.3">
      <c r="A1015" s="3" t="s">
        <v>1253</v>
      </c>
      <c r="B1015" s="3" t="s">
        <v>33</v>
      </c>
      <c r="C1015" s="3" t="str">
        <f t="shared" si="15"/>
        <v>450013092110</v>
      </c>
      <c r="D1015" s="3" t="s">
        <v>865</v>
      </c>
    </row>
    <row r="1016" spans="1:4" x14ac:dyDescent="0.3">
      <c r="A1016" s="3" t="s">
        <v>1067</v>
      </c>
      <c r="B1016" s="3" t="s">
        <v>33</v>
      </c>
      <c r="C1016" s="3" t="str">
        <f t="shared" si="15"/>
        <v>450013277310</v>
      </c>
      <c r="D1016" s="3" t="s">
        <v>859</v>
      </c>
    </row>
    <row r="1017" spans="1:4" x14ac:dyDescent="0.3">
      <c r="A1017" s="3" t="s">
        <v>1067</v>
      </c>
      <c r="B1017" s="3" t="s">
        <v>20</v>
      </c>
      <c r="C1017" s="3" t="str">
        <f t="shared" si="15"/>
        <v>450013277320</v>
      </c>
      <c r="D1017" s="3" t="s">
        <v>859</v>
      </c>
    </row>
    <row r="1018" spans="1:4" x14ac:dyDescent="0.3">
      <c r="A1018" s="3" t="s">
        <v>1125</v>
      </c>
      <c r="B1018" s="3" t="s">
        <v>33</v>
      </c>
      <c r="C1018" s="3" t="str">
        <f t="shared" si="15"/>
        <v>450013495310</v>
      </c>
      <c r="D1018" s="3" t="s">
        <v>872</v>
      </c>
    </row>
    <row r="1019" spans="1:4" x14ac:dyDescent="0.3">
      <c r="A1019" s="3" t="s">
        <v>1126</v>
      </c>
      <c r="B1019" s="3" t="s">
        <v>20</v>
      </c>
      <c r="C1019" s="3" t="str">
        <f t="shared" si="15"/>
        <v>450013473420</v>
      </c>
      <c r="D1019" s="3" t="s">
        <v>867</v>
      </c>
    </row>
    <row r="1020" spans="1:4" x14ac:dyDescent="0.3">
      <c r="A1020" s="3" t="s">
        <v>1126</v>
      </c>
      <c r="B1020" s="3" t="s">
        <v>21</v>
      </c>
      <c r="C1020" s="3" t="str">
        <f t="shared" si="15"/>
        <v>450013473430</v>
      </c>
      <c r="D1020" s="3" t="s">
        <v>867</v>
      </c>
    </row>
    <row r="1021" spans="1:4" x14ac:dyDescent="0.3">
      <c r="A1021" s="3" t="s">
        <v>1126</v>
      </c>
      <c r="B1021" s="3" t="s">
        <v>25</v>
      </c>
      <c r="C1021" s="3" t="str">
        <f t="shared" ref="C1021:C1084" si="16">_xlfn.CONCAT(A1021:B1021)</f>
        <v>450013473440</v>
      </c>
      <c r="D1021" s="3" t="s">
        <v>867</v>
      </c>
    </row>
    <row r="1022" spans="1:4" x14ac:dyDescent="0.3">
      <c r="A1022" s="3" t="s">
        <v>1126</v>
      </c>
      <c r="B1022" s="3" t="s">
        <v>22</v>
      </c>
      <c r="C1022" s="3" t="str">
        <f t="shared" si="16"/>
        <v>450013473450</v>
      </c>
      <c r="D1022" s="3" t="s">
        <v>867</v>
      </c>
    </row>
    <row r="1023" spans="1:4" x14ac:dyDescent="0.3">
      <c r="A1023" s="3" t="s">
        <v>1126</v>
      </c>
      <c r="B1023" s="3" t="s">
        <v>23</v>
      </c>
      <c r="C1023" s="3" t="str">
        <f t="shared" si="16"/>
        <v>450013473460</v>
      </c>
      <c r="D1023" s="3" t="s">
        <v>867</v>
      </c>
    </row>
    <row r="1024" spans="1:4" x14ac:dyDescent="0.3">
      <c r="A1024" s="3" t="s">
        <v>1225</v>
      </c>
      <c r="B1024" s="3" t="s">
        <v>33</v>
      </c>
      <c r="C1024" s="3" t="str">
        <f t="shared" si="16"/>
        <v>450013967910</v>
      </c>
      <c r="D1024" s="3" t="s">
        <v>872</v>
      </c>
    </row>
    <row r="1025" spans="1:4" x14ac:dyDescent="0.3">
      <c r="A1025" s="3" t="s">
        <v>1126</v>
      </c>
      <c r="B1025" s="3" t="s">
        <v>33</v>
      </c>
      <c r="C1025" s="3" t="str">
        <f t="shared" si="16"/>
        <v>450013473410</v>
      </c>
      <c r="D1025" s="3" t="s">
        <v>867</v>
      </c>
    </row>
    <row r="1026" spans="1:4" x14ac:dyDescent="0.3">
      <c r="A1026" s="3" t="s">
        <v>1222</v>
      </c>
      <c r="B1026" s="3" t="s">
        <v>33</v>
      </c>
      <c r="C1026" s="3" t="str">
        <f t="shared" si="16"/>
        <v>450013584110</v>
      </c>
      <c r="D1026" s="3" t="s">
        <v>857</v>
      </c>
    </row>
    <row r="1027" spans="1:4" x14ac:dyDescent="0.3">
      <c r="A1027" s="3" t="s">
        <v>1222</v>
      </c>
      <c r="B1027" s="3" t="s">
        <v>20</v>
      </c>
      <c r="C1027" s="3" t="str">
        <f t="shared" si="16"/>
        <v>450013584120</v>
      </c>
      <c r="D1027" s="3" t="s">
        <v>857</v>
      </c>
    </row>
    <row r="1028" spans="1:4" x14ac:dyDescent="0.3">
      <c r="A1028" s="3" t="s">
        <v>1121</v>
      </c>
      <c r="B1028" s="3" t="s">
        <v>33</v>
      </c>
      <c r="C1028" s="3" t="str">
        <f t="shared" si="16"/>
        <v>450013953910</v>
      </c>
      <c r="D1028" s="3" t="s">
        <v>872</v>
      </c>
    </row>
    <row r="1029" spans="1:4" x14ac:dyDescent="0.3">
      <c r="A1029" s="3" t="s">
        <v>1238</v>
      </c>
      <c r="B1029" s="3" t="s">
        <v>33</v>
      </c>
      <c r="C1029" s="3" t="str">
        <f t="shared" si="16"/>
        <v>450013854810</v>
      </c>
      <c r="D1029" s="3" t="s">
        <v>860</v>
      </c>
    </row>
    <row r="1030" spans="1:4" x14ac:dyDescent="0.3">
      <c r="A1030" s="3" t="s">
        <v>1084</v>
      </c>
      <c r="B1030" s="3" t="s">
        <v>33</v>
      </c>
      <c r="C1030" s="3" t="str">
        <f t="shared" si="16"/>
        <v>450013954810</v>
      </c>
      <c r="D1030" s="3" t="s">
        <v>868</v>
      </c>
    </row>
    <row r="1031" spans="1:4" x14ac:dyDescent="0.3">
      <c r="A1031" s="3" t="s">
        <v>1093</v>
      </c>
      <c r="B1031" s="3" t="s">
        <v>23</v>
      </c>
      <c r="C1031" s="3" t="str">
        <f t="shared" si="16"/>
        <v>450014003060</v>
      </c>
      <c r="D1031" s="3" t="s">
        <v>872</v>
      </c>
    </row>
    <row r="1032" spans="1:4" x14ac:dyDescent="0.3">
      <c r="A1032" s="3" t="s">
        <v>1085</v>
      </c>
      <c r="B1032" s="3" t="s">
        <v>33</v>
      </c>
      <c r="C1032" s="3" t="str">
        <f t="shared" si="16"/>
        <v>450013997210</v>
      </c>
      <c r="D1032" s="3" t="s">
        <v>872</v>
      </c>
    </row>
    <row r="1033" spans="1:4" x14ac:dyDescent="0.3">
      <c r="A1033" s="3" t="s">
        <v>1085</v>
      </c>
      <c r="B1033" s="3" t="s">
        <v>20</v>
      </c>
      <c r="C1033" s="3" t="str">
        <f t="shared" si="16"/>
        <v>450013997220</v>
      </c>
      <c r="D1033" s="3" t="s">
        <v>872</v>
      </c>
    </row>
    <row r="1034" spans="1:4" x14ac:dyDescent="0.3">
      <c r="A1034" s="3" t="s">
        <v>1085</v>
      </c>
      <c r="B1034" s="3" t="s">
        <v>21</v>
      </c>
      <c r="C1034" s="3" t="str">
        <f t="shared" si="16"/>
        <v>450013997230</v>
      </c>
      <c r="D1034" s="3" t="s">
        <v>872</v>
      </c>
    </row>
    <row r="1035" spans="1:4" x14ac:dyDescent="0.3">
      <c r="A1035" s="3" t="s">
        <v>1093</v>
      </c>
      <c r="B1035" s="3" t="s">
        <v>33</v>
      </c>
      <c r="C1035" s="3" t="str">
        <f t="shared" si="16"/>
        <v>450014003010</v>
      </c>
      <c r="D1035" s="3" t="s">
        <v>872</v>
      </c>
    </row>
    <row r="1036" spans="1:4" x14ac:dyDescent="0.3">
      <c r="A1036" s="3" t="s">
        <v>1093</v>
      </c>
      <c r="B1036" s="3" t="s">
        <v>20</v>
      </c>
      <c r="C1036" s="3" t="str">
        <f t="shared" si="16"/>
        <v>450014003020</v>
      </c>
      <c r="D1036" s="3" t="s">
        <v>872</v>
      </c>
    </row>
    <row r="1037" spans="1:4" x14ac:dyDescent="0.3">
      <c r="A1037" s="3" t="s">
        <v>1093</v>
      </c>
      <c r="B1037" s="3" t="s">
        <v>21</v>
      </c>
      <c r="C1037" s="3" t="str">
        <f t="shared" si="16"/>
        <v>450014003030</v>
      </c>
      <c r="D1037" s="3" t="s">
        <v>872</v>
      </c>
    </row>
    <row r="1038" spans="1:4" x14ac:dyDescent="0.3">
      <c r="A1038" s="3" t="s">
        <v>1093</v>
      </c>
      <c r="B1038" s="3" t="s">
        <v>25</v>
      </c>
      <c r="C1038" s="3" t="str">
        <f t="shared" si="16"/>
        <v>450014003040</v>
      </c>
      <c r="D1038" s="3" t="s">
        <v>872</v>
      </c>
    </row>
    <row r="1039" spans="1:4" x14ac:dyDescent="0.3">
      <c r="A1039" s="3" t="s">
        <v>1093</v>
      </c>
      <c r="B1039" s="3" t="s">
        <v>22</v>
      </c>
      <c r="C1039" s="3" t="str">
        <f t="shared" si="16"/>
        <v>450014003050</v>
      </c>
      <c r="D1039" s="3" t="s">
        <v>872</v>
      </c>
    </row>
    <row r="1040" spans="1:4" x14ac:dyDescent="0.3">
      <c r="A1040" s="3" t="s">
        <v>1230</v>
      </c>
      <c r="B1040" s="3" t="s">
        <v>33</v>
      </c>
      <c r="C1040" s="3" t="str">
        <f t="shared" si="16"/>
        <v>450014056410</v>
      </c>
      <c r="D1040" s="3" t="s">
        <v>860</v>
      </c>
    </row>
    <row r="1041" spans="1:4" x14ac:dyDescent="0.3">
      <c r="A1041" s="3" t="s">
        <v>1102</v>
      </c>
      <c r="B1041" s="3" t="s">
        <v>20</v>
      </c>
      <c r="C1041" s="3" t="str">
        <f t="shared" si="16"/>
        <v>450014035420</v>
      </c>
      <c r="D1041" s="3" t="s">
        <v>1265</v>
      </c>
    </row>
    <row r="1042" spans="1:4" x14ac:dyDescent="0.3">
      <c r="A1042" s="3" t="s">
        <v>1140</v>
      </c>
      <c r="B1042" s="3" t="s">
        <v>21</v>
      </c>
      <c r="C1042" s="3" t="str">
        <f t="shared" si="16"/>
        <v>450014031630</v>
      </c>
      <c r="D1042" s="3" t="s">
        <v>875</v>
      </c>
    </row>
    <row r="1043" spans="1:4" x14ac:dyDescent="0.3">
      <c r="A1043" s="3" t="s">
        <v>1140</v>
      </c>
      <c r="B1043" s="3" t="s">
        <v>25</v>
      </c>
      <c r="C1043" s="3" t="str">
        <f t="shared" si="16"/>
        <v>450014031640</v>
      </c>
      <c r="D1043" s="3" t="s">
        <v>875</v>
      </c>
    </row>
    <row r="1044" spans="1:4" x14ac:dyDescent="0.3">
      <c r="A1044" s="3" t="s">
        <v>1140</v>
      </c>
      <c r="B1044" s="3" t="s">
        <v>33</v>
      </c>
      <c r="C1044" s="3" t="str">
        <f t="shared" si="16"/>
        <v>450014031610</v>
      </c>
      <c r="D1044" s="3" t="s">
        <v>875</v>
      </c>
    </row>
    <row r="1045" spans="1:4" x14ac:dyDescent="0.3">
      <c r="A1045" s="3" t="s">
        <v>1140</v>
      </c>
      <c r="B1045" s="3" t="s">
        <v>20</v>
      </c>
      <c r="C1045" s="3" t="str">
        <f t="shared" si="16"/>
        <v>450014031620</v>
      </c>
      <c r="D1045" s="3" t="s">
        <v>875</v>
      </c>
    </row>
    <row r="1046" spans="1:4" x14ac:dyDescent="0.3">
      <c r="A1046" s="3" t="s">
        <v>1224</v>
      </c>
      <c r="B1046" s="3" t="s">
        <v>20</v>
      </c>
      <c r="C1046" s="3" t="str">
        <f t="shared" si="16"/>
        <v>450014027320</v>
      </c>
      <c r="D1046" s="3" t="s">
        <v>863</v>
      </c>
    </row>
    <row r="1047" spans="1:4" x14ac:dyDescent="0.3">
      <c r="A1047" s="3" t="s">
        <v>1224</v>
      </c>
      <c r="B1047" s="3" t="s">
        <v>33</v>
      </c>
      <c r="C1047" s="3" t="str">
        <f t="shared" si="16"/>
        <v>450014027310</v>
      </c>
      <c r="D1047" s="3" t="s">
        <v>863</v>
      </c>
    </row>
    <row r="1048" spans="1:4" x14ac:dyDescent="0.3">
      <c r="A1048" s="3" t="s">
        <v>1078</v>
      </c>
      <c r="B1048" s="3" t="s">
        <v>33</v>
      </c>
      <c r="C1048" s="3" t="str">
        <f t="shared" si="16"/>
        <v>450014035310</v>
      </c>
      <c r="D1048" s="3" t="s">
        <v>860</v>
      </c>
    </row>
    <row r="1049" spans="1:4" x14ac:dyDescent="0.3">
      <c r="A1049" s="3" t="s">
        <v>1228</v>
      </c>
      <c r="B1049" s="3" t="s">
        <v>33</v>
      </c>
      <c r="C1049" s="3" t="str">
        <f t="shared" si="16"/>
        <v>450014062110</v>
      </c>
      <c r="D1049" s="3" t="s">
        <v>873</v>
      </c>
    </row>
    <row r="1050" spans="1:4" x14ac:dyDescent="0.3">
      <c r="A1050" s="3" t="s">
        <v>1228</v>
      </c>
      <c r="B1050" s="3" t="s">
        <v>20</v>
      </c>
      <c r="C1050" s="3" t="str">
        <f t="shared" si="16"/>
        <v>450014062120</v>
      </c>
      <c r="D1050" s="3" t="s">
        <v>873</v>
      </c>
    </row>
    <row r="1051" spans="1:4" x14ac:dyDescent="0.3">
      <c r="A1051" s="3" t="s">
        <v>1228</v>
      </c>
      <c r="B1051" s="3" t="s">
        <v>21</v>
      </c>
      <c r="C1051" s="3" t="str">
        <f t="shared" si="16"/>
        <v>450014062130</v>
      </c>
      <c r="D1051" s="3" t="s">
        <v>873</v>
      </c>
    </row>
    <row r="1052" spans="1:4" x14ac:dyDescent="0.3">
      <c r="A1052" s="3" t="s">
        <v>1228</v>
      </c>
      <c r="B1052" s="3" t="s">
        <v>25</v>
      </c>
      <c r="C1052" s="3" t="str">
        <f t="shared" si="16"/>
        <v>450014062140</v>
      </c>
      <c r="D1052" s="3" t="s">
        <v>873</v>
      </c>
    </row>
    <row r="1053" spans="1:4" x14ac:dyDescent="0.3">
      <c r="A1053" s="3" t="s">
        <v>1228</v>
      </c>
      <c r="B1053" s="3" t="s">
        <v>22</v>
      </c>
      <c r="C1053" s="3" t="str">
        <f t="shared" si="16"/>
        <v>450014062150</v>
      </c>
      <c r="D1053" s="3" t="s">
        <v>873</v>
      </c>
    </row>
    <row r="1054" spans="1:4" x14ac:dyDescent="0.3">
      <c r="A1054" s="3" t="s">
        <v>1228</v>
      </c>
      <c r="B1054" s="3" t="s">
        <v>23</v>
      </c>
      <c r="C1054" s="3" t="str">
        <f t="shared" si="16"/>
        <v>450014062160</v>
      </c>
      <c r="D1054" s="3" t="s">
        <v>873</v>
      </c>
    </row>
    <row r="1055" spans="1:4" x14ac:dyDescent="0.3">
      <c r="A1055" s="3" t="s">
        <v>1228</v>
      </c>
      <c r="B1055" s="3" t="s">
        <v>24</v>
      </c>
      <c r="C1055" s="3" t="str">
        <f t="shared" si="16"/>
        <v>450014062170</v>
      </c>
      <c r="D1055" s="3" t="s">
        <v>873</v>
      </c>
    </row>
    <row r="1056" spans="1:4" x14ac:dyDescent="0.3">
      <c r="A1056" s="3" t="s">
        <v>1228</v>
      </c>
      <c r="B1056" s="3" t="s">
        <v>321</v>
      </c>
      <c r="C1056" s="3" t="str">
        <f t="shared" si="16"/>
        <v>450014062180</v>
      </c>
      <c r="D1056" s="3" t="s">
        <v>873</v>
      </c>
    </row>
    <row r="1057" spans="1:4" x14ac:dyDescent="0.3">
      <c r="A1057" s="3" t="s">
        <v>1223</v>
      </c>
      <c r="B1057" s="3" t="s">
        <v>25</v>
      </c>
      <c r="C1057" s="3" t="str">
        <f t="shared" si="16"/>
        <v>450014070640</v>
      </c>
      <c r="D1057" s="3" t="s">
        <v>863</v>
      </c>
    </row>
    <row r="1058" spans="1:4" x14ac:dyDescent="0.3">
      <c r="A1058" s="3" t="s">
        <v>1223</v>
      </c>
      <c r="B1058" s="3" t="s">
        <v>33</v>
      </c>
      <c r="C1058" s="3" t="str">
        <f t="shared" si="16"/>
        <v>450014070610</v>
      </c>
      <c r="D1058" s="3" t="s">
        <v>863</v>
      </c>
    </row>
    <row r="1059" spans="1:4" x14ac:dyDescent="0.3">
      <c r="A1059" s="3" t="s">
        <v>1223</v>
      </c>
      <c r="B1059" s="3" t="s">
        <v>20</v>
      </c>
      <c r="C1059" s="3" t="str">
        <f t="shared" si="16"/>
        <v>450014070620</v>
      </c>
      <c r="D1059" s="3" t="s">
        <v>863</v>
      </c>
    </row>
    <row r="1060" spans="1:4" x14ac:dyDescent="0.3">
      <c r="A1060" s="3" t="s">
        <v>1223</v>
      </c>
      <c r="B1060" s="3" t="s">
        <v>21</v>
      </c>
      <c r="C1060" s="3" t="str">
        <f t="shared" si="16"/>
        <v>450014070630</v>
      </c>
      <c r="D1060" s="3" t="s">
        <v>863</v>
      </c>
    </row>
    <row r="1061" spans="1:4" x14ac:dyDescent="0.3">
      <c r="A1061" s="3" t="s">
        <v>1136</v>
      </c>
      <c r="B1061" s="3" t="s">
        <v>33</v>
      </c>
      <c r="C1061" s="3" t="str">
        <f t="shared" si="16"/>
        <v>450014057810</v>
      </c>
      <c r="D1061" s="3" t="s">
        <v>860</v>
      </c>
    </row>
    <row r="1062" spans="1:4" x14ac:dyDescent="0.3">
      <c r="A1062" s="3" t="s">
        <v>1058</v>
      </c>
      <c r="B1062" s="3" t="s">
        <v>33</v>
      </c>
      <c r="C1062" s="3" t="str">
        <f t="shared" si="16"/>
        <v>450014050810</v>
      </c>
      <c r="D1062" s="3" t="s">
        <v>877</v>
      </c>
    </row>
    <row r="1063" spans="1:4" x14ac:dyDescent="0.3">
      <c r="A1063" s="3" t="s">
        <v>1058</v>
      </c>
      <c r="B1063" s="3" t="s">
        <v>20</v>
      </c>
      <c r="C1063" s="3" t="str">
        <f t="shared" si="16"/>
        <v>450014050820</v>
      </c>
      <c r="D1063" s="3" t="s">
        <v>877</v>
      </c>
    </row>
    <row r="1064" spans="1:4" x14ac:dyDescent="0.3">
      <c r="A1064" s="3" t="s">
        <v>1235</v>
      </c>
      <c r="B1064" s="3" t="s">
        <v>33</v>
      </c>
      <c r="C1064" s="3" t="str">
        <f t="shared" si="16"/>
        <v>450014076710</v>
      </c>
      <c r="D1064" s="3" t="s">
        <v>872</v>
      </c>
    </row>
    <row r="1065" spans="1:4" x14ac:dyDescent="0.3">
      <c r="A1065" s="3" t="s">
        <v>1235</v>
      </c>
      <c r="B1065" s="3" t="s">
        <v>20</v>
      </c>
      <c r="C1065" s="3" t="str">
        <f t="shared" si="16"/>
        <v>450014076720</v>
      </c>
      <c r="D1065" s="3" t="s">
        <v>872</v>
      </c>
    </row>
    <row r="1066" spans="1:4" x14ac:dyDescent="0.3">
      <c r="A1066" s="3" t="s">
        <v>1235</v>
      </c>
      <c r="B1066" s="3" t="s">
        <v>21</v>
      </c>
      <c r="C1066" s="3" t="str">
        <f t="shared" si="16"/>
        <v>450014076730</v>
      </c>
      <c r="D1066" s="3" t="s">
        <v>872</v>
      </c>
    </row>
    <row r="1067" spans="1:4" x14ac:dyDescent="0.3">
      <c r="A1067" s="3" t="s">
        <v>1132</v>
      </c>
      <c r="B1067" s="3" t="s">
        <v>33</v>
      </c>
      <c r="C1067" s="3" t="str">
        <f t="shared" si="16"/>
        <v>450014059010</v>
      </c>
      <c r="D1067" s="3" t="s">
        <v>860</v>
      </c>
    </row>
    <row r="1068" spans="1:4" x14ac:dyDescent="0.3">
      <c r="A1068" s="3" t="s">
        <v>1220</v>
      </c>
      <c r="B1068" s="3" t="s">
        <v>33</v>
      </c>
      <c r="C1068" s="3" t="str">
        <f t="shared" si="16"/>
        <v>450014068010</v>
      </c>
      <c r="D1068" s="3" t="s">
        <v>860</v>
      </c>
    </row>
    <row r="1069" spans="1:4" x14ac:dyDescent="0.3">
      <c r="A1069" s="3" t="s">
        <v>1236</v>
      </c>
      <c r="B1069" s="3" t="s">
        <v>33</v>
      </c>
      <c r="C1069" s="3" t="str">
        <f t="shared" si="16"/>
        <v>450014083110</v>
      </c>
      <c r="D1069" s="3" t="s">
        <v>860</v>
      </c>
    </row>
    <row r="1070" spans="1:4" x14ac:dyDescent="0.3">
      <c r="A1070" s="3" t="s">
        <v>1236</v>
      </c>
      <c r="B1070" s="3" t="s">
        <v>20</v>
      </c>
      <c r="C1070" s="3" t="str">
        <f t="shared" si="16"/>
        <v>450014083120</v>
      </c>
      <c r="D1070" s="3" t="s">
        <v>860</v>
      </c>
    </row>
    <row r="1071" spans="1:4" x14ac:dyDescent="0.3">
      <c r="A1071" s="3" t="s">
        <v>1236</v>
      </c>
      <c r="B1071" s="3" t="s">
        <v>21</v>
      </c>
      <c r="C1071" s="3" t="str">
        <f t="shared" si="16"/>
        <v>450014083130</v>
      </c>
      <c r="D1071" s="3" t="s">
        <v>860</v>
      </c>
    </row>
    <row r="1072" spans="1:4" x14ac:dyDescent="0.3">
      <c r="A1072" s="3" t="s">
        <v>1251</v>
      </c>
      <c r="B1072" s="3" t="s">
        <v>33</v>
      </c>
      <c r="C1072" s="3" t="str">
        <f t="shared" si="16"/>
        <v>450014089110</v>
      </c>
      <c r="D1072" s="3" t="s">
        <v>860</v>
      </c>
    </row>
    <row r="1073" spans="1:4" x14ac:dyDescent="0.3">
      <c r="A1073" s="3" t="s">
        <v>1251</v>
      </c>
      <c r="B1073" s="3" t="s">
        <v>20</v>
      </c>
      <c r="C1073" s="3" t="str">
        <f t="shared" si="16"/>
        <v>450014089120</v>
      </c>
      <c r="D1073" s="3" t="s">
        <v>860</v>
      </c>
    </row>
    <row r="1074" spans="1:4" x14ac:dyDescent="0.3">
      <c r="A1074" s="3" t="s">
        <v>1251</v>
      </c>
      <c r="B1074" s="3" t="s">
        <v>21</v>
      </c>
      <c r="C1074" s="3" t="str">
        <f t="shared" si="16"/>
        <v>450014089130</v>
      </c>
      <c r="D1074" s="3" t="s">
        <v>860</v>
      </c>
    </row>
    <row r="1075" spans="1:4" x14ac:dyDescent="0.3">
      <c r="A1075" s="3" t="s">
        <v>1234</v>
      </c>
      <c r="B1075" s="3" t="s">
        <v>33</v>
      </c>
      <c r="C1075" s="3" t="str">
        <f t="shared" si="16"/>
        <v>450013100310</v>
      </c>
      <c r="D1075" s="3" t="s">
        <v>863</v>
      </c>
    </row>
    <row r="1076" spans="1:4" x14ac:dyDescent="0.3">
      <c r="A1076" s="3" t="s">
        <v>1234</v>
      </c>
      <c r="B1076" s="3" t="s">
        <v>20</v>
      </c>
      <c r="C1076" s="3" t="str">
        <f t="shared" si="16"/>
        <v>450013100320</v>
      </c>
      <c r="D1076" s="3" t="s">
        <v>863</v>
      </c>
    </row>
    <row r="1077" spans="1:4" x14ac:dyDescent="0.3">
      <c r="A1077" s="3" t="s">
        <v>1234</v>
      </c>
      <c r="B1077" s="3" t="s">
        <v>21</v>
      </c>
      <c r="C1077" s="3" t="str">
        <f t="shared" si="16"/>
        <v>450013100330</v>
      </c>
      <c r="D1077" s="3" t="s">
        <v>863</v>
      </c>
    </row>
    <row r="1078" spans="1:4" x14ac:dyDescent="0.3">
      <c r="A1078" s="3" t="s">
        <v>1234</v>
      </c>
      <c r="B1078" s="3" t="s">
        <v>25</v>
      </c>
      <c r="C1078" s="3" t="str">
        <f t="shared" si="16"/>
        <v>450013100340</v>
      </c>
      <c r="D1078" s="3" t="s">
        <v>863</v>
      </c>
    </row>
    <row r="1079" spans="1:4" x14ac:dyDescent="0.3">
      <c r="A1079" s="3" t="s">
        <v>1234</v>
      </c>
      <c r="B1079" s="3" t="s">
        <v>22</v>
      </c>
      <c r="C1079" s="3" t="str">
        <f t="shared" si="16"/>
        <v>450013100350</v>
      </c>
      <c r="D1079" s="3" t="s">
        <v>863</v>
      </c>
    </row>
    <row r="1080" spans="1:4" x14ac:dyDescent="0.3">
      <c r="A1080" s="3" t="s">
        <v>1234</v>
      </c>
      <c r="B1080" s="3" t="s">
        <v>23</v>
      </c>
      <c r="C1080" s="3" t="str">
        <f t="shared" si="16"/>
        <v>450013100360</v>
      </c>
      <c r="D1080" s="3" t="s">
        <v>863</v>
      </c>
    </row>
    <row r="1081" spans="1:4" x14ac:dyDescent="0.3">
      <c r="A1081" s="3" t="s">
        <v>1234</v>
      </c>
      <c r="B1081" s="3" t="s">
        <v>24</v>
      </c>
      <c r="C1081" s="3" t="str">
        <f t="shared" si="16"/>
        <v>450013100370</v>
      </c>
      <c r="D1081" s="3" t="s">
        <v>863</v>
      </c>
    </row>
    <row r="1082" spans="1:4" x14ac:dyDescent="0.3">
      <c r="A1082" s="3" t="s">
        <v>1234</v>
      </c>
      <c r="B1082" s="3" t="s">
        <v>321</v>
      </c>
      <c r="C1082" s="3" t="str">
        <f t="shared" si="16"/>
        <v>450013100380</v>
      </c>
      <c r="D1082" s="3" t="s">
        <v>863</v>
      </c>
    </row>
    <row r="1083" spans="1:4" x14ac:dyDescent="0.3">
      <c r="A1083" s="3" t="s">
        <v>1234</v>
      </c>
      <c r="B1083" s="3" t="s">
        <v>322</v>
      </c>
      <c r="C1083" s="3" t="str">
        <f t="shared" si="16"/>
        <v>450013100390</v>
      </c>
      <c r="D1083" s="3" t="s">
        <v>863</v>
      </c>
    </row>
    <row r="1084" spans="1:4" x14ac:dyDescent="0.3">
      <c r="A1084" s="3" t="s">
        <v>1234</v>
      </c>
      <c r="B1084" s="3" t="s">
        <v>323</v>
      </c>
      <c r="C1084" s="3" t="str">
        <f t="shared" si="16"/>
        <v>4500131003100</v>
      </c>
      <c r="D1084" s="3" t="s">
        <v>863</v>
      </c>
    </row>
    <row r="1085" spans="1:4" x14ac:dyDescent="0.3">
      <c r="A1085" s="3" t="s">
        <v>1234</v>
      </c>
      <c r="B1085" s="3" t="s">
        <v>175</v>
      </c>
      <c r="C1085" s="3" t="str">
        <f t="shared" ref="C1085:C1148" si="17">_xlfn.CONCAT(A1085:B1085)</f>
        <v>4500131003110</v>
      </c>
      <c r="D1085" s="3" t="s">
        <v>863</v>
      </c>
    </row>
    <row r="1086" spans="1:4" x14ac:dyDescent="0.3">
      <c r="A1086" s="3" t="s">
        <v>1234</v>
      </c>
      <c r="B1086" s="3" t="s">
        <v>375</v>
      </c>
      <c r="C1086" s="3" t="str">
        <f t="shared" si="17"/>
        <v>4500131003120</v>
      </c>
      <c r="D1086" s="3" t="s">
        <v>863</v>
      </c>
    </row>
    <row r="1087" spans="1:4" x14ac:dyDescent="0.3">
      <c r="A1087" s="3" t="s">
        <v>1234</v>
      </c>
      <c r="B1087" s="3" t="s">
        <v>203</v>
      </c>
      <c r="C1087" s="3" t="str">
        <f t="shared" si="17"/>
        <v>4500131003130</v>
      </c>
      <c r="D1087" s="3" t="s">
        <v>863</v>
      </c>
    </row>
    <row r="1088" spans="1:4" x14ac:dyDescent="0.3">
      <c r="A1088" s="3" t="s">
        <v>1234</v>
      </c>
      <c r="B1088" s="3" t="s">
        <v>376</v>
      </c>
      <c r="C1088" s="3" t="str">
        <f t="shared" si="17"/>
        <v>4500131003140</v>
      </c>
      <c r="D1088" s="3" t="s">
        <v>863</v>
      </c>
    </row>
    <row r="1089" spans="1:4" x14ac:dyDescent="0.3">
      <c r="A1089" s="3" t="s">
        <v>1234</v>
      </c>
      <c r="B1089" s="3" t="s">
        <v>377</v>
      </c>
      <c r="C1089" s="3" t="str">
        <f t="shared" si="17"/>
        <v>4500131003150</v>
      </c>
      <c r="D1089" s="3" t="s">
        <v>863</v>
      </c>
    </row>
    <row r="1090" spans="1:4" x14ac:dyDescent="0.3">
      <c r="A1090" s="3" t="s">
        <v>1242</v>
      </c>
      <c r="B1090" s="3" t="s">
        <v>20</v>
      </c>
      <c r="C1090" s="3" t="str">
        <f t="shared" si="17"/>
        <v>450013538620</v>
      </c>
      <c r="D1090" s="3" t="s">
        <v>875</v>
      </c>
    </row>
    <row r="1091" spans="1:4" x14ac:dyDescent="0.3">
      <c r="A1091" s="3" t="s">
        <v>1098</v>
      </c>
      <c r="B1091" s="3" t="s">
        <v>20</v>
      </c>
      <c r="C1091" s="3" t="str">
        <f t="shared" si="17"/>
        <v>450013805720</v>
      </c>
      <c r="D1091" s="3" t="s">
        <v>872</v>
      </c>
    </row>
    <row r="1092" spans="1:4" x14ac:dyDescent="0.3">
      <c r="A1092" s="3" t="s">
        <v>1249</v>
      </c>
      <c r="B1092" s="3" t="s">
        <v>21</v>
      </c>
      <c r="C1092" s="3" t="str">
        <f t="shared" si="17"/>
        <v>450013725530</v>
      </c>
      <c r="D1092" s="3" t="s">
        <v>863</v>
      </c>
    </row>
    <row r="1093" spans="1:4" x14ac:dyDescent="0.3">
      <c r="A1093" s="3" t="s">
        <v>1249</v>
      </c>
      <c r="B1093" s="3" t="s">
        <v>20</v>
      </c>
      <c r="C1093" s="3" t="str">
        <f t="shared" si="17"/>
        <v>450013725520</v>
      </c>
      <c r="D1093" s="3" t="s">
        <v>863</v>
      </c>
    </row>
    <row r="1094" spans="1:4" x14ac:dyDescent="0.3">
      <c r="A1094" s="3" t="s">
        <v>1249</v>
      </c>
      <c r="B1094" s="3" t="s">
        <v>33</v>
      </c>
      <c r="C1094" s="3" t="str">
        <f t="shared" si="17"/>
        <v>450013725510</v>
      </c>
      <c r="D1094" s="3" t="s">
        <v>863</v>
      </c>
    </row>
    <row r="1095" spans="1:4" x14ac:dyDescent="0.3">
      <c r="A1095" s="3" t="s">
        <v>1098</v>
      </c>
      <c r="B1095" s="3" t="s">
        <v>33</v>
      </c>
      <c r="C1095" s="3" t="str">
        <f t="shared" si="17"/>
        <v>450013805710</v>
      </c>
      <c r="D1095" s="3" t="s">
        <v>872</v>
      </c>
    </row>
    <row r="1096" spans="1:4" x14ac:dyDescent="0.3">
      <c r="A1096" s="3" t="s">
        <v>1249</v>
      </c>
      <c r="B1096" s="3" t="s">
        <v>25</v>
      </c>
      <c r="C1096" s="3" t="str">
        <f t="shared" si="17"/>
        <v>450013725540</v>
      </c>
      <c r="D1096" s="3" t="s">
        <v>863</v>
      </c>
    </row>
    <row r="1097" spans="1:4" x14ac:dyDescent="0.3">
      <c r="A1097" s="3" t="s">
        <v>1249</v>
      </c>
      <c r="B1097" s="3" t="s">
        <v>24</v>
      </c>
      <c r="C1097" s="3" t="str">
        <f t="shared" si="17"/>
        <v>450013725570</v>
      </c>
      <c r="D1097" s="3" t="s">
        <v>863</v>
      </c>
    </row>
    <row r="1098" spans="1:4" x14ac:dyDescent="0.3">
      <c r="A1098" s="3" t="s">
        <v>1249</v>
      </c>
      <c r="B1098" s="3" t="s">
        <v>23</v>
      </c>
      <c r="C1098" s="3" t="str">
        <f t="shared" si="17"/>
        <v>450013725560</v>
      </c>
      <c r="D1098" s="3" t="s">
        <v>863</v>
      </c>
    </row>
    <row r="1099" spans="1:4" x14ac:dyDescent="0.3">
      <c r="A1099" s="3" t="s">
        <v>1249</v>
      </c>
      <c r="B1099" s="3" t="s">
        <v>22</v>
      </c>
      <c r="C1099" s="3" t="str">
        <f t="shared" si="17"/>
        <v>450013725550</v>
      </c>
      <c r="D1099" s="3" t="s">
        <v>863</v>
      </c>
    </row>
    <row r="1100" spans="1:4" x14ac:dyDescent="0.3">
      <c r="A1100" s="3" t="s">
        <v>1221</v>
      </c>
      <c r="B1100" s="3" t="s">
        <v>22</v>
      </c>
      <c r="C1100" s="3" t="str">
        <f t="shared" si="17"/>
        <v>450013728350</v>
      </c>
      <c r="D1100" s="3" t="s">
        <v>861</v>
      </c>
    </row>
    <row r="1101" spans="1:4" x14ac:dyDescent="0.3">
      <c r="A1101" s="3" t="s">
        <v>1221</v>
      </c>
      <c r="B1101" s="3" t="s">
        <v>33</v>
      </c>
      <c r="C1101" s="3" t="str">
        <f t="shared" si="17"/>
        <v>450013728310</v>
      </c>
      <c r="D1101" s="3" t="s">
        <v>861</v>
      </c>
    </row>
    <row r="1102" spans="1:4" x14ac:dyDescent="0.3">
      <c r="A1102" s="3" t="s">
        <v>1221</v>
      </c>
      <c r="B1102" s="3" t="s">
        <v>20</v>
      </c>
      <c r="C1102" s="3" t="str">
        <f t="shared" si="17"/>
        <v>450013728320</v>
      </c>
      <c r="D1102" s="3" t="s">
        <v>861</v>
      </c>
    </row>
    <row r="1103" spans="1:4" x14ac:dyDescent="0.3">
      <c r="A1103" s="3" t="s">
        <v>1221</v>
      </c>
      <c r="B1103" s="3" t="s">
        <v>21</v>
      </c>
      <c r="C1103" s="3" t="str">
        <f t="shared" si="17"/>
        <v>450013728330</v>
      </c>
      <c r="D1103" s="3" t="s">
        <v>861</v>
      </c>
    </row>
    <row r="1104" spans="1:4" x14ac:dyDescent="0.3">
      <c r="A1104" s="3" t="s">
        <v>1221</v>
      </c>
      <c r="B1104" s="3" t="s">
        <v>25</v>
      </c>
      <c r="C1104" s="3" t="str">
        <f t="shared" si="17"/>
        <v>450013728340</v>
      </c>
      <c r="D1104" s="3" t="s">
        <v>861</v>
      </c>
    </row>
    <row r="1105" spans="1:4" x14ac:dyDescent="0.3">
      <c r="A1105" s="3" t="s">
        <v>1108</v>
      </c>
      <c r="B1105" s="3" t="s">
        <v>33</v>
      </c>
      <c r="C1105" s="3" t="str">
        <f t="shared" si="17"/>
        <v>450013742810</v>
      </c>
      <c r="D1105" s="3" t="s">
        <v>863</v>
      </c>
    </row>
    <row r="1106" spans="1:4" x14ac:dyDescent="0.3">
      <c r="A1106" s="3" t="s">
        <v>1211</v>
      </c>
      <c r="B1106" s="3" t="s">
        <v>33</v>
      </c>
      <c r="C1106" s="3" t="str">
        <f t="shared" si="17"/>
        <v>450013781610</v>
      </c>
      <c r="D1106" s="3" t="s">
        <v>867</v>
      </c>
    </row>
    <row r="1107" spans="1:4" x14ac:dyDescent="0.3">
      <c r="A1107" s="3" t="s">
        <v>1213</v>
      </c>
      <c r="B1107" s="3" t="s">
        <v>33</v>
      </c>
      <c r="C1107" s="3" t="str">
        <f t="shared" si="17"/>
        <v>450013807610</v>
      </c>
      <c r="D1107" s="3" t="s">
        <v>867</v>
      </c>
    </row>
    <row r="1108" spans="1:4" x14ac:dyDescent="0.3">
      <c r="A1108" s="3" t="s">
        <v>1113</v>
      </c>
      <c r="B1108" s="3" t="s">
        <v>33</v>
      </c>
      <c r="C1108" s="3" t="str">
        <f t="shared" si="17"/>
        <v>450013830910</v>
      </c>
      <c r="D1108" s="3" t="s">
        <v>875</v>
      </c>
    </row>
    <row r="1109" spans="1:4" x14ac:dyDescent="0.3">
      <c r="A1109" s="3" t="s">
        <v>1233</v>
      </c>
      <c r="B1109" s="3" t="s">
        <v>33</v>
      </c>
      <c r="C1109" s="3" t="str">
        <f t="shared" si="17"/>
        <v>450013856410</v>
      </c>
      <c r="D1109" s="3" t="s">
        <v>863</v>
      </c>
    </row>
    <row r="1110" spans="1:4" x14ac:dyDescent="0.3">
      <c r="A1110" s="3" t="s">
        <v>1233</v>
      </c>
      <c r="B1110" s="3" t="s">
        <v>20</v>
      </c>
      <c r="C1110" s="3" t="str">
        <f t="shared" si="17"/>
        <v>450013856420</v>
      </c>
      <c r="D1110" s="3" t="s">
        <v>863</v>
      </c>
    </row>
    <row r="1111" spans="1:4" x14ac:dyDescent="0.3">
      <c r="A1111" s="3" t="s">
        <v>1099</v>
      </c>
      <c r="B1111" s="3" t="s">
        <v>20</v>
      </c>
      <c r="C1111" s="3" t="str">
        <f t="shared" si="17"/>
        <v>450013968920</v>
      </c>
      <c r="D1111" s="3" t="s">
        <v>872</v>
      </c>
    </row>
    <row r="1112" spans="1:4" x14ac:dyDescent="0.3">
      <c r="A1112" s="3" t="s">
        <v>1203</v>
      </c>
      <c r="B1112" s="3" t="s">
        <v>33</v>
      </c>
      <c r="C1112" s="3" t="str">
        <f t="shared" si="17"/>
        <v>450013914710</v>
      </c>
      <c r="D1112" s="3" t="s">
        <v>867</v>
      </c>
    </row>
    <row r="1113" spans="1:4" x14ac:dyDescent="0.3">
      <c r="A1113" s="3" t="s">
        <v>1102</v>
      </c>
      <c r="B1113" s="3" t="s">
        <v>21</v>
      </c>
      <c r="C1113" s="3" t="str">
        <f t="shared" si="17"/>
        <v>450014035430</v>
      </c>
      <c r="D1113" s="3" t="s">
        <v>1265</v>
      </c>
    </row>
    <row r="1114" spans="1:4" x14ac:dyDescent="0.3">
      <c r="A1114" s="3" t="s">
        <v>1105</v>
      </c>
      <c r="B1114" s="3" t="s">
        <v>33</v>
      </c>
      <c r="C1114" s="3" t="str">
        <f t="shared" si="17"/>
        <v>450013939810</v>
      </c>
      <c r="D1114" s="3" t="s">
        <v>867</v>
      </c>
    </row>
    <row r="1115" spans="1:4" x14ac:dyDescent="0.3">
      <c r="A1115" s="3" t="s">
        <v>1099</v>
      </c>
      <c r="B1115" s="3" t="s">
        <v>33</v>
      </c>
      <c r="C1115" s="3" t="str">
        <f t="shared" si="17"/>
        <v>450013968910</v>
      </c>
      <c r="D1115" s="3" t="s">
        <v>872</v>
      </c>
    </row>
    <row r="1116" spans="1:4" x14ac:dyDescent="0.3">
      <c r="A1116" s="3" t="s">
        <v>1110</v>
      </c>
      <c r="B1116" s="3" t="s">
        <v>33</v>
      </c>
      <c r="C1116" s="3" t="str">
        <f t="shared" si="17"/>
        <v>450013986910</v>
      </c>
      <c r="D1116" s="3" t="s">
        <v>861</v>
      </c>
    </row>
    <row r="1117" spans="1:4" x14ac:dyDescent="0.3">
      <c r="A1117" s="3" t="s">
        <v>1248</v>
      </c>
      <c r="B1117" s="3" t="s">
        <v>33</v>
      </c>
      <c r="C1117" s="3" t="str">
        <f t="shared" si="17"/>
        <v>450013993410</v>
      </c>
      <c r="D1117" s="3" t="s">
        <v>867</v>
      </c>
    </row>
    <row r="1118" spans="1:4" x14ac:dyDescent="0.3">
      <c r="A1118" s="3" t="s">
        <v>1138</v>
      </c>
      <c r="B1118" s="3" t="s">
        <v>33</v>
      </c>
      <c r="C1118" s="3" t="str">
        <f t="shared" si="17"/>
        <v>450014018210</v>
      </c>
      <c r="D1118" s="3" t="s">
        <v>863</v>
      </c>
    </row>
    <row r="1119" spans="1:4" x14ac:dyDescent="0.3">
      <c r="A1119" s="3" t="s">
        <v>1080</v>
      </c>
      <c r="B1119" s="3" t="s">
        <v>21</v>
      </c>
      <c r="C1119" s="3" t="str">
        <f t="shared" si="17"/>
        <v>450014025830</v>
      </c>
      <c r="D1119" s="3" t="s">
        <v>860</v>
      </c>
    </row>
    <row r="1120" spans="1:4" x14ac:dyDescent="0.3">
      <c r="A1120" s="3" t="s">
        <v>1201</v>
      </c>
      <c r="B1120" s="3" t="s">
        <v>33</v>
      </c>
      <c r="C1120" s="3" t="str">
        <f t="shared" si="17"/>
        <v>450013989210</v>
      </c>
      <c r="D1120" s="3" t="s">
        <v>865</v>
      </c>
    </row>
    <row r="1121" spans="1:4" x14ac:dyDescent="0.3">
      <c r="A1121" s="3" t="s">
        <v>1201</v>
      </c>
      <c r="B1121" s="3" t="s">
        <v>20</v>
      </c>
      <c r="C1121" s="3" t="str">
        <f t="shared" si="17"/>
        <v>450013989220</v>
      </c>
      <c r="D1121" s="3" t="s">
        <v>865</v>
      </c>
    </row>
    <row r="1122" spans="1:4" x14ac:dyDescent="0.3">
      <c r="A1122" s="3" t="s">
        <v>1201</v>
      </c>
      <c r="B1122" s="3" t="s">
        <v>21</v>
      </c>
      <c r="C1122" s="3" t="str">
        <f t="shared" si="17"/>
        <v>450013989230</v>
      </c>
      <c r="D1122" s="3" t="s">
        <v>865</v>
      </c>
    </row>
    <row r="1123" spans="1:4" x14ac:dyDescent="0.3">
      <c r="A1123" s="3" t="s">
        <v>1201</v>
      </c>
      <c r="B1123" s="3" t="s">
        <v>25</v>
      </c>
      <c r="C1123" s="3" t="str">
        <f t="shared" si="17"/>
        <v>450013989240</v>
      </c>
      <c r="D1123" s="3" t="s">
        <v>865</v>
      </c>
    </row>
    <row r="1124" spans="1:4" x14ac:dyDescent="0.3">
      <c r="A1124" s="3" t="s">
        <v>1201</v>
      </c>
      <c r="B1124" s="3" t="s">
        <v>22</v>
      </c>
      <c r="C1124" s="3" t="str">
        <f t="shared" si="17"/>
        <v>450013989250</v>
      </c>
      <c r="D1124" s="3" t="s">
        <v>865</v>
      </c>
    </row>
    <row r="1125" spans="1:4" x14ac:dyDescent="0.3">
      <c r="A1125" s="3" t="s">
        <v>1111</v>
      </c>
      <c r="B1125" s="3" t="s">
        <v>33</v>
      </c>
      <c r="C1125" s="3" t="str">
        <f t="shared" si="17"/>
        <v>450014032810</v>
      </c>
      <c r="D1125" s="3" t="s">
        <v>858</v>
      </c>
    </row>
    <row r="1126" spans="1:4" x14ac:dyDescent="0.3">
      <c r="A1126" s="3" t="s">
        <v>1197</v>
      </c>
      <c r="B1126" s="3" t="s">
        <v>33</v>
      </c>
      <c r="C1126" s="3" t="str">
        <f t="shared" si="17"/>
        <v>450014009210</v>
      </c>
      <c r="D1126" s="3" t="s">
        <v>872</v>
      </c>
    </row>
    <row r="1127" spans="1:4" x14ac:dyDescent="0.3">
      <c r="A1127" s="3" t="s">
        <v>1198</v>
      </c>
      <c r="B1127" s="3" t="s">
        <v>33</v>
      </c>
      <c r="C1127" s="3" t="str">
        <f t="shared" si="17"/>
        <v>450014009310</v>
      </c>
      <c r="D1127" s="3" t="s">
        <v>872</v>
      </c>
    </row>
    <row r="1128" spans="1:4" x14ac:dyDescent="0.3">
      <c r="A1128" s="3" t="s">
        <v>1199</v>
      </c>
      <c r="B1128" s="3" t="s">
        <v>20</v>
      </c>
      <c r="C1128" s="3" t="str">
        <f t="shared" si="17"/>
        <v>450014020320</v>
      </c>
      <c r="D1128" s="3" t="s">
        <v>865</v>
      </c>
    </row>
    <row r="1129" spans="1:4" x14ac:dyDescent="0.3">
      <c r="A1129" s="3" t="s">
        <v>1109</v>
      </c>
      <c r="B1129" s="3" t="s">
        <v>33</v>
      </c>
      <c r="C1129" s="3" t="str">
        <f t="shared" si="17"/>
        <v>450014010510</v>
      </c>
      <c r="D1129" s="3" t="s">
        <v>872</v>
      </c>
    </row>
    <row r="1130" spans="1:4" x14ac:dyDescent="0.3">
      <c r="A1130" s="3" t="s">
        <v>1194</v>
      </c>
      <c r="B1130" s="3" t="s">
        <v>20</v>
      </c>
      <c r="C1130" s="3" t="str">
        <f t="shared" si="17"/>
        <v>450014015720</v>
      </c>
      <c r="D1130" s="3" t="s">
        <v>863</v>
      </c>
    </row>
    <row r="1131" spans="1:4" x14ac:dyDescent="0.3">
      <c r="A1131" s="3" t="s">
        <v>1194</v>
      </c>
      <c r="B1131" s="3" t="s">
        <v>21</v>
      </c>
      <c r="C1131" s="3" t="str">
        <f t="shared" si="17"/>
        <v>450014015730</v>
      </c>
      <c r="D1131" s="3" t="s">
        <v>863</v>
      </c>
    </row>
    <row r="1132" spans="1:4" x14ac:dyDescent="0.3">
      <c r="A1132" s="3" t="s">
        <v>1199</v>
      </c>
      <c r="B1132" s="3" t="s">
        <v>33</v>
      </c>
      <c r="C1132" s="3" t="str">
        <f t="shared" si="17"/>
        <v>450014020310</v>
      </c>
      <c r="D1132" s="3" t="s">
        <v>865</v>
      </c>
    </row>
    <row r="1133" spans="1:4" x14ac:dyDescent="0.3">
      <c r="A1133" s="3" t="s">
        <v>1215</v>
      </c>
      <c r="B1133" s="3" t="s">
        <v>33</v>
      </c>
      <c r="C1133" s="3" t="str">
        <f t="shared" si="17"/>
        <v>450014006410</v>
      </c>
      <c r="D1133" s="3" t="s">
        <v>865</v>
      </c>
    </row>
    <row r="1134" spans="1:4" x14ac:dyDescent="0.3">
      <c r="A1134" s="3" t="s">
        <v>1231</v>
      </c>
      <c r="B1134" s="3" t="s">
        <v>33</v>
      </c>
      <c r="C1134" s="3" t="str">
        <f t="shared" si="17"/>
        <v>450014026210</v>
      </c>
      <c r="D1134" s="3" t="s">
        <v>860</v>
      </c>
    </row>
    <row r="1135" spans="1:4" x14ac:dyDescent="0.3">
      <c r="A1135" s="3" t="s">
        <v>1243</v>
      </c>
      <c r="B1135" s="3" t="s">
        <v>33</v>
      </c>
      <c r="C1135" s="3" t="str">
        <f t="shared" si="17"/>
        <v>450014063310</v>
      </c>
      <c r="D1135" s="3" t="s">
        <v>863</v>
      </c>
    </row>
    <row r="1136" spans="1:4" x14ac:dyDescent="0.3">
      <c r="A1136" s="3" t="s">
        <v>1215</v>
      </c>
      <c r="B1136" s="3" t="s">
        <v>635</v>
      </c>
      <c r="C1136" s="3" t="str">
        <f t="shared" si="17"/>
        <v>4500140064300</v>
      </c>
      <c r="D1136" s="3" t="s">
        <v>865</v>
      </c>
    </row>
    <row r="1137" spans="1:4" x14ac:dyDescent="0.3">
      <c r="A1137" s="3" t="s">
        <v>1204</v>
      </c>
      <c r="B1137" s="3" t="s">
        <v>21</v>
      </c>
      <c r="C1137" s="3" t="str">
        <f t="shared" si="17"/>
        <v>450014024730</v>
      </c>
      <c r="D1137" s="3" t="s">
        <v>873</v>
      </c>
    </row>
    <row r="1138" spans="1:4" x14ac:dyDescent="0.3">
      <c r="A1138" s="3" t="s">
        <v>1207</v>
      </c>
      <c r="B1138" s="3" t="s">
        <v>33</v>
      </c>
      <c r="C1138" s="3" t="str">
        <f t="shared" si="17"/>
        <v>450014005610</v>
      </c>
      <c r="D1138" s="3" t="s">
        <v>872</v>
      </c>
    </row>
    <row r="1139" spans="1:4" x14ac:dyDescent="0.3">
      <c r="A1139" s="3" t="s">
        <v>1204</v>
      </c>
      <c r="B1139" s="3" t="s">
        <v>20</v>
      </c>
      <c r="C1139" s="3" t="str">
        <f t="shared" si="17"/>
        <v>450014024720</v>
      </c>
      <c r="D1139" s="3" t="s">
        <v>873</v>
      </c>
    </row>
    <row r="1140" spans="1:4" x14ac:dyDescent="0.3">
      <c r="A1140" s="3" t="s">
        <v>1215</v>
      </c>
      <c r="B1140" s="3" t="s">
        <v>20</v>
      </c>
      <c r="C1140" s="3" t="str">
        <f t="shared" si="17"/>
        <v>450014006420</v>
      </c>
      <c r="D1140" s="3" t="s">
        <v>865</v>
      </c>
    </row>
    <row r="1141" spans="1:4" x14ac:dyDescent="0.3">
      <c r="A1141" s="3" t="s">
        <v>1215</v>
      </c>
      <c r="B1141" s="3" t="s">
        <v>21</v>
      </c>
      <c r="C1141" s="3" t="str">
        <f t="shared" si="17"/>
        <v>450014006430</v>
      </c>
      <c r="D1141" s="3" t="s">
        <v>865</v>
      </c>
    </row>
    <row r="1142" spans="1:4" x14ac:dyDescent="0.3">
      <c r="A1142" s="3" t="s">
        <v>1215</v>
      </c>
      <c r="B1142" s="3" t="s">
        <v>25</v>
      </c>
      <c r="C1142" s="3" t="str">
        <f t="shared" si="17"/>
        <v>450014006440</v>
      </c>
      <c r="D1142" s="3" t="s">
        <v>865</v>
      </c>
    </row>
    <row r="1143" spans="1:4" x14ac:dyDescent="0.3">
      <c r="A1143" s="3" t="s">
        <v>1215</v>
      </c>
      <c r="B1143" s="3" t="s">
        <v>22</v>
      </c>
      <c r="C1143" s="3" t="str">
        <f t="shared" si="17"/>
        <v>450014006450</v>
      </c>
      <c r="D1143" s="3" t="s">
        <v>865</v>
      </c>
    </row>
    <row r="1144" spans="1:4" x14ac:dyDescent="0.3">
      <c r="A1144" s="3" t="s">
        <v>1215</v>
      </c>
      <c r="B1144" s="3" t="s">
        <v>23</v>
      </c>
      <c r="C1144" s="3" t="str">
        <f t="shared" si="17"/>
        <v>450014006460</v>
      </c>
      <c r="D1144" s="3" t="s">
        <v>865</v>
      </c>
    </row>
    <row r="1145" spans="1:4" x14ac:dyDescent="0.3">
      <c r="A1145" s="3" t="s">
        <v>1215</v>
      </c>
      <c r="B1145" s="3" t="s">
        <v>24</v>
      </c>
      <c r="C1145" s="3" t="str">
        <f t="shared" si="17"/>
        <v>450014006470</v>
      </c>
      <c r="D1145" s="3" t="s">
        <v>865</v>
      </c>
    </row>
    <row r="1146" spans="1:4" x14ac:dyDescent="0.3">
      <c r="A1146" s="3" t="s">
        <v>1215</v>
      </c>
      <c r="B1146" s="3" t="s">
        <v>321</v>
      </c>
      <c r="C1146" s="3" t="str">
        <f t="shared" si="17"/>
        <v>450014006480</v>
      </c>
      <c r="D1146" s="3" t="s">
        <v>865</v>
      </c>
    </row>
    <row r="1147" spans="1:4" x14ac:dyDescent="0.3">
      <c r="A1147" s="3" t="s">
        <v>1215</v>
      </c>
      <c r="B1147" s="3" t="s">
        <v>322</v>
      </c>
      <c r="C1147" s="3" t="str">
        <f t="shared" si="17"/>
        <v>450014006490</v>
      </c>
      <c r="D1147" s="3" t="s">
        <v>865</v>
      </c>
    </row>
    <row r="1148" spans="1:4" x14ac:dyDescent="0.3">
      <c r="A1148" s="3" t="s">
        <v>1215</v>
      </c>
      <c r="B1148" s="3" t="s">
        <v>323</v>
      </c>
      <c r="C1148" s="3" t="str">
        <f t="shared" si="17"/>
        <v>4500140064100</v>
      </c>
      <c r="D1148" s="3" t="s">
        <v>865</v>
      </c>
    </row>
    <row r="1149" spans="1:4" x14ac:dyDescent="0.3">
      <c r="A1149" s="3" t="s">
        <v>1215</v>
      </c>
      <c r="B1149" s="3" t="s">
        <v>175</v>
      </c>
      <c r="C1149" s="3" t="str">
        <f t="shared" ref="C1149:C1212" si="18">_xlfn.CONCAT(A1149:B1149)</f>
        <v>4500140064110</v>
      </c>
      <c r="D1149" s="3" t="s">
        <v>865</v>
      </c>
    </row>
    <row r="1150" spans="1:4" x14ac:dyDescent="0.3">
      <c r="A1150" s="3" t="s">
        <v>1215</v>
      </c>
      <c r="B1150" s="3" t="s">
        <v>375</v>
      </c>
      <c r="C1150" s="3" t="str">
        <f t="shared" si="18"/>
        <v>4500140064120</v>
      </c>
      <c r="D1150" s="3" t="s">
        <v>865</v>
      </c>
    </row>
    <row r="1151" spans="1:4" x14ac:dyDescent="0.3">
      <c r="A1151" s="3" t="s">
        <v>1215</v>
      </c>
      <c r="B1151" s="3" t="s">
        <v>203</v>
      </c>
      <c r="C1151" s="3" t="str">
        <f t="shared" si="18"/>
        <v>4500140064130</v>
      </c>
      <c r="D1151" s="3" t="s">
        <v>865</v>
      </c>
    </row>
    <row r="1152" spans="1:4" x14ac:dyDescent="0.3">
      <c r="A1152" s="3" t="s">
        <v>1215</v>
      </c>
      <c r="B1152" s="3" t="s">
        <v>376</v>
      </c>
      <c r="C1152" s="3" t="str">
        <f t="shared" si="18"/>
        <v>4500140064140</v>
      </c>
      <c r="D1152" s="3" t="s">
        <v>865</v>
      </c>
    </row>
    <row r="1153" spans="1:4" x14ac:dyDescent="0.3">
      <c r="A1153" s="3" t="s">
        <v>1215</v>
      </c>
      <c r="B1153" s="3" t="s">
        <v>377</v>
      </c>
      <c r="C1153" s="3" t="str">
        <f t="shared" si="18"/>
        <v>4500140064150</v>
      </c>
      <c r="D1153" s="3" t="s">
        <v>865</v>
      </c>
    </row>
    <row r="1154" spans="1:4" x14ac:dyDescent="0.3">
      <c r="A1154" s="3" t="s">
        <v>1215</v>
      </c>
      <c r="B1154" s="3" t="s">
        <v>378</v>
      </c>
      <c r="C1154" s="3" t="str">
        <f t="shared" si="18"/>
        <v>4500140064160</v>
      </c>
      <c r="D1154" s="3" t="s">
        <v>865</v>
      </c>
    </row>
    <row r="1155" spans="1:4" x14ac:dyDescent="0.3">
      <c r="A1155" s="3" t="s">
        <v>1215</v>
      </c>
      <c r="B1155" s="3" t="s">
        <v>324</v>
      </c>
      <c r="C1155" s="3" t="str">
        <f t="shared" si="18"/>
        <v>4500140064170</v>
      </c>
      <c r="D1155" s="3" t="s">
        <v>865</v>
      </c>
    </row>
    <row r="1156" spans="1:4" x14ac:dyDescent="0.3">
      <c r="A1156" s="3" t="s">
        <v>1215</v>
      </c>
      <c r="B1156" s="3" t="s">
        <v>325</v>
      </c>
      <c r="C1156" s="3" t="str">
        <f t="shared" si="18"/>
        <v>4500140064180</v>
      </c>
      <c r="D1156" s="3" t="s">
        <v>865</v>
      </c>
    </row>
    <row r="1157" spans="1:4" x14ac:dyDescent="0.3">
      <c r="A1157" s="3" t="s">
        <v>1215</v>
      </c>
      <c r="B1157" s="3" t="s">
        <v>379</v>
      </c>
      <c r="C1157" s="3" t="str">
        <f t="shared" si="18"/>
        <v>4500140064190</v>
      </c>
      <c r="D1157" s="3" t="s">
        <v>865</v>
      </c>
    </row>
    <row r="1158" spans="1:4" x14ac:dyDescent="0.3">
      <c r="A1158" s="3" t="s">
        <v>1215</v>
      </c>
      <c r="B1158" s="3" t="s">
        <v>380</v>
      </c>
      <c r="C1158" s="3" t="str">
        <f t="shared" si="18"/>
        <v>4500140064200</v>
      </c>
      <c r="D1158" s="3" t="s">
        <v>865</v>
      </c>
    </row>
    <row r="1159" spans="1:4" x14ac:dyDescent="0.3">
      <c r="A1159" s="3" t="s">
        <v>1215</v>
      </c>
      <c r="B1159" s="3" t="s">
        <v>326</v>
      </c>
      <c r="C1159" s="3" t="str">
        <f t="shared" si="18"/>
        <v>4500140064210</v>
      </c>
      <c r="D1159" s="3" t="s">
        <v>865</v>
      </c>
    </row>
    <row r="1160" spans="1:4" x14ac:dyDescent="0.3">
      <c r="A1160" s="3" t="s">
        <v>1215</v>
      </c>
      <c r="B1160" s="3" t="s">
        <v>413</v>
      </c>
      <c r="C1160" s="3" t="str">
        <f t="shared" si="18"/>
        <v>4500140064220</v>
      </c>
      <c r="D1160" s="3" t="s">
        <v>865</v>
      </c>
    </row>
    <row r="1161" spans="1:4" x14ac:dyDescent="0.3">
      <c r="A1161" s="3" t="s">
        <v>1215</v>
      </c>
      <c r="B1161" s="3" t="s">
        <v>327</v>
      </c>
      <c r="C1161" s="3" t="str">
        <f t="shared" si="18"/>
        <v>4500140064230</v>
      </c>
      <c r="D1161" s="3" t="s">
        <v>865</v>
      </c>
    </row>
    <row r="1162" spans="1:4" x14ac:dyDescent="0.3">
      <c r="A1162" s="3" t="s">
        <v>1215</v>
      </c>
      <c r="B1162" s="3" t="s">
        <v>328</v>
      </c>
      <c r="C1162" s="3" t="str">
        <f t="shared" si="18"/>
        <v>4500140064240</v>
      </c>
      <c r="D1162" s="3" t="s">
        <v>865</v>
      </c>
    </row>
    <row r="1163" spans="1:4" x14ac:dyDescent="0.3">
      <c r="A1163" s="3" t="s">
        <v>1215</v>
      </c>
      <c r="B1163" s="3" t="s">
        <v>329</v>
      </c>
      <c r="C1163" s="3" t="str">
        <f t="shared" si="18"/>
        <v>4500140064250</v>
      </c>
      <c r="D1163" s="3" t="s">
        <v>865</v>
      </c>
    </row>
    <row r="1164" spans="1:4" x14ac:dyDescent="0.3">
      <c r="A1164" s="3" t="s">
        <v>1215</v>
      </c>
      <c r="B1164" s="3" t="s">
        <v>330</v>
      </c>
      <c r="C1164" s="3" t="str">
        <f t="shared" si="18"/>
        <v>4500140064260</v>
      </c>
      <c r="D1164" s="3" t="s">
        <v>865</v>
      </c>
    </row>
    <row r="1165" spans="1:4" x14ac:dyDescent="0.3">
      <c r="A1165" s="3" t="s">
        <v>1215</v>
      </c>
      <c r="B1165" s="3" t="s">
        <v>414</v>
      </c>
      <c r="C1165" s="3" t="str">
        <f t="shared" si="18"/>
        <v>4500140064270</v>
      </c>
      <c r="D1165" s="3" t="s">
        <v>865</v>
      </c>
    </row>
    <row r="1166" spans="1:4" x14ac:dyDescent="0.3">
      <c r="A1166" s="3" t="s">
        <v>1215</v>
      </c>
      <c r="B1166" s="3" t="s">
        <v>415</v>
      </c>
      <c r="C1166" s="3" t="str">
        <f t="shared" si="18"/>
        <v>4500140064280</v>
      </c>
      <c r="D1166" s="3" t="s">
        <v>865</v>
      </c>
    </row>
    <row r="1167" spans="1:4" x14ac:dyDescent="0.3">
      <c r="A1167" s="3" t="s">
        <v>1194</v>
      </c>
      <c r="B1167" s="3" t="s">
        <v>33</v>
      </c>
      <c r="C1167" s="3" t="str">
        <f t="shared" si="18"/>
        <v>450014015710</v>
      </c>
      <c r="D1167" s="3" t="s">
        <v>863</v>
      </c>
    </row>
    <row r="1168" spans="1:4" x14ac:dyDescent="0.3">
      <c r="A1168" s="3" t="s">
        <v>1057</v>
      </c>
      <c r="B1168" s="3" t="s">
        <v>33</v>
      </c>
      <c r="C1168" s="3" t="str">
        <f t="shared" si="18"/>
        <v>450014019310</v>
      </c>
      <c r="D1168" s="3" t="s">
        <v>863</v>
      </c>
    </row>
    <row r="1169" spans="1:4" x14ac:dyDescent="0.3">
      <c r="A1169" s="3" t="s">
        <v>1204</v>
      </c>
      <c r="B1169" s="3" t="s">
        <v>33</v>
      </c>
      <c r="C1169" s="3" t="str">
        <f t="shared" si="18"/>
        <v>450014024710</v>
      </c>
      <c r="D1169" s="3" t="s">
        <v>873</v>
      </c>
    </row>
    <row r="1170" spans="1:4" x14ac:dyDescent="0.3">
      <c r="A1170" s="3" t="s">
        <v>1102</v>
      </c>
      <c r="B1170" s="3" t="s">
        <v>33</v>
      </c>
      <c r="C1170" s="3" t="str">
        <f t="shared" si="18"/>
        <v>450014035410</v>
      </c>
      <c r="D1170" s="3" t="s">
        <v>1265</v>
      </c>
    </row>
    <row r="1171" spans="1:4" x14ac:dyDescent="0.3">
      <c r="A1171" s="3" t="s">
        <v>1209</v>
      </c>
      <c r="B1171" s="3" t="s">
        <v>33</v>
      </c>
      <c r="C1171" s="3" t="str">
        <f t="shared" si="18"/>
        <v>450014044410</v>
      </c>
      <c r="D1171" s="3" t="s">
        <v>865</v>
      </c>
    </row>
    <row r="1172" spans="1:4" x14ac:dyDescent="0.3">
      <c r="A1172" s="3" t="s">
        <v>1196</v>
      </c>
      <c r="B1172" s="3" t="s">
        <v>33</v>
      </c>
      <c r="C1172" s="3" t="str">
        <f t="shared" si="18"/>
        <v>450014076410</v>
      </c>
      <c r="D1172" s="3" t="s">
        <v>858</v>
      </c>
    </row>
    <row r="1173" spans="1:4" x14ac:dyDescent="0.3">
      <c r="A1173" s="3" t="s">
        <v>1075</v>
      </c>
      <c r="B1173" s="3" t="s">
        <v>22</v>
      </c>
      <c r="C1173" s="3" t="str">
        <f t="shared" si="18"/>
        <v>450014044950</v>
      </c>
      <c r="D1173" s="3" t="s">
        <v>863</v>
      </c>
    </row>
    <row r="1174" spans="1:4" x14ac:dyDescent="0.3">
      <c r="A1174" s="3" t="s">
        <v>1075</v>
      </c>
      <c r="B1174" s="3" t="s">
        <v>25</v>
      </c>
      <c r="C1174" s="3" t="str">
        <f t="shared" si="18"/>
        <v>450014044940</v>
      </c>
      <c r="D1174" s="3" t="s">
        <v>863</v>
      </c>
    </row>
    <row r="1175" spans="1:4" x14ac:dyDescent="0.3">
      <c r="A1175" s="3" t="s">
        <v>1075</v>
      </c>
      <c r="B1175" s="3" t="s">
        <v>21</v>
      </c>
      <c r="C1175" s="3" t="str">
        <f t="shared" si="18"/>
        <v>450014044930</v>
      </c>
      <c r="D1175" s="3" t="s">
        <v>863</v>
      </c>
    </row>
    <row r="1176" spans="1:4" x14ac:dyDescent="0.3">
      <c r="A1176" s="3" t="s">
        <v>1075</v>
      </c>
      <c r="B1176" s="3" t="s">
        <v>20</v>
      </c>
      <c r="C1176" s="3" t="str">
        <f t="shared" si="18"/>
        <v>450014044920</v>
      </c>
      <c r="D1176" s="3" t="s">
        <v>863</v>
      </c>
    </row>
    <row r="1177" spans="1:4" x14ac:dyDescent="0.3">
      <c r="A1177" s="3" t="s">
        <v>1075</v>
      </c>
      <c r="B1177" s="3" t="s">
        <v>33</v>
      </c>
      <c r="C1177" s="3" t="str">
        <f t="shared" si="18"/>
        <v>450014044910</v>
      </c>
      <c r="D1177" s="3" t="s">
        <v>863</v>
      </c>
    </row>
    <row r="1178" spans="1:4" x14ac:dyDescent="0.3">
      <c r="A1178" s="3" t="s">
        <v>1206</v>
      </c>
      <c r="B1178" s="3" t="s">
        <v>33</v>
      </c>
      <c r="C1178" s="3" t="str">
        <f t="shared" si="18"/>
        <v>450014053210</v>
      </c>
      <c r="D1178" s="3" t="s">
        <v>873</v>
      </c>
    </row>
    <row r="1179" spans="1:4" x14ac:dyDescent="0.3">
      <c r="A1179" s="3" t="s">
        <v>1232</v>
      </c>
      <c r="B1179" s="3" t="s">
        <v>33</v>
      </c>
      <c r="C1179" s="3" t="str">
        <f t="shared" si="18"/>
        <v>450014058710</v>
      </c>
      <c r="D1179" s="3" t="s">
        <v>863</v>
      </c>
    </row>
    <row r="1180" spans="1:4" x14ac:dyDescent="0.3">
      <c r="A1180" s="3" t="s">
        <v>1232</v>
      </c>
      <c r="B1180" s="3" t="s">
        <v>20</v>
      </c>
      <c r="C1180" s="3" t="str">
        <f t="shared" si="18"/>
        <v>450014058720</v>
      </c>
      <c r="D1180" s="3" t="s">
        <v>863</v>
      </c>
    </row>
    <row r="1181" spans="1:4" x14ac:dyDescent="0.3">
      <c r="A1181" s="3" t="s">
        <v>1209</v>
      </c>
      <c r="B1181" s="3" t="s">
        <v>20</v>
      </c>
      <c r="C1181" s="3" t="str">
        <f t="shared" si="18"/>
        <v>450014044420</v>
      </c>
      <c r="D1181" s="3" t="s">
        <v>865</v>
      </c>
    </row>
    <row r="1182" spans="1:4" x14ac:dyDescent="0.3">
      <c r="A1182" s="3" t="s">
        <v>1209</v>
      </c>
      <c r="B1182" s="3" t="s">
        <v>21</v>
      </c>
      <c r="C1182" s="3" t="str">
        <f t="shared" si="18"/>
        <v>450014044430</v>
      </c>
      <c r="D1182" s="3" t="s">
        <v>865</v>
      </c>
    </row>
    <row r="1183" spans="1:4" x14ac:dyDescent="0.3">
      <c r="A1183" s="3" t="s">
        <v>1209</v>
      </c>
      <c r="B1183" s="3" t="s">
        <v>25</v>
      </c>
      <c r="C1183" s="3" t="str">
        <f t="shared" si="18"/>
        <v>450014044440</v>
      </c>
      <c r="D1183" s="3" t="s">
        <v>865</v>
      </c>
    </row>
    <row r="1184" spans="1:4" x14ac:dyDescent="0.3">
      <c r="A1184" s="3" t="s">
        <v>1209</v>
      </c>
      <c r="B1184" s="3" t="s">
        <v>22</v>
      </c>
      <c r="C1184" s="3" t="str">
        <f t="shared" si="18"/>
        <v>450014044450</v>
      </c>
      <c r="D1184" s="3" t="s">
        <v>865</v>
      </c>
    </row>
    <row r="1185" spans="1:4" x14ac:dyDescent="0.3">
      <c r="A1185" s="3" t="s">
        <v>1209</v>
      </c>
      <c r="B1185" s="3" t="s">
        <v>23</v>
      </c>
      <c r="C1185" s="3" t="str">
        <f t="shared" si="18"/>
        <v>450014044460</v>
      </c>
      <c r="D1185" s="3" t="s">
        <v>865</v>
      </c>
    </row>
    <row r="1186" spans="1:4" x14ac:dyDescent="0.3">
      <c r="A1186" s="3" t="s">
        <v>1232</v>
      </c>
      <c r="B1186" s="3" t="s">
        <v>21</v>
      </c>
      <c r="C1186" s="3" t="str">
        <f t="shared" si="18"/>
        <v>450014058730</v>
      </c>
      <c r="D1186" s="3" t="s">
        <v>863</v>
      </c>
    </row>
    <row r="1187" spans="1:4" x14ac:dyDescent="0.3">
      <c r="A1187" s="3" t="s">
        <v>1232</v>
      </c>
      <c r="B1187" s="3" t="s">
        <v>25</v>
      </c>
      <c r="C1187" s="3" t="str">
        <f t="shared" si="18"/>
        <v>450014058740</v>
      </c>
      <c r="D1187" s="3" t="s">
        <v>863</v>
      </c>
    </row>
    <row r="1188" spans="1:4" x14ac:dyDescent="0.3">
      <c r="A1188" s="3" t="s">
        <v>1189</v>
      </c>
      <c r="B1188" s="3" t="s">
        <v>33</v>
      </c>
      <c r="C1188" s="3" t="str">
        <f t="shared" si="18"/>
        <v>450014054510</v>
      </c>
      <c r="D1188" s="3" t="s">
        <v>875</v>
      </c>
    </row>
    <row r="1189" spans="1:4" x14ac:dyDescent="0.3">
      <c r="A1189" s="3" t="s">
        <v>1218</v>
      </c>
      <c r="B1189" s="3" t="s">
        <v>33</v>
      </c>
      <c r="C1189" s="3" t="str">
        <f t="shared" si="18"/>
        <v>450014072210</v>
      </c>
      <c r="D1189" s="3" t="s">
        <v>865</v>
      </c>
    </row>
    <row r="1190" spans="1:4" x14ac:dyDescent="0.3">
      <c r="A1190" s="3" t="s">
        <v>1244</v>
      </c>
      <c r="B1190" s="3" t="s">
        <v>33</v>
      </c>
      <c r="C1190" s="3" t="str">
        <f t="shared" si="18"/>
        <v>450013854410</v>
      </c>
      <c r="D1190" s="3" t="s">
        <v>861</v>
      </c>
    </row>
    <row r="1191" spans="1:4" x14ac:dyDescent="0.3">
      <c r="A1191" s="3" t="s">
        <v>1283</v>
      </c>
      <c r="B1191" s="3" t="s">
        <v>33</v>
      </c>
      <c r="C1191" s="3" t="str">
        <f t="shared" si="18"/>
        <v>450013493810</v>
      </c>
      <c r="D1191" s="3" t="s">
        <v>863</v>
      </c>
    </row>
    <row r="1192" spans="1:4" x14ac:dyDescent="0.3">
      <c r="A1192" s="3" t="s">
        <v>1283</v>
      </c>
      <c r="B1192" s="3" t="s">
        <v>20</v>
      </c>
      <c r="C1192" s="3" t="str">
        <f t="shared" si="18"/>
        <v>450013493820</v>
      </c>
      <c r="D1192" s="3" t="s">
        <v>863</v>
      </c>
    </row>
    <row r="1193" spans="1:4" x14ac:dyDescent="0.3">
      <c r="A1193" s="3" t="s">
        <v>1283</v>
      </c>
      <c r="B1193" s="3" t="s">
        <v>21</v>
      </c>
      <c r="C1193" s="3" t="str">
        <f t="shared" si="18"/>
        <v>450013493830</v>
      </c>
      <c r="D1193" s="3" t="s">
        <v>863</v>
      </c>
    </row>
    <row r="1194" spans="1:4" x14ac:dyDescent="0.3">
      <c r="A1194" s="3" t="s">
        <v>1304</v>
      </c>
      <c r="B1194" s="3" t="s">
        <v>33</v>
      </c>
      <c r="C1194" s="3" t="str">
        <f t="shared" si="18"/>
        <v>450013539510</v>
      </c>
      <c r="D1194" s="3" t="s">
        <v>860</v>
      </c>
    </row>
    <row r="1195" spans="1:4" x14ac:dyDescent="0.3">
      <c r="A1195" s="3" t="s">
        <v>1304</v>
      </c>
      <c r="B1195" s="3" t="s">
        <v>20</v>
      </c>
      <c r="C1195" s="3" t="str">
        <f t="shared" si="18"/>
        <v>450013539520</v>
      </c>
      <c r="D1195" s="3" t="s">
        <v>860</v>
      </c>
    </row>
    <row r="1196" spans="1:4" x14ac:dyDescent="0.3">
      <c r="A1196" s="3" t="s">
        <v>1304</v>
      </c>
      <c r="B1196" s="3" t="s">
        <v>21</v>
      </c>
      <c r="C1196" s="3" t="str">
        <f t="shared" si="18"/>
        <v>450013539530</v>
      </c>
      <c r="D1196" s="3" t="s">
        <v>860</v>
      </c>
    </row>
    <row r="1197" spans="1:4" x14ac:dyDescent="0.3">
      <c r="A1197" s="3" t="s">
        <v>1304</v>
      </c>
      <c r="B1197" s="3" t="s">
        <v>25</v>
      </c>
      <c r="C1197" s="3" t="str">
        <f t="shared" si="18"/>
        <v>450013539540</v>
      </c>
      <c r="D1197" s="3" t="s">
        <v>860</v>
      </c>
    </row>
    <row r="1198" spans="1:4" x14ac:dyDescent="0.3">
      <c r="A1198" s="3" t="s">
        <v>1304</v>
      </c>
      <c r="B1198" s="3" t="s">
        <v>22</v>
      </c>
      <c r="C1198" s="3" t="str">
        <f t="shared" si="18"/>
        <v>450013539550</v>
      </c>
      <c r="D1198" s="3" t="s">
        <v>860</v>
      </c>
    </row>
    <row r="1199" spans="1:4" x14ac:dyDescent="0.3">
      <c r="A1199" s="3" t="s">
        <v>1290</v>
      </c>
      <c r="B1199" s="3" t="s">
        <v>33</v>
      </c>
      <c r="C1199" s="3" t="str">
        <f t="shared" si="18"/>
        <v>450013875510</v>
      </c>
      <c r="D1199" s="3" t="s">
        <v>863</v>
      </c>
    </row>
    <row r="1200" spans="1:4" x14ac:dyDescent="0.3">
      <c r="A1200" s="3" t="s">
        <v>1290</v>
      </c>
      <c r="B1200" s="3" t="s">
        <v>25</v>
      </c>
      <c r="C1200" s="3" t="str">
        <f t="shared" si="18"/>
        <v>450013875540</v>
      </c>
      <c r="D1200" s="3" t="s">
        <v>863</v>
      </c>
    </row>
    <row r="1201" spans="1:4" x14ac:dyDescent="0.3">
      <c r="A1201" s="3" t="s">
        <v>1290</v>
      </c>
      <c r="B1201" s="3" t="s">
        <v>20</v>
      </c>
      <c r="C1201" s="3" t="str">
        <f t="shared" si="18"/>
        <v>450013875520</v>
      </c>
      <c r="D1201" s="3" t="s">
        <v>863</v>
      </c>
    </row>
    <row r="1202" spans="1:4" x14ac:dyDescent="0.3">
      <c r="A1202" s="3" t="s">
        <v>1290</v>
      </c>
      <c r="B1202" s="3" t="s">
        <v>21</v>
      </c>
      <c r="C1202" s="3" t="str">
        <f t="shared" si="18"/>
        <v>450013875530</v>
      </c>
      <c r="D1202" s="3" t="s">
        <v>863</v>
      </c>
    </row>
    <row r="1203" spans="1:4" x14ac:dyDescent="0.3">
      <c r="A1203" s="3" t="s">
        <v>1288</v>
      </c>
      <c r="B1203" s="3" t="s">
        <v>33</v>
      </c>
      <c r="C1203" s="3" t="str">
        <f t="shared" si="18"/>
        <v>450013937610</v>
      </c>
      <c r="D1203" s="3" t="s">
        <v>863</v>
      </c>
    </row>
    <row r="1204" spans="1:4" x14ac:dyDescent="0.3">
      <c r="A1204" s="3" t="s">
        <v>1286</v>
      </c>
      <c r="B1204" s="3" t="s">
        <v>33</v>
      </c>
      <c r="C1204" s="3" t="str">
        <f t="shared" si="18"/>
        <v>450013947510</v>
      </c>
      <c r="D1204" s="3" t="s">
        <v>863</v>
      </c>
    </row>
    <row r="1205" spans="1:4" x14ac:dyDescent="0.3">
      <c r="A1205" s="3" t="s">
        <v>1306</v>
      </c>
      <c r="B1205" s="3" t="s">
        <v>33</v>
      </c>
      <c r="C1205" s="3" t="str">
        <f t="shared" si="18"/>
        <v>450014052410</v>
      </c>
      <c r="D1205" s="3" t="s">
        <v>865</v>
      </c>
    </row>
    <row r="1206" spans="1:4" x14ac:dyDescent="0.3">
      <c r="A1206" s="3" t="s">
        <v>1306</v>
      </c>
      <c r="B1206" s="3" t="s">
        <v>20</v>
      </c>
      <c r="C1206" s="3" t="str">
        <f t="shared" si="18"/>
        <v>450014052420</v>
      </c>
      <c r="D1206" s="3" t="s">
        <v>865</v>
      </c>
    </row>
    <row r="1207" spans="1:4" x14ac:dyDescent="0.3">
      <c r="A1207" s="3" t="s">
        <v>1278</v>
      </c>
      <c r="B1207" s="3" t="s">
        <v>33</v>
      </c>
      <c r="C1207" s="3" t="str">
        <f t="shared" si="18"/>
        <v>450014056610</v>
      </c>
      <c r="D1207" s="3" t="s">
        <v>860</v>
      </c>
    </row>
    <row r="1208" spans="1:4" x14ac:dyDescent="0.3">
      <c r="A1208" s="3" t="s">
        <v>1292</v>
      </c>
      <c r="B1208" s="3" t="s">
        <v>33</v>
      </c>
      <c r="C1208" s="3" t="str">
        <f t="shared" si="18"/>
        <v>450014087310</v>
      </c>
      <c r="D1208" s="3" t="s">
        <v>865</v>
      </c>
    </row>
    <row r="1209" spans="1:4" x14ac:dyDescent="0.3">
      <c r="A1209" s="3" t="s">
        <v>1241</v>
      </c>
      <c r="B1209" s="3" t="s">
        <v>33</v>
      </c>
      <c r="C1209" s="3" t="str">
        <f t="shared" si="18"/>
        <v>450014084110</v>
      </c>
      <c r="D1209" s="3" t="s">
        <v>872</v>
      </c>
    </row>
    <row r="1210" spans="1:4" x14ac:dyDescent="0.3">
      <c r="A1210" s="3" t="s">
        <v>1297</v>
      </c>
      <c r="B1210" s="3" t="s">
        <v>33</v>
      </c>
      <c r="C1210" s="3" t="str">
        <f t="shared" si="18"/>
        <v>450014099810</v>
      </c>
      <c r="D1210" s="3" t="s">
        <v>865</v>
      </c>
    </row>
    <row r="1211" spans="1:4" x14ac:dyDescent="0.3">
      <c r="A1211" s="3" t="s">
        <v>1297</v>
      </c>
      <c r="B1211" s="3" t="s">
        <v>20</v>
      </c>
      <c r="C1211" s="3" t="str">
        <f t="shared" si="18"/>
        <v>450014099820</v>
      </c>
      <c r="D1211" s="3" t="s">
        <v>865</v>
      </c>
    </row>
    <row r="1212" spans="1:4" x14ac:dyDescent="0.3">
      <c r="A1212" s="3" t="s">
        <v>1297</v>
      </c>
      <c r="B1212" s="3" t="s">
        <v>21</v>
      </c>
      <c r="C1212" s="3" t="str">
        <f t="shared" si="18"/>
        <v>450014099830</v>
      </c>
      <c r="D1212" s="3" t="s">
        <v>865</v>
      </c>
    </row>
    <row r="1213" spans="1:4" x14ac:dyDescent="0.3">
      <c r="A1213" s="3" t="s">
        <v>1297</v>
      </c>
      <c r="B1213" s="3" t="s">
        <v>25</v>
      </c>
      <c r="C1213" s="3" t="str">
        <f t="shared" ref="C1213:C1234" si="19">_xlfn.CONCAT(A1213:B1213)</f>
        <v>450014099840</v>
      </c>
      <c r="D1213" s="3" t="s">
        <v>865</v>
      </c>
    </row>
    <row r="1214" spans="1:4" x14ac:dyDescent="0.3">
      <c r="A1214" s="3" t="s">
        <v>1297</v>
      </c>
      <c r="B1214" s="3" t="s">
        <v>22</v>
      </c>
      <c r="C1214" s="3" t="str">
        <f t="shared" si="19"/>
        <v>450014099850</v>
      </c>
      <c r="D1214" s="3" t="s">
        <v>865</v>
      </c>
    </row>
    <row r="1215" spans="1:4" x14ac:dyDescent="0.3">
      <c r="A1215" s="3" t="s">
        <v>1297</v>
      </c>
      <c r="B1215" s="3" t="s">
        <v>23</v>
      </c>
      <c r="C1215" s="3" t="str">
        <f t="shared" si="19"/>
        <v>450014099860</v>
      </c>
      <c r="D1215" s="3" t="s">
        <v>865</v>
      </c>
    </row>
    <row r="1216" spans="1:4" x14ac:dyDescent="0.3">
      <c r="A1216" s="3" t="s">
        <v>1276</v>
      </c>
      <c r="B1216" s="3" t="s">
        <v>20</v>
      </c>
      <c r="C1216" s="3" t="str">
        <f t="shared" si="19"/>
        <v>450014026520</v>
      </c>
      <c r="D1216" s="3" t="s">
        <v>860</v>
      </c>
    </row>
    <row r="1217" spans="1:4" x14ac:dyDescent="0.3">
      <c r="A1217" s="3" t="s">
        <v>1295</v>
      </c>
      <c r="B1217" s="3" t="s">
        <v>24</v>
      </c>
      <c r="C1217" s="3" t="str">
        <f t="shared" si="19"/>
        <v>450014051270</v>
      </c>
      <c r="D1217" s="3" t="s">
        <v>863</v>
      </c>
    </row>
    <row r="1218" spans="1:4" x14ac:dyDescent="0.3">
      <c r="A1218" s="3" t="s">
        <v>1295</v>
      </c>
      <c r="B1218" s="3" t="s">
        <v>321</v>
      </c>
      <c r="C1218" s="3" t="str">
        <f t="shared" si="19"/>
        <v>450014051280</v>
      </c>
      <c r="D1218" s="3" t="s">
        <v>863</v>
      </c>
    </row>
    <row r="1219" spans="1:4" x14ac:dyDescent="0.3">
      <c r="A1219" s="3" t="s">
        <v>1295</v>
      </c>
      <c r="B1219" s="3" t="s">
        <v>22</v>
      </c>
      <c r="C1219" s="3" t="str">
        <f t="shared" si="19"/>
        <v>450014051250</v>
      </c>
      <c r="D1219" s="3" t="s">
        <v>863</v>
      </c>
    </row>
    <row r="1220" spans="1:4" x14ac:dyDescent="0.3">
      <c r="A1220" s="3" t="s">
        <v>1063</v>
      </c>
      <c r="B1220" s="3" t="s">
        <v>21</v>
      </c>
      <c r="C1220" s="3" t="str">
        <f t="shared" si="19"/>
        <v>450014045030</v>
      </c>
      <c r="D1220" s="3" t="s">
        <v>863</v>
      </c>
    </row>
    <row r="1221" spans="1:4" x14ac:dyDescent="0.3">
      <c r="A1221" s="3" t="s">
        <v>1063</v>
      </c>
      <c r="B1221" s="3" t="s">
        <v>20</v>
      </c>
      <c r="C1221" s="3" t="str">
        <f t="shared" si="19"/>
        <v>450014045020</v>
      </c>
      <c r="D1221" s="3" t="s">
        <v>863</v>
      </c>
    </row>
    <row r="1222" spans="1:4" x14ac:dyDescent="0.3">
      <c r="A1222" s="3" t="s">
        <v>1295</v>
      </c>
      <c r="B1222" s="3" t="s">
        <v>33</v>
      </c>
      <c r="C1222" s="3" t="str">
        <f t="shared" si="19"/>
        <v>450014051210</v>
      </c>
      <c r="D1222" s="3" t="s">
        <v>863</v>
      </c>
    </row>
    <row r="1223" spans="1:4" x14ac:dyDescent="0.3">
      <c r="A1223" s="3" t="s">
        <v>1295</v>
      </c>
      <c r="B1223" s="3" t="s">
        <v>20</v>
      </c>
      <c r="C1223" s="3" t="str">
        <f t="shared" si="19"/>
        <v>450014051220</v>
      </c>
      <c r="D1223" s="3" t="s">
        <v>863</v>
      </c>
    </row>
    <row r="1224" spans="1:4" x14ac:dyDescent="0.3">
      <c r="A1224" s="3" t="s">
        <v>1295</v>
      </c>
      <c r="B1224" s="3" t="s">
        <v>21</v>
      </c>
      <c r="C1224" s="3" t="str">
        <f t="shared" si="19"/>
        <v>450014051230</v>
      </c>
      <c r="D1224" s="3" t="s">
        <v>863</v>
      </c>
    </row>
    <row r="1225" spans="1:4" x14ac:dyDescent="0.3">
      <c r="A1225" s="3" t="s">
        <v>1295</v>
      </c>
      <c r="B1225" s="3" t="s">
        <v>25</v>
      </c>
      <c r="C1225" s="3" t="str">
        <f t="shared" si="19"/>
        <v>450014051240</v>
      </c>
      <c r="D1225" s="3" t="s">
        <v>863</v>
      </c>
    </row>
    <row r="1226" spans="1:4" x14ac:dyDescent="0.3">
      <c r="A1226" s="3" t="s">
        <v>1295</v>
      </c>
      <c r="B1226" s="3" t="s">
        <v>23</v>
      </c>
      <c r="C1226" s="3" t="str">
        <f t="shared" si="19"/>
        <v>450014051260</v>
      </c>
      <c r="D1226" s="3" t="s">
        <v>863</v>
      </c>
    </row>
    <row r="1227" spans="1:4" x14ac:dyDescent="0.3">
      <c r="A1227" s="3" t="s">
        <v>1300</v>
      </c>
      <c r="B1227" s="3" t="s">
        <v>20</v>
      </c>
      <c r="C1227" s="3" t="str">
        <f t="shared" si="19"/>
        <v>450014090520</v>
      </c>
      <c r="D1227" s="3" t="s">
        <v>881</v>
      </c>
    </row>
    <row r="1228" spans="1:4" x14ac:dyDescent="0.3">
      <c r="A1228" s="3" t="s">
        <v>1300</v>
      </c>
      <c r="B1228" s="3" t="s">
        <v>33</v>
      </c>
      <c r="C1228" s="3" t="str">
        <f t="shared" si="19"/>
        <v>450014090510</v>
      </c>
      <c r="D1228" s="3" t="s">
        <v>881</v>
      </c>
    </row>
    <row r="1229" spans="1:4" x14ac:dyDescent="0.3">
      <c r="A1229" s="3" t="s">
        <v>1273</v>
      </c>
      <c r="B1229" s="3" t="s">
        <v>33</v>
      </c>
      <c r="C1229" s="3" t="str">
        <f t="shared" si="19"/>
        <v>450014092510</v>
      </c>
      <c r="D1229" s="3" t="s">
        <v>863</v>
      </c>
    </row>
    <row r="1230" spans="1:4" x14ac:dyDescent="0.3">
      <c r="A1230" s="3" t="s">
        <v>1302</v>
      </c>
      <c r="B1230" s="3" t="s">
        <v>33</v>
      </c>
      <c r="C1230" s="3" t="str">
        <f t="shared" si="19"/>
        <v>450014111210</v>
      </c>
      <c r="D1230" s="3" t="s">
        <v>860</v>
      </c>
    </row>
    <row r="1231" spans="1:4" x14ac:dyDescent="0.3">
      <c r="A1231" s="3" t="s">
        <v>1281</v>
      </c>
      <c r="B1231" s="3" t="s">
        <v>33</v>
      </c>
      <c r="C1231" s="3" t="str">
        <f t="shared" si="19"/>
        <v>450014092210</v>
      </c>
      <c r="D1231" s="3" t="s">
        <v>860</v>
      </c>
    </row>
    <row r="1232" spans="1:4" x14ac:dyDescent="0.3">
      <c r="A1232" s="3" t="s">
        <v>1314</v>
      </c>
      <c r="B1232" s="3" t="s">
        <v>33</v>
      </c>
      <c r="C1232" s="3" t="str">
        <f t="shared" si="19"/>
        <v>450014107110</v>
      </c>
      <c r="D1232" s="3" t="s">
        <v>865</v>
      </c>
    </row>
    <row r="1233" spans="1:4" x14ac:dyDescent="0.3">
      <c r="A1233" s="3" t="s">
        <v>1312</v>
      </c>
      <c r="B1233" s="3" t="s">
        <v>33</v>
      </c>
      <c r="C1233" s="3" t="str">
        <f t="shared" si="19"/>
        <v>450014104110</v>
      </c>
      <c r="D1233" s="3" t="s">
        <v>863</v>
      </c>
    </row>
    <row r="1234" spans="1:4" x14ac:dyDescent="0.3">
      <c r="A1234" s="3" t="s">
        <v>1309</v>
      </c>
      <c r="B1234" s="3" t="s">
        <v>33</v>
      </c>
      <c r="C1234" s="3" t="str">
        <f t="shared" si="19"/>
        <v>450014115710</v>
      </c>
      <c r="D1234" s="3" t="s">
        <v>860</v>
      </c>
    </row>
  </sheetData>
  <autoFilter ref="A1:D1190" xr:uid="{7A8D4C7E-31FD-4FA6-A2C1-A1596C38BAB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5478-AA09-48F5-8E79-A7B3B89259FF}">
  <dimension ref="A1:F1259"/>
  <sheetViews>
    <sheetView topLeftCell="A1152" workbookViewId="0">
      <selection activeCell="E1264" sqref="E1264"/>
    </sheetView>
  </sheetViews>
  <sheetFormatPr baseColWidth="10" defaultRowHeight="14.4" x14ac:dyDescent="0.3"/>
  <cols>
    <col min="1" max="1" width="18" bestFit="1" customWidth="1"/>
    <col min="2" max="2" width="9" bestFit="1" customWidth="1"/>
    <col min="3" max="3" width="21.109375" customWidth="1"/>
    <col min="4" max="5" width="17" bestFit="1" customWidth="1"/>
    <col min="6" max="6" width="46" bestFit="1" customWidth="1"/>
  </cols>
  <sheetData>
    <row r="1" spans="1:6" x14ac:dyDescent="0.3">
      <c r="A1" s="1" t="s">
        <v>12</v>
      </c>
      <c r="B1" s="1" t="s">
        <v>13</v>
      </c>
      <c r="C1" s="1"/>
      <c r="D1" s="1" t="s">
        <v>696</v>
      </c>
      <c r="E1" s="1" t="s">
        <v>697</v>
      </c>
      <c r="F1" s="1" t="s">
        <v>698</v>
      </c>
    </row>
    <row r="2" spans="1:6" x14ac:dyDescent="0.3">
      <c r="A2" s="3" t="s">
        <v>830</v>
      </c>
      <c r="B2" s="3" t="s">
        <v>33</v>
      </c>
      <c r="C2" s="3" t="str">
        <f>_xlfn.CONCAT(A2:B2)</f>
        <v>450011764210</v>
      </c>
      <c r="D2" s="4">
        <v>46387</v>
      </c>
      <c r="E2" s="3" t="s">
        <v>842</v>
      </c>
      <c r="F2" s="3" t="s">
        <v>843</v>
      </c>
    </row>
    <row r="3" spans="1:6" x14ac:dyDescent="0.3">
      <c r="A3" s="3" t="s">
        <v>648</v>
      </c>
      <c r="B3" s="3" t="s">
        <v>33</v>
      </c>
      <c r="C3" s="3" t="str">
        <f t="shared" ref="C3:C66" si="0">_xlfn.CONCAT(A3:B3)</f>
        <v>450013756010</v>
      </c>
      <c r="D3" s="4">
        <v>46387</v>
      </c>
      <c r="E3" s="3" t="s">
        <v>699</v>
      </c>
      <c r="F3" s="3" t="s">
        <v>700</v>
      </c>
    </row>
    <row r="4" spans="1:6" x14ac:dyDescent="0.3">
      <c r="A4" s="3" t="s">
        <v>291</v>
      </c>
      <c r="B4" s="3" t="s">
        <v>33</v>
      </c>
      <c r="C4" s="3" t="str">
        <f t="shared" si="0"/>
        <v>450012941210</v>
      </c>
      <c r="D4" s="4">
        <v>46325</v>
      </c>
      <c r="E4" s="3" t="s">
        <v>616</v>
      </c>
      <c r="F4" s="3" t="s">
        <v>701</v>
      </c>
    </row>
    <row r="5" spans="1:6" x14ac:dyDescent="0.3">
      <c r="A5" s="3" t="s">
        <v>818</v>
      </c>
      <c r="B5" s="3" t="s">
        <v>33</v>
      </c>
      <c r="C5" s="3" t="str">
        <f t="shared" si="0"/>
        <v>450013758110</v>
      </c>
      <c r="D5" s="4">
        <v>46387</v>
      </c>
      <c r="E5" s="3" t="s">
        <v>699</v>
      </c>
      <c r="F5" s="3" t="s">
        <v>844</v>
      </c>
    </row>
    <row r="6" spans="1:6" x14ac:dyDescent="0.3">
      <c r="A6" s="3" t="s">
        <v>540</v>
      </c>
      <c r="B6" s="3" t="s">
        <v>33</v>
      </c>
      <c r="C6" s="3" t="str">
        <f t="shared" si="0"/>
        <v>450013579310</v>
      </c>
      <c r="D6" s="4">
        <v>46325</v>
      </c>
      <c r="E6" s="3" t="s">
        <v>616</v>
      </c>
      <c r="F6" s="3" t="s">
        <v>702</v>
      </c>
    </row>
    <row r="7" spans="1:6" x14ac:dyDescent="0.3">
      <c r="A7" s="3" t="s">
        <v>591</v>
      </c>
      <c r="B7" s="3" t="s">
        <v>33</v>
      </c>
      <c r="C7" s="3" t="str">
        <f t="shared" si="0"/>
        <v>450013711010</v>
      </c>
      <c r="D7" s="4">
        <v>46325</v>
      </c>
      <c r="E7" s="3" t="s">
        <v>620</v>
      </c>
      <c r="F7" s="3" t="s">
        <v>703</v>
      </c>
    </row>
    <row r="8" spans="1:6" x14ac:dyDescent="0.3">
      <c r="A8" s="3" t="s">
        <v>829</v>
      </c>
      <c r="B8" s="3" t="s">
        <v>33</v>
      </c>
      <c r="C8" s="3" t="str">
        <f t="shared" si="0"/>
        <v>450013660210</v>
      </c>
      <c r="D8" s="4">
        <v>46325</v>
      </c>
      <c r="E8" s="3" t="s">
        <v>620</v>
      </c>
      <c r="F8" s="3" t="s">
        <v>845</v>
      </c>
    </row>
    <row r="9" spans="1:6" x14ac:dyDescent="0.3">
      <c r="A9" s="3" t="s">
        <v>826</v>
      </c>
      <c r="B9" s="3" t="s">
        <v>33</v>
      </c>
      <c r="C9" s="3" t="str">
        <f t="shared" si="0"/>
        <v>450011982210</v>
      </c>
      <c r="D9" s="4">
        <v>46783</v>
      </c>
      <c r="E9" s="3" t="s">
        <v>609</v>
      </c>
      <c r="F9" s="3" t="s">
        <v>846</v>
      </c>
    </row>
    <row r="10" spans="1:6" x14ac:dyDescent="0.3">
      <c r="A10" s="3" t="s">
        <v>826</v>
      </c>
      <c r="B10" s="3" t="s">
        <v>20</v>
      </c>
      <c r="C10" s="3" t="str">
        <f t="shared" si="0"/>
        <v>450011982220</v>
      </c>
      <c r="D10" s="4">
        <v>46783</v>
      </c>
      <c r="E10" s="3" t="s">
        <v>609</v>
      </c>
      <c r="F10" s="3" t="s">
        <v>846</v>
      </c>
    </row>
    <row r="11" spans="1:6" x14ac:dyDescent="0.3">
      <c r="A11" s="3" t="s">
        <v>511</v>
      </c>
      <c r="B11" s="3" t="s">
        <v>33</v>
      </c>
      <c r="C11" s="3" t="str">
        <f t="shared" si="0"/>
        <v>450013831810</v>
      </c>
      <c r="D11" s="4">
        <v>46357</v>
      </c>
      <c r="E11" s="3" t="s">
        <v>616</v>
      </c>
      <c r="F11" s="3" t="s">
        <v>704</v>
      </c>
    </row>
    <row r="12" spans="1:6" x14ac:dyDescent="0.3">
      <c r="A12" s="3" t="s">
        <v>677</v>
      </c>
      <c r="B12" s="3" t="s">
        <v>21</v>
      </c>
      <c r="C12" s="3" t="str">
        <f t="shared" si="0"/>
        <v>450011401730</v>
      </c>
      <c r="D12" s="4">
        <v>46358</v>
      </c>
      <c r="E12" s="3" t="s">
        <v>609</v>
      </c>
      <c r="F12" s="3" t="s">
        <v>705</v>
      </c>
    </row>
    <row r="13" spans="1:6" x14ac:dyDescent="0.3">
      <c r="A13" s="3" t="s">
        <v>677</v>
      </c>
      <c r="B13" s="3" t="s">
        <v>20</v>
      </c>
      <c r="C13" s="3" t="str">
        <f t="shared" si="0"/>
        <v>450011401720</v>
      </c>
      <c r="D13" s="4">
        <v>46358</v>
      </c>
      <c r="E13" s="3" t="s">
        <v>609</v>
      </c>
      <c r="F13" s="3" t="s">
        <v>705</v>
      </c>
    </row>
    <row r="14" spans="1:6" x14ac:dyDescent="0.3">
      <c r="A14" s="3" t="s">
        <v>677</v>
      </c>
      <c r="B14" s="3" t="s">
        <v>33</v>
      </c>
      <c r="C14" s="3" t="str">
        <f t="shared" si="0"/>
        <v>450011401710</v>
      </c>
      <c r="D14" s="4">
        <v>46358</v>
      </c>
      <c r="E14" s="3" t="s">
        <v>609</v>
      </c>
      <c r="F14" s="3" t="s">
        <v>705</v>
      </c>
    </row>
    <row r="15" spans="1:6" x14ac:dyDescent="0.3">
      <c r="A15" s="3" t="s">
        <v>660</v>
      </c>
      <c r="B15" s="3" t="s">
        <v>20</v>
      </c>
      <c r="C15" s="3" t="str">
        <f t="shared" si="0"/>
        <v>450013338520</v>
      </c>
      <c r="D15" s="4">
        <v>46606</v>
      </c>
      <c r="E15" s="3" t="s">
        <v>609</v>
      </c>
      <c r="F15" s="3" t="s">
        <v>706</v>
      </c>
    </row>
    <row r="16" spans="1:6" x14ac:dyDescent="0.3">
      <c r="A16" s="3" t="s">
        <v>679</v>
      </c>
      <c r="B16" s="3" t="s">
        <v>33</v>
      </c>
      <c r="C16" s="3" t="str">
        <f t="shared" si="0"/>
        <v>450008566510</v>
      </c>
      <c r="D16" s="4">
        <v>46326</v>
      </c>
      <c r="E16" s="3" t="s">
        <v>609</v>
      </c>
      <c r="F16" s="3" t="s">
        <v>707</v>
      </c>
    </row>
    <row r="17" spans="1:6" x14ac:dyDescent="0.3">
      <c r="A17" s="3" t="s">
        <v>678</v>
      </c>
      <c r="B17" s="3" t="s">
        <v>33</v>
      </c>
      <c r="C17" s="3" t="str">
        <f t="shared" si="0"/>
        <v>450012970910</v>
      </c>
      <c r="D17" s="4">
        <v>46387</v>
      </c>
      <c r="E17" s="3" t="s">
        <v>609</v>
      </c>
      <c r="F17" s="3" t="s">
        <v>707</v>
      </c>
    </row>
    <row r="18" spans="1:6" x14ac:dyDescent="0.3">
      <c r="A18" s="3" t="s">
        <v>680</v>
      </c>
      <c r="B18" s="3" t="s">
        <v>33</v>
      </c>
      <c r="C18" s="3" t="str">
        <f t="shared" si="0"/>
        <v>450013031610</v>
      </c>
      <c r="D18" s="4">
        <v>46387</v>
      </c>
      <c r="E18" s="3" t="s">
        <v>609</v>
      </c>
      <c r="F18" s="3" t="s">
        <v>707</v>
      </c>
    </row>
    <row r="19" spans="1:6" x14ac:dyDescent="0.3">
      <c r="A19" s="3" t="s">
        <v>585</v>
      </c>
      <c r="B19" s="3" t="s">
        <v>20</v>
      </c>
      <c r="C19" s="3" t="str">
        <f t="shared" si="0"/>
        <v>450012426620</v>
      </c>
      <c r="D19" s="4">
        <v>46387</v>
      </c>
      <c r="E19" s="3" t="s">
        <v>609</v>
      </c>
      <c r="F19" s="3" t="s">
        <v>708</v>
      </c>
    </row>
    <row r="20" spans="1:6" x14ac:dyDescent="0.3">
      <c r="A20" s="3" t="s">
        <v>660</v>
      </c>
      <c r="B20" s="3" t="s">
        <v>33</v>
      </c>
      <c r="C20" s="3" t="str">
        <f t="shared" si="0"/>
        <v>450013338510</v>
      </c>
      <c r="D20" s="4">
        <v>46606</v>
      </c>
      <c r="E20" s="3" t="s">
        <v>609</v>
      </c>
      <c r="F20" s="3" t="s">
        <v>706</v>
      </c>
    </row>
    <row r="21" spans="1:6" x14ac:dyDescent="0.3">
      <c r="A21" s="3" t="s">
        <v>660</v>
      </c>
      <c r="B21" s="3" t="s">
        <v>21</v>
      </c>
      <c r="C21" s="3" t="str">
        <f t="shared" si="0"/>
        <v>450013338530</v>
      </c>
      <c r="D21" s="4">
        <v>46606</v>
      </c>
      <c r="E21" s="3" t="s">
        <v>609</v>
      </c>
      <c r="F21" s="3" t="s">
        <v>706</v>
      </c>
    </row>
    <row r="22" spans="1:6" x14ac:dyDescent="0.3">
      <c r="A22" s="3" t="s">
        <v>681</v>
      </c>
      <c r="B22" s="3" t="s">
        <v>20</v>
      </c>
      <c r="C22" s="3" t="str">
        <f t="shared" si="0"/>
        <v>450008523420</v>
      </c>
      <c r="D22" s="4">
        <v>46326</v>
      </c>
      <c r="E22" s="3" t="s">
        <v>609</v>
      </c>
      <c r="F22" s="3" t="s">
        <v>707</v>
      </c>
    </row>
    <row r="23" spans="1:6" x14ac:dyDescent="0.3">
      <c r="A23" s="3" t="s">
        <v>606</v>
      </c>
      <c r="B23" s="3" t="s">
        <v>33</v>
      </c>
      <c r="C23" s="3" t="str">
        <f t="shared" si="0"/>
        <v>450013444910</v>
      </c>
      <c r="D23" s="4">
        <v>46387</v>
      </c>
      <c r="E23" s="3" t="s">
        <v>609</v>
      </c>
      <c r="F23" s="3" t="s">
        <v>710</v>
      </c>
    </row>
    <row r="24" spans="1:6" x14ac:dyDescent="0.3">
      <c r="A24" s="3" t="s">
        <v>681</v>
      </c>
      <c r="B24" s="3" t="s">
        <v>33</v>
      </c>
      <c r="C24" s="3" t="str">
        <f t="shared" si="0"/>
        <v>450008523410</v>
      </c>
      <c r="D24" s="4">
        <v>46326</v>
      </c>
      <c r="E24" s="3" t="s">
        <v>609</v>
      </c>
      <c r="F24" s="3" t="s">
        <v>707</v>
      </c>
    </row>
    <row r="25" spans="1:6" x14ac:dyDescent="0.3">
      <c r="A25" s="3" t="s">
        <v>681</v>
      </c>
      <c r="B25" s="3" t="s">
        <v>21</v>
      </c>
      <c r="C25" s="3" t="str">
        <f t="shared" si="0"/>
        <v>450008523430</v>
      </c>
      <c r="D25" s="4">
        <v>46326</v>
      </c>
      <c r="E25" s="3" t="s">
        <v>609</v>
      </c>
      <c r="F25" s="3" t="s">
        <v>707</v>
      </c>
    </row>
    <row r="26" spans="1:6" x14ac:dyDescent="0.3">
      <c r="A26" s="3" t="s">
        <v>556</v>
      </c>
      <c r="B26" s="3" t="s">
        <v>21</v>
      </c>
      <c r="C26" s="3" t="str">
        <f t="shared" si="0"/>
        <v>450013950330</v>
      </c>
      <c r="D26" s="4">
        <v>46304</v>
      </c>
      <c r="E26" s="3" t="s">
        <v>631</v>
      </c>
      <c r="F26" s="3" t="s">
        <v>711</v>
      </c>
    </row>
    <row r="27" spans="1:6" x14ac:dyDescent="0.3">
      <c r="A27" s="3" t="s">
        <v>585</v>
      </c>
      <c r="B27" s="3" t="s">
        <v>33</v>
      </c>
      <c r="C27" s="3" t="str">
        <f t="shared" si="0"/>
        <v>450012426610</v>
      </c>
      <c r="D27" s="4">
        <v>46387</v>
      </c>
      <c r="E27" s="3" t="s">
        <v>609</v>
      </c>
      <c r="F27" s="3" t="s">
        <v>708</v>
      </c>
    </row>
    <row r="28" spans="1:6" x14ac:dyDescent="0.3">
      <c r="A28" s="3" t="s">
        <v>556</v>
      </c>
      <c r="B28" s="3" t="s">
        <v>33</v>
      </c>
      <c r="C28" s="3" t="str">
        <f t="shared" si="0"/>
        <v>450013950310</v>
      </c>
      <c r="D28" s="4">
        <v>46304</v>
      </c>
      <c r="E28" s="3" t="s">
        <v>631</v>
      </c>
      <c r="F28" s="3" t="s">
        <v>711</v>
      </c>
    </row>
    <row r="29" spans="1:6" x14ac:dyDescent="0.3">
      <c r="A29" s="3" t="s">
        <v>420</v>
      </c>
      <c r="B29" s="3" t="s">
        <v>20</v>
      </c>
      <c r="C29" s="3" t="str">
        <f t="shared" si="0"/>
        <v>450013481820</v>
      </c>
      <c r="D29" s="4">
        <v>46387</v>
      </c>
      <c r="E29" s="3" t="s">
        <v>609</v>
      </c>
      <c r="F29" s="3" t="s">
        <v>712</v>
      </c>
    </row>
    <row r="30" spans="1:6" x14ac:dyDescent="0.3">
      <c r="A30" s="3" t="s">
        <v>590</v>
      </c>
      <c r="B30" s="3" t="s">
        <v>33</v>
      </c>
      <c r="C30" s="3" t="str">
        <f t="shared" si="0"/>
        <v>450013942710</v>
      </c>
      <c r="D30" s="4">
        <v>46320</v>
      </c>
      <c r="E30" s="3" t="s">
        <v>639</v>
      </c>
      <c r="F30" s="3" t="s">
        <v>713</v>
      </c>
    </row>
    <row r="31" spans="1:6" x14ac:dyDescent="0.3">
      <c r="A31" s="3" t="s">
        <v>351</v>
      </c>
      <c r="B31" s="3" t="s">
        <v>33</v>
      </c>
      <c r="C31" s="3" t="str">
        <f t="shared" si="0"/>
        <v>450013317710</v>
      </c>
      <c r="D31" s="4">
        <v>46301</v>
      </c>
      <c r="E31" s="3" t="s">
        <v>614</v>
      </c>
      <c r="F31" s="3" t="s">
        <v>714</v>
      </c>
    </row>
    <row r="32" spans="1:6" x14ac:dyDescent="0.3">
      <c r="A32" s="3" t="s">
        <v>91</v>
      </c>
      <c r="B32" s="3" t="s">
        <v>33</v>
      </c>
      <c r="C32" s="3" t="str">
        <f t="shared" si="0"/>
        <v>450013337410</v>
      </c>
      <c r="D32" s="4">
        <v>46304</v>
      </c>
      <c r="E32" s="3" t="s">
        <v>631</v>
      </c>
      <c r="F32" s="3" t="s">
        <v>713</v>
      </c>
    </row>
    <row r="33" spans="1:6" x14ac:dyDescent="0.3">
      <c r="A33" s="3" t="s">
        <v>675</v>
      </c>
      <c r="B33" s="3" t="s">
        <v>33</v>
      </c>
      <c r="C33" s="3" t="str">
        <f t="shared" si="0"/>
        <v>450013970310</v>
      </c>
      <c r="D33" s="4">
        <v>46366</v>
      </c>
      <c r="E33" s="3" t="s">
        <v>699</v>
      </c>
      <c r="F33" s="3" t="s">
        <v>715</v>
      </c>
    </row>
    <row r="34" spans="1:6" x14ac:dyDescent="0.3">
      <c r="A34" s="3" t="s">
        <v>547</v>
      </c>
      <c r="B34" s="3" t="s">
        <v>20</v>
      </c>
      <c r="C34" s="3" t="str">
        <f t="shared" si="0"/>
        <v>450013691820</v>
      </c>
      <c r="D34" s="4">
        <v>46304</v>
      </c>
      <c r="E34" s="3" t="s">
        <v>619</v>
      </c>
      <c r="F34" s="3" t="s">
        <v>711</v>
      </c>
    </row>
    <row r="35" spans="1:6" x14ac:dyDescent="0.3">
      <c r="A35" s="3" t="s">
        <v>584</v>
      </c>
      <c r="B35" s="3" t="s">
        <v>33</v>
      </c>
      <c r="C35" s="3" t="str">
        <f t="shared" si="0"/>
        <v>450013266110</v>
      </c>
      <c r="D35" s="4">
        <v>46596</v>
      </c>
      <c r="E35" s="3" t="s">
        <v>613</v>
      </c>
      <c r="F35" s="3" t="s">
        <v>716</v>
      </c>
    </row>
    <row r="36" spans="1:6" x14ac:dyDescent="0.3">
      <c r="A36" s="3" t="s">
        <v>584</v>
      </c>
      <c r="B36" s="3" t="s">
        <v>20</v>
      </c>
      <c r="C36" s="3" t="str">
        <f t="shared" si="0"/>
        <v>450013266120</v>
      </c>
      <c r="D36" s="4">
        <v>46596</v>
      </c>
      <c r="E36" s="3" t="s">
        <v>613</v>
      </c>
      <c r="F36" s="3" t="s">
        <v>716</v>
      </c>
    </row>
    <row r="37" spans="1:6" x14ac:dyDescent="0.3">
      <c r="A37" s="3" t="s">
        <v>584</v>
      </c>
      <c r="B37" s="3" t="s">
        <v>21</v>
      </c>
      <c r="C37" s="3" t="str">
        <f t="shared" si="0"/>
        <v>450013266130</v>
      </c>
      <c r="D37" s="4">
        <v>46596</v>
      </c>
      <c r="E37" s="3" t="s">
        <v>613</v>
      </c>
      <c r="F37" s="3" t="s">
        <v>716</v>
      </c>
    </row>
    <row r="38" spans="1:6" x14ac:dyDescent="0.3">
      <c r="A38" s="3" t="s">
        <v>420</v>
      </c>
      <c r="B38" s="3" t="s">
        <v>33</v>
      </c>
      <c r="C38" s="3" t="str">
        <f t="shared" si="0"/>
        <v>450013481810</v>
      </c>
      <c r="D38" s="4">
        <v>46387</v>
      </c>
      <c r="E38" s="3" t="s">
        <v>609</v>
      </c>
      <c r="F38" s="3" t="s">
        <v>712</v>
      </c>
    </row>
    <row r="39" spans="1:6" x14ac:dyDescent="0.3">
      <c r="A39" s="3" t="s">
        <v>528</v>
      </c>
      <c r="B39" s="3" t="s">
        <v>33</v>
      </c>
      <c r="C39" s="3" t="str">
        <f t="shared" si="0"/>
        <v>450013805310</v>
      </c>
      <c r="D39" s="4">
        <v>46304</v>
      </c>
      <c r="E39" s="3" t="s">
        <v>620</v>
      </c>
      <c r="F39" s="3" t="s">
        <v>717</v>
      </c>
    </row>
    <row r="40" spans="1:6" x14ac:dyDescent="0.3">
      <c r="A40" s="3" t="s">
        <v>320</v>
      </c>
      <c r="B40" s="3" t="s">
        <v>23</v>
      </c>
      <c r="C40" s="3" t="str">
        <f t="shared" si="0"/>
        <v>450013085560</v>
      </c>
      <c r="D40" s="4">
        <v>46295</v>
      </c>
      <c r="E40" s="3" t="s">
        <v>612</v>
      </c>
      <c r="F40" s="3" t="s">
        <v>718</v>
      </c>
    </row>
    <row r="41" spans="1:6" x14ac:dyDescent="0.3">
      <c r="A41" s="3" t="s">
        <v>820</v>
      </c>
      <c r="B41" s="3" t="s">
        <v>33</v>
      </c>
      <c r="C41" s="3" t="str">
        <f t="shared" si="0"/>
        <v>450013442310</v>
      </c>
      <c r="D41" s="4">
        <v>46522</v>
      </c>
      <c r="E41" s="3" t="s">
        <v>610</v>
      </c>
      <c r="F41" s="3" t="s">
        <v>750</v>
      </c>
    </row>
    <row r="42" spans="1:6" x14ac:dyDescent="0.3">
      <c r="A42" s="3" t="s">
        <v>488</v>
      </c>
      <c r="B42" s="3" t="s">
        <v>25</v>
      </c>
      <c r="C42" s="3" t="str">
        <f t="shared" si="0"/>
        <v>450013464740</v>
      </c>
      <c r="D42" s="4">
        <v>46269</v>
      </c>
      <c r="E42" s="3" t="s">
        <v>617</v>
      </c>
      <c r="F42" s="3" t="s">
        <v>719</v>
      </c>
    </row>
    <row r="43" spans="1:6" x14ac:dyDescent="0.3">
      <c r="A43" s="3" t="s">
        <v>420</v>
      </c>
      <c r="B43" s="3" t="s">
        <v>25</v>
      </c>
      <c r="C43" s="3" t="str">
        <f t="shared" si="0"/>
        <v>450013481840</v>
      </c>
      <c r="D43" s="4">
        <v>46387</v>
      </c>
      <c r="E43" s="3" t="s">
        <v>609</v>
      </c>
      <c r="F43" s="3" t="s">
        <v>712</v>
      </c>
    </row>
    <row r="44" spans="1:6" x14ac:dyDescent="0.3">
      <c r="A44" s="3" t="s">
        <v>588</v>
      </c>
      <c r="B44" s="3" t="s">
        <v>33</v>
      </c>
      <c r="C44" s="3" t="str">
        <f t="shared" si="0"/>
        <v>450013245910</v>
      </c>
      <c r="D44" s="4">
        <v>46326</v>
      </c>
      <c r="E44" s="3" t="s">
        <v>609</v>
      </c>
      <c r="F44" s="3" t="s">
        <v>720</v>
      </c>
    </row>
    <row r="45" spans="1:6" x14ac:dyDescent="0.3">
      <c r="A45" s="3" t="s">
        <v>420</v>
      </c>
      <c r="B45" s="3" t="s">
        <v>21</v>
      </c>
      <c r="C45" s="3" t="str">
        <f t="shared" si="0"/>
        <v>450013481830</v>
      </c>
      <c r="D45" s="4">
        <v>46387</v>
      </c>
      <c r="E45" s="3" t="s">
        <v>609</v>
      </c>
      <c r="F45" s="3" t="s">
        <v>712</v>
      </c>
    </row>
    <row r="46" spans="1:6" x14ac:dyDescent="0.3">
      <c r="A46" s="3" t="s">
        <v>442</v>
      </c>
      <c r="B46" s="3" t="s">
        <v>20</v>
      </c>
      <c r="C46" s="3" t="str">
        <f t="shared" si="0"/>
        <v>450013572320</v>
      </c>
      <c r="D46" s="4">
        <v>46295</v>
      </c>
      <c r="E46" s="3" t="s">
        <v>612</v>
      </c>
      <c r="F46" s="3" t="s">
        <v>713</v>
      </c>
    </row>
    <row r="47" spans="1:6" x14ac:dyDescent="0.3">
      <c r="A47" s="3" t="s">
        <v>53</v>
      </c>
      <c r="B47" s="3" t="s">
        <v>33</v>
      </c>
      <c r="C47" s="3" t="str">
        <f t="shared" si="0"/>
        <v>450012818110</v>
      </c>
      <c r="D47" s="4">
        <v>46168</v>
      </c>
      <c r="E47" s="3" t="s">
        <v>611</v>
      </c>
      <c r="F47" s="3" t="s">
        <v>721</v>
      </c>
    </row>
    <row r="48" spans="1:6" x14ac:dyDescent="0.3">
      <c r="A48" s="3" t="s">
        <v>71</v>
      </c>
      <c r="B48" s="3" t="s">
        <v>33</v>
      </c>
      <c r="C48" s="3" t="str">
        <f t="shared" si="0"/>
        <v>450013297010</v>
      </c>
      <c r="D48" s="4">
        <v>46301</v>
      </c>
      <c r="E48" s="3" t="s">
        <v>614</v>
      </c>
      <c r="F48" s="3" t="s">
        <v>722</v>
      </c>
    </row>
    <row r="49" spans="1:6" x14ac:dyDescent="0.3">
      <c r="A49" s="3" t="s">
        <v>568</v>
      </c>
      <c r="B49" s="3" t="s">
        <v>33</v>
      </c>
      <c r="C49" s="3" t="str">
        <f t="shared" si="0"/>
        <v>450013667310</v>
      </c>
      <c r="D49" s="4">
        <v>46305</v>
      </c>
      <c r="E49" s="3" t="s">
        <v>626</v>
      </c>
      <c r="F49" s="3" t="s">
        <v>723</v>
      </c>
    </row>
    <row r="50" spans="1:6" x14ac:dyDescent="0.3">
      <c r="A50" s="3" t="s">
        <v>93</v>
      </c>
      <c r="B50" s="3" t="s">
        <v>33</v>
      </c>
      <c r="C50" s="3" t="str">
        <f t="shared" si="0"/>
        <v>450013947610</v>
      </c>
      <c r="D50" s="4">
        <v>46308</v>
      </c>
      <c r="E50" s="3" t="s">
        <v>614</v>
      </c>
      <c r="F50" s="3" t="s">
        <v>724</v>
      </c>
    </row>
    <row r="51" spans="1:6" x14ac:dyDescent="0.3">
      <c r="A51" s="3" t="s">
        <v>597</v>
      </c>
      <c r="B51" s="3" t="s">
        <v>33</v>
      </c>
      <c r="C51" s="3" t="str">
        <f t="shared" si="0"/>
        <v>450011733410</v>
      </c>
      <c r="D51" s="4">
        <v>46357</v>
      </c>
      <c r="E51" s="3" t="s">
        <v>613</v>
      </c>
      <c r="F51" s="3" t="s">
        <v>725</v>
      </c>
    </row>
    <row r="52" spans="1:6" x14ac:dyDescent="0.3">
      <c r="A52" s="3" t="s">
        <v>246</v>
      </c>
      <c r="B52" s="3" t="s">
        <v>21</v>
      </c>
      <c r="C52" s="3" t="str">
        <f t="shared" si="0"/>
        <v>450012748630</v>
      </c>
      <c r="D52" s="4">
        <v>46287</v>
      </c>
      <c r="E52" s="3" t="s">
        <v>631</v>
      </c>
      <c r="F52" s="3" t="s">
        <v>726</v>
      </c>
    </row>
    <row r="53" spans="1:6" x14ac:dyDescent="0.3">
      <c r="A53" s="3" t="s">
        <v>656</v>
      </c>
      <c r="B53" s="3" t="s">
        <v>21</v>
      </c>
      <c r="C53" s="3" t="str">
        <f t="shared" si="0"/>
        <v>450013834830</v>
      </c>
      <c r="D53" s="4">
        <v>46294</v>
      </c>
      <c r="E53" s="3" t="s">
        <v>612</v>
      </c>
      <c r="F53" s="3" t="s">
        <v>727</v>
      </c>
    </row>
    <row r="54" spans="1:6" x14ac:dyDescent="0.3">
      <c r="A54" s="3" t="s">
        <v>517</v>
      </c>
      <c r="B54" s="3" t="s">
        <v>22</v>
      </c>
      <c r="C54" s="3" t="str">
        <f t="shared" si="0"/>
        <v>450012451950</v>
      </c>
      <c r="D54" s="4">
        <v>46301</v>
      </c>
      <c r="E54" s="3" t="s">
        <v>630</v>
      </c>
      <c r="F54" s="3" t="s">
        <v>728</v>
      </c>
    </row>
    <row r="55" spans="1:6" x14ac:dyDescent="0.3">
      <c r="A55" s="3" t="s">
        <v>398</v>
      </c>
      <c r="B55" s="3" t="s">
        <v>325</v>
      </c>
      <c r="C55" s="3" t="str">
        <f t="shared" si="0"/>
        <v>4500133974180</v>
      </c>
      <c r="D55" s="4">
        <v>46295</v>
      </c>
      <c r="E55" s="3" t="s">
        <v>612</v>
      </c>
      <c r="F55" s="3" t="s">
        <v>729</v>
      </c>
    </row>
    <row r="56" spans="1:6" x14ac:dyDescent="0.3">
      <c r="A56" s="3" t="s">
        <v>479</v>
      </c>
      <c r="B56" s="3" t="s">
        <v>33</v>
      </c>
      <c r="C56" s="3" t="str">
        <f t="shared" si="0"/>
        <v>450013693610</v>
      </c>
      <c r="D56" s="4">
        <v>46290</v>
      </c>
      <c r="E56" s="3" t="s">
        <v>639</v>
      </c>
      <c r="F56" s="3" t="s">
        <v>730</v>
      </c>
    </row>
    <row r="57" spans="1:6" x14ac:dyDescent="0.3">
      <c r="A57" s="3" t="s">
        <v>694</v>
      </c>
      <c r="B57" s="3" t="s">
        <v>25</v>
      </c>
      <c r="C57" s="3" t="str">
        <f t="shared" si="0"/>
        <v>450013968240</v>
      </c>
      <c r="D57" s="4">
        <v>46321</v>
      </c>
      <c r="E57" s="3" t="s">
        <v>644</v>
      </c>
      <c r="F57" s="3" t="s">
        <v>731</v>
      </c>
    </row>
    <row r="58" spans="1:6" x14ac:dyDescent="0.3">
      <c r="A58" s="3" t="s">
        <v>38</v>
      </c>
      <c r="B58" s="3" t="s">
        <v>33</v>
      </c>
      <c r="C58" s="3" t="str">
        <f t="shared" si="0"/>
        <v>450011873510</v>
      </c>
      <c r="D58" s="4">
        <v>46386</v>
      </c>
      <c r="E58" s="3" t="s">
        <v>609</v>
      </c>
      <c r="F58" s="3" t="s">
        <v>732</v>
      </c>
    </row>
    <row r="59" spans="1:6" x14ac:dyDescent="0.3">
      <c r="A59" s="3" t="s">
        <v>38</v>
      </c>
      <c r="B59" s="3" t="s">
        <v>21</v>
      </c>
      <c r="C59" s="3" t="str">
        <f t="shared" si="0"/>
        <v>450011873530</v>
      </c>
      <c r="D59" s="4">
        <v>46386</v>
      </c>
      <c r="E59" s="3" t="s">
        <v>609</v>
      </c>
      <c r="F59" s="3" t="s">
        <v>732</v>
      </c>
    </row>
    <row r="60" spans="1:6" x14ac:dyDescent="0.3">
      <c r="A60" s="3" t="s">
        <v>38</v>
      </c>
      <c r="B60" s="3" t="s">
        <v>25</v>
      </c>
      <c r="C60" s="3" t="str">
        <f t="shared" si="0"/>
        <v>450011873540</v>
      </c>
      <c r="D60" s="4">
        <v>46386</v>
      </c>
      <c r="E60" s="3" t="s">
        <v>609</v>
      </c>
      <c r="F60" s="3" t="s">
        <v>732</v>
      </c>
    </row>
    <row r="61" spans="1:6" x14ac:dyDescent="0.3">
      <c r="A61" s="3" t="s">
        <v>38</v>
      </c>
      <c r="B61" s="3" t="s">
        <v>22</v>
      </c>
      <c r="C61" s="3" t="str">
        <f t="shared" si="0"/>
        <v>450011873550</v>
      </c>
      <c r="D61" s="4">
        <v>46386</v>
      </c>
      <c r="E61" s="3" t="s">
        <v>609</v>
      </c>
      <c r="F61" s="3" t="s">
        <v>732</v>
      </c>
    </row>
    <row r="62" spans="1:6" x14ac:dyDescent="0.3">
      <c r="A62" s="3" t="s">
        <v>38</v>
      </c>
      <c r="B62" s="3" t="s">
        <v>23</v>
      </c>
      <c r="C62" s="3" t="str">
        <f t="shared" si="0"/>
        <v>450011873560</v>
      </c>
      <c r="D62" s="4">
        <v>46386</v>
      </c>
      <c r="E62" s="3" t="s">
        <v>609</v>
      </c>
      <c r="F62" s="3" t="s">
        <v>732</v>
      </c>
    </row>
    <row r="63" spans="1:6" x14ac:dyDescent="0.3">
      <c r="A63" s="3" t="s">
        <v>40</v>
      </c>
      <c r="B63" s="3" t="s">
        <v>33</v>
      </c>
      <c r="C63" s="3" t="str">
        <f t="shared" si="0"/>
        <v>450012002910</v>
      </c>
      <c r="D63" s="4">
        <v>46386</v>
      </c>
      <c r="E63" s="3" t="s">
        <v>609</v>
      </c>
      <c r="F63" s="3" t="s">
        <v>732</v>
      </c>
    </row>
    <row r="64" spans="1:6" x14ac:dyDescent="0.3">
      <c r="A64" s="3" t="s">
        <v>40</v>
      </c>
      <c r="B64" s="3" t="s">
        <v>20</v>
      </c>
      <c r="C64" s="3" t="str">
        <f t="shared" si="0"/>
        <v>450012002920</v>
      </c>
      <c r="D64" s="4">
        <v>46386</v>
      </c>
      <c r="E64" s="3" t="s">
        <v>609</v>
      </c>
      <c r="F64" s="3" t="s">
        <v>732</v>
      </c>
    </row>
    <row r="65" spans="1:6" x14ac:dyDescent="0.3">
      <c r="A65" s="3" t="s">
        <v>40</v>
      </c>
      <c r="B65" s="3" t="s">
        <v>21</v>
      </c>
      <c r="C65" s="3" t="str">
        <f t="shared" si="0"/>
        <v>450012002930</v>
      </c>
      <c r="D65" s="4">
        <v>46386</v>
      </c>
      <c r="E65" s="3" t="s">
        <v>609</v>
      </c>
      <c r="F65" s="3" t="s">
        <v>732</v>
      </c>
    </row>
    <row r="66" spans="1:6" x14ac:dyDescent="0.3">
      <c r="A66" s="3" t="s">
        <v>40</v>
      </c>
      <c r="B66" s="3" t="s">
        <v>25</v>
      </c>
      <c r="C66" s="3" t="str">
        <f t="shared" si="0"/>
        <v>450012002940</v>
      </c>
      <c r="D66" s="4">
        <v>46386</v>
      </c>
      <c r="E66" s="3" t="s">
        <v>609</v>
      </c>
      <c r="F66" s="3" t="s">
        <v>732</v>
      </c>
    </row>
    <row r="67" spans="1:6" x14ac:dyDescent="0.3">
      <c r="A67" s="3" t="s">
        <v>40</v>
      </c>
      <c r="B67" s="3" t="s">
        <v>22</v>
      </c>
      <c r="C67" s="3" t="str">
        <f t="shared" ref="C67:C130" si="1">_xlfn.CONCAT(A67:B67)</f>
        <v>450012002950</v>
      </c>
      <c r="D67" s="4">
        <v>46386</v>
      </c>
      <c r="E67" s="3" t="s">
        <v>609</v>
      </c>
      <c r="F67" s="3" t="s">
        <v>732</v>
      </c>
    </row>
    <row r="68" spans="1:6" x14ac:dyDescent="0.3">
      <c r="A68" s="3" t="s">
        <v>40</v>
      </c>
      <c r="B68" s="3" t="s">
        <v>23</v>
      </c>
      <c r="C68" s="3" t="str">
        <f t="shared" si="1"/>
        <v>450012002960</v>
      </c>
      <c r="D68" s="4">
        <v>46386</v>
      </c>
      <c r="E68" s="3" t="s">
        <v>609</v>
      </c>
      <c r="F68" s="3" t="s">
        <v>732</v>
      </c>
    </row>
    <row r="69" spans="1:6" x14ac:dyDescent="0.3">
      <c r="A69" s="3" t="s">
        <v>82</v>
      </c>
      <c r="B69" s="3" t="s">
        <v>20</v>
      </c>
      <c r="C69" s="3" t="str">
        <f t="shared" si="1"/>
        <v>450012176020</v>
      </c>
      <c r="D69" s="4">
        <v>46322</v>
      </c>
      <c r="E69" s="3" t="s">
        <v>612</v>
      </c>
      <c r="F69" s="3" t="s">
        <v>733</v>
      </c>
    </row>
    <row r="70" spans="1:6" x14ac:dyDescent="0.3">
      <c r="A70" s="3" t="s">
        <v>82</v>
      </c>
      <c r="B70" s="3" t="s">
        <v>24</v>
      </c>
      <c r="C70" s="3" t="str">
        <f t="shared" si="1"/>
        <v>450012176070</v>
      </c>
      <c r="D70" s="4">
        <v>46322</v>
      </c>
      <c r="E70" s="3" t="s">
        <v>612</v>
      </c>
      <c r="F70" s="3" t="s">
        <v>733</v>
      </c>
    </row>
    <row r="71" spans="1:6" x14ac:dyDescent="0.3">
      <c r="A71" s="3" t="s">
        <v>80</v>
      </c>
      <c r="B71" s="3" t="s">
        <v>33</v>
      </c>
      <c r="C71" s="3" t="str">
        <f t="shared" si="1"/>
        <v>450012381510</v>
      </c>
      <c r="D71" s="4">
        <v>46322</v>
      </c>
      <c r="E71" s="3" t="s">
        <v>629</v>
      </c>
      <c r="F71" s="3" t="s">
        <v>733</v>
      </c>
    </row>
    <row r="72" spans="1:6" x14ac:dyDescent="0.3">
      <c r="A72" s="3" t="s">
        <v>517</v>
      </c>
      <c r="B72" s="3" t="s">
        <v>33</v>
      </c>
      <c r="C72" s="3" t="str">
        <f t="shared" si="1"/>
        <v>450012451910</v>
      </c>
      <c r="D72" s="4">
        <v>46301</v>
      </c>
      <c r="E72" s="3" t="s">
        <v>630</v>
      </c>
      <c r="F72" s="3" t="s">
        <v>728</v>
      </c>
    </row>
    <row r="73" spans="1:6" x14ac:dyDescent="0.3">
      <c r="A73" s="3" t="s">
        <v>517</v>
      </c>
      <c r="B73" s="3" t="s">
        <v>25</v>
      </c>
      <c r="C73" s="3" t="str">
        <f t="shared" si="1"/>
        <v>450012451940</v>
      </c>
      <c r="D73" s="4">
        <v>46301</v>
      </c>
      <c r="E73" s="3" t="s">
        <v>630</v>
      </c>
      <c r="F73" s="3" t="s">
        <v>728</v>
      </c>
    </row>
    <row r="74" spans="1:6" x14ac:dyDescent="0.3">
      <c r="A74" s="3" t="s">
        <v>517</v>
      </c>
      <c r="B74" s="3" t="s">
        <v>175</v>
      </c>
      <c r="C74" s="3" t="str">
        <f t="shared" si="1"/>
        <v>4500124519110</v>
      </c>
      <c r="D74" s="4">
        <v>46301</v>
      </c>
      <c r="E74" s="3" t="s">
        <v>630</v>
      </c>
      <c r="F74" s="3" t="s">
        <v>728</v>
      </c>
    </row>
    <row r="75" spans="1:6" x14ac:dyDescent="0.3">
      <c r="A75" s="3" t="s">
        <v>517</v>
      </c>
      <c r="B75" s="3" t="s">
        <v>378</v>
      </c>
      <c r="C75" s="3" t="str">
        <f t="shared" si="1"/>
        <v>4500124519160</v>
      </c>
      <c r="D75" s="4">
        <v>46301</v>
      </c>
      <c r="E75" s="3" t="s">
        <v>630</v>
      </c>
      <c r="F75" s="3" t="s">
        <v>728</v>
      </c>
    </row>
    <row r="76" spans="1:6" x14ac:dyDescent="0.3">
      <c r="A76" s="3" t="s">
        <v>66</v>
      </c>
      <c r="B76" s="3" t="s">
        <v>33</v>
      </c>
      <c r="C76" s="3" t="str">
        <f t="shared" si="1"/>
        <v>450013173210</v>
      </c>
      <c r="D76" s="4">
        <v>46219</v>
      </c>
      <c r="E76" s="3" t="s">
        <v>611</v>
      </c>
      <c r="F76" s="3" t="s">
        <v>714</v>
      </c>
    </row>
    <row r="77" spans="1:6" x14ac:dyDescent="0.3">
      <c r="A77" s="3" t="s">
        <v>66</v>
      </c>
      <c r="B77" s="3" t="s">
        <v>20</v>
      </c>
      <c r="C77" s="3" t="str">
        <f t="shared" si="1"/>
        <v>450013173220</v>
      </c>
      <c r="D77" s="4">
        <v>46219</v>
      </c>
      <c r="E77" s="3" t="s">
        <v>611</v>
      </c>
      <c r="F77" s="3" t="s">
        <v>714</v>
      </c>
    </row>
    <row r="78" spans="1:6" x14ac:dyDescent="0.3">
      <c r="A78" s="3" t="s">
        <v>374</v>
      </c>
      <c r="B78" s="3" t="s">
        <v>375</v>
      </c>
      <c r="C78" s="3" t="str">
        <f t="shared" si="1"/>
        <v>4500132791120</v>
      </c>
      <c r="D78" s="4">
        <v>46315</v>
      </c>
      <c r="E78" s="3" t="s">
        <v>612</v>
      </c>
      <c r="F78" s="3" t="s">
        <v>730</v>
      </c>
    </row>
    <row r="79" spans="1:6" x14ac:dyDescent="0.3">
      <c r="A79" s="3" t="s">
        <v>522</v>
      </c>
      <c r="B79" s="3" t="s">
        <v>33</v>
      </c>
      <c r="C79" s="3" t="str">
        <f t="shared" si="1"/>
        <v>450013724510</v>
      </c>
      <c r="D79" s="4">
        <v>46287</v>
      </c>
      <c r="E79" s="3" t="s">
        <v>612</v>
      </c>
      <c r="F79" s="3" t="s">
        <v>718</v>
      </c>
    </row>
    <row r="80" spans="1:6" x14ac:dyDescent="0.3">
      <c r="A80" s="3" t="s">
        <v>88</v>
      </c>
      <c r="B80" s="3" t="s">
        <v>33</v>
      </c>
      <c r="C80" s="3" t="str">
        <f t="shared" si="1"/>
        <v>450013784910</v>
      </c>
      <c r="D80" s="4">
        <v>46276</v>
      </c>
      <c r="E80" s="3" t="s">
        <v>637</v>
      </c>
      <c r="F80" s="3" t="s">
        <v>734</v>
      </c>
    </row>
    <row r="81" spans="1:6" x14ac:dyDescent="0.3">
      <c r="A81" s="3" t="s">
        <v>821</v>
      </c>
      <c r="B81" s="3" t="s">
        <v>322</v>
      </c>
      <c r="C81" s="3" t="str">
        <f t="shared" si="1"/>
        <v>450013820690</v>
      </c>
      <c r="D81" s="4">
        <v>46297</v>
      </c>
      <c r="E81" s="3" t="s">
        <v>612</v>
      </c>
      <c r="F81" s="3" t="s">
        <v>718</v>
      </c>
    </row>
    <row r="82" spans="1:6" x14ac:dyDescent="0.3">
      <c r="A82" s="3" t="s">
        <v>564</v>
      </c>
      <c r="B82" s="3" t="s">
        <v>20</v>
      </c>
      <c r="C82" s="3" t="str">
        <f t="shared" si="1"/>
        <v>450013913420</v>
      </c>
      <c r="D82" s="4">
        <v>46297</v>
      </c>
      <c r="E82" s="3" t="s">
        <v>642</v>
      </c>
      <c r="F82" s="3" t="s">
        <v>730</v>
      </c>
    </row>
    <row r="83" spans="1:6" x14ac:dyDescent="0.3">
      <c r="A83" s="3" t="s">
        <v>681</v>
      </c>
      <c r="B83" s="3" t="s">
        <v>25</v>
      </c>
      <c r="C83" s="3" t="str">
        <f t="shared" si="1"/>
        <v>450008523440</v>
      </c>
      <c r="D83" s="4">
        <v>46326</v>
      </c>
      <c r="E83" s="3" t="s">
        <v>609</v>
      </c>
      <c r="F83" s="3" t="s">
        <v>707</v>
      </c>
    </row>
    <row r="84" spans="1:6" x14ac:dyDescent="0.3">
      <c r="A84" s="3" t="s">
        <v>681</v>
      </c>
      <c r="B84" s="3" t="s">
        <v>22</v>
      </c>
      <c r="C84" s="3" t="str">
        <f t="shared" si="1"/>
        <v>450008523450</v>
      </c>
      <c r="D84" s="4">
        <v>46326</v>
      </c>
      <c r="E84" s="3" t="s">
        <v>609</v>
      </c>
      <c r="F84" s="3" t="s">
        <v>707</v>
      </c>
    </row>
    <row r="85" spans="1:6" x14ac:dyDescent="0.3">
      <c r="A85" s="3" t="s">
        <v>310</v>
      </c>
      <c r="B85" s="3" t="s">
        <v>33</v>
      </c>
      <c r="C85" s="3" t="str">
        <f t="shared" si="1"/>
        <v>450010123710</v>
      </c>
      <c r="D85" s="4">
        <v>45824</v>
      </c>
      <c r="E85" s="3" t="s">
        <v>610</v>
      </c>
      <c r="F85" s="3" t="s">
        <v>735</v>
      </c>
    </row>
    <row r="86" spans="1:6" x14ac:dyDescent="0.3">
      <c r="A86" s="3" t="s">
        <v>581</v>
      </c>
      <c r="B86" s="3" t="s">
        <v>33</v>
      </c>
      <c r="C86" s="3" t="str">
        <f t="shared" si="1"/>
        <v>450010157010</v>
      </c>
      <c r="D86" s="4">
        <v>46325</v>
      </c>
      <c r="E86" s="3" t="s">
        <v>609</v>
      </c>
      <c r="F86" s="3" t="s">
        <v>736</v>
      </c>
    </row>
    <row r="87" spans="1:6" x14ac:dyDescent="0.3">
      <c r="A87" s="3" t="s">
        <v>296</v>
      </c>
      <c r="B87" s="3" t="s">
        <v>33</v>
      </c>
      <c r="C87" s="3" t="str">
        <f t="shared" si="1"/>
        <v>450011173210</v>
      </c>
      <c r="D87" s="4">
        <v>45973</v>
      </c>
      <c r="E87" s="3" t="s">
        <v>611</v>
      </c>
      <c r="F87" s="3" t="s">
        <v>737</v>
      </c>
    </row>
    <row r="88" spans="1:6" x14ac:dyDescent="0.3">
      <c r="A88" s="3" t="s">
        <v>296</v>
      </c>
      <c r="B88" s="3" t="s">
        <v>20</v>
      </c>
      <c r="C88" s="3" t="str">
        <f t="shared" si="1"/>
        <v>450011173220</v>
      </c>
      <c r="D88" s="4">
        <v>45971</v>
      </c>
      <c r="E88" s="3" t="s">
        <v>611</v>
      </c>
      <c r="F88" s="3" t="s">
        <v>737</v>
      </c>
    </row>
    <row r="89" spans="1:6" x14ac:dyDescent="0.3">
      <c r="A89" s="3" t="s">
        <v>296</v>
      </c>
      <c r="B89" s="3" t="s">
        <v>21</v>
      </c>
      <c r="C89" s="3" t="str">
        <f t="shared" si="1"/>
        <v>450011173230</v>
      </c>
      <c r="D89" s="4">
        <v>45971</v>
      </c>
      <c r="E89" s="3" t="s">
        <v>611</v>
      </c>
      <c r="F89" s="3" t="s">
        <v>737</v>
      </c>
    </row>
    <row r="90" spans="1:6" x14ac:dyDescent="0.3">
      <c r="A90" s="3" t="s">
        <v>298</v>
      </c>
      <c r="B90" s="3" t="s">
        <v>22</v>
      </c>
      <c r="C90" s="3" t="str">
        <f t="shared" si="1"/>
        <v>450011181950</v>
      </c>
      <c r="D90" s="4">
        <v>45974</v>
      </c>
      <c r="E90" s="3" t="s">
        <v>611</v>
      </c>
      <c r="F90" s="3" t="s">
        <v>738</v>
      </c>
    </row>
    <row r="91" spans="1:6" x14ac:dyDescent="0.3">
      <c r="A91" s="3" t="s">
        <v>298</v>
      </c>
      <c r="B91" s="3" t="s">
        <v>23</v>
      </c>
      <c r="C91" s="3" t="str">
        <f t="shared" si="1"/>
        <v>450011181960</v>
      </c>
      <c r="D91" s="4">
        <v>45974</v>
      </c>
      <c r="E91" s="3" t="s">
        <v>611</v>
      </c>
      <c r="F91" s="3" t="s">
        <v>738</v>
      </c>
    </row>
    <row r="92" spans="1:6" x14ac:dyDescent="0.3">
      <c r="A92" s="3" t="s">
        <v>279</v>
      </c>
      <c r="B92" s="3" t="s">
        <v>33</v>
      </c>
      <c r="C92" s="3" t="str">
        <f t="shared" si="1"/>
        <v>450011435610</v>
      </c>
      <c r="D92" s="4">
        <v>46203</v>
      </c>
      <c r="E92" s="3" t="s">
        <v>612</v>
      </c>
      <c r="F92" s="3" t="s">
        <v>739</v>
      </c>
    </row>
    <row r="93" spans="1:6" x14ac:dyDescent="0.3">
      <c r="A93" s="3" t="s">
        <v>279</v>
      </c>
      <c r="B93" s="3" t="s">
        <v>20</v>
      </c>
      <c r="C93" s="3" t="str">
        <f t="shared" si="1"/>
        <v>450011435620</v>
      </c>
      <c r="D93" s="4">
        <v>46108</v>
      </c>
      <c r="E93" s="3" t="s">
        <v>612</v>
      </c>
      <c r="F93" s="3" t="s">
        <v>739</v>
      </c>
    </row>
    <row r="94" spans="1:6" x14ac:dyDescent="0.3">
      <c r="A94" s="3" t="s">
        <v>279</v>
      </c>
      <c r="B94" s="3" t="s">
        <v>21</v>
      </c>
      <c r="C94" s="3" t="str">
        <f t="shared" si="1"/>
        <v>450011435630</v>
      </c>
      <c r="D94" s="4">
        <v>46108</v>
      </c>
      <c r="E94" s="3" t="s">
        <v>612</v>
      </c>
      <c r="F94" s="3" t="s">
        <v>739</v>
      </c>
    </row>
    <row r="95" spans="1:6" x14ac:dyDescent="0.3">
      <c r="A95" s="3" t="s">
        <v>279</v>
      </c>
      <c r="B95" s="3" t="s">
        <v>25</v>
      </c>
      <c r="C95" s="3" t="str">
        <f t="shared" si="1"/>
        <v>450011435640</v>
      </c>
      <c r="D95" s="4">
        <v>46108</v>
      </c>
      <c r="E95" s="3" t="s">
        <v>612</v>
      </c>
      <c r="F95" s="3" t="s">
        <v>739</v>
      </c>
    </row>
    <row r="96" spans="1:6" x14ac:dyDescent="0.3">
      <c r="A96" s="3" t="s">
        <v>274</v>
      </c>
      <c r="B96" s="3" t="s">
        <v>33</v>
      </c>
      <c r="C96" s="3" t="str">
        <f t="shared" si="1"/>
        <v>450011551610</v>
      </c>
      <c r="D96" s="4">
        <v>46027</v>
      </c>
      <c r="E96" s="3" t="s">
        <v>611</v>
      </c>
      <c r="F96" s="3" t="s">
        <v>740</v>
      </c>
    </row>
    <row r="97" spans="1:6" x14ac:dyDescent="0.3">
      <c r="A97" s="3" t="s">
        <v>276</v>
      </c>
      <c r="B97" s="3" t="s">
        <v>20</v>
      </c>
      <c r="C97" s="3" t="str">
        <f t="shared" si="1"/>
        <v>450011608220</v>
      </c>
      <c r="D97" s="4">
        <v>46031</v>
      </c>
      <c r="E97" s="3" t="s">
        <v>611</v>
      </c>
      <c r="F97" s="3" t="s">
        <v>722</v>
      </c>
    </row>
    <row r="98" spans="1:6" x14ac:dyDescent="0.3">
      <c r="A98" s="3" t="s">
        <v>276</v>
      </c>
      <c r="B98" s="3" t="s">
        <v>21</v>
      </c>
      <c r="C98" s="3" t="str">
        <f t="shared" si="1"/>
        <v>450011608230</v>
      </c>
      <c r="D98" s="4">
        <v>46031</v>
      </c>
      <c r="E98" s="3" t="s">
        <v>611</v>
      </c>
      <c r="F98" s="3" t="s">
        <v>722</v>
      </c>
    </row>
    <row r="99" spans="1:6" x14ac:dyDescent="0.3">
      <c r="A99" s="3" t="s">
        <v>368</v>
      </c>
      <c r="B99" s="3" t="s">
        <v>33</v>
      </c>
      <c r="C99" s="3" t="str">
        <f t="shared" si="1"/>
        <v>450011638910</v>
      </c>
      <c r="D99" s="4">
        <v>46142</v>
      </c>
      <c r="E99" s="3" t="s">
        <v>612</v>
      </c>
      <c r="F99" s="3" t="s">
        <v>741</v>
      </c>
    </row>
    <row r="100" spans="1:6" x14ac:dyDescent="0.3">
      <c r="A100" s="3" t="s">
        <v>368</v>
      </c>
      <c r="B100" s="3" t="s">
        <v>20</v>
      </c>
      <c r="C100" s="3" t="str">
        <f t="shared" si="1"/>
        <v>450011638920</v>
      </c>
      <c r="D100" s="4">
        <v>46203</v>
      </c>
      <c r="E100" s="3" t="s">
        <v>612</v>
      </c>
      <c r="F100" s="3" t="s">
        <v>741</v>
      </c>
    </row>
    <row r="101" spans="1:6" x14ac:dyDescent="0.3">
      <c r="A101" s="3" t="s">
        <v>368</v>
      </c>
      <c r="B101" s="3" t="s">
        <v>21</v>
      </c>
      <c r="C101" s="3" t="str">
        <f t="shared" si="1"/>
        <v>450011638930</v>
      </c>
      <c r="D101" s="4">
        <v>46203</v>
      </c>
      <c r="E101" s="3" t="s">
        <v>612</v>
      </c>
      <c r="F101" s="3" t="s">
        <v>741</v>
      </c>
    </row>
    <row r="102" spans="1:6" x14ac:dyDescent="0.3">
      <c r="A102" s="3" t="s">
        <v>368</v>
      </c>
      <c r="B102" s="3" t="s">
        <v>25</v>
      </c>
      <c r="C102" s="3" t="str">
        <f t="shared" si="1"/>
        <v>450011638940</v>
      </c>
      <c r="D102" s="4">
        <v>46203</v>
      </c>
      <c r="E102" s="3" t="s">
        <v>612</v>
      </c>
      <c r="F102" s="3" t="s">
        <v>741</v>
      </c>
    </row>
    <row r="103" spans="1:6" x14ac:dyDescent="0.3">
      <c r="A103" s="3" t="s">
        <v>368</v>
      </c>
      <c r="B103" s="3" t="s">
        <v>22</v>
      </c>
      <c r="C103" s="3" t="str">
        <f t="shared" si="1"/>
        <v>450011638950</v>
      </c>
      <c r="D103" s="4">
        <v>46203</v>
      </c>
      <c r="E103" s="3" t="s">
        <v>612</v>
      </c>
      <c r="F103" s="3" t="s">
        <v>741</v>
      </c>
    </row>
    <row r="104" spans="1:6" x14ac:dyDescent="0.3">
      <c r="A104" s="3" t="s">
        <v>368</v>
      </c>
      <c r="B104" s="3" t="s">
        <v>23</v>
      </c>
      <c r="C104" s="3" t="str">
        <f t="shared" si="1"/>
        <v>450011638960</v>
      </c>
      <c r="D104" s="4">
        <v>46203</v>
      </c>
      <c r="E104" s="3" t="s">
        <v>612</v>
      </c>
      <c r="F104" s="3" t="s">
        <v>741</v>
      </c>
    </row>
    <row r="105" spans="1:6" x14ac:dyDescent="0.3">
      <c r="A105" s="3" t="s">
        <v>368</v>
      </c>
      <c r="B105" s="3" t="s">
        <v>24</v>
      </c>
      <c r="C105" s="3" t="str">
        <f t="shared" si="1"/>
        <v>450011638970</v>
      </c>
      <c r="D105" s="4">
        <v>46203</v>
      </c>
      <c r="E105" s="3" t="s">
        <v>612</v>
      </c>
      <c r="F105" s="3" t="s">
        <v>741</v>
      </c>
    </row>
    <row r="106" spans="1:6" x14ac:dyDescent="0.3">
      <c r="A106" s="3" t="s">
        <v>368</v>
      </c>
      <c r="B106" s="3" t="s">
        <v>321</v>
      </c>
      <c r="C106" s="3" t="str">
        <f t="shared" si="1"/>
        <v>450011638980</v>
      </c>
      <c r="D106" s="4">
        <v>46203</v>
      </c>
      <c r="E106" s="3" t="s">
        <v>612</v>
      </c>
      <c r="F106" s="3" t="s">
        <v>741</v>
      </c>
    </row>
    <row r="107" spans="1:6" x14ac:dyDescent="0.3">
      <c r="A107" s="3" t="s">
        <v>368</v>
      </c>
      <c r="B107" s="3" t="s">
        <v>322</v>
      </c>
      <c r="C107" s="3" t="str">
        <f t="shared" si="1"/>
        <v>450011638990</v>
      </c>
      <c r="D107" s="4">
        <v>46203</v>
      </c>
      <c r="E107" s="3" t="s">
        <v>612</v>
      </c>
      <c r="F107" s="3" t="s">
        <v>741</v>
      </c>
    </row>
    <row r="108" spans="1:6" x14ac:dyDescent="0.3">
      <c r="A108" s="3" t="s">
        <v>368</v>
      </c>
      <c r="B108" s="3" t="s">
        <v>323</v>
      </c>
      <c r="C108" s="3" t="str">
        <f t="shared" si="1"/>
        <v>4500116389100</v>
      </c>
      <c r="D108" s="4">
        <v>46238</v>
      </c>
      <c r="E108" s="3" t="s">
        <v>612</v>
      </c>
      <c r="F108" s="3" t="s">
        <v>741</v>
      </c>
    </row>
    <row r="109" spans="1:6" x14ac:dyDescent="0.3">
      <c r="A109" s="3" t="s">
        <v>368</v>
      </c>
      <c r="B109" s="3" t="s">
        <v>175</v>
      </c>
      <c r="C109" s="3" t="str">
        <f t="shared" si="1"/>
        <v>4500116389110</v>
      </c>
      <c r="D109" s="4">
        <v>46203</v>
      </c>
      <c r="E109" s="3" t="s">
        <v>612</v>
      </c>
      <c r="F109" s="3" t="s">
        <v>741</v>
      </c>
    </row>
    <row r="110" spans="1:6" x14ac:dyDescent="0.3">
      <c r="A110" s="3" t="s">
        <v>368</v>
      </c>
      <c r="B110" s="3" t="s">
        <v>375</v>
      </c>
      <c r="C110" s="3" t="str">
        <f t="shared" si="1"/>
        <v>4500116389120</v>
      </c>
      <c r="D110" s="4">
        <v>46203</v>
      </c>
      <c r="E110" s="3" t="s">
        <v>612</v>
      </c>
      <c r="F110" s="3" t="s">
        <v>741</v>
      </c>
    </row>
    <row r="111" spans="1:6" x14ac:dyDescent="0.3">
      <c r="A111" s="3" t="s">
        <v>368</v>
      </c>
      <c r="B111" s="3" t="s">
        <v>203</v>
      </c>
      <c r="C111" s="3" t="str">
        <f t="shared" si="1"/>
        <v>4500116389130</v>
      </c>
      <c r="D111" s="4">
        <v>46203</v>
      </c>
      <c r="E111" s="3" t="s">
        <v>612</v>
      </c>
      <c r="F111" s="3" t="s">
        <v>741</v>
      </c>
    </row>
    <row r="112" spans="1:6" x14ac:dyDescent="0.3">
      <c r="A112" s="3" t="s">
        <v>368</v>
      </c>
      <c r="B112" s="3" t="s">
        <v>376</v>
      </c>
      <c r="C112" s="3" t="str">
        <f t="shared" si="1"/>
        <v>4500116389140</v>
      </c>
      <c r="D112" s="4">
        <v>46203</v>
      </c>
      <c r="E112" s="3" t="s">
        <v>612</v>
      </c>
      <c r="F112" s="3" t="s">
        <v>741</v>
      </c>
    </row>
    <row r="113" spans="1:6" x14ac:dyDescent="0.3">
      <c r="A113" s="3" t="s">
        <v>368</v>
      </c>
      <c r="B113" s="3" t="s">
        <v>377</v>
      </c>
      <c r="C113" s="3" t="str">
        <f t="shared" si="1"/>
        <v>4500116389150</v>
      </c>
      <c r="D113" s="4">
        <v>46203</v>
      </c>
      <c r="E113" s="3" t="s">
        <v>612</v>
      </c>
      <c r="F113" s="3" t="s">
        <v>741</v>
      </c>
    </row>
    <row r="114" spans="1:6" x14ac:dyDescent="0.3">
      <c r="A114" s="3" t="s">
        <v>368</v>
      </c>
      <c r="B114" s="3" t="s">
        <v>378</v>
      </c>
      <c r="C114" s="3" t="str">
        <f t="shared" si="1"/>
        <v>4500116389160</v>
      </c>
      <c r="D114" s="4">
        <v>46203</v>
      </c>
      <c r="E114" s="3" t="s">
        <v>612</v>
      </c>
      <c r="F114" s="3" t="s">
        <v>741</v>
      </c>
    </row>
    <row r="115" spans="1:6" x14ac:dyDescent="0.3">
      <c r="A115" s="3" t="s">
        <v>368</v>
      </c>
      <c r="B115" s="3" t="s">
        <v>324</v>
      </c>
      <c r="C115" s="3" t="str">
        <f t="shared" si="1"/>
        <v>4500116389170</v>
      </c>
      <c r="D115" s="4">
        <v>46203</v>
      </c>
      <c r="E115" s="3" t="s">
        <v>612</v>
      </c>
      <c r="F115" s="3" t="s">
        <v>741</v>
      </c>
    </row>
    <row r="116" spans="1:6" x14ac:dyDescent="0.3">
      <c r="A116" s="3" t="s">
        <v>368</v>
      </c>
      <c r="B116" s="3" t="s">
        <v>325</v>
      </c>
      <c r="C116" s="3" t="str">
        <f t="shared" si="1"/>
        <v>4500116389180</v>
      </c>
      <c r="D116" s="4">
        <v>46203</v>
      </c>
      <c r="E116" s="3" t="s">
        <v>612</v>
      </c>
      <c r="F116" s="3" t="s">
        <v>741</v>
      </c>
    </row>
    <row r="117" spans="1:6" x14ac:dyDescent="0.3">
      <c r="A117" s="3" t="s">
        <v>368</v>
      </c>
      <c r="B117" s="3" t="s">
        <v>379</v>
      </c>
      <c r="C117" s="3" t="str">
        <f t="shared" si="1"/>
        <v>4500116389190</v>
      </c>
      <c r="D117" s="4">
        <v>46203</v>
      </c>
      <c r="E117" s="3" t="s">
        <v>612</v>
      </c>
      <c r="F117" s="3" t="s">
        <v>741</v>
      </c>
    </row>
    <row r="118" spans="1:6" x14ac:dyDescent="0.3">
      <c r="A118" s="3" t="s">
        <v>368</v>
      </c>
      <c r="B118" s="3" t="s">
        <v>380</v>
      </c>
      <c r="C118" s="3" t="str">
        <f t="shared" si="1"/>
        <v>4500116389200</v>
      </c>
      <c r="D118" s="4">
        <v>46203</v>
      </c>
      <c r="E118" s="3" t="s">
        <v>612</v>
      </c>
      <c r="F118" s="3" t="s">
        <v>741</v>
      </c>
    </row>
    <row r="119" spans="1:6" x14ac:dyDescent="0.3">
      <c r="A119" s="3" t="s">
        <v>368</v>
      </c>
      <c r="B119" s="3" t="s">
        <v>326</v>
      </c>
      <c r="C119" s="3" t="str">
        <f t="shared" si="1"/>
        <v>4500116389210</v>
      </c>
      <c r="D119" s="4">
        <v>46203</v>
      </c>
      <c r="E119" s="3" t="s">
        <v>612</v>
      </c>
      <c r="F119" s="3" t="s">
        <v>741</v>
      </c>
    </row>
    <row r="120" spans="1:6" x14ac:dyDescent="0.3">
      <c r="A120" s="3" t="s">
        <v>368</v>
      </c>
      <c r="B120" s="3" t="s">
        <v>413</v>
      </c>
      <c r="C120" s="3" t="str">
        <f t="shared" si="1"/>
        <v>4500116389220</v>
      </c>
      <c r="D120" s="4">
        <v>46203</v>
      </c>
      <c r="E120" s="3" t="s">
        <v>612</v>
      </c>
      <c r="F120" s="3" t="s">
        <v>741</v>
      </c>
    </row>
    <row r="121" spans="1:6" x14ac:dyDescent="0.3">
      <c r="A121" s="3" t="s">
        <v>368</v>
      </c>
      <c r="B121" s="3" t="s">
        <v>327</v>
      </c>
      <c r="C121" s="3" t="str">
        <f t="shared" si="1"/>
        <v>4500116389230</v>
      </c>
      <c r="D121" s="4">
        <v>46203</v>
      </c>
      <c r="E121" s="3" t="s">
        <v>612</v>
      </c>
      <c r="F121" s="3" t="s">
        <v>741</v>
      </c>
    </row>
    <row r="122" spans="1:6" x14ac:dyDescent="0.3">
      <c r="A122" s="3" t="s">
        <v>368</v>
      </c>
      <c r="B122" s="3" t="s">
        <v>328</v>
      </c>
      <c r="C122" s="3" t="str">
        <f t="shared" si="1"/>
        <v>4500116389240</v>
      </c>
      <c r="D122" s="4">
        <v>46203</v>
      </c>
      <c r="E122" s="3" t="s">
        <v>612</v>
      </c>
      <c r="F122" s="3" t="s">
        <v>741</v>
      </c>
    </row>
    <row r="123" spans="1:6" x14ac:dyDescent="0.3">
      <c r="A123" s="3" t="s">
        <v>29</v>
      </c>
      <c r="B123" s="3" t="s">
        <v>33</v>
      </c>
      <c r="C123" s="3" t="str">
        <f t="shared" si="1"/>
        <v>450011645110</v>
      </c>
      <c r="D123" s="4">
        <v>46042</v>
      </c>
      <c r="E123" s="3" t="s">
        <v>611</v>
      </c>
      <c r="F123" s="3" t="s">
        <v>737</v>
      </c>
    </row>
    <row r="124" spans="1:6" x14ac:dyDescent="0.3">
      <c r="A124" s="3" t="s">
        <v>29</v>
      </c>
      <c r="B124" s="3" t="s">
        <v>20</v>
      </c>
      <c r="C124" s="3" t="str">
        <f t="shared" si="1"/>
        <v>450011645120</v>
      </c>
      <c r="D124" s="4">
        <v>46042</v>
      </c>
      <c r="E124" s="3" t="s">
        <v>611</v>
      </c>
      <c r="F124" s="3" t="s">
        <v>737</v>
      </c>
    </row>
    <row r="125" spans="1:6" x14ac:dyDescent="0.3">
      <c r="A125" s="3" t="s">
        <v>29</v>
      </c>
      <c r="B125" s="3" t="s">
        <v>21</v>
      </c>
      <c r="C125" s="3" t="str">
        <f t="shared" si="1"/>
        <v>450011645130</v>
      </c>
      <c r="D125" s="4">
        <v>46042</v>
      </c>
      <c r="E125" s="3" t="s">
        <v>611</v>
      </c>
      <c r="F125" s="3" t="s">
        <v>737</v>
      </c>
    </row>
    <row r="126" spans="1:6" x14ac:dyDescent="0.3">
      <c r="A126" s="3" t="s">
        <v>29</v>
      </c>
      <c r="B126" s="3" t="s">
        <v>25</v>
      </c>
      <c r="C126" s="3" t="str">
        <f t="shared" si="1"/>
        <v>450011645140</v>
      </c>
      <c r="D126" s="4">
        <v>46042</v>
      </c>
      <c r="E126" s="3" t="s">
        <v>611</v>
      </c>
      <c r="F126" s="3" t="s">
        <v>737</v>
      </c>
    </row>
    <row r="127" spans="1:6" x14ac:dyDescent="0.3">
      <c r="A127" s="3" t="s">
        <v>98</v>
      </c>
      <c r="B127" s="3" t="s">
        <v>33</v>
      </c>
      <c r="C127" s="3" t="str">
        <f t="shared" si="1"/>
        <v>450011680010</v>
      </c>
      <c r="D127" s="4">
        <v>46065</v>
      </c>
      <c r="E127" s="3" t="s">
        <v>616</v>
      </c>
      <c r="F127" s="3" t="s">
        <v>709</v>
      </c>
    </row>
    <row r="128" spans="1:6" x14ac:dyDescent="0.3">
      <c r="A128" s="3" t="s">
        <v>149</v>
      </c>
      <c r="B128" s="3" t="s">
        <v>33</v>
      </c>
      <c r="C128" s="3" t="str">
        <f t="shared" si="1"/>
        <v>450011780310</v>
      </c>
      <c r="D128" s="4">
        <v>46092</v>
      </c>
      <c r="E128" s="3" t="s">
        <v>612</v>
      </c>
      <c r="F128" s="3" t="s">
        <v>718</v>
      </c>
    </row>
    <row r="129" spans="1:6" x14ac:dyDescent="0.3">
      <c r="A129" s="3" t="s">
        <v>149</v>
      </c>
      <c r="B129" s="3" t="s">
        <v>20</v>
      </c>
      <c r="C129" s="3" t="str">
        <f t="shared" si="1"/>
        <v>450011780320</v>
      </c>
      <c r="D129" s="4">
        <v>46092</v>
      </c>
      <c r="E129" s="3" t="s">
        <v>612</v>
      </c>
      <c r="F129" s="3" t="s">
        <v>718</v>
      </c>
    </row>
    <row r="130" spans="1:6" x14ac:dyDescent="0.3">
      <c r="A130" s="3" t="s">
        <v>32</v>
      </c>
      <c r="B130" s="3" t="s">
        <v>33</v>
      </c>
      <c r="C130" s="3" t="str">
        <f t="shared" si="1"/>
        <v>450011789910</v>
      </c>
      <c r="D130" s="4">
        <v>46059</v>
      </c>
      <c r="E130" s="3" t="s">
        <v>614</v>
      </c>
      <c r="F130" s="3" t="s">
        <v>742</v>
      </c>
    </row>
    <row r="131" spans="1:6" x14ac:dyDescent="0.3">
      <c r="A131" s="3" t="s">
        <v>141</v>
      </c>
      <c r="B131" s="3" t="s">
        <v>20</v>
      </c>
      <c r="C131" s="3" t="str">
        <f t="shared" ref="C131:C194" si="2">_xlfn.CONCAT(A131:B131)</f>
        <v>450011860420</v>
      </c>
      <c r="D131" s="4">
        <v>46173</v>
      </c>
      <c r="E131" s="3" t="s">
        <v>615</v>
      </c>
      <c r="F131" s="3" t="s">
        <v>743</v>
      </c>
    </row>
    <row r="132" spans="1:6" x14ac:dyDescent="0.3">
      <c r="A132" s="3" t="s">
        <v>102</v>
      </c>
      <c r="B132" s="3" t="s">
        <v>33</v>
      </c>
      <c r="C132" s="3" t="str">
        <f t="shared" si="2"/>
        <v>450011865410</v>
      </c>
      <c r="D132" s="4">
        <v>46063</v>
      </c>
      <c r="E132" s="3" t="s">
        <v>611</v>
      </c>
      <c r="F132" s="3" t="s">
        <v>744</v>
      </c>
    </row>
    <row r="133" spans="1:6" x14ac:dyDescent="0.3">
      <c r="A133" s="3" t="s">
        <v>169</v>
      </c>
      <c r="B133" s="3" t="s">
        <v>33</v>
      </c>
      <c r="C133" s="3" t="str">
        <f t="shared" si="2"/>
        <v>450011868210</v>
      </c>
      <c r="D133" s="4">
        <v>46108</v>
      </c>
      <c r="E133" s="3" t="s">
        <v>610</v>
      </c>
      <c r="F133" s="3" t="s">
        <v>745</v>
      </c>
    </row>
    <row r="134" spans="1:6" x14ac:dyDescent="0.3">
      <c r="A134" s="3" t="s">
        <v>145</v>
      </c>
      <c r="B134" s="3" t="s">
        <v>33</v>
      </c>
      <c r="C134" s="3" t="str">
        <f t="shared" si="2"/>
        <v>450011888510</v>
      </c>
      <c r="D134" s="4">
        <v>46096</v>
      </c>
      <c r="E134" s="3" t="s">
        <v>610</v>
      </c>
      <c r="F134" s="3" t="s">
        <v>746</v>
      </c>
    </row>
    <row r="135" spans="1:6" x14ac:dyDescent="0.3">
      <c r="A135" s="3" t="s">
        <v>106</v>
      </c>
      <c r="B135" s="3" t="s">
        <v>33</v>
      </c>
      <c r="C135" s="3" t="str">
        <f t="shared" si="2"/>
        <v>450011888610</v>
      </c>
      <c r="D135" s="4">
        <v>46063</v>
      </c>
      <c r="E135" s="3" t="s">
        <v>611</v>
      </c>
      <c r="F135" s="3" t="s">
        <v>747</v>
      </c>
    </row>
    <row r="136" spans="1:6" x14ac:dyDescent="0.3">
      <c r="A136" s="3" t="s">
        <v>134</v>
      </c>
      <c r="B136" s="3" t="s">
        <v>33</v>
      </c>
      <c r="C136" s="3" t="str">
        <f t="shared" si="2"/>
        <v>450011890610</v>
      </c>
      <c r="D136" s="4">
        <v>46096</v>
      </c>
      <c r="E136" s="3" t="s">
        <v>628</v>
      </c>
      <c r="F136" s="3" t="s">
        <v>748</v>
      </c>
    </row>
    <row r="137" spans="1:6" x14ac:dyDescent="0.3">
      <c r="A137" s="3" t="s">
        <v>114</v>
      </c>
      <c r="B137" s="3" t="s">
        <v>33</v>
      </c>
      <c r="C137" s="3" t="str">
        <f t="shared" si="2"/>
        <v>450011902910</v>
      </c>
      <c r="D137" s="4">
        <v>46058</v>
      </c>
      <c r="E137" s="3" t="s">
        <v>612</v>
      </c>
      <c r="F137" s="3" t="s">
        <v>749</v>
      </c>
    </row>
    <row r="138" spans="1:6" x14ac:dyDescent="0.3">
      <c r="A138" s="3" t="s">
        <v>115</v>
      </c>
      <c r="B138" s="3" t="s">
        <v>33</v>
      </c>
      <c r="C138" s="3" t="str">
        <f t="shared" si="2"/>
        <v>450011903210</v>
      </c>
      <c r="D138" s="4">
        <v>46048</v>
      </c>
      <c r="E138" s="3" t="s">
        <v>612</v>
      </c>
      <c r="F138" s="3" t="s">
        <v>749</v>
      </c>
    </row>
    <row r="139" spans="1:6" x14ac:dyDescent="0.3">
      <c r="A139" s="3" t="s">
        <v>108</v>
      </c>
      <c r="B139" s="3" t="s">
        <v>33</v>
      </c>
      <c r="C139" s="3" t="str">
        <f t="shared" si="2"/>
        <v>450011903410</v>
      </c>
      <c r="D139" s="4">
        <v>46065</v>
      </c>
      <c r="E139" s="3" t="s">
        <v>616</v>
      </c>
      <c r="F139" s="3" t="s">
        <v>709</v>
      </c>
    </row>
    <row r="140" spans="1:6" x14ac:dyDescent="0.3">
      <c r="A140" s="3" t="s">
        <v>110</v>
      </c>
      <c r="B140" s="3" t="s">
        <v>33</v>
      </c>
      <c r="C140" s="3" t="str">
        <f t="shared" si="2"/>
        <v>450011904510</v>
      </c>
      <c r="D140" s="4">
        <v>46065</v>
      </c>
      <c r="E140" s="3" t="s">
        <v>616</v>
      </c>
      <c r="F140" s="3" t="s">
        <v>701</v>
      </c>
    </row>
    <row r="141" spans="1:6" x14ac:dyDescent="0.3">
      <c r="A141" s="3" t="s">
        <v>163</v>
      </c>
      <c r="B141" s="3" t="s">
        <v>33</v>
      </c>
      <c r="C141" s="3" t="str">
        <f t="shared" si="2"/>
        <v>450011911710</v>
      </c>
      <c r="D141" s="4">
        <v>46245</v>
      </c>
      <c r="E141" s="3" t="s">
        <v>616</v>
      </c>
      <c r="F141" s="3" t="s">
        <v>709</v>
      </c>
    </row>
    <row r="142" spans="1:6" x14ac:dyDescent="0.3">
      <c r="A142" s="3" t="s">
        <v>118</v>
      </c>
      <c r="B142" s="3" t="s">
        <v>33</v>
      </c>
      <c r="C142" s="3" t="str">
        <f t="shared" si="2"/>
        <v>450011915910</v>
      </c>
      <c r="D142" s="4">
        <v>46063</v>
      </c>
      <c r="E142" s="3" t="s">
        <v>610</v>
      </c>
      <c r="F142" s="3" t="s">
        <v>738</v>
      </c>
    </row>
    <row r="143" spans="1:6" x14ac:dyDescent="0.3">
      <c r="A143" s="3" t="s">
        <v>112</v>
      </c>
      <c r="B143" s="3" t="s">
        <v>33</v>
      </c>
      <c r="C143" s="3" t="str">
        <f t="shared" si="2"/>
        <v>450011917410</v>
      </c>
      <c r="D143" s="4">
        <v>46065</v>
      </c>
      <c r="E143" s="3" t="s">
        <v>616</v>
      </c>
      <c r="F143" s="3" t="s">
        <v>701</v>
      </c>
    </row>
    <row r="144" spans="1:6" x14ac:dyDescent="0.3">
      <c r="A144" s="3" t="s">
        <v>120</v>
      </c>
      <c r="B144" s="3" t="s">
        <v>33</v>
      </c>
      <c r="C144" s="3" t="str">
        <f t="shared" si="2"/>
        <v>450011926310</v>
      </c>
      <c r="D144" s="4">
        <v>46065</v>
      </c>
      <c r="E144" s="3" t="s">
        <v>616</v>
      </c>
      <c r="F144" s="3" t="s">
        <v>701</v>
      </c>
    </row>
    <row r="145" spans="1:6" x14ac:dyDescent="0.3">
      <c r="A145" s="3" t="s">
        <v>122</v>
      </c>
      <c r="B145" s="3" t="s">
        <v>33</v>
      </c>
      <c r="C145" s="3" t="str">
        <f t="shared" si="2"/>
        <v>450011941310</v>
      </c>
      <c r="D145" s="4">
        <v>46065</v>
      </c>
      <c r="E145" s="3" t="s">
        <v>616</v>
      </c>
      <c r="F145" s="3" t="s">
        <v>701</v>
      </c>
    </row>
    <row r="146" spans="1:6" x14ac:dyDescent="0.3">
      <c r="A146" s="3" t="s">
        <v>127</v>
      </c>
      <c r="B146" s="3" t="s">
        <v>33</v>
      </c>
      <c r="C146" s="3" t="str">
        <f t="shared" si="2"/>
        <v>450011995310</v>
      </c>
      <c r="D146" s="4">
        <v>46096</v>
      </c>
      <c r="E146" s="3" t="s">
        <v>618</v>
      </c>
      <c r="F146" s="3" t="s">
        <v>750</v>
      </c>
    </row>
    <row r="147" spans="1:6" x14ac:dyDescent="0.3">
      <c r="A147" s="3" t="s">
        <v>139</v>
      </c>
      <c r="B147" s="3" t="s">
        <v>33</v>
      </c>
      <c r="C147" s="3" t="str">
        <f t="shared" si="2"/>
        <v>450012003810</v>
      </c>
      <c r="D147" s="4">
        <v>46203</v>
      </c>
      <c r="E147" s="3" t="s">
        <v>616</v>
      </c>
      <c r="F147" s="3" t="s">
        <v>701</v>
      </c>
    </row>
    <row r="148" spans="1:6" x14ac:dyDescent="0.3">
      <c r="A148" s="3" t="s">
        <v>129</v>
      </c>
      <c r="B148" s="3" t="s">
        <v>33</v>
      </c>
      <c r="C148" s="3" t="str">
        <f t="shared" si="2"/>
        <v>450012018610</v>
      </c>
      <c r="D148" s="4">
        <v>46065</v>
      </c>
      <c r="E148" s="3" t="s">
        <v>616</v>
      </c>
      <c r="F148" s="3" t="s">
        <v>701</v>
      </c>
    </row>
    <row r="149" spans="1:6" x14ac:dyDescent="0.3">
      <c r="A149" s="3" t="s">
        <v>129</v>
      </c>
      <c r="B149" s="3" t="s">
        <v>20</v>
      </c>
      <c r="C149" s="3" t="str">
        <f t="shared" si="2"/>
        <v>450012018620</v>
      </c>
      <c r="D149" s="4">
        <v>46065</v>
      </c>
      <c r="E149" s="3" t="s">
        <v>616</v>
      </c>
      <c r="F149" s="3" t="s">
        <v>701</v>
      </c>
    </row>
    <row r="150" spans="1:6" x14ac:dyDescent="0.3">
      <c r="A150" s="3" t="s">
        <v>124</v>
      </c>
      <c r="B150" s="3" t="s">
        <v>33</v>
      </c>
      <c r="C150" s="3" t="str">
        <f t="shared" si="2"/>
        <v>450012024510</v>
      </c>
      <c r="D150" s="4">
        <v>46065</v>
      </c>
      <c r="E150" s="3" t="s">
        <v>616</v>
      </c>
      <c r="F150" s="3" t="s">
        <v>709</v>
      </c>
    </row>
    <row r="151" spans="1:6" x14ac:dyDescent="0.3">
      <c r="A151" s="3" t="s">
        <v>131</v>
      </c>
      <c r="B151" s="3" t="s">
        <v>33</v>
      </c>
      <c r="C151" s="3" t="str">
        <f t="shared" si="2"/>
        <v>450012035810</v>
      </c>
      <c r="D151" s="4">
        <v>46065</v>
      </c>
      <c r="E151" s="3" t="s">
        <v>616</v>
      </c>
      <c r="F151" s="3" t="s">
        <v>701</v>
      </c>
    </row>
    <row r="152" spans="1:6" x14ac:dyDescent="0.3">
      <c r="A152" s="3" t="s">
        <v>136</v>
      </c>
      <c r="B152" s="3" t="s">
        <v>33</v>
      </c>
      <c r="C152" s="3" t="str">
        <f t="shared" si="2"/>
        <v>450012063010</v>
      </c>
      <c r="D152" s="4">
        <v>46065</v>
      </c>
      <c r="E152" s="3" t="s">
        <v>616</v>
      </c>
      <c r="F152" s="3" t="s">
        <v>701</v>
      </c>
    </row>
    <row r="153" spans="1:6" x14ac:dyDescent="0.3">
      <c r="A153" s="3" t="s">
        <v>572</v>
      </c>
      <c r="B153" s="3" t="s">
        <v>33</v>
      </c>
      <c r="C153" s="3" t="str">
        <f t="shared" si="2"/>
        <v>450012086910</v>
      </c>
      <c r="D153" s="4">
        <v>46072</v>
      </c>
      <c r="E153" s="3" t="s">
        <v>611</v>
      </c>
      <c r="F153" s="3" t="s">
        <v>751</v>
      </c>
    </row>
    <row r="154" spans="1:6" x14ac:dyDescent="0.3">
      <c r="A154" s="3" t="s">
        <v>57</v>
      </c>
      <c r="B154" s="3" t="s">
        <v>33</v>
      </c>
      <c r="C154" s="3" t="str">
        <f t="shared" si="2"/>
        <v>450012122710</v>
      </c>
      <c r="D154" s="4">
        <v>46264</v>
      </c>
      <c r="E154" s="3" t="s">
        <v>609</v>
      </c>
      <c r="F154" s="3" t="s">
        <v>707</v>
      </c>
    </row>
    <row r="155" spans="1:6" x14ac:dyDescent="0.3">
      <c r="A155" s="3" t="s">
        <v>269</v>
      </c>
      <c r="B155" s="3" t="s">
        <v>33</v>
      </c>
      <c r="C155" s="3" t="str">
        <f t="shared" si="2"/>
        <v>450012126010</v>
      </c>
      <c r="D155" s="4">
        <v>46097</v>
      </c>
      <c r="E155" s="3" t="s">
        <v>611</v>
      </c>
      <c r="F155" s="3" t="s">
        <v>752</v>
      </c>
    </row>
    <row r="156" spans="1:6" x14ac:dyDescent="0.3">
      <c r="A156" s="3" t="s">
        <v>266</v>
      </c>
      <c r="B156" s="3" t="s">
        <v>20</v>
      </c>
      <c r="C156" s="3" t="str">
        <f t="shared" si="2"/>
        <v>450012149820</v>
      </c>
      <c r="D156" s="4">
        <v>46099</v>
      </c>
      <c r="E156" s="3" t="s">
        <v>611</v>
      </c>
      <c r="F156" s="3" t="s">
        <v>753</v>
      </c>
    </row>
    <row r="157" spans="1:6" x14ac:dyDescent="0.3">
      <c r="A157" s="3" t="s">
        <v>82</v>
      </c>
      <c r="B157" s="3" t="s">
        <v>33</v>
      </c>
      <c r="C157" s="3" t="str">
        <f t="shared" si="2"/>
        <v>450012176010</v>
      </c>
      <c r="D157" s="4">
        <v>46142</v>
      </c>
      <c r="E157" s="3" t="s">
        <v>612</v>
      </c>
      <c r="F157" s="3" t="s">
        <v>733</v>
      </c>
    </row>
    <row r="158" spans="1:6" x14ac:dyDescent="0.3">
      <c r="A158" s="3" t="s">
        <v>82</v>
      </c>
      <c r="B158" s="3" t="s">
        <v>21</v>
      </c>
      <c r="C158" s="3" t="str">
        <f t="shared" si="2"/>
        <v>450012176030</v>
      </c>
      <c r="D158" s="4">
        <v>46142</v>
      </c>
      <c r="E158" s="3" t="s">
        <v>612</v>
      </c>
      <c r="F158" s="3" t="s">
        <v>733</v>
      </c>
    </row>
    <row r="159" spans="1:6" x14ac:dyDescent="0.3">
      <c r="A159" s="3" t="s">
        <v>82</v>
      </c>
      <c r="B159" s="3" t="s">
        <v>25</v>
      </c>
      <c r="C159" s="3" t="str">
        <f t="shared" si="2"/>
        <v>450012176040</v>
      </c>
      <c r="D159" s="4">
        <v>46142</v>
      </c>
      <c r="E159" s="3" t="s">
        <v>612</v>
      </c>
      <c r="F159" s="3" t="s">
        <v>733</v>
      </c>
    </row>
    <row r="160" spans="1:6" x14ac:dyDescent="0.3">
      <c r="A160" s="3" t="s">
        <v>82</v>
      </c>
      <c r="B160" s="3" t="s">
        <v>22</v>
      </c>
      <c r="C160" s="3" t="str">
        <f t="shared" si="2"/>
        <v>450012176050</v>
      </c>
      <c r="D160" s="4">
        <v>46142</v>
      </c>
      <c r="E160" s="3" t="s">
        <v>612</v>
      </c>
      <c r="F160" s="3" t="s">
        <v>733</v>
      </c>
    </row>
    <row r="161" spans="1:6" x14ac:dyDescent="0.3">
      <c r="A161" s="3" t="s">
        <v>82</v>
      </c>
      <c r="B161" s="3" t="s">
        <v>23</v>
      </c>
      <c r="C161" s="3" t="str">
        <f t="shared" si="2"/>
        <v>450012176060</v>
      </c>
      <c r="D161" s="4">
        <v>46142</v>
      </c>
      <c r="E161" s="3" t="s">
        <v>612</v>
      </c>
      <c r="F161" s="3" t="s">
        <v>733</v>
      </c>
    </row>
    <row r="162" spans="1:6" x14ac:dyDescent="0.3">
      <c r="A162" s="3" t="s">
        <v>82</v>
      </c>
      <c r="B162" s="3" t="s">
        <v>321</v>
      </c>
      <c r="C162" s="3" t="str">
        <f t="shared" si="2"/>
        <v>450012176080</v>
      </c>
      <c r="D162" s="4">
        <v>46142</v>
      </c>
      <c r="E162" s="3" t="s">
        <v>612</v>
      </c>
      <c r="F162" s="3" t="s">
        <v>733</v>
      </c>
    </row>
    <row r="163" spans="1:6" x14ac:dyDescent="0.3">
      <c r="A163" s="3" t="s">
        <v>347</v>
      </c>
      <c r="B163" s="3" t="s">
        <v>33</v>
      </c>
      <c r="C163" s="3" t="str">
        <f t="shared" si="2"/>
        <v>450012187310</v>
      </c>
      <c r="D163" s="4">
        <v>46095</v>
      </c>
      <c r="E163" s="3" t="s">
        <v>611</v>
      </c>
      <c r="F163" s="3" t="s">
        <v>754</v>
      </c>
    </row>
    <row r="164" spans="1:6" x14ac:dyDescent="0.3">
      <c r="A164" s="3" t="s">
        <v>160</v>
      </c>
      <c r="B164" s="3" t="s">
        <v>33</v>
      </c>
      <c r="C164" s="3" t="str">
        <f t="shared" si="2"/>
        <v>450012199110</v>
      </c>
      <c r="D164" s="4">
        <v>46108</v>
      </c>
      <c r="E164" s="3" t="s">
        <v>612</v>
      </c>
      <c r="F164" s="3" t="s">
        <v>755</v>
      </c>
    </row>
    <row r="165" spans="1:6" x14ac:dyDescent="0.3">
      <c r="A165" s="3" t="s">
        <v>160</v>
      </c>
      <c r="B165" s="3" t="s">
        <v>20</v>
      </c>
      <c r="C165" s="3" t="str">
        <f t="shared" si="2"/>
        <v>450012199120</v>
      </c>
      <c r="D165" s="4">
        <v>46108</v>
      </c>
      <c r="E165" s="3" t="s">
        <v>612</v>
      </c>
      <c r="F165" s="3" t="s">
        <v>755</v>
      </c>
    </row>
    <row r="166" spans="1:6" x14ac:dyDescent="0.3">
      <c r="A166" s="3" t="s">
        <v>160</v>
      </c>
      <c r="B166" s="3" t="s">
        <v>21</v>
      </c>
      <c r="C166" s="3" t="str">
        <f t="shared" si="2"/>
        <v>450012199130</v>
      </c>
      <c r="D166" s="4">
        <v>46108</v>
      </c>
      <c r="E166" s="3" t="s">
        <v>612</v>
      </c>
      <c r="F166" s="3" t="s">
        <v>755</v>
      </c>
    </row>
    <row r="167" spans="1:6" x14ac:dyDescent="0.3">
      <c r="A167" s="3" t="s">
        <v>160</v>
      </c>
      <c r="B167" s="3" t="s">
        <v>25</v>
      </c>
      <c r="C167" s="3" t="str">
        <f t="shared" si="2"/>
        <v>450012199140</v>
      </c>
      <c r="D167" s="4">
        <v>46108</v>
      </c>
      <c r="E167" s="3" t="s">
        <v>612</v>
      </c>
      <c r="F167" s="3" t="s">
        <v>755</v>
      </c>
    </row>
    <row r="168" spans="1:6" x14ac:dyDescent="0.3">
      <c r="A168" s="3" t="s">
        <v>160</v>
      </c>
      <c r="B168" s="3" t="s">
        <v>22</v>
      </c>
      <c r="C168" s="3" t="str">
        <f t="shared" si="2"/>
        <v>450012199150</v>
      </c>
      <c r="D168" s="4">
        <v>46108</v>
      </c>
      <c r="E168" s="3" t="s">
        <v>612</v>
      </c>
      <c r="F168" s="3" t="s">
        <v>755</v>
      </c>
    </row>
    <row r="169" spans="1:6" x14ac:dyDescent="0.3">
      <c r="A169" s="3" t="s">
        <v>160</v>
      </c>
      <c r="B169" s="3" t="s">
        <v>23</v>
      </c>
      <c r="C169" s="3" t="str">
        <f t="shared" si="2"/>
        <v>450012199160</v>
      </c>
      <c r="D169" s="4">
        <v>46108</v>
      </c>
      <c r="E169" s="3" t="s">
        <v>612</v>
      </c>
      <c r="F169" s="3" t="s">
        <v>755</v>
      </c>
    </row>
    <row r="170" spans="1:6" x14ac:dyDescent="0.3">
      <c r="A170" s="3" t="s">
        <v>151</v>
      </c>
      <c r="B170" s="3" t="s">
        <v>33</v>
      </c>
      <c r="C170" s="3" t="str">
        <f t="shared" si="2"/>
        <v>450012209210</v>
      </c>
      <c r="D170" s="4">
        <v>46124</v>
      </c>
      <c r="E170" s="3" t="s">
        <v>616</v>
      </c>
      <c r="F170" s="3" t="s">
        <v>709</v>
      </c>
    </row>
    <row r="171" spans="1:6" x14ac:dyDescent="0.3">
      <c r="A171" s="3" t="s">
        <v>155</v>
      </c>
      <c r="B171" s="3" t="s">
        <v>33</v>
      </c>
      <c r="C171" s="3" t="str">
        <f t="shared" si="2"/>
        <v>450012221110</v>
      </c>
      <c r="D171" s="4">
        <v>46094</v>
      </c>
      <c r="E171" s="3" t="s">
        <v>614</v>
      </c>
      <c r="F171" s="3" t="s">
        <v>711</v>
      </c>
    </row>
    <row r="172" spans="1:6" x14ac:dyDescent="0.3">
      <c r="A172" s="3" t="s">
        <v>174</v>
      </c>
      <c r="B172" s="3" t="s">
        <v>33</v>
      </c>
      <c r="C172" s="3" t="str">
        <f t="shared" si="2"/>
        <v>450012273510</v>
      </c>
      <c r="D172" s="4">
        <v>46108</v>
      </c>
      <c r="E172" s="3" t="s">
        <v>612</v>
      </c>
      <c r="F172" s="3" t="s">
        <v>718</v>
      </c>
    </row>
    <row r="173" spans="1:6" x14ac:dyDescent="0.3">
      <c r="A173" s="3" t="s">
        <v>174</v>
      </c>
      <c r="B173" s="3" t="s">
        <v>20</v>
      </c>
      <c r="C173" s="3" t="str">
        <f t="shared" si="2"/>
        <v>450012273520</v>
      </c>
      <c r="D173" s="4">
        <v>46127</v>
      </c>
      <c r="E173" s="3" t="s">
        <v>612</v>
      </c>
      <c r="F173" s="3" t="s">
        <v>718</v>
      </c>
    </row>
    <row r="174" spans="1:6" x14ac:dyDescent="0.3">
      <c r="A174" s="3" t="s">
        <v>174</v>
      </c>
      <c r="B174" s="3" t="s">
        <v>21</v>
      </c>
      <c r="C174" s="3" t="str">
        <f t="shared" si="2"/>
        <v>450012273530</v>
      </c>
      <c r="D174" s="4">
        <v>46127</v>
      </c>
      <c r="E174" s="3" t="s">
        <v>612</v>
      </c>
      <c r="F174" s="3" t="s">
        <v>718</v>
      </c>
    </row>
    <row r="175" spans="1:6" x14ac:dyDescent="0.3">
      <c r="A175" s="3" t="s">
        <v>174</v>
      </c>
      <c r="B175" s="3" t="s">
        <v>25</v>
      </c>
      <c r="C175" s="3" t="str">
        <f t="shared" si="2"/>
        <v>450012273540</v>
      </c>
      <c r="D175" s="4">
        <v>46108</v>
      </c>
      <c r="E175" s="3" t="s">
        <v>612</v>
      </c>
      <c r="F175" s="3" t="s">
        <v>718</v>
      </c>
    </row>
    <row r="176" spans="1:6" x14ac:dyDescent="0.3">
      <c r="A176" s="3" t="s">
        <v>174</v>
      </c>
      <c r="B176" s="3" t="s">
        <v>22</v>
      </c>
      <c r="C176" s="3" t="str">
        <f t="shared" si="2"/>
        <v>450012273550</v>
      </c>
      <c r="D176" s="4">
        <v>46127</v>
      </c>
      <c r="E176" s="3" t="s">
        <v>612</v>
      </c>
      <c r="F176" s="3" t="s">
        <v>718</v>
      </c>
    </row>
    <row r="177" spans="1:6" x14ac:dyDescent="0.3">
      <c r="A177" s="3" t="s">
        <v>174</v>
      </c>
      <c r="B177" s="3" t="s">
        <v>23</v>
      </c>
      <c r="C177" s="3" t="str">
        <f t="shared" si="2"/>
        <v>450012273560</v>
      </c>
      <c r="D177" s="4">
        <v>46108</v>
      </c>
      <c r="E177" s="3" t="s">
        <v>612</v>
      </c>
      <c r="F177" s="3" t="s">
        <v>718</v>
      </c>
    </row>
    <row r="178" spans="1:6" x14ac:dyDescent="0.3">
      <c r="A178" s="3" t="s">
        <v>174</v>
      </c>
      <c r="B178" s="3" t="s">
        <v>24</v>
      </c>
      <c r="C178" s="3" t="str">
        <f t="shared" si="2"/>
        <v>450012273570</v>
      </c>
      <c r="D178" s="4">
        <v>46108</v>
      </c>
      <c r="E178" s="3" t="s">
        <v>612</v>
      </c>
      <c r="F178" s="3" t="s">
        <v>718</v>
      </c>
    </row>
    <row r="179" spans="1:6" x14ac:dyDescent="0.3">
      <c r="A179" s="3" t="s">
        <v>174</v>
      </c>
      <c r="B179" s="3" t="s">
        <v>321</v>
      </c>
      <c r="C179" s="3" t="str">
        <f t="shared" si="2"/>
        <v>450012273580</v>
      </c>
      <c r="D179" s="4">
        <v>46108</v>
      </c>
      <c r="E179" s="3" t="s">
        <v>612</v>
      </c>
      <c r="F179" s="3" t="s">
        <v>718</v>
      </c>
    </row>
    <row r="180" spans="1:6" x14ac:dyDescent="0.3">
      <c r="A180" s="3" t="s">
        <v>174</v>
      </c>
      <c r="B180" s="3" t="s">
        <v>322</v>
      </c>
      <c r="C180" s="3" t="str">
        <f t="shared" si="2"/>
        <v>450012273590</v>
      </c>
      <c r="D180" s="4">
        <v>46108</v>
      </c>
      <c r="E180" s="3" t="s">
        <v>612</v>
      </c>
      <c r="F180" s="3" t="s">
        <v>718</v>
      </c>
    </row>
    <row r="181" spans="1:6" x14ac:dyDescent="0.3">
      <c r="A181" s="3" t="s">
        <v>174</v>
      </c>
      <c r="B181" s="3" t="s">
        <v>323</v>
      </c>
      <c r="C181" s="3" t="str">
        <f t="shared" si="2"/>
        <v>4500122735100</v>
      </c>
      <c r="D181" s="4">
        <v>46127</v>
      </c>
      <c r="E181" s="3" t="s">
        <v>612</v>
      </c>
      <c r="F181" s="3" t="s">
        <v>718</v>
      </c>
    </row>
    <row r="182" spans="1:6" x14ac:dyDescent="0.3">
      <c r="A182" s="3" t="s">
        <v>174</v>
      </c>
      <c r="B182" s="3" t="s">
        <v>175</v>
      </c>
      <c r="C182" s="3" t="str">
        <f t="shared" si="2"/>
        <v>4500122735110</v>
      </c>
      <c r="D182" s="4">
        <v>46108</v>
      </c>
      <c r="E182" s="3" t="s">
        <v>612</v>
      </c>
      <c r="F182" s="3" t="s">
        <v>718</v>
      </c>
    </row>
    <row r="183" spans="1:6" x14ac:dyDescent="0.3">
      <c r="A183" s="3" t="s">
        <v>174</v>
      </c>
      <c r="B183" s="3" t="s">
        <v>375</v>
      </c>
      <c r="C183" s="3" t="str">
        <f t="shared" si="2"/>
        <v>4500122735120</v>
      </c>
      <c r="D183" s="4">
        <v>46127</v>
      </c>
      <c r="E183" s="3" t="s">
        <v>612</v>
      </c>
      <c r="F183" s="3" t="s">
        <v>718</v>
      </c>
    </row>
    <row r="184" spans="1:6" x14ac:dyDescent="0.3">
      <c r="A184" s="3" t="s">
        <v>174</v>
      </c>
      <c r="B184" s="3" t="s">
        <v>203</v>
      </c>
      <c r="C184" s="3" t="str">
        <f t="shared" si="2"/>
        <v>4500122735130</v>
      </c>
      <c r="D184" s="4">
        <v>46147</v>
      </c>
      <c r="E184" s="3" t="s">
        <v>612</v>
      </c>
      <c r="F184" s="3" t="s">
        <v>718</v>
      </c>
    </row>
    <row r="185" spans="1:6" x14ac:dyDescent="0.3">
      <c r="A185" s="3" t="s">
        <v>174</v>
      </c>
      <c r="B185" s="3" t="s">
        <v>376</v>
      </c>
      <c r="C185" s="3" t="str">
        <f t="shared" si="2"/>
        <v>4500122735140</v>
      </c>
      <c r="D185" s="4">
        <v>46131</v>
      </c>
      <c r="E185" s="3" t="s">
        <v>612</v>
      </c>
      <c r="F185" s="3" t="s">
        <v>718</v>
      </c>
    </row>
    <row r="186" spans="1:6" x14ac:dyDescent="0.3">
      <c r="A186" s="3" t="s">
        <v>174</v>
      </c>
      <c r="B186" s="3" t="s">
        <v>377</v>
      </c>
      <c r="C186" s="3" t="str">
        <f t="shared" si="2"/>
        <v>4500122735150</v>
      </c>
      <c r="D186" s="4">
        <v>46127</v>
      </c>
      <c r="E186" s="3" t="s">
        <v>612</v>
      </c>
      <c r="F186" s="3" t="s">
        <v>718</v>
      </c>
    </row>
    <row r="187" spans="1:6" x14ac:dyDescent="0.3">
      <c r="A187" s="3" t="s">
        <v>174</v>
      </c>
      <c r="B187" s="3" t="s">
        <v>378</v>
      </c>
      <c r="C187" s="3" t="str">
        <f t="shared" si="2"/>
        <v>4500122735160</v>
      </c>
      <c r="D187" s="4">
        <v>46108</v>
      </c>
      <c r="E187" s="3" t="s">
        <v>612</v>
      </c>
      <c r="F187" s="3" t="s">
        <v>718</v>
      </c>
    </row>
    <row r="188" spans="1:6" x14ac:dyDescent="0.3">
      <c r="A188" s="3" t="s">
        <v>174</v>
      </c>
      <c r="B188" s="3" t="s">
        <v>324</v>
      </c>
      <c r="C188" s="3" t="str">
        <f t="shared" si="2"/>
        <v>4500122735170</v>
      </c>
      <c r="D188" s="4">
        <v>46108</v>
      </c>
      <c r="E188" s="3" t="s">
        <v>612</v>
      </c>
      <c r="F188" s="3" t="s">
        <v>718</v>
      </c>
    </row>
    <row r="189" spans="1:6" x14ac:dyDescent="0.3">
      <c r="A189" s="3" t="s">
        <v>174</v>
      </c>
      <c r="B189" s="3" t="s">
        <v>325</v>
      </c>
      <c r="C189" s="3" t="str">
        <f t="shared" si="2"/>
        <v>4500122735180</v>
      </c>
      <c r="D189" s="4">
        <v>46108</v>
      </c>
      <c r="E189" s="3" t="s">
        <v>612</v>
      </c>
      <c r="F189" s="3" t="s">
        <v>718</v>
      </c>
    </row>
    <row r="190" spans="1:6" x14ac:dyDescent="0.3">
      <c r="A190" s="3" t="s">
        <v>174</v>
      </c>
      <c r="B190" s="3" t="s">
        <v>379</v>
      </c>
      <c r="C190" s="3" t="str">
        <f t="shared" si="2"/>
        <v>4500122735190</v>
      </c>
      <c r="D190" s="4">
        <v>46131</v>
      </c>
      <c r="E190" s="3" t="s">
        <v>612</v>
      </c>
      <c r="F190" s="3" t="s">
        <v>718</v>
      </c>
    </row>
    <row r="191" spans="1:6" x14ac:dyDescent="0.3">
      <c r="A191" s="3" t="s">
        <v>272</v>
      </c>
      <c r="B191" s="3" t="s">
        <v>33</v>
      </c>
      <c r="C191" s="3" t="str">
        <f t="shared" si="2"/>
        <v>450012336910</v>
      </c>
      <c r="D191" s="4">
        <v>46121</v>
      </c>
      <c r="E191" s="3" t="s">
        <v>611</v>
      </c>
      <c r="F191" s="3" t="s">
        <v>740</v>
      </c>
    </row>
    <row r="192" spans="1:6" x14ac:dyDescent="0.3">
      <c r="A192" s="3" t="s">
        <v>165</v>
      </c>
      <c r="B192" s="3" t="s">
        <v>33</v>
      </c>
      <c r="C192" s="3" t="str">
        <f t="shared" si="2"/>
        <v>450012338910</v>
      </c>
      <c r="D192" s="4">
        <v>46184</v>
      </c>
      <c r="E192" s="3" t="s">
        <v>616</v>
      </c>
      <c r="F192" s="3" t="s">
        <v>709</v>
      </c>
    </row>
    <row r="193" spans="1:6" x14ac:dyDescent="0.3">
      <c r="A193" s="3" t="s">
        <v>388</v>
      </c>
      <c r="B193" s="3" t="s">
        <v>33</v>
      </c>
      <c r="C193" s="3" t="str">
        <f t="shared" si="2"/>
        <v>450012404110</v>
      </c>
      <c r="D193" s="4">
        <v>46287</v>
      </c>
      <c r="E193" s="3" t="s">
        <v>612</v>
      </c>
      <c r="F193" s="3" t="s">
        <v>718</v>
      </c>
    </row>
    <row r="194" spans="1:6" x14ac:dyDescent="0.3">
      <c r="A194" s="3" t="s">
        <v>388</v>
      </c>
      <c r="B194" s="3" t="s">
        <v>20</v>
      </c>
      <c r="C194" s="3" t="str">
        <f t="shared" si="2"/>
        <v>450012404120</v>
      </c>
      <c r="D194" s="4">
        <v>46122</v>
      </c>
      <c r="E194" s="3" t="s">
        <v>612</v>
      </c>
      <c r="F194" s="3" t="s">
        <v>718</v>
      </c>
    </row>
    <row r="195" spans="1:6" x14ac:dyDescent="0.3">
      <c r="A195" s="3" t="s">
        <v>388</v>
      </c>
      <c r="B195" s="3" t="s">
        <v>21</v>
      </c>
      <c r="C195" s="3" t="str">
        <f t="shared" ref="C195:C258" si="3">_xlfn.CONCAT(A195:B195)</f>
        <v>450012404130</v>
      </c>
      <c r="D195" s="4">
        <v>46122</v>
      </c>
      <c r="E195" s="3" t="s">
        <v>612</v>
      </c>
      <c r="F195" s="3" t="s">
        <v>718</v>
      </c>
    </row>
    <row r="196" spans="1:6" x14ac:dyDescent="0.3">
      <c r="A196" s="3" t="s">
        <v>388</v>
      </c>
      <c r="B196" s="3" t="s">
        <v>25</v>
      </c>
      <c r="C196" s="3" t="str">
        <f t="shared" si="3"/>
        <v>450012404140</v>
      </c>
      <c r="D196" s="4">
        <v>46122</v>
      </c>
      <c r="E196" s="3" t="s">
        <v>612</v>
      </c>
      <c r="F196" s="3" t="s">
        <v>718</v>
      </c>
    </row>
    <row r="197" spans="1:6" x14ac:dyDescent="0.3">
      <c r="A197" s="3" t="s">
        <v>388</v>
      </c>
      <c r="B197" s="3" t="s">
        <v>22</v>
      </c>
      <c r="C197" s="3" t="str">
        <f t="shared" si="3"/>
        <v>450012404150</v>
      </c>
      <c r="D197" s="4">
        <v>46122</v>
      </c>
      <c r="E197" s="3" t="s">
        <v>612</v>
      </c>
      <c r="F197" s="3" t="s">
        <v>718</v>
      </c>
    </row>
    <row r="198" spans="1:6" x14ac:dyDescent="0.3">
      <c r="A198" s="3" t="s">
        <v>388</v>
      </c>
      <c r="B198" s="3" t="s">
        <v>23</v>
      </c>
      <c r="C198" s="3" t="str">
        <f t="shared" si="3"/>
        <v>450012404160</v>
      </c>
      <c r="D198" s="4">
        <v>46122</v>
      </c>
      <c r="E198" s="3" t="s">
        <v>612</v>
      </c>
      <c r="F198" s="3" t="s">
        <v>718</v>
      </c>
    </row>
    <row r="199" spans="1:6" x14ac:dyDescent="0.3">
      <c r="A199" s="3" t="s">
        <v>388</v>
      </c>
      <c r="B199" s="3" t="s">
        <v>24</v>
      </c>
      <c r="C199" s="3" t="str">
        <f t="shared" si="3"/>
        <v>450012404170</v>
      </c>
      <c r="D199" s="4">
        <v>46122</v>
      </c>
      <c r="E199" s="3" t="s">
        <v>612</v>
      </c>
      <c r="F199" s="3" t="s">
        <v>718</v>
      </c>
    </row>
    <row r="200" spans="1:6" x14ac:dyDescent="0.3">
      <c r="A200" s="3" t="s">
        <v>388</v>
      </c>
      <c r="B200" s="3" t="s">
        <v>321</v>
      </c>
      <c r="C200" s="3" t="str">
        <f t="shared" si="3"/>
        <v>450012404180</v>
      </c>
      <c r="D200" s="4">
        <v>46122</v>
      </c>
      <c r="E200" s="3" t="s">
        <v>612</v>
      </c>
      <c r="F200" s="3" t="s">
        <v>718</v>
      </c>
    </row>
    <row r="201" spans="1:6" x14ac:dyDescent="0.3">
      <c r="A201" s="3" t="s">
        <v>388</v>
      </c>
      <c r="B201" s="3" t="s">
        <v>322</v>
      </c>
      <c r="C201" s="3" t="str">
        <f t="shared" si="3"/>
        <v>450012404190</v>
      </c>
      <c r="D201" s="4">
        <v>46122</v>
      </c>
      <c r="E201" s="3" t="s">
        <v>612</v>
      </c>
      <c r="F201" s="3" t="s">
        <v>718</v>
      </c>
    </row>
    <row r="202" spans="1:6" x14ac:dyDescent="0.3">
      <c r="A202" s="3" t="s">
        <v>388</v>
      </c>
      <c r="B202" s="3" t="s">
        <v>323</v>
      </c>
      <c r="C202" s="3" t="str">
        <f t="shared" si="3"/>
        <v>4500124041100</v>
      </c>
      <c r="D202" s="4">
        <v>46240</v>
      </c>
      <c r="E202" s="3" t="s">
        <v>612</v>
      </c>
      <c r="F202" s="3" t="s">
        <v>718</v>
      </c>
    </row>
    <row r="203" spans="1:6" x14ac:dyDescent="0.3">
      <c r="A203" s="3" t="s">
        <v>388</v>
      </c>
      <c r="B203" s="3" t="s">
        <v>175</v>
      </c>
      <c r="C203" s="3" t="str">
        <f t="shared" si="3"/>
        <v>4500124041110</v>
      </c>
      <c r="D203" s="4">
        <v>46122</v>
      </c>
      <c r="E203" s="3" t="s">
        <v>612</v>
      </c>
      <c r="F203" s="3" t="s">
        <v>718</v>
      </c>
    </row>
    <row r="204" spans="1:6" x14ac:dyDescent="0.3">
      <c r="A204" s="3" t="s">
        <v>388</v>
      </c>
      <c r="B204" s="3" t="s">
        <v>375</v>
      </c>
      <c r="C204" s="3" t="str">
        <f t="shared" si="3"/>
        <v>4500124041120</v>
      </c>
      <c r="D204" s="4">
        <v>46122</v>
      </c>
      <c r="E204" s="3" t="s">
        <v>612</v>
      </c>
      <c r="F204" s="3" t="s">
        <v>718</v>
      </c>
    </row>
    <row r="205" spans="1:6" x14ac:dyDescent="0.3">
      <c r="A205" s="3" t="s">
        <v>254</v>
      </c>
      <c r="B205" s="3" t="s">
        <v>33</v>
      </c>
      <c r="C205" s="3" t="str">
        <f t="shared" si="3"/>
        <v>450012417110</v>
      </c>
      <c r="D205" s="4">
        <v>46203</v>
      </c>
      <c r="E205" s="3" t="s">
        <v>628</v>
      </c>
      <c r="F205" s="3" t="s">
        <v>748</v>
      </c>
    </row>
    <row r="206" spans="1:6" x14ac:dyDescent="0.3">
      <c r="A206" s="3" t="s">
        <v>239</v>
      </c>
      <c r="B206" s="3" t="s">
        <v>33</v>
      </c>
      <c r="C206" s="3" t="str">
        <f t="shared" si="3"/>
        <v>450012417910</v>
      </c>
      <c r="D206" s="4">
        <v>46145</v>
      </c>
      <c r="E206" s="3" t="s">
        <v>612</v>
      </c>
      <c r="F206" s="3" t="s">
        <v>718</v>
      </c>
    </row>
    <row r="207" spans="1:6" x14ac:dyDescent="0.3">
      <c r="A207" s="3" t="s">
        <v>239</v>
      </c>
      <c r="B207" s="3" t="s">
        <v>20</v>
      </c>
      <c r="C207" s="3" t="str">
        <f t="shared" si="3"/>
        <v>450012417920</v>
      </c>
      <c r="D207" s="4">
        <v>46145</v>
      </c>
      <c r="E207" s="3" t="s">
        <v>612</v>
      </c>
      <c r="F207" s="3" t="s">
        <v>718</v>
      </c>
    </row>
    <row r="208" spans="1:6" x14ac:dyDescent="0.3">
      <c r="A208" s="3" t="s">
        <v>239</v>
      </c>
      <c r="B208" s="3" t="s">
        <v>21</v>
      </c>
      <c r="C208" s="3" t="str">
        <f t="shared" si="3"/>
        <v>450012417930</v>
      </c>
      <c r="D208" s="4">
        <v>46145</v>
      </c>
      <c r="E208" s="3" t="s">
        <v>612</v>
      </c>
      <c r="F208" s="3" t="s">
        <v>718</v>
      </c>
    </row>
    <row r="209" spans="1:6" x14ac:dyDescent="0.3">
      <c r="A209" s="3" t="s">
        <v>239</v>
      </c>
      <c r="B209" s="3" t="s">
        <v>25</v>
      </c>
      <c r="C209" s="3" t="str">
        <f t="shared" si="3"/>
        <v>450012417940</v>
      </c>
      <c r="D209" s="4">
        <v>46145</v>
      </c>
      <c r="E209" s="3" t="s">
        <v>612</v>
      </c>
      <c r="F209" s="3" t="s">
        <v>718</v>
      </c>
    </row>
    <row r="210" spans="1:6" x14ac:dyDescent="0.3">
      <c r="A210" s="3" t="s">
        <v>239</v>
      </c>
      <c r="B210" s="3" t="s">
        <v>22</v>
      </c>
      <c r="C210" s="3" t="str">
        <f t="shared" si="3"/>
        <v>450012417950</v>
      </c>
      <c r="D210" s="4">
        <v>46145</v>
      </c>
      <c r="E210" s="3" t="s">
        <v>612</v>
      </c>
      <c r="F210" s="3" t="s">
        <v>718</v>
      </c>
    </row>
    <row r="211" spans="1:6" x14ac:dyDescent="0.3">
      <c r="A211" s="3" t="s">
        <v>239</v>
      </c>
      <c r="B211" s="3" t="s">
        <v>23</v>
      </c>
      <c r="C211" s="3" t="str">
        <f t="shared" si="3"/>
        <v>450012417960</v>
      </c>
      <c r="D211" s="4">
        <v>46145</v>
      </c>
      <c r="E211" s="3" t="s">
        <v>612</v>
      </c>
      <c r="F211" s="3" t="s">
        <v>718</v>
      </c>
    </row>
    <row r="212" spans="1:6" x14ac:dyDescent="0.3">
      <c r="A212" s="3" t="s">
        <v>239</v>
      </c>
      <c r="B212" s="3" t="s">
        <v>24</v>
      </c>
      <c r="C212" s="3" t="str">
        <f t="shared" si="3"/>
        <v>450012417970</v>
      </c>
      <c r="D212" s="4">
        <v>46145</v>
      </c>
      <c r="E212" s="3" t="s">
        <v>612</v>
      </c>
      <c r="F212" s="3" t="s">
        <v>718</v>
      </c>
    </row>
    <row r="213" spans="1:6" x14ac:dyDescent="0.3">
      <c r="A213" s="3" t="s">
        <v>239</v>
      </c>
      <c r="B213" s="3" t="s">
        <v>321</v>
      </c>
      <c r="C213" s="3" t="str">
        <f t="shared" si="3"/>
        <v>450012417980</v>
      </c>
      <c r="D213" s="4">
        <v>46145</v>
      </c>
      <c r="E213" s="3" t="s">
        <v>612</v>
      </c>
      <c r="F213" s="3" t="s">
        <v>718</v>
      </c>
    </row>
    <row r="214" spans="1:6" x14ac:dyDescent="0.3">
      <c r="A214" s="3" t="s">
        <v>239</v>
      </c>
      <c r="B214" s="3" t="s">
        <v>322</v>
      </c>
      <c r="C214" s="3" t="str">
        <f t="shared" si="3"/>
        <v>450012417990</v>
      </c>
      <c r="D214" s="4">
        <v>46145</v>
      </c>
      <c r="E214" s="3" t="s">
        <v>612</v>
      </c>
      <c r="F214" s="3" t="s">
        <v>718</v>
      </c>
    </row>
    <row r="215" spans="1:6" x14ac:dyDescent="0.3">
      <c r="A215" s="3" t="s">
        <v>194</v>
      </c>
      <c r="B215" s="3" t="s">
        <v>33</v>
      </c>
      <c r="C215" s="3" t="str">
        <f t="shared" si="3"/>
        <v>450012420610</v>
      </c>
      <c r="D215" s="4">
        <v>46308</v>
      </c>
      <c r="E215" s="3" t="s">
        <v>616</v>
      </c>
      <c r="F215" s="3" t="s">
        <v>756</v>
      </c>
    </row>
    <row r="216" spans="1:6" x14ac:dyDescent="0.3">
      <c r="A216" s="3" t="s">
        <v>237</v>
      </c>
      <c r="B216" s="3" t="s">
        <v>33</v>
      </c>
      <c r="C216" s="3" t="str">
        <f t="shared" si="3"/>
        <v>450012443310</v>
      </c>
      <c r="D216" s="4">
        <v>46149</v>
      </c>
      <c r="E216" s="3" t="s">
        <v>611</v>
      </c>
      <c r="F216" s="3" t="s">
        <v>757</v>
      </c>
    </row>
    <row r="217" spans="1:6" x14ac:dyDescent="0.3">
      <c r="A217" s="3" t="s">
        <v>237</v>
      </c>
      <c r="B217" s="3" t="s">
        <v>20</v>
      </c>
      <c r="C217" s="3" t="str">
        <f t="shared" si="3"/>
        <v>450012443320</v>
      </c>
      <c r="D217" s="4">
        <v>46149</v>
      </c>
      <c r="E217" s="3" t="s">
        <v>611</v>
      </c>
      <c r="F217" s="3" t="s">
        <v>757</v>
      </c>
    </row>
    <row r="218" spans="1:6" x14ac:dyDescent="0.3">
      <c r="A218" s="3" t="s">
        <v>177</v>
      </c>
      <c r="B218" s="3" t="s">
        <v>21</v>
      </c>
      <c r="C218" s="3" t="str">
        <f t="shared" si="3"/>
        <v>450012444930</v>
      </c>
      <c r="D218" s="4">
        <v>46127</v>
      </c>
      <c r="E218" s="3" t="s">
        <v>611</v>
      </c>
      <c r="F218" s="3" t="s">
        <v>746</v>
      </c>
    </row>
    <row r="219" spans="1:6" x14ac:dyDescent="0.3">
      <c r="A219" s="3" t="s">
        <v>201</v>
      </c>
      <c r="B219" s="3" t="s">
        <v>33</v>
      </c>
      <c r="C219" s="3" t="str">
        <f t="shared" si="3"/>
        <v>450012446410</v>
      </c>
      <c r="D219" s="4">
        <v>46129</v>
      </c>
      <c r="E219" s="3" t="s">
        <v>612</v>
      </c>
      <c r="F219" s="3" t="s">
        <v>718</v>
      </c>
    </row>
    <row r="220" spans="1:6" x14ac:dyDescent="0.3">
      <c r="A220" s="3" t="s">
        <v>517</v>
      </c>
      <c r="B220" s="3" t="s">
        <v>20</v>
      </c>
      <c r="C220" s="3" t="str">
        <f t="shared" si="3"/>
        <v>450012451920</v>
      </c>
      <c r="D220" s="4">
        <v>46290</v>
      </c>
      <c r="E220" s="3" t="s">
        <v>630</v>
      </c>
      <c r="F220" s="3" t="s">
        <v>728</v>
      </c>
    </row>
    <row r="221" spans="1:6" x14ac:dyDescent="0.3">
      <c r="A221" s="3" t="s">
        <v>517</v>
      </c>
      <c r="B221" s="3" t="s">
        <v>21</v>
      </c>
      <c r="C221" s="3" t="str">
        <f t="shared" si="3"/>
        <v>450012451930</v>
      </c>
      <c r="D221" s="4">
        <v>46290</v>
      </c>
      <c r="E221" s="3" t="s">
        <v>630</v>
      </c>
      <c r="F221" s="3" t="s">
        <v>728</v>
      </c>
    </row>
    <row r="222" spans="1:6" x14ac:dyDescent="0.3">
      <c r="A222" s="3" t="s">
        <v>517</v>
      </c>
      <c r="B222" s="3" t="s">
        <v>23</v>
      </c>
      <c r="C222" s="3" t="str">
        <f t="shared" si="3"/>
        <v>450012451960</v>
      </c>
      <c r="D222" s="4">
        <v>46290</v>
      </c>
      <c r="E222" s="3" t="s">
        <v>630</v>
      </c>
      <c r="F222" s="3" t="s">
        <v>728</v>
      </c>
    </row>
    <row r="223" spans="1:6" x14ac:dyDescent="0.3">
      <c r="A223" s="3" t="s">
        <v>517</v>
      </c>
      <c r="B223" s="3" t="s">
        <v>24</v>
      </c>
      <c r="C223" s="3" t="str">
        <f t="shared" si="3"/>
        <v>450012451970</v>
      </c>
      <c r="D223" s="4">
        <v>46290</v>
      </c>
      <c r="E223" s="3" t="s">
        <v>630</v>
      </c>
      <c r="F223" s="3" t="s">
        <v>728</v>
      </c>
    </row>
    <row r="224" spans="1:6" x14ac:dyDescent="0.3">
      <c r="A224" s="3" t="s">
        <v>517</v>
      </c>
      <c r="B224" s="3" t="s">
        <v>321</v>
      </c>
      <c r="C224" s="3" t="str">
        <f t="shared" si="3"/>
        <v>450012451980</v>
      </c>
      <c r="D224" s="4">
        <v>46290</v>
      </c>
      <c r="E224" s="3" t="s">
        <v>630</v>
      </c>
      <c r="F224" s="3" t="s">
        <v>728</v>
      </c>
    </row>
    <row r="225" spans="1:6" x14ac:dyDescent="0.3">
      <c r="A225" s="3" t="s">
        <v>517</v>
      </c>
      <c r="B225" s="3" t="s">
        <v>322</v>
      </c>
      <c r="C225" s="3" t="str">
        <f t="shared" si="3"/>
        <v>450012451990</v>
      </c>
      <c r="D225" s="4">
        <v>46290</v>
      </c>
      <c r="E225" s="3" t="s">
        <v>630</v>
      </c>
      <c r="F225" s="3" t="s">
        <v>728</v>
      </c>
    </row>
    <row r="226" spans="1:6" x14ac:dyDescent="0.3">
      <c r="A226" s="3" t="s">
        <v>517</v>
      </c>
      <c r="B226" s="3" t="s">
        <v>323</v>
      </c>
      <c r="C226" s="3" t="str">
        <f t="shared" si="3"/>
        <v>4500124519100</v>
      </c>
      <c r="D226" s="4">
        <v>46290</v>
      </c>
      <c r="E226" s="3" t="s">
        <v>630</v>
      </c>
      <c r="F226" s="3" t="s">
        <v>728</v>
      </c>
    </row>
    <row r="227" spans="1:6" x14ac:dyDescent="0.3">
      <c r="A227" s="3" t="s">
        <v>517</v>
      </c>
      <c r="B227" s="3" t="s">
        <v>375</v>
      </c>
      <c r="C227" s="3" t="str">
        <f t="shared" si="3"/>
        <v>4500124519120</v>
      </c>
      <c r="D227" s="4">
        <v>46290</v>
      </c>
      <c r="E227" s="3" t="s">
        <v>630</v>
      </c>
      <c r="F227" s="3" t="s">
        <v>728</v>
      </c>
    </row>
    <row r="228" spans="1:6" x14ac:dyDescent="0.3">
      <c r="A228" s="3" t="s">
        <v>517</v>
      </c>
      <c r="B228" s="3" t="s">
        <v>203</v>
      </c>
      <c r="C228" s="3" t="str">
        <f t="shared" si="3"/>
        <v>4500124519130</v>
      </c>
      <c r="D228" s="4">
        <v>46290</v>
      </c>
      <c r="E228" s="3" t="s">
        <v>630</v>
      </c>
      <c r="F228" s="3" t="s">
        <v>728</v>
      </c>
    </row>
    <row r="229" spans="1:6" x14ac:dyDescent="0.3">
      <c r="A229" s="3" t="s">
        <v>517</v>
      </c>
      <c r="B229" s="3" t="s">
        <v>376</v>
      </c>
      <c r="C229" s="3" t="str">
        <f t="shared" si="3"/>
        <v>4500124519140</v>
      </c>
      <c r="D229" s="4">
        <v>46290</v>
      </c>
      <c r="E229" s="3" t="s">
        <v>630</v>
      </c>
      <c r="F229" s="3" t="s">
        <v>728</v>
      </c>
    </row>
    <row r="230" spans="1:6" x14ac:dyDescent="0.3">
      <c r="A230" s="3" t="s">
        <v>517</v>
      </c>
      <c r="B230" s="3" t="s">
        <v>377</v>
      </c>
      <c r="C230" s="3" t="str">
        <f t="shared" si="3"/>
        <v>4500124519150</v>
      </c>
      <c r="D230" s="4">
        <v>46290</v>
      </c>
      <c r="E230" s="3" t="s">
        <v>630</v>
      </c>
      <c r="F230" s="3" t="s">
        <v>728</v>
      </c>
    </row>
    <row r="231" spans="1:6" x14ac:dyDescent="0.3">
      <c r="A231" s="3" t="s">
        <v>517</v>
      </c>
      <c r="B231" s="3" t="s">
        <v>324</v>
      </c>
      <c r="C231" s="3" t="str">
        <f t="shared" si="3"/>
        <v>4500124519170</v>
      </c>
      <c r="D231" s="4">
        <v>46290</v>
      </c>
      <c r="E231" s="3" t="s">
        <v>630</v>
      </c>
      <c r="F231" s="3" t="s">
        <v>728</v>
      </c>
    </row>
    <row r="232" spans="1:6" x14ac:dyDescent="0.3">
      <c r="A232" s="3" t="s">
        <v>517</v>
      </c>
      <c r="B232" s="3" t="s">
        <v>325</v>
      </c>
      <c r="C232" s="3" t="str">
        <f t="shared" si="3"/>
        <v>4500124519180</v>
      </c>
      <c r="D232" s="4">
        <v>46290</v>
      </c>
      <c r="E232" s="3" t="s">
        <v>630</v>
      </c>
      <c r="F232" s="3" t="s">
        <v>728</v>
      </c>
    </row>
    <row r="233" spans="1:6" x14ac:dyDescent="0.3">
      <c r="A233" s="3" t="s">
        <v>180</v>
      </c>
      <c r="B233" s="3" t="s">
        <v>33</v>
      </c>
      <c r="C233" s="3" t="str">
        <f t="shared" si="3"/>
        <v>450012461310</v>
      </c>
      <c r="D233" s="4">
        <v>46184</v>
      </c>
      <c r="E233" s="3" t="s">
        <v>616</v>
      </c>
      <c r="F233" s="3" t="s">
        <v>709</v>
      </c>
    </row>
    <row r="234" spans="1:6" x14ac:dyDescent="0.3">
      <c r="A234" s="3" t="s">
        <v>199</v>
      </c>
      <c r="B234" s="3" t="s">
        <v>33</v>
      </c>
      <c r="C234" s="3" t="str">
        <f t="shared" si="3"/>
        <v>450012471010</v>
      </c>
      <c r="D234" s="4">
        <v>46136</v>
      </c>
      <c r="E234" s="3" t="s">
        <v>617</v>
      </c>
      <c r="F234" s="3" t="s">
        <v>758</v>
      </c>
    </row>
    <row r="235" spans="1:6" x14ac:dyDescent="0.3">
      <c r="A235" s="3" t="s">
        <v>199</v>
      </c>
      <c r="B235" s="3" t="s">
        <v>20</v>
      </c>
      <c r="C235" s="3" t="str">
        <f t="shared" si="3"/>
        <v>450012471020</v>
      </c>
      <c r="D235" s="4">
        <v>46136</v>
      </c>
      <c r="E235" s="3" t="s">
        <v>617</v>
      </c>
      <c r="F235" s="3" t="s">
        <v>758</v>
      </c>
    </row>
    <row r="236" spans="1:6" x14ac:dyDescent="0.3">
      <c r="A236" s="3" t="s">
        <v>199</v>
      </c>
      <c r="B236" s="3" t="s">
        <v>21</v>
      </c>
      <c r="C236" s="3" t="str">
        <f t="shared" si="3"/>
        <v>450012471030</v>
      </c>
      <c r="D236" s="4">
        <v>46136</v>
      </c>
      <c r="E236" s="3" t="s">
        <v>617</v>
      </c>
      <c r="F236" s="3" t="s">
        <v>758</v>
      </c>
    </row>
    <row r="237" spans="1:6" x14ac:dyDescent="0.3">
      <c r="A237" s="3" t="s">
        <v>199</v>
      </c>
      <c r="B237" s="3" t="s">
        <v>25</v>
      </c>
      <c r="C237" s="3" t="str">
        <f t="shared" si="3"/>
        <v>450012471040</v>
      </c>
      <c r="D237" s="4">
        <v>46136</v>
      </c>
      <c r="E237" s="3" t="s">
        <v>617</v>
      </c>
      <c r="F237" s="3" t="s">
        <v>758</v>
      </c>
    </row>
    <row r="238" spans="1:6" x14ac:dyDescent="0.3">
      <c r="A238" s="3" t="s">
        <v>186</v>
      </c>
      <c r="B238" s="3" t="s">
        <v>33</v>
      </c>
      <c r="C238" s="3" t="str">
        <f t="shared" si="3"/>
        <v>450012480110</v>
      </c>
      <c r="D238" s="4">
        <v>46136</v>
      </c>
      <c r="E238" s="3" t="s">
        <v>612</v>
      </c>
      <c r="F238" s="3" t="s">
        <v>749</v>
      </c>
    </row>
    <row r="239" spans="1:6" x14ac:dyDescent="0.3">
      <c r="A239" s="3" t="s">
        <v>186</v>
      </c>
      <c r="B239" s="3" t="s">
        <v>20</v>
      </c>
      <c r="C239" s="3" t="str">
        <f t="shared" si="3"/>
        <v>450012480120</v>
      </c>
      <c r="D239" s="4">
        <v>46136</v>
      </c>
      <c r="E239" s="3" t="s">
        <v>612</v>
      </c>
      <c r="F239" s="3" t="s">
        <v>749</v>
      </c>
    </row>
    <row r="240" spans="1:6" x14ac:dyDescent="0.3">
      <c r="A240" s="3" t="s">
        <v>188</v>
      </c>
      <c r="B240" s="3" t="s">
        <v>33</v>
      </c>
      <c r="C240" s="3" t="str">
        <f t="shared" si="3"/>
        <v>450012528210</v>
      </c>
      <c r="D240" s="4">
        <v>46184</v>
      </c>
      <c r="E240" s="3" t="s">
        <v>616</v>
      </c>
      <c r="F240" s="3" t="s">
        <v>709</v>
      </c>
    </row>
    <row r="241" spans="1:6" x14ac:dyDescent="0.3">
      <c r="A241" s="3" t="s">
        <v>196</v>
      </c>
      <c r="B241" s="3" t="s">
        <v>33</v>
      </c>
      <c r="C241" s="3" t="str">
        <f t="shared" si="3"/>
        <v>450012592610</v>
      </c>
      <c r="D241" s="4">
        <v>46203</v>
      </c>
      <c r="E241" s="3" t="s">
        <v>616</v>
      </c>
      <c r="F241" s="3" t="s">
        <v>701</v>
      </c>
    </row>
    <row r="242" spans="1:6" x14ac:dyDescent="0.3">
      <c r="A242" s="3" t="s">
        <v>196</v>
      </c>
      <c r="B242" s="3" t="s">
        <v>20</v>
      </c>
      <c r="C242" s="3" t="str">
        <f t="shared" si="3"/>
        <v>450012592620</v>
      </c>
      <c r="D242" s="4">
        <v>46203</v>
      </c>
      <c r="E242" s="3" t="s">
        <v>616</v>
      </c>
      <c r="F242" s="3" t="s">
        <v>701</v>
      </c>
    </row>
    <row r="243" spans="1:6" x14ac:dyDescent="0.3">
      <c r="A243" s="3" t="s">
        <v>196</v>
      </c>
      <c r="B243" s="3" t="s">
        <v>21</v>
      </c>
      <c r="C243" s="3" t="str">
        <f t="shared" si="3"/>
        <v>450012592630</v>
      </c>
      <c r="D243" s="4">
        <v>46203</v>
      </c>
      <c r="E243" s="3" t="s">
        <v>616</v>
      </c>
      <c r="F243" s="3" t="s">
        <v>701</v>
      </c>
    </row>
    <row r="244" spans="1:6" x14ac:dyDescent="0.3">
      <c r="A244" s="3" t="s">
        <v>211</v>
      </c>
      <c r="B244" s="3" t="s">
        <v>33</v>
      </c>
      <c r="C244" s="3" t="str">
        <f t="shared" si="3"/>
        <v>450012623010</v>
      </c>
      <c r="D244" s="4">
        <v>46153</v>
      </c>
      <c r="E244" s="3" t="s">
        <v>619</v>
      </c>
      <c r="F244" s="3" t="s">
        <v>759</v>
      </c>
    </row>
    <row r="245" spans="1:6" x14ac:dyDescent="0.3">
      <c r="A245" s="3" t="s">
        <v>208</v>
      </c>
      <c r="B245" s="3" t="s">
        <v>33</v>
      </c>
      <c r="C245" s="3" t="str">
        <f t="shared" si="3"/>
        <v>450012650810</v>
      </c>
      <c r="D245" s="4">
        <v>46203</v>
      </c>
      <c r="E245" s="3" t="s">
        <v>616</v>
      </c>
      <c r="F245" s="3" t="s">
        <v>701</v>
      </c>
    </row>
    <row r="246" spans="1:6" x14ac:dyDescent="0.3">
      <c r="A246" s="3" t="s">
        <v>208</v>
      </c>
      <c r="B246" s="3" t="s">
        <v>20</v>
      </c>
      <c r="C246" s="3" t="str">
        <f t="shared" si="3"/>
        <v>450012650820</v>
      </c>
      <c r="D246" s="4">
        <v>46203</v>
      </c>
      <c r="E246" s="3" t="s">
        <v>616</v>
      </c>
      <c r="F246" s="3" t="s">
        <v>701</v>
      </c>
    </row>
    <row r="247" spans="1:6" x14ac:dyDescent="0.3">
      <c r="A247" s="3" t="s">
        <v>261</v>
      </c>
      <c r="B247" s="3" t="s">
        <v>33</v>
      </c>
      <c r="C247" s="3" t="str">
        <f t="shared" si="3"/>
        <v>450012665410</v>
      </c>
      <c r="D247" s="4">
        <v>46202</v>
      </c>
      <c r="E247" s="3" t="s">
        <v>612</v>
      </c>
      <c r="F247" s="3" t="s">
        <v>760</v>
      </c>
    </row>
    <row r="248" spans="1:6" x14ac:dyDescent="0.3">
      <c r="A248" s="3" t="s">
        <v>214</v>
      </c>
      <c r="B248" s="3" t="s">
        <v>33</v>
      </c>
      <c r="C248" s="3" t="str">
        <f t="shared" si="3"/>
        <v>450012679210</v>
      </c>
      <c r="D248" s="4">
        <v>46203</v>
      </c>
      <c r="E248" s="3" t="s">
        <v>616</v>
      </c>
      <c r="F248" s="3" t="s">
        <v>701</v>
      </c>
    </row>
    <row r="249" spans="1:6" x14ac:dyDescent="0.3">
      <c r="A249" s="3" t="s">
        <v>219</v>
      </c>
      <c r="B249" s="3" t="s">
        <v>33</v>
      </c>
      <c r="C249" s="3" t="str">
        <f t="shared" si="3"/>
        <v>450012701210</v>
      </c>
      <c r="D249" s="4">
        <v>46203</v>
      </c>
      <c r="E249" s="3" t="s">
        <v>616</v>
      </c>
      <c r="F249" s="3" t="s">
        <v>701</v>
      </c>
    </row>
    <row r="250" spans="1:6" x14ac:dyDescent="0.3">
      <c r="A250" s="3" t="s">
        <v>221</v>
      </c>
      <c r="B250" s="3" t="s">
        <v>33</v>
      </c>
      <c r="C250" s="3" t="str">
        <f t="shared" si="3"/>
        <v>450012716010</v>
      </c>
      <c r="D250" s="4">
        <v>46170</v>
      </c>
      <c r="E250" s="3" t="s">
        <v>616</v>
      </c>
      <c r="F250" s="3" t="s">
        <v>756</v>
      </c>
    </row>
    <row r="251" spans="1:6" x14ac:dyDescent="0.3">
      <c r="A251" s="3" t="s">
        <v>224</v>
      </c>
      <c r="B251" s="3" t="s">
        <v>33</v>
      </c>
      <c r="C251" s="3" t="str">
        <f t="shared" si="3"/>
        <v>450012728310</v>
      </c>
      <c r="D251" s="4">
        <v>46203</v>
      </c>
      <c r="E251" s="3" t="s">
        <v>616</v>
      </c>
      <c r="F251" s="3" t="s">
        <v>701</v>
      </c>
    </row>
    <row r="252" spans="1:6" x14ac:dyDescent="0.3">
      <c r="A252" s="3" t="s">
        <v>246</v>
      </c>
      <c r="B252" s="3" t="s">
        <v>33</v>
      </c>
      <c r="C252" s="3" t="str">
        <f t="shared" si="3"/>
        <v>450012748610</v>
      </c>
      <c r="D252" s="4">
        <v>46172</v>
      </c>
      <c r="E252" s="3" t="s">
        <v>631</v>
      </c>
      <c r="F252" s="3" t="s">
        <v>726</v>
      </c>
    </row>
    <row r="253" spans="1:6" x14ac:dyDescent="0.3">
      <c r="A253" s="3" t="s">
        <v>246</v>
      </c>
      <c r="B253" s="3" t="s">
        <v>20</v>
      </c>
      <c r="C253" s="3" t="str">
        <f t="shared" si="3"/>
        <v>450012748620</v>
      </c>
      <c r="D253" s="4">
        <v>46172</v>
      </c>
      <c r="E253" s="3" t="s">
        <v>631</v>
      </c>
      <c r="F253" s="3" t="s">
        <v>726</v>
      </c>
    </row>
    <row r="254" spans="1:6" x14ac:dyDescent="0.3">
      <c r="A254" s="3" t="s">
        <v>226</v>
      </c>
      <c r="B254" s="3" t="s">
        <v>33</v>
      </c>
      <c r="C254" s="3" t="str">
        <f t="shared" si="3"/>
        <v>450012757110</v>
      </c>
      <c r="D254" s="4">
        <v>46184</v>
      </c>
      <c r="E254" s="3" t="s">
        <v>616</v>
      </c>
      <c r="F254" s="3" t="s">
        <v>709</v>
      </c>
    </row>
    <row r="255" spans="1:6" x14ac:dyDescent="0.3">
      <c r="A255" s="3" t="s">
        <v>47</v>
      </c>
      <c r="B255" s="3" t="s">
        <v>33</v>
      </c>
      <c r="C255" s="3" t="str">
        <f t="shared" si="3"/>
        <v>450012764410</v>
      </c>
      <c r="D255" s="4">
        <v>46203</v>
      </c>
      <c r="E255" s="3" t="s">
        <v>618</v>
      </c>
      <c r="F255" s="3" t="s">
        <v>761</v>
      </c>
    </row>
    <row r="256" spans="1:6" x14ac:dyDescent="0.3">
      <c r="A256" s="3" t="s">
        <v>49</v>
      </c>
      <c r="B256" s="3" t="s">
        <v>33</v>
      </c>
      <c r="C256" s="3" t="str">
        <f t="shared" si="3"/>
        <v>450012764510</v>
      </c>
      <c r="D256" s="4">
        <v>46203</v>
      </c>
      <c r="E256" s="3" t="s">
        <v>618</v>
      </c>
      <c r="F256" s="3" t="s">
        <v>761</v>
      </c>
    </row>
    <row r="257" spans="1:6" x14ac:dyDescent="0.3">
      <c r="A257" s="3" t="s">
        <v>60</v>
      </c>
      <c r="B257" s="3" t="s">
        <v>33</v>
      </c>
      <c r="C257" s="3" t="str">
        <f t="shared" si="3"/>
        <v>450012764610</v>
      </c>
      <c r="D257" s="4">
        <v>46203</v>
      </c>
      <c r="E257" s="3" t="s">
        <v>618</v>
      </c>
      <c r="F257" s="3" t="s">
        <v>761</v>
      </c>
    </row>
    <row r="258" spans="1:6" x14ac:dyDescent="0.3">
      <c r="A258" s="3" t="s">
        <v>233</v>
      </c>
      <c r="B258" s="3" t="s">
        <v>33</v>
      </c>
      <c r="C258" s="3" t="str">
        <f t="shared" si="3"/>
        <v>450012790310</v>
      </c>
      <c r="D258" s="4">
        <v>46203</v>
      </c>
      <c r="E258" s="3" t="s">
        <v>616</v>
      </c>
      <c r="F258" s="3" t="s">
        <v>701</v>
      </c>
    </row>
    <row r="259" spans="1:6" x14ac:dyDescent="0.3">
      <c r="A259" s="3" t="s">
        <v>233</v>
      </c>
      <c r="B259" s="3" t="s">
        <v>20</v>
      </c>
      <c r="C259" s="3" t="str">
        <f t="shared" ref="C259:C322" si="4">_xlfn.CONCAT(A259:B259)</f>
        <v>450012790320</v>
      </c>
      <c r="D259" s="4">
        <v>46203</v>
      </c>
      <c r="E259" s="3" t="s">
        <v>616</v>
      </c>
      <c r="F259" s="3" t="s">
        <v>701</v>
      </c>
    </row>
    <row r="260" spans="1:6" x14ac:dyDescent="0.3">
      <c r="A260" s="3" t="s">
        <v>233</v>
      </c>
      <c r="B260" s="3" t="s">
        <v>21</v>
      </c>
      <c r="C260" s="3" t="str">
        <f t="shared" si="4"/>
        <v>450012790330</v>
      </c>
      <c r="D260" s="4">
        <v>46203</v>
      </c>
      <c r="E260" s="3" t="s">
        <v>616</v>
      </c>
      <c r="F260" s="3" t="s">
        <v>701</v>
      </c>
    </row>
    <row r="261" spans="1:6" x14ac:dyDescent="0.3">
      <c r="A261" s="3" t="s">
        <v>289</v>
      </c>
      <c r="B261" s="3" t="s">
        <v>33</v>
      </c>
      <c r="C261" s="3" t="str">
        <f t="shared" si="4"/>
        <v>450012822310</v>
      </c>
      <c r="D261" s="4">
        <v>46203</v>
      </c>
      <c r="E261" s="3" t="s">
        <v>612</v>
      </c>
      <c r="F261" s="3" t="s">
        <v>718</v>
      </c>
    </row>
    <row r="262" spans="1:6" x14ac:dyDescent="0.3">
      <c r="A262" s="3" t="s">
        <v>289</v>
      </c>
      <c r="B262" s="3" t="s">
        <v>20</v>
      </c>
      <c r="C262" s="3" t="str">
        <f t="shared" si="4"/>
        <v>450012822320</v>
      </c>
      <c r="D262" s="4">
        <v>46203</v>
      </c>
      <c r="E262" s="3" t="s">
        <v>612</v>
      </c>
      <c r="F262" s="3" t="s">
        <v>718</v>
      </c>
    </row>
    <row r="263" spans="1:6" x14ac:dyDescent="0.3">
      <c r="A263" s="3" t="s">
        <v>242</v>
      </c>
      <c r="B263" s="3" t="s">
        <v>33</v>
      </c>
      <c r="C263" s="3" t="str">
        <f t="shared" si="4"/>
        <v>450012834510</v>
      </c>
      <c r="D263" s="4">
        <v>46203</v>
      </c>
      <c r="E263" s="3" t="s">
        <v>616</v>
      </c>
      <c r="F263" s="3" t="s">
        <v>701</v>
      </c>
    </row>
    <row r="264" spans="1:6" x14ac:dyDescent="0.3">
      <c r="A264" s="3" t="s">
        <v>316</v>
      </c>
      <c r="B264" s="3" t="s">
        <v>33</v>
      </c>
      <c r="C264" s="3" t="str">
        <f t="shared" si="4"/>
        <v>450012873510</v>
      </c>
      <c r="D264" s="4">
        <v>46189</v>
      </c>
      <c r="E264" s="3" t="s">
        <v>619</v>
      </c>
      <c r="F264" s="3" t="s">
        <v>718</v>
      </c>
    </row>
    <row r="265" spans="1:6" x14ac:dyDescent="0.3">
      <c r="A265" s="3" t="s">
        <v>248</v>
      </c>
      <c r="B265" s="3" t="s">
        <v>33</v>
      </c>
      <c r="C265" s="3" t="str">
        <f t="shared" si="4"/>
        <v>450012883010</v>
      </c>
      <c r="D265" s="4">
        <v>46203</v>
      </c>
      <c r="E265" s="3" t="s">
        <v>616</v>
      </c>
      <c r="F265" s="3" t="s">
        <v>701</v>
      </c>
    </row>
    <row r="266" spans="1:6" x14ac:dyDescent="0.3">
      <c r="A266" s="3" t="s">
        <v>250</v>
      </c>
      <c r="B266" s="3" t="s">
        <v>33</v>
      </c>
      <c r="C266" s="3" t="str">
        <f t="shared" si="4"/>
        <v>450012900510</v>
      </c>
      <c r="D266" s="4">
        <v>46184</v>
      </c>
      <c r="E266" s="3" t="s">
        <v>616</v>
      </c>
      <c r="F266" s="3" t="s">
        <v>709</v>
      </c>
    </row>
    <row r="267" spans="1:6" x14ac:dyDescent="0.3">
      <c r="A267" s="3" t="s">
        <v>256</v>
      </c>
      <c r="B267" s="3" t="s">
        <v>33</v>
      </c>
      <c r="C267" s="3" t="str">
        <f t="shared" si="4"/>
        <v>450012908110</v>
      </c>
      <c r="D267" s="4">
        <v>46203</v>
      </c>
      <c r="E267" s="3" t="s">
        <v>616</v>
      </c>
      <c r="F267" s="3" t="s">
        <v>701</v>
      </c>
    </row>
    <row r="268" spans="1:6" x14ac:dyDescent="0.3">
      <c r="A268" s="3" t="s">
        <v>256</v>
      </c>
      <c r="B268" s="3" t="s">
        <v>20</v>
      </c>
      <c r="C268" s="3" t="str">
        <f t="shared" si="4"/>
        <v>450012908120</v>
      </c>
      <c r="D268" s="4">
        <v>46203</v>
      </c>
      <c r="E268" s="3" t="s">
        <v>616</v>
      </c>
      <c r="F268" s="3" t="s">
        <v>701</v>
      </c>
    </row>
    <row r="269" spans="1:6" x14ac:dyDescent="0.3">
      <c r="A269" s="3" t="s">
        <v>507</v>
      </c>
      <c r="B269" s="3" t="s">
        <v>33</v>
      </c>
      <c r="C269" s="3" t="str">
        <f t="shared" si="4"/>
        <v>450012994310</v>
      </c>
      <c r="D269" s="4">
        <v>46282</v>
      </c>
      <c r="E269" s="3" t="s">
        <v>612</v>
      </c>
      <c r="F269" s="3" t="s">
        <v>762</v>
      </c>
    </row>
    <row r="270" spans="1:6" x14ac:dyDescent="0.3">
      <c r="A270" s="3" t="s">
        <v>507</v>
      </c>
      <c r="B270" s="3" t="s">
        <v>20</v>
      </c>
      <c r="C270" s="3" t="str">
        <f t="shared" si="4"/>
        <v>450012994320</v>
      </c>
      <c r="D270" s="4">
        <v>46282</v>
      </c>
      <c r="E270" s="3" t="s">
        <v>612</v>
      </c>
      <c r="F270" s="3" t="s">
        <v>762</v>
      </c>
    </row>
    <row r="271" spans="1:6" x14ac:dyDescent="0.3">
      <c r="A271" s="3" t="s">
        <v>287</v>
      </c>
      <c r="B271" s="3" t="s">
        <v>33</v>
      </c>
      <c r="C271" s="3" t="str">
        <f t="shared" si="4"/>
        <v>450013017110</v>
      </c>
      <c r="D271" s="4">
        <v>46198</v>
      </c>
      <c r="E271" s="3" t="s">
        <v>632</v>
      </c>
      <c r="F271" s="3" t="s">
        <v>763</v>
      </c>
    </row>
    <row r="272" spans="1:6" x14ac:dyDescent="0.3">
      <c r="A272" s="3" t="s">
        <v>338</v>
      </c>
      <c r="B272" s="3" t="s">
        <v>33</v>
      </c>
      <c r="C272" s="3" t="str">
        <f t="shared" si="4"/>
        <v>450013023810</v>
      </c>
      <c r="D272" s="4">
        <v>46206</v>
      </c>
      <c r="E272" s="3" t="s">
        <v>612</v>
      </c>
      <c r="F272" s="3" t="s">
        <v>718</v>
      </c>
    </row>
    <row r="273" spans="1:6" x14ac:dyDescent="0.3">
      <c r="A273" s="3" t="s">
        <v>338</v>
      </c>
      <c r="B273" s="3" t="s">
        <v>20</v>
      </c>
      <c r="C273" s="3" t="str">
        <f t="shared" si="4"/>
        <v>450013023820</v>
      </c>
      <c r="D273" s="4">
        <v>46206</v>
      </c>
      <c r="E273" s="3" t="s">
        <v>612</v>
      </c>
      <c r="F273" s="3" t="s">
        <v>718</v>
      </c>
    </row>
    <row r="274" spans="1:6" x14ac:dyDescent="0.3">
      <c r="A274" s="3" t="s">
        <v>338</v>
      </c>
      <c r="B274" s="3" t="s">
        <v>21</v>
      </c>
      <c r="C274" s="3" t="str">
        <f t="shared" si="4"/>
        <v>450013023830</v>
      </c>
      <c r="D274" s="4">
        <v>46206</v>
      </c>
      <c r="E274" s="3" t="s">
        <v>612</v>
      </c>
      <c r="F274" s="3" t="s">
        <v>718</v>
      </c>
    </row>
    <row r="275" spans="1:6" x14ac:dyDescent="0.3">
      <c r="A275" s="3" t="s">
        <v>338</v>
      </c>
      <c r="B275" s="3" t="s">
        <v>25</v>
      </c>
      <c r="C275" s="3" t="str">
        <f t="shared" si="4"/>
        <v>450013023840</v>
      </c>
      <c r="D275" s="4">
        <v>46206</v>
      </c>
      <c r="E275" s="3" t="s">
        <v>612</v>
      </c>
      <c r="F275" s="3" t="s">
        <v>718</v>
      </c>
    </row>
    <row r="276" spans="1:6" x14ac:dyDescent="0.3">
      <c r="A276" s="3" t="s">
        <v>338</v>
      </c>
      <c r="B276" s="3" t="s">
        <v>22</v>
      </c>
      <c r="C276" s="3" t="str">
        <f t="shared" si="4"/>
        <v>450013023850</v>
      </c>
      <c r="D276" s="4">
        <v>46206</v>
      </c>
      <c r="E276" s="3" t="s">
        <v>612</v>
      </c>
      <c r="F276" s="3" t="s">
        <v>718</v>
      </c>
    </row>
    <row r="277" spans="1:6" x14ac:dyDescent="0.3">
      <c r="A277" s="3" t="s">
        <v>338</v>
      </c>
      <c r="B277" s="3" t="s">
        <v>23</v>
      </c>
      <c r="C277" s="3" t="str">
        <f t="shared" si="4"/>
        <v>450013023860</v>
      </c>
      <c r="D277" s="4">
        <v>46206</v>
      </c>
      <c r="E277" s="3" t="s">
        <v>612</v>
      </c>
      <c r="F277" s="3" t="s">
        <v>718</v>
      </c>
    </row>
    <row r="278" spans="1:6" x14ac:dyDescent="0.3">
      <c r="A278" s="3" t="s">
        <v>338</v>
      </c>
      <c r="B278" s="3" t="s">
        <v>24</v>
      </c>
      <c r="C278" s="3" t="str">
        <f t="shared" si="4"/>
        <v>450013023870</v>
      </c>
      <c r="D278" s="4">
        <v>46206</v>
      </c>
      <c r="E278" s="3" t="s">
        <v>612</v>
      </c>
      <c r="F278" s="3" t="s">
        <v>718</v>
      </c>
    </row>
    <row r="279" spans="1:6" x14ac:dyDescent="0.3">
      <c r="A279" s="3" t="s">
        <v>338</v>
      </c>
      <c r="B279" s="3" t="s">
        <v>321</v>
      </c>
      <c r="C279" s="3" t="str">
        <f t="shared" si="4"/>
        <v>450013023880</v>
      </c>
      <c r="D279" s="4">
        <v>46206</v>
      </c>
      <c r="E279" s="3" t="s">
        <v>612</v>
      </c>
      <c r="F279" s="3" t="s">
        <v>718</v>
      </c>
    </row>
    <row r="280" spans="1:6" x14ac:dyDescent="0.3">
      <c r="A280" s="3" t="s">
        <v>338</v>
      </c>
      <c r="B280" s="3" t="s">
        <v>322</v>
      </c>
      <c r="C280" s="3" t="str">
        <f t="shared" si="4"/>
        <v>450013023890</v>
      </c>
      <c r="D280" s="4">
        <v>46206</v>
      </c>
      <c r="E280" s="3" t="s">
        <v>612</v>
      </c>
      <c r="F280" s="3" t="s">
        <v>718</v>
      </c>
    </row>
    <row r="281" spans="1:6" x14ac:dyDescent="0.3">
      <c r="A281" s="3" t="s">
        <v>338</v>
      </c>
      <c r="B281" s="3" t="s">
        <v>323</v>
      </c>
      <c r="C281" s="3" t="str">
        <f t="shared" si="4"/>
        <v>4500130238100</v>
      </c>
      <c r="D281" s="4">
        <v>46206</v>
      </c>
      <c r="E281" s="3" t="s">
        <v>612</v>
      </c>
      <c r="F281" s="3" t="s">
        <v>718</v>
      </c>
    </row>
    <row r="282" spans="1:6" x14ac:dyDescent="0.3">
      <c r="A282" s="3" t="s">
        <v>338</v>
      </c>
      <c r="B282" s="3" t="s">
        <v>175</v>
      </c>
      <c r="C282" s="3" t="str">
        <f t="shared" si="4"/>
        <v>4500130238110</v>
      </c>
      <c r="D282" s="4">
        <v>46206</v>
      </c>
      <c r="E282" s="3" t="s">
        <v>612</v>
      </c>
      <c r="F282" s="3" t="s">
        <v>718</v>
      </c>
    </row>
    <row r="283" spans="1:6" x14ac:dyDescent="0.3">
      <c r="A283" s="3" t="s">
        <v>338</v>
      </c>
      <c r="B283" s="3" t="s">
        <v>375</v>
      </c>
      <c r="C283" s="3" t="str">
        <f t="shared" si="4"/>
        <v>4500130238120</v>
      </c>
      <c r="D283" s="4">
        <v>46206</v>
      </c>
      <c r="E283" s="3" t="s">
        <v>612</v>
      </c>
      <c r="F283" s="3" t="s">
        <v>718</v>
      </c>
    </row>
    <row r="284" spans="1:6" x14ac:dyDescent="0.3">
      <c r="A284" s="3" t="s">
        <v>338</v>
      </c>
      <c r="B284" s="3" t="s">
        <v>203</v>
      </c>
      <c r="C284" s="3" t="str">
        <f t="shared" si="4"/>
        <v>4500130238130</v>
      </c>
      <c r="D284" s="4">
        <v>46206</v>
      </c>
      <c r="E284" s="3" t="s">
        <v>612</v>
      </c>
      <c r="F284" s="3" t="s">
        <v>718</v>
      </c>
    </row>
    <row r="285" spans="1:6" x14ac:dyDescent="0.3">
      <c r="A285" s="3" t="s">
        <v>338</v>
      </c>
      <c r="B285" s="3" t="s">
        <v>376</v>
      </c>
      <c r="C285" s="3" t="str">
        <f t="shared" si="4"/>
        <v>4500130238140</v>
      </c>
      <c r="D285" s="4">
        <v>46206</v>
      </c>
      <c r="E285" s="3" t="s">
        <v>612</v>
      </c>
      <c r="F285" s="3" t="s">
        <v>718</v>
      </c>
    </row>
    <row r="286" spans="1:6" x14ac:dyDescent="0.3">
      <c r="A286" s="3" t="s">
        <v>338</v>
      </c>
      <c r="B286" s="3" t="s">
        <v>377</v>
      </c>
      <c r="C286" s="3" t="str">
        <f t="shared" si="4"/>
        <v>4500130238150</v>
      </c>
      <c r="D286" s="4">
        <v>46206</v>
      </c>
      <c r="E286" s="3" t="s">
        <v>612</v>
      </c>
      <c r="F286" s="3" t="s">
        <v>718</v>
      </c>
    </row>
    <row r="287" spans="1:6" x14ac:dyDescent="0.3">
      <c r="A287" s="3" t="s">
        <v>338</v>
      </c>
      <c r="B287" s="3" t="s">
        <v>378</v>
      </c>
      <c r="C287" s="3" t="str">
        <f t="shared" si="4"/>
        <v>4500130238160</v>
      </c>
      <c r="D287" s="4">
        <v>46206</v>
      </c>
      <c r="E287" s="3" t="s">
        <v>612</v>
      </c>
      <c r="F287" s="3" t="s">
        <v>718</v>
      </c>
    </row>
    <row r="288" spans="1:6" x14ac:dyDescent="0.3">
      <c r="A288" s="3" t="s">
        <v>338</v>
      </c>
      <c r="B288" s="3" t="s">
        <v>324</v>
      </c>
      <c r="C288" s="3" t="str">
        <f t="shared" si="4"/>
        <v>4500130238170</v>
      </c>
      <c r="D288" s="4">
        <v>46206</v>
      </c>
      <c r="E288" s="3" t="s">
        <v>612</v>
      </c>
      <c r="F288" s="3" t="s">
        <v>718</v>
      </c>
    </row>
    <row r="289" spans="1:6" x14ac:dyDescent="0.3">
      <c r="A289" s="3" t="s">
        <v>338</v>
      </c>
      <c r="B289" s="3" t="s">
        <v>325</v>
      </c>
      <c r="C289" s="3" t="str">
        <f t="shared" si="4"/>
        <v>4500130238180</v>
      </c>
      <c r="D289" s="4">
        <v>46206</v>
      </c>
      <c r="E289" s="3" t="s">
        <v>612</v>
      </c>
      <c r="F289" s="3" t="s">
        <v>718</v>
      </c>
    </row>
    <row r="290" spans="1:6" x14ac:dyDescent="0.3">
      <c r="A290" s="3" t="s">
        <v>338</v>
      </c>
      <c r="B290" s="3" t="s">
        <v>379</v>
      </c>
      <c r="C290" s="3" t="str">
        <f t="shared" si="4"/>
        <v>4500130238190</v>
      </c>
      <c r="D290" s="4">
        <v>46206</v>
      </c>
      <c r="E290" s="3" t="s">
        <v>612</v>
      </c>
      <c r="F290" s="3" t="s">
        <v>718</v>
      </c>
    </row>
    <row r="291" spans="1:6" x14ac:dyDescent="0.3">
      <c r="A291" s="3" t="s">
        <v>338</v>
      </c>
      <c r="B291" s="3" t="s">
        <v>326</v>
      </c>
      <c r="C291" s="3" t="str">
        <f t="shared" si="4"/>
        <v>4500130238210</v>
      </c>
      <c r="D291" s="4">
        <v>46206</v>
      </c>
      <c r="E291" s="3" t="s">
        <v>612</v>
      </c>
      <c r="F291" s="3" t="s">
        <v>718</v>
      </c>
    </row>
    <row r="292" spans="1:6" x14ac:dyDescent="0.3">
      <c r="A292" s="3" t="s">
        <v>353</v>
      </c>
      <c r="B292" s="3" t="s">
        <v>33</v>
      </c>
      <c r="C292" s="3" t="str">
        <f t="shared" si="4"/>
        <v>450013040410</v>
      </c>
      <c r="D292" s="4">
        <v>46296</v>
      </c>
      <c r="E292" s="3" t="s">
        <v>616</v>
      </c>
      <c r="F292" s="3" t="s">
        <v>709</v>
      </c>
    </row>
    <row r="293" spans="1:6" x14ac:dyDescent="0.3">
      <c r="A293" s="3" t="s">
        <v>285</v>
      </c>
      <c r="B293" s="3" t="s">
        <v>33</v>
      </c>
      <c r="C293" s="3" t="str">
        <f t="shared" si="4"/>
        <v>450013045310</v>
      </c>
      <c r="D293" s="4">
        <v>46198</v>
      </c>
      <c r="E293" s="3" t="s">
        <v>612</v>
      </c>
      <c r="F293" s="3" t="s">
        <v>763</v>
      </c>
    </row>
    <row r="294" spans="1:6" x14ac:dyDescent="0.3">
      <c r="A294" s="3" t="s">
        <v>282</v>
      </c>
      <c r="B294" s="3" t="s">
        <v>33</v>
      </c>
      <c r="C294" s="3" t="str">
        <f t="shared" si="4"/>
        <v>450013049610</v>
      </c>
      <c r="D294" s="4">
        <v>46205</v>
      </c>
      <c r="E294" s="3" t="s">
        <v>625</v>
      </c>
      <c r="F294" s="3" t="s">
        <v>764</v>
      </c>
    </row>
    <row r="295" spans="1:6" x14ac:dyDescent="0.3">
      <c r="A295" s="3" t="s">
        <v>302</v>
      </c>
      <c r="B295" s="3" t="s">
        <v>33</v>
      </c>
      <c r="C295" s="3" t="str">
        <f t="shared" si="4"/>
        <v>450013077310</v>
      </c>
      <c r="D295" s="4">
        <v>46205</v>
      </c>
      <c r="E295" s="3" t="s">
        <v>612</v>
      </c>
      <c r="F295" s="3" t="s">
        <v>763</v>
      </c>
    </row>
    <row r="296" spans="1:6" x14ac:dyDescent="0.3">
      <c r="A296" s="3" t="s">
        <v>320</v>
      </c>
      <c r="B296" s="3" t="s">
        <v>33</v>
      </c>
      <c r="C296" s="3" t="str">
        <f t="shared" si="4"/>
        <v>450013085510</v>
      </c>
      <c r="D296" s="4">
        <v>46205</v>
      </c>
      <c r="E296" s="3" t="s">
        <v>612</v>
      </c>
      <c r="F296" s="3" t="s">
        <v>718</v>
      </c>
    </row>
    <row r="297" spans="1:6" x14ac:dyDescent="0.3">
      <c r="A297" s="3" t="s">
        <v>320</v>
      </c>
      <c r="B297" s="3" t="s">
        <v>20</v>
      </c>
      <c r="C297" s="3" t="str">
        <f t="shared" si="4"/>
        <v>450013085520</v>
      </c>
      <c r="D297" s="4">
        <v>46205</v>
      </c>
      <c r="E297" s="3" t="s">
        <v>612</v>
      </c>
      <c r="F297" s="3" t="s">
        <v>718</v>
      </c>
    </row>
    <row r="298" spans="1:6" x14ac:dyDescent="0.3">
      <c r="A298" s="3" t="s">
        <v>320</v>
      </c>
      <c r="B298" s="3" t="s">
        <v>21</v>
      </c>
      <c r="C298" s="3" t="str">
        <f t="shared" si="4"/>
        <v>450013085530</v>
      </c>
      <c r="D298" s="4">
        <v>46217</v>
      </c>
      <c r="E298" s="3" t="s">
        <v>612</v>
      </c>
      <c r="F298" s="3" t="s">
        <v>718</v>
      </c>
    </row>
    <row r="299" spans="1:6" x14ac:dyDescent="0.3">
      <c r="A299" s="3" t="s">
        <v>320</v>
      </c>
      <c r="B299" s="3" t="s">
        <v>25</v>
      </c>
      <c r="C299" s="3" t="str">
        <f t="shared" si="4"/>
        <v>450013085540</v>
      </c>
      <c r="D299" s="4">
        <v>46205</v>
      </c>
      <c r="E299" s="3" t="s">
        <v>612</v>
      </c>
      <c r="F299" s="3" t="s">
        <v>718</v>
      </c>
    </row>
    <row r="300" spans="1:6" x14ac:dyDescent="0.3">
      <c r="A300" s="3" t="s">
        <v>320</v>
      </c>
      <c r="B300" s="3" t="s">
        <v>22</v>
      </c>
      <c r="C300" s="3" t="str">
        <f t="shared" si="4"/>
        <v>450013085550</v>
      </c>
      <c r="D300" s="4">
        <v>46205</v>
      </c>
      <c r="E300" s="3" t="s">
        <v>612</v>
      </c>
      <c r="F300" s="3" t="s">
        <v>718</v>
      </c>
    </row>
    <row r="301" spans="1:6" x14ac:dyDescent="0.3">
      <c r="A301" s="3" t="s">
        <v>320</v>
      </c>
      <c r="B301" s="3" t="s">
        <v>24</v>
      </c>
      <c r="C301" s="3" t="str">
        <f t="shared" si="4"/>
        <v>450013085570</v>
      </c>
      <c r="D301" s="4">
        <v>46205</v>
      </c>
      <c r="E301" s="3" t="s">
        <v>612</v>
      </c>
      <c r="F301" s="3" t="s">
        <v>718</v>
      </c>
    </row>
    <row r="302" spans="1:6" x14ac:dyDescent="0.3">
      <c r="A302" s="3" t="s">
        <v>320</v>
      </c>
      <c r="B302" s="3" t="s">
        <v>321</v>
      </c>
      <c r="C302" s="3" t="str">
        <f t="shared" si="4"/>
        <v>450013085580</v>
      </c>
      <c r="D302" s="4">
        <v>46205</v>
      </c>
      <c r="E302" s="3" t="s">
        <v>612</v>
      </c>
      <c r="F302" s="3" t="s">
        <v>718</v>
      </c>
    </row>
    <row r="303" spans="1:6" x14ac:dyDescent="0.3">
      <c r="A303" s="3" t="s">
        <v>320</v>
      </c>
      <c r="B303" s="3" t="s">
        <v>322</v>
      </c>
      <c r="C303" s="3" t="str">
        <f t="shared" si="4"/>
        <v>450013085590</v>
      </c>
      <c r="D303" s="4">
        <v>46205</v>
      </c>
      <c r="E303" s="3" t="s">
        <v>612</v>
      </c>
      <c r="F303" s="3" t="s">
        <v>718</v>
      </c>
    </row>
    <row r="304" spans="1:6" x14ac:dyDescent="0.3">
      <c r="A304" s="3" t="s">
        <v>320</v>
      </c>
      <c r="B304" s="3" t="s">
        <v>323</v>
      </c>
      <c r="C304" s="3" t="str">
        <f t="shared" si="4"/>
        <v>4500130855100</v>
      </c>
      <c r="D304" s="4">
        <v>46205</v>
      </c>
      <c r="E304" s="3" t="s">
        <v>612</v>
      </c>
      <c r="F304" s="3" t="s">
        <v>718</v>
      </c>
    </row>
    <row r="305" spans="1:6" x14ac:dyDescent="0.3">
      <c r="A305" s="3" t="s">
        <v>320</v>
      </c>
      <c r="B305" s="3" t="s">
        <v>175</v>
      </c>
      <c r="C305" s="3" t="str">
        <f t="shared" si="4"/>
        <v>4500130855110</v>
      </c>
      <c r="D305" s="4">
        <v>46205</v>
      </c>
      <c r="E305" s="3" t="s">
        <v>612</v>
      </c>
      <c r="F305" s="3" t="s">
        <v>718</v>
      </c>
    </row>
    <row r="306" spans="1:6" x14ac:dyDescent="0.3">
      <c r="A306" s="3" t="s">
        <v>320</v>
      </c>
      <c r="B306" s="3" t="s">
        <v>375</v>
      </c>
      <c r="C306" s="3" t="str">
        <f t="shared" si="4"/>
        <v>4500130855120</v>
      </c>
      <c r="D306" s="4">
        <v>46213</v>
      </c>
      <c r="E306" s="3" t="s">
        <v>612</v>
      </c>
      <c r="F306" s="3" t="s">
        <v>718</v>
      </c>
    </row>
    <row r="307" spans="1:6" x14ac:dyDescent="0.3">
      <c r="A307" s="3" t="s">
        <v>320</v>
      </c>
      <c r="B307" s="3" t="s">
        <v>203</v>
      </c>
      <c r="C307" s="3" t="str">
        <f t="shared" si="4"/>
        <v>4500130855130</v>
      </c>
      <c r="D307" s="4">
        <v>46205</v>
      </c>
      <c r="E307" s="3" t="s">
        <v>612</v>
      </c>
      <c r="F307" s="3" t="s">
        <v>718</v>
      </c>
    </row>
    <row r="308" spans="1:6" x14ac:dyDescent="0.3">
      <c r="A308" s="3" t="s">
        <v>320</v>
      </c>
      <c r="B308" s="3" t="s">
        <v>324</v>
      </c>
      <c r="C308" s="3" t="str">
        <f t="shared" si="4"/>
        <v>4500130855170</v>
      </c>
      <c r="D308" s="4">
        <v>46205</v>
      </c>
      <c r="E308" s="3" t="s">
        <v>612</v>
      </c>
      <c r="F308" s="3" t="s">
        <v>718</v>
      </c>
    </row>
    <row r="309" spans="1:6" x14ac:dyDescent="0.3">
      <c r="A309" s="3" t="s">
        <v>320</v>
      </c>
      <c r="B309" s="3" t="s">
        <v>325</v>
      </c>
      <c r="C309" s="3" t="str">
        <f t="shared" si="4"/>
        <v>4500130855180</v>
      </c>
      <c r="D309" s="4">
        <v>46205</v>
      </c>
      <c r="E309" s="3" t="s">
        <v>612</v>
      </c>
      <c r="F309" s="3" t="s">
        <v>718</v>
      </c>
    </row>
    <row r="310" spans="1:6" x14ac:dyDescent="0.3">
      <c r="A310" s="3" t="s">
        <v>320</v>
      </c>
      <c r="B310" s="3" t="s">
        <v>326</v>
      </c>
      <c r="C310" s="3" t="str">
        <f t="shared" si="4"/>
        <v>4500130855210</v>
      </c>
      <c r="D310" s="4">
        <v>46205</v>
      </c>
      <c r="E310" s="3" t="s">
        <v>612</v>
      </c>
      <c r="F310" s="3" t="s">
        <v>718</v>
      </c>
    </row>
    <row r="311" spans="1:6" x14ac:dyDescent="0.3">
      <c r="A311" s="3" t="s">
        <v>320</v>
      </c>
      <c r="B311" s="3" t="s">
        <v>327</v>
      </c>
      <c r="C311" s="3" t="str">
        <f t="shared" si="4"/>
        <v>4500130855230</v>
      </c>
      <c r="D311" s="4">
        <v>46205</v>
      </c>
      <c r="E311" s="3" t="s">
        <v>612</v>
      </c>
      <c r="F311" s="3" t="s">
        <v>718</v>
      </c>
    </row>
    <row r="312" spans="1:6" x14ac:dyDescent="0.3">
      <c r="A312" s="3" t="s">
        <v>320</v>
      </c>
      <c r="B312" s="3" t="s">
        <v>328</v>
      </c>
      <c r="C312" s="3" t="str">
        <f t="shared" si="4"/>
        <v>4500130855240</v>
      </c>
      <c r="D312" s="4">
        <v>46205</v>
      </c>
      <c r="E312" s="3" t="s">
        <v>612</v>
      </c>
      <c r="F312" s="3" t="s">
        <v>718</v>
      </c>
    </row>
    <row r="313" spans="1:6" x14ac:dyDescent="0.3">
      <c r="A313" s="3" t="s">
        <v>320</v>
      </c>
      <c r="B313" s="3" t="s">
        <v>329</v>
      </c>
      <c r="C313" s="3" t="str">
        <f t="shared" si="4"/>
        <v>4500130855250</v>
      </c>
      <c r="D313" s="4">
        <v>46205</v>
      </c>
      <c r="E313" s="3" t="s">
        <v>612</v>
      </c>
      <c r="F313" s="3" t="s">
        <v>718</v>
      </c>
    </row>
    <row r="314" spans="1:6" x14ac:dyDescent="0.3">
      <c r="A314" s="3" t="s">
        <v>320</v>
      </c>
      <c r="B314" s="3" t="s">
        <v>330</v>
      </c>
      <c r="C314" s="3" t="str">
        <f t="shared" si="4"/>
        <v>4500130855260</v>
      </c>
      <c r="D314" s="4">
        <v>46205</v>
      </c>
      <c r="E314" s="3" t="s">
        <v>612</v>
      </c>
      <c r="F314" s="3" t="s">
        <v>718</v>
      </c>
    </row>
    <row r="315" spans="1:6" x14ac:dyDescent="0.3">
      <c r="A315" s="3" t="s">
        <v>833</v>
      </c>
      <c r="B315" s="3" t="s">
        <v>33</v>
      </c>
      <c r="C315" s="3" t="str">
        <f t="shared" si="4"/>
        <v>450013129910</v>
      </c>
      <c r="D315" s="4">
        <v>46294</v>
      </c>
      <c r="E315" s="3" t="s">
        <v>612</v>
      </c>
      <c r="F315" s="3" t="s">
        <v>762</v>
      </c>
    </row>
    <row r="316" spans="1:6" x14ac:dyDescent="0.3">
      <c r="A316" s="3" t="s">
        <v>833</v>
      </c>
      <c r="B316" s="3" t="s">
        <v>20</v>
      </c>
      <c r="C316" s="3" t="str">
        <f t="shared" si="4"/>
        <v>450013129920</v>
      </c>
      <c r="D316" s="4">
        <v>46294</v>
      </c>
      <c r="E316" s="3" t="s">
        <v>612</v>
      </c>
      <c r="F316" s="3" t="s">
        <v>762</v>
      </c>
    </row>
    <row r="317" spans="1:6" x14ac:dyDescent="0.3">
      <c r="A317" s="3" t="s">
        <v>833</v>
      </c>
      <c r="B317" s="3" t="s">
        <v>21</v>
      </c>
      <c r="C317" s="3" t="str">
        <f t="shared" si="4"/>
        <v>450013129930</v>
      </c>
      <c r="D317" s="4">
        <v>46294</v>
      </c>
      <c r="E317" s="3" t="s">
        <v>612</v>
      </c>
      <c r="F317" s="3" t="s">
        <v>762</v>
      </c>
    </row>
    <row r="318" spans="1:6" x14ac:dyDescent="0.3">
      <c r="A318" s="3" t="s">
        <v>833</v>
      </c>
      <c r="B318" s="3" t="s">
        <v>23</v>
      </c>
      <c r="C318" s="3" t="str">
        <f t="shared" si="4"/>
        <v>450013129960</v>
      </c>
      <c r="D318" s="4">
        <v>46294</v>
      </c>
      <c r="E318" s="3" t="s">
        <v>612</v>
      </c>
      <c r="F318" s="3" t="s">
        <v>762</v>
      </c>
    </row>
    <row r="319" spans="1:6" x14ac:dyDescent="0.3">
      <c r="A319" s="3" t="s">
        <v>833</v>
      </c>
      <c r="B319" s="3" t="s">
        <v>321</v>
      </c>
      <c r="C319" s="3" t="str">
        <f t="shared" si="4"/>
        <v>450013129980</v>
      </c>
      <c r="D319" s="4">
        <v>46294</v>
      </c>
      <c r="E319" s="3" t="s">
        <v>612</v>
      </c>
      <c r="F319" s="3" t="s">
        <v>762</v>
      </c>
    </row>
    <row r="320" spans="1:6" x14ac:dyDescent="0.3">
      <c r="A320" s="3" t="s">
        <v>305</v>
      </c>
      <c r="B320" s="3" t="s">
        <v>33</v>
      </c>
      <c r="C320" s="3" t="str">
        <f t="shared" si="4"/>
        <v>450013130110</v>
      </c>
      <c r="D320" s="4">
        <v>46199</v>
      </c>
      <c r="E320" s="3" t="s">
        <v>618</v>
      </c>
      <c r="F320" s="3" t="s">
        <v>765</v>
      </c>
    </row>
    <row r="321" spans="1:6" x14ac:dyDescent="0.3">
      <c r="A321" s="3" t="s">
        <v>307</v>
      </c>
      <c r="B321" s="3" t="s">
        <v>33</v>
      </c>
      <c r="C321" s="3" t="str">
        <f t="shared" si="4"/>
        <v>450013135610</v>
      </c>
      <c r="D321" s="4">
        <v>46245</v>
      </c>
      <c r="E321" s="3" t="s">
        <v>616</v>
      </c>
      <c r="F321" s="3" t="s">
        <v>709</v>
      </c>
    </row>
    <row r="322" spans="1:6" x14ac:dyDescent="0.3">
      <c r="A322" s="3" t="s">
        <v>307</v>
      </c>
      <c r="B322" s="3" t="s">
        <v>20</v>
      </c>
      <c r="C322" s="3" t="str">
        <f t="shared" si="4"/>
        <v>450013135620</v>
      </c>
      <c r="D322" s="4">
        <v>46245</v>
      </c>
      <c r="E322" s="3" t="s">
        <v>616</v>
      </c>
      <c r="F322" s="3" t="s">
        <v>709</v>
      </c>
    </row>
    <row r="323" spans="1:6" x14ac:dyDescent="0.3">
      <c r="A323" s="3" t="s">
        <v>314</v>
      </c>
      <c r="B323" s="3" t="s">
        <v>20</v>
      </c>
      <c r="C323" s="3" t="str">
        <f t="shared" ref="C323:C386" si="5">_xlfn.CONCAT(A323:B323)</f>
        <v>450013159920</v>
      </c>
      <c r="D323" s="4">
        <v>46223</v>
      </c>
      <c r="E323" s="3" t="s">
        <v>614</v>
      </c>
      <c r="F323" s="3" t="s">
        <v>766</v>
      </c>
    </row>
    <row r="324" spans="1:6" x14ac:dyDescent="0.3">
      <c r="A324" s="3" t="s">
        <v>341</v>
      </c>
      <c r="B324" s="3" t="s">
        <v>33</v>
      </c>
      <c r="C324" s="3" t="str">
        <f t="shared" si="5"/>
        <v>450013169610</v>
      </c>
      <c r="D324" s="4">
        <v>46213</v>
      </c>
      <c r="E324" s="3" t="s">
        <v>614</v>
      </c>
      <c r="F324" s="3" t="s">
        <v>767</v>
      </c>
    </row>
    <row r="325" spans="1:6" x14ac:dyDescent="0.3">
      <c r="A325" s="3" t="s">
        <v>332</v>
      </c>
      <c r="B325" s="3" t="s">
        <v>33</v>
      </c>
      <c r="C325" s="3" t="str">
        <f t="shared" si="5"/>
        <v>450013188410</v>
      </c>
      <c r="D325" s="4">
        <v>46245</v>
      </c>
      <c r="E325" s="3" t="s">
        <v>616</v>
      </c>
      <c r="F325" s="3" t="s">
        <v>709</v>
      </c>
    </row>
    <row r="326" spans="1:6" x14ac:dyDescent="0.3">
      <c r="A326" s="3" t="s">
        <v>336</v>
      </c>
      <c r="B326" s="3" t="s">
        <v>33</v>
      </c>
      <c r="C326" s="3" t="str">
        <f t="shared" si="5"/>
        <v>450013196510</v>
      </c>
      <c r="D326" s="4">
        <v>46213</v>
      </c>
      <c r="E326" s="3" t="s">
        <v>614</v>
      </c>
      <c r="F326" s="3" t="s">
        <v>768</v>
      </c>
    </row>
    <row r="327" spans="1:6" x14ac:dyDescent="0.3">
      <c r="A327" s="3" t="s">
        <v>336</v>
      </c>
      <c r="B327" s="3" t="s">
        <v>20</v>
      </c>
      <c r="C327" s="3" t="str">
        <f t="shared" si="5"/>
        <v>450013196520</v>
      </c>
      <c r="D327" s="4">
        <v>46213</v>
      </c>
      <c r="E327" s="3" t="s">
        <v>614</v>
      </c>
      <c r="F327" s="3" t="s">
        <v>768</v>
      </c>
    </row>
    <row r="328" spans="1:6" x14ac:dyDescent="0.3">
      <c r="A328" s="3" t="s">
        <v>355</v>
      </c>
      <c r="B328" s="3" t="s">
        <v>33</v>
      </c>
      <c r="C328" s="3" t="str">
        <f t="shared" si="5"/>
        <v>450013213710</v>
      </c>
      <c r="D328" s="4">
        <v>46226</v>
      </c>
      <c r="E328" s="3" t="s">
        <v>619</v>
      </c>
      <c r="F328" s="3" t="s">
        <v>730</v>
      </c>
    </row>
    <row r="329" spans="1:6" x14ac:dyDescent="0.3">
      <c r="A329" s="3" t="s">
        <v>355</v>
      </c>
      <c r="B329" s="3" t="s">
        <v>20</v>
      </c>
      <c r="C329" s="3" t="str">
        <f t="shared" si="5"/>
        <v>450013213720</v>
      </c>
      <c r="D329" s="4">
        <v>46266</v>
      </c>
      <c r="E329" s="3" t="s">
        <v>619</v>
      </c>
      <c r="F329" s="3" t="s">
        <v>730</v>
      </c>
    </row>
    <row r="330" spans="1:6" x14ac:dyDescent="0.3">
      <c r="A330" s="3" t="s">
        <v>355</v>
      </c>
      <c r="B330" s="3" t="s">
        <v>21</v>
      </c>
      <c r="C330" s="3" t="str">
        <f t="shared" si="5"/>
        <v>450013213730</v>
      </c>
      <c r="D330" s="4">
        <v>46226</v>
      </c>
      <c r="E330" s="3" t="s">
        <v>619</v>
      </c>
      <c r="F330" s="3" t="s">
        <v>730</v>
      </c>
    </row>
    <row r="331" spans="1:6" x14ac:dyDescent="0.3">
      <c r="A331" s="3" t="s">
        <v>355</v>
      </c>
      <c r="B331" s="3" t="s">
        <v>25</v>
      </c>
      <c r="C331" s="3" t="str">
        <f t="shared" si="5"/>
        <v>450013213740</v>
      </c>
      <c r="D331" s="4">
        <v>46266</v>
      </c>
      <c r="E331" s="3" t="s">
        <v>619</v>
      </c>
      <c r="F331" s="3" t="s">
        <v>730</v>
      </c>
    </row>
    <row r="332" spans="1:6" x14ac:dyDescent="0.3">
      <c r="A332" s="3" t="s">
        <v>355</v>
      </c>
      <c r="B332" s="3" t="s">
        <v>22</v>
      </c>
      <c r="C332" s="3" t="str">
        <f t="shared" si="5"/>
        <v>450013213750</v>
      </c>
      <c r="D332" s="4">
        <v>46226</v>
      </c>
      <c r="E332" s="3" t="s">
        <v>619</v>
      </c>
      <c r="F332" s="3" t="s">
        <v>730</v>
      </c>
    </row>
    <row r="333" spans="1:6" x14ac:dyDescent="0.3">
      <c r="A333" s="3" t="s">
        <v>367</v>
      </c>
      <c r="B333" s="3" t="s">
        <v>33</v>
      </c>
      <c r="C333" s="3" t="str">
        <f t="shared" si="5"/>
        <v>450013216210</v>
      </c>
      <c r="D333" s="4">
        <v>46231</v>
      </c>
      <c r="E333" s="3" t="s">
        <v>614</v>
      </c>
      <c r="F333" s="3" t="s">
        <v>769</v>
      </c>
    </row>
    <row r="334" spans="1:6" x14ac:dyDescent="0.3">
      <c r="A334" s="3" t="s">
        <v>343</v>
      </c>
      <c r="B334" s="3" t="s">
        <v>33</v>
      </c>
      <c r="C334" s="3" t="str">
        <f t="shared" si="5"/>
        <v>450013225710</v>
      </c>
      <c r="D334" s="4">
        <v>46231</v>
      </c>
      <c r="E334" s="3" t="s">
        <v>614</v>
      </c>
      <c r="F334" s="3" t="s">
        <v>714</v>
      </c>
    </row>
    <row r="335" spans="1:6" x14ac:dyDescent="0.3">
      <c r="A335" s="3" t="s">
        <v>808</v>
      </c>
      <c r="B335" s="3" t="s">
        <v>33</v>
      </c>
      <c r="C335" s="3" t="str">
        <f t="shared" si="5"/>
        <v>450013262110</v>
      </c>
      <c r="D335" s="4">
        <v>46230</v>
      </c>
      <c r="E335" s="3" t="s">
        <v>611</v>
      </c>
      <c r="F335" s="3" t="s">
        <v>730</v>
      </c>
    </row>
    <row r="336" spans="1:6" x14ac:dyDescent="0.3">
      <c r="A336" s="3" t="s">
        <v>808</v>
      </c>
      <c r="B336" s="3" t="s">
        <v>20</v>
      </c>
      <c r="C336" s="3" t="str">
        <f t="shared" si="5"/>
        <v>450013262120</v>
      </c>
      <c r="D336" s="4">
        <v>46230</v>
      </c>
      <c r="E336" s="3" t="s">
        <v>611</v>
      </c>
      <c r="F336" s="3" t="s">
        <v>730</v>
      </c>
    </row>
    <row r="337" spans="1:6" x14ac:dyDescent="0.3">
      <c r="A337" s="3" t="s">
        <v>808</v>
      </c>
      <c r="B337" s="3" t="s">
        <v>21</v>
      </c>
      <c r="C337" s="3" t="str">
        <f t="shared" si="5"/>
        <v>450013262130</v>
      </c>
      <c r="D337" s="4">
        <v>46230</v>
      </c>
      <c r="E337" s="3" t="s">
        <v>611</v>
      </c>
      <c r="F337" s="3" t="s">
        <v>730</v>
      </c>
    </row>
    <row r="338" spans="1:6" x14ac:dyDescent="0.3">
      <c r="A338" s="3" t="s">
        <v>808</v>
      </c>
      <c r="B338" s="3" t="s">
        <v>25</v>
      </c>
      <c r="C338" s="3" t="str">
        <f t="shared" si="5"/>
        <v>450013262140</v>
      </c>
      <c r="D338" s="4">
        <v>46230</v>
      </c>
      <c r="E338" s="3" t="s">
        <v>611</v>
      </c>
      <c r="F338" s="3" t="s">
        <v>730</v>
      </c>
    </row>
    <row r="339" spans="1:6" x14ac:dyDescent="0.3">
      <c r="A339" s="3" t="s">
        <v>808</v>
      </c>
      <c r="B339" s="3" t="s">
        <v>23</v>
      </c>
      <c r="C339" s="3" t="str">
        <f t="shared" si="5"/>
        <v>450013262160</v>
      </c>
      <c r="D339" s="4">
        <v>46230</v>
      </c>
      <c r="E339" s="3" t="s">
        <v>611</v>
      </c>
      <c r="F339" s="3" t="s">
        <v>730</v>
      </c>
    </row>
    <row r="340" spans="1:6" x14ac:dyDescent="0.3">
      <c r="A340" s="3" t="s">
        <v>808</v>
      </c>
      <c r="B340" s="3" t="s">
        <v>24</v>
      </c>
      <c r="C340" s="3" t="str">
        <f t="shared" si="5"/>
        <v>450013262170</v>
      </c>
      <c r="D340" s="4">
        <v>46230</v>
      </c>
      <c r="E340" s="3" t="s">
        <v>611</v>
      </c>
      <c r="F340" s="3" t="s">
        <v>730</v>
      </c>
    </row>
    <row r="341" spans="1:6" x14ac:dyDescent="0.3">
      <c r="A341" s="3" t="s">
        <v>808</v>
      </c>
      <c r="B341" s="3" t="s">
        <v>321</v>
      </c>
      <c r="C341" s="3" t="str">
        <f t="shared" si="5"/>
        <v>450013262180</v>
      </c>
      <c r="D341" s="4">
        <v>46230</v>
      </c>
      <c r="E341" s="3" t="s">
        <v>611</v>
      </c>
      <c r="F341" s="3" t="s">
        <v>730</v>
      </c>
    </row>
    <row r="342" spans="1:6" x14ac:dyDescent="0.3">
      <c r="A342" s="3" t="s">
        <v>808</v>
      </c>
      <c r="B342" s="3" t="s">
        <v>322</v>
      </c>
      <c r="C342" s="3" t="str">
        <f t="shared" si="5"/>
        <v>450013262190</v>
      </c>
      <c r="D342" s="4">
        <v>46230</v>
      </c>
      <c r="E342" s="3" t="s">
        <v>611</v>
      </c>
      <c r="F342" s="3" t="s">
        <v>730</v>
      </c>
    </row>
    <row r="343" spans="1:6" x14ac:dyDescent="0.3">
      <c r="A343" s="3" t="s">
        <v>374</v>
      </c>
      <c r="B343" s="3" t="s">
        <v>33</v>
      </c>
      <c r="C343" s="3" t="str">
        <f t="shared" si="5"/>
        <v>450013279110</v>
      </c>
      <c r="D343" s="4">
        <v>46238</v>
      </c>
      <c r="E343" s="3" t="s">
        <v>612</v>
      </c>
      <c r="F343" s="3" t="s">
        <v>730</v>
      </c>
    </row>
    <row r="344" spans="1:6" x14ac:dyDescent="0.3">
      <c r="A344" s="3" t="s">
        <v>374</v>
      </c>
      <c r="B344" s="3" t="s">
        <v>20</v>
      </c>
      <c r="C344" s="3" t="str">
        <f t="shared" si="5"/>
        <v>450013279120</v>
      </c>
      <c r="D344" s="4">
        <v>46238</v>
      </c>
      <c r="E344" s="3" t="s">
        <v>612</v>
      </c>
      <c r="F344" s="3" t="s">
        <v>730</v>
      </c>
    </row>
    <row r="345" spans="1:6" x14ac:dyDescent="0.3">
      <c r="A345" s="3" t="s">
        <v>374</v>
      </c>
      <c r="B345" s="3" t="s">
        <v>21</v>
      </c>
      <c r="C345" s="3" t="str">
        <f t="shared" si="5"/>
        <v>450013279130</v>
      </c>
      <c r="D345" s="4">
        <v>46238</v>
      </c>
      <c r="E345" s="3" t="s">
        <v>612</v>
      </c>
      <c r="F345" s="3" t="s">
        <v>730</v>
      </c>
    </row>
    <row r="346" spans="1:6" x14ac:dyDescent="0.3">
      <c r="A346" s="3" t="s">
        <v>374</v>
      </c>
      <c r="B346" s="3" t="s">
        <v>25</v>
      </c>
      <c r="C346" s="3" t="str">
        <f t="shared" si="5"/>
        <v>450013279140</v>
      </c>
      <c r="D346" s="4">
        <v>46238</v>
      </c>
      <c r="E346" s="3" t="s">
        <v>612</v>
      </c>
      <c r="F346" s="3" t="s">
        <v>730</v>
      </c>
    </row>
    <row r="347" spans="1:6" x14ac:dyDescent="0.3">
      <c r="A347" s="3" t="s">
        <v>374</v>
      </c>
      <c r="B347" s="3" t="s">
        <v>22</v>
      </c>
      <c r="C347" s="3" t="str">
        <f t="shared" si="5"/>
        <v>450013279150</v>
      </c>
      <c r="D347" s="4">
        <v>46238</v>
      </c>
      <c r="E347" s="3" t="s">
        <v>612</v>
      </c>
      <c r="F347" s="3" t="s">
        <v>730</v>
      </c>
    </row>
    <row r="348" spans="1:6" x14ac:dyDescent="0.3">
      <c r="A348" s="3" t="s">
        <v>374</v>
      </c>
      <c r="B348" s="3" t="s">
        <v>23</v>
      </c>
      <c r="C348" s="3" t="str">
        <f t="shared" si="5"/>
        <v>450013279160</v>
      </c>
      <c r="D348" s="4">
        <v>46238</v>
      </c>
      <c r="E348" s="3" t="s">
        <v>612</v>
      </c>
      <c r="F348" s="3" t="s">
        <v>730</v>
      </c>
    </row>
    <row r="349" spans="1:6" x14ac:dyDescent="0.3">
      <c r="A349" s="3" t="s">
        <v>374</v>
      </c>
      <c r="B349" s="3" t="s">
        <v>24</v>
      </c>
      <c r="C349" s="3" t="str">
        <f t="shared" si="5"/>
        <v>450013279170</v>
      </c>
      <c r="D349" s="4">
        <v>46238</v>
      </c>
      <c r="E349" s="3" t="s">
        <v>612</v>
      </c>
      <c r="F349" s="3" t="s">
        <v>730</v>
      </c>
    </row>
    <row r="350" spans="1:6" x14ac:dyDescent="0.3">
      <c r="A350" s="3" t="s">
        <v>374</v>
      </c>
      <c r="B350" s="3" t="s">
        <v>321</v>
      </c>
      <c r="C350" s="3" t="str">
        <f t="shared" si="5"/>
        <v>450013279180</v>
      </c>
      <c r="D350" s="4">
        <v>46238</v>
      </c>
      <c r="E350" s="3" t="s">
        <v>612</v>
      </c>
      <c r="F350" s="3" t="s">
        <v>730</v>
      </c>
    </row>
    <row r="351" spans="1:6" x14ac:dyDescent="0.3">
      <c r="A351" s="3" t="s">
        <v>374</v>
      </c>
      <c r="B351" s="3" t="s">
        <v>322</v>
      </c>
      <c r="C351" s="3" t="str">
        <f t="shared" si="5"/>
        <v>450013279190</v>
      </c>
      <c r="D351" s="4">
        <v>46266</v>
      </c>
      <c r="E351" s="3" t="s">
        <v>612</v>
      </c>
      <c r="F351" s="3" t="s">
        <v>730</v>
      </c>
    </row>
    <row r="352" spans="1:6" x14ac:dyDescent="0.3">
      <c r="A352" s="3" t="s">
        <v>374</v>
      </c>
      <c r="B352" s="3" t="s">
        <v>323</v>
      </c>
      <c r="C352" s="3" t="str">
        <f t="shared" si="5"/>
        <v>4500132791100</v>
      </c>
      <c r="D352" s="4">
        <v>46238</v>
      </c>
      <c r="E352" s="3" t="s">
        <v>612</v>
      </c>
      <c r="F352" s="3" t="s">
        <v>730</v>
      </c>
    </row>
    <row r="353" spans="1:6" x14ac:dyDescent="0.3">
      <c r="A353" s="3" t="s">
        <v>374</v>
      </c>
      <c r="B353" s="3" t="s">
        <v>175</v>
      </c>
      <c r="C353" s="3" t="str">
        <f t="shared" si="5"/>
        <v>4500132791110</v>
      </c>
      <c r="D353" s="4">
        <v>46266</v>
      </c>
      <c r="E353" s="3" t="s">
        <v>612</v>
      </c>
      <c r="F353" s="3" t="s">
        <v>730</v>
      </c>
    </row>
    <row r="354" spans="1:6" x14ac:dyDescent="0.3">
      <c r="A354" s="3" t="s">
        <v>374</v>
      </c>
      <c r="B354" s="3" t="s">
        <v>203</v>
      </c>
      <c r="C354" s="3" t="str">
        <f t="shared" si="5"/>
        <v>4500132791130</v>
      </c>
      <c r="D354" s="4">
        <v>46238</v>
      </c>
      <c r="E354" s="3" t="s">
        <v>612</v>
      </c>
      <c r="F354" s="3" t="s">
        <v>730</v>
      </c>
    </row>
    <row r="355" spans="1:6" x14ac:dyDescent="0.3">
      <c r="A355" s="3" t="s">
        <v>374</v>
      </c>
      <c r="B355" s="3" t="s">
        <v>376</v>
      </c>
      <c r="C355" s="3" t="str">
        <f t="shared" si="5"/>
        <v>4500132791140</v>
      </c>
      <c r="D355" s="4">
        <v>46238</v>
      </c>
      <c r="E355" s="3" t="s">
        <v>612</v>
      </c>
      <c r="F355" s="3" t="s">
        <v>730</v>
      </c>
    </row>
    <row r="356" spans="1:6" x14ac:dyDescent="0.3">
      <c r="A356" s="3" t="s">
        <v>374</v>
      </c>
      <c r="B356" s="3" t="s">
        <v>377</v>
      </c>
      <c r="C356" s="3" t="str">
        <f t="shared" si="5"/>
        <v>4500132791150</v>
      </c>
      <c r="D356" s="4">
        <v>46238</v>
      </c>
      <c r="E356" s="3" t="s">
        <v>612</v>
      </c>
      <c r="F356" s="3" t="s">
        <v>730</v>
      </c>
    </row>
    <row r="357" spans="1:6" x14ac:dyDescent="0.3">
      <c r="A357" s="3" t="s">
        <v>374</v>
      </c>
      <c r="B357" s="3" t="s">
        <v>378</v>
      </c>
      <c r="C357" s="3" t="str">
        <f t="shared" si="5"/>
        <v>4500132791160</v>
      </c>
      <c r="D357" s="4">
        <v>46238</v>
      </c>
      <c r="E357" s="3" t="s">
        <v>612</v>
      </c>
      <c r="F357" s="3" t="s">
        <v>730</v>
      </c>
    </row>
    <row r="358" spans="1:6" x14ac:dyDescent="0.3">
      <c r="A358" s="3" t="s">
        <v>374</v>
      </c>
      <c r="B358" s="3" t="s">
        <v>324</v>
      </c>
      <c r="C358" s="3" t="str">
        <f t="shared" si="5"/>
        <v>4500132791170</v>
      </c>
      <c r="D358" s="4">
        <v>46238</v>
      </c>
      <c r="E358" s="3" t="s">
        <v>612</v>
      </c>
      <c r="F358" s="3" t="s">
        <v>730</v>
      </c>
    </row>
    <row r="359" spans="1:6" x14ac:dyDescent="0.3">
      <c r="A359" s="3" t="s">
        <v>374</v>
      </c>
      <c r="B359" s="3" t="s">
        <v>325</v>
      </c>
      <c r="C359" s="3" t="str">
        <f t="shared" si="5"/>
        <v>4500132791180</v>
      </c>
      <c r="D359" s="4">
        <v>46238</v>
      </c>
      <c r="E359" s="3" t="s">
        <v>612</v>
      </c>
      <c r="F359" s="3" t="s">
        <v>730</v>
      </c>
    </row>
    <row r="360" spans="1:6" x14ac:dyDescent="0.3">
      <c r="A360" s="3" t="s">
        <v>374</v>
      </c>
      <c r="B360" s="3" t="s">
        <v>379</v>
      </c>
      <c r="C360" s="3" t="str">
        <f t="shared" si="5"/>
        <v>4500132791190</v>
      </c>
      <c r="D360" s="4">
        <v>46238</v>
      </c>
      <c r="E360" s="3" t="s">
        <v>612</v>
      </c>
      <c r="F360" s="3" t="s">
        <v>730</v>
      </c>
    </row>
    <row r="361" spans="1:6" x14ac:dyDescent="0.3">
      <c r="A361" s="3" t="s">
        <v>374</v>
      </c>
      <c r="B361" s="3" t="s">
        <v>380</v>
      </c>
      <c r="C361" s="3" t="str">
        <f t="shared" si="5"/>
        <v>4500132791200</v>
      </c>
      <c r="D361" s="4">
        <v>46238</v>
      </c>
      <c r="E361" s="3" t="s">
        <v>612</v>
      </c>
      <c r="F361" s="3" t="s">
        <v>730</v>
      </c>
    </row>
    <row r="362" spans="1:6" x14ac:dyDescent="0.3">
      <c r="A362" s="3" t="s">
        <v>374</v>
      </c>
      <c r="B362" s="3" t="s">
        <v>326</v>
      </c>
      <c r="C362" s="3" t="str">
        <f t="shared" si="5"/>
        <v>4500132791210</v>
      </c>
      <c r="D362" s="4">
        <v>46238</v>
      </c>
      <c r="E362" s="3" t="s">
        <v>612</v>
      </c>
      <c r="F362" s="3" t="s">
        <v>730</v>
      </c>
    </row>
    <row r="363" spans="1:6" x14ac:dyDescent="0.3">
      <c r="A363" s="3" t="s">
        <v>364</v>
      </c>
      <c r="B363" s="3" t="s">
        <v>33</v>
      </c>
      <c r="C363" s="3" t="str">
        <f t="shared" si="5"/>
        <v>450013283310</v>
      </c>
      <c r="D363" s="4">
        <v>46216</v>
      </c>
      <c r="E363" s="3" t="s">
        <v>611</v>
      </c>
      <c r="F363" s="3" t="s">
        <v>730</v>
      </c>
    </row>
    <row r="364" spans="1:6" x14ac:dyDescent="0.3">
      <c r="A364" s="3" t="s">
        <v>94</v>
      </c>
      <c r="B364" s="3" t="s">
        <v>33</v>
      </c>
      <c r="C364" s="3" t="str">
        <f t="shared" si="5"/>
        <v>450013294610</v>
      </c>
      <c r="D364" s="4">
        <v>46239</v>
      </c>
      <c r="E364" s="3" t="s">
        <v>615</v>
      </c>
      <c r="F364" s="3" t="s">
        <v>770</v>
      </c>
    </row>
    <row r="365" spans="1:6" x14ac:dyDescent="0.3">
      <c r="A365" s="3" t="s">
        <v>536</v>
      </c>
      <c r="B365" s="3" t="s">
        <v>33</v>
      </c>
      <c r="C365" s="3" t="str">
        <f t="shared" si="5"/>
        <v>450013297110</v>
      </c>
      <c r="D365" s="4">
        <v>46237</v>
      </c>
      <c r="E365" s="3" t="s">
        <v>611</v>
      </c>
      <c r="F365" s="3" t="s">
        <v>771</v>
      </c>
    </row>
    <row r="366" spans="1:6" x14ac:dyDescent="0.3">
      <c r="A366" s="3" t="s">
        <v>601</v>
      </c>
      <c r="B366" s="3" t="s">
        <v>33</v>
      </c>
      <c r="C366" s="3" t="str">
        <f t="shared" si="5"/>
        <v>450013311810</v>
      </c>
      <c r="D366" s="4">
        <v>46240</v>
      </c>
      <c r="E366" s="3" t="s">
        <v>611</v>
      </c>
      <c r="F366" s="3" t="s">
        <v>752</v>
      </c>
    </row>
    <row r="367" spans="1:6" x14ac:dyDescent="0.3">
      <c r="A367" s="3" t="s">
        <v>601</v>
      </c>
      <c r="B367" s="3" t="s">
        <v>20</v>
      </c>
      <c r="C367" s="3" t="str">
        <f t="shared" si="5"/>
        <v>450013311820</v>
      </c>
      <c r="D367" s="4">
        <v>46240</v>
      </c>
      <c r="E367" s="3" t="s">
        <v>611</v>
      </c>
      <c r="F367" s="3" t="s">
        <v>752</v>
      </c>
    </row>
    <row r="368" spans="1:6" x14ac:dyDescent="0.3">
      <c r="A368" s="3" t="s">
        <v>496</v>
      </c>
      <c r="B368" s="3" t="s">
        <v>33</v>
      </c>
      <c r="C368" s="3" t="str">
        <f t="shared" si="5"/>
        <v>450013332510</v>
      </c>
      <c r="D368" s="4">
        <v>46246</v>
      </c>
      <c r="E368" s="3" t="s">
        <v>617</v>
      </c>
      <c r="F368" s="3" t="s">
        <v>772</v>
      </c>
    </row>
    <row r="369" spans="1:6" x14ac:dyDescent="0.3">
      <c r="A369" s="3" t="s">
        <v>496</v>
      </c>
      <c r="B369" s="3" t="s">
        <v>20</v>
      </c>
      <c r="C369" s="3" t="str">
        <f t="shared" si="5"/>
        <v>450013332520</v>
      </c>
      <c r="D369" s="4">
        <v>46246</v>
      </c>
      <c r="E369" s="3" t="s">
        <v>617</v>
      </c>
      <c r="F369" s="3" t="s">
        <v>772</v>
      </c>
    </row>
    <row r="370" spans="1:6" x14ac:dyDescent="0.3">
      <c r="A370" s="3" t="s">
        <v>496</v>
      </c>
      <c r="B370" s="3" t="s">
        <v>21</v>
      </c>
      <c r="C370" s="3" t="str">
        <f t="shared" si="5"/>
        <v>450013332530</v>
      </c>
      <c r="D370" s="4">
        <v>46246</v>
      </c>
      <c r="E370" s="3" t="s">
        <v>617</v>
      </c>
      <c r="F370" s="3" t="s">
        <v>772</v>
      </c>
    </row>
    <row r="371" spans="1:6" x14ac:dyDescent="0.3">
      <c r="A371" s="3" t="s">
        <v>496</v>
      </c>
      <c r="B371" s="3" t="s">
        <v>25</v>
      </c>
      <c r="C371" s="3" t="str">
        <f t="shared" si="5"/>
        <v>450013332540</v>
      </c>
      <c r="D371" s="4">
        <v>46246</v>
      </c>
      <c r="E371" s="3" t="s">
        <v>617</v>
      </c>
      <c r="F371" s="3" t="s">
        <v>772</v>
      </c>
    </row>
    <row r="372" spans="1:6" x14ac:dyDescent="0.3">
      <c r="A372" s="3" t="s">
        <v>496</v>
      </c>
      <c r="B372" s="3" t="s">
        <v>22</v>
      </c>
      <c r="C372" s="3" t="str">
        <f t="shared" si="5"/>
        <v>450013332550</v>
      </c>
      <c r="D372" s="4">
        <v>46246</v>
      </c>
      <c r="E372" s="3" t="s">
        <v>617</v>
      </c>
      <c r="F372" s="3" t="s">
        <v>772</v>
      </c>
    </row>
    <row r="373" spans="1:6" x14ac:dyDescent="0.3">
      <c r="A373" s="3" t="s">
        <v>496</v>
      </c>
      <c r="B373" s="3" t="s">
        <v>23</v>
      </c>
      <c r="C373" s="3" t="str">
        <f t="shared" si="5"/>
        <v>450013332560</v>
      </c>
      <c r="D373" s="4">
        <v>46246</v>
      </c>
      <c r="E373" s="3" t="s">
        <v>617</v>
      </c>
      <c r="F373" s="3" t="s">
        <v>772</v>
      </c>
    </row>
    <row r="374" spans="1:6" x14ac:dyDescent="0.3">
      <c r="A374" s="3" t="s">
        <v>357</v>
      </c>
      <c r="B374" s="3" t="s">
        <v>33</v>
      </c>
      <c r="C374" s="3" t="str">
        <f t="shared" si="5"/>
        <v>450013334610</v>
      </c>
      <c r="D374" s="4">
        <v>46228</v>
      </c>
      <c r="E374" s="3" t="s">
        <v>618</v>
      </c>
      <c r="F374" s="3" t="s">
        <v>754</v>
      </c>
    </row>
    <row r="375" spans="1:6" x14ac:dyDescent="0.3">
      <c r="A375" s="3" t="s">
        <v>87</v>
      </c>
      <c r="B375" s="3" t="s">
        <v>33</v>
      </c>
      <c r="C375" s="3" t="str">
        <f t="shared" si="5"/>
        <v>450013335110</v>
      </c>
      <c r="D375" s="4">
        <v>46245</v>
      </c>
      <c r="E375" s="3" t="s">
        <v>617</v>
      </c>
      <c r="F375" s="3" t="s">
        <v>773</v>
      </c>
    </row>
    <row r="376" spans="1:6" x14ac:dyDescent="0.3">
      <c r="A376" s="3" t="s">
        <v>87</v>
      </c>
      <c r="B376" s="3" t="s">
        <v>20</v>
      </c>
      <c r="C376" s="3" t="str">
        <f t="shared" si="5"/>
        <v>450013335120</v>
      </c>
      <c r="D376" s="4">
        <v>46255</v>
      </c>
      <c r="E376" s="3" t="s">
        <v>617</v>
      </c>
      <c r="F376" s="3" t="s">
        <v>773</v>
      </c>
    </row>
    <row r="377" spans="1:6" x14ac:dyDescent="0.3">
      <c r="A377" s="3" t="s">
        <v>87</v>
      </c>
      <c r="B377" s="3" t="s">
        <v>21</v>
      </c>
      <c r="C377" s="3" t="str">
        <f t="shared" si="5"/>
        <v>450013335130</v>
      </c>
      <c r="D377" s="4">
        <v>46245</v>
      </c>
      <c r="E377" s="3" t="s">
        <v>617</v>
      </c>
      <c r="F377" s="3" t="s">
        <v>773</v>
      </c>
    </row>
    <row r="378" spans="1:6" x14ac:dyDescent="0.3">
      <c r="A378" s="3" t="s">
        <v>73</v>
      </c>
      <c r="B378" s="3" t="s">
        <v>33</v>
      </c>
      <c r="C378" s="3" t="str">
        <f t="shared" si="5"/>
        <v>450013335210</v>
      </c>
      <c r="D378" s="4">
        <v>46240</v>
      </c>
      <c r="E378" s="3" t="s">
        <v>614</v>
      </c>
      <c r="F378" s="3" t="s">
        <v>761</v>
      </c>
    </row>
    <row r="379" spans="1:6" x14ac:dyDescent="0.3">
      <c r="A379" s="3" t="s">
        <v>74</v>
      </c>
      <c r="B379" s="3" t="s">
        <v>33</v>
      </c>
      <c r="C379" s="3" t="str">
        <f t="shared" si="5"/>
        <v>450013335310</v>
      </c>
      <c r="D379" s="4">
        <v>46240</v>
      </c>
      <c r="E379" s="3" t="s">
        <v>614</v>
      </c>
      <c r="F379" s="3" t="s">
        <v>761</v>
      </c>
    </row>
    <row r="380" spans="1:6" x14ac:dyDescent="0.3">
      <c r="A380" s="3" t="s">
        <v>75</v>
      </c>
      <c r="B380" s="3" t="s">
        <v>33</v>
      </c>
      <c r="C380" s="3" t="str">
        <f t="shared" si="5"/>
        <v>450013335410</v>
      </c>
      <c r="D380" s="4">
        <v>46240</v>
      </c>
      <c r="E380" s="3" t="s">
        <v>614</v>
      </c>
      <c r="F380" s="3" t="s">
        <v>761</v>
      </c>
    </row>
    <row r="381" spans="1:6" x14ac:dyDescent="0.3">
      <c r="A381" s="3" t="s">
        <v>91</v>
      </c>
      <c r="B381" s="3" t="s">
        <v>20</v>
      </c>
      <c r="C381" s="3" t="str">
        <f t="shared" si="5"/>
        <v>450013337420</v>
      </c>
      <c r="D381" s="4">
        <v>46234</v>
      </c>
      <c r="E381" s="3" t="s">
        <v>631</v>
      </c>
      <c r="F381" s="3" t="s">
        <v>713</v>
      </c>
    </row>
    <row r="382" spans="1:6" x14ac:dyDescent="0.3">
      <c r="A382" s="3" t="s">
        <v>363</v>
      </c>
      <c r="B382" s="3" t="s">
        <v>33</v>
      </c>
      <c r="C382" s="3" t="str">
        <f t="shared" si="5"/>
        <v>450013343710</v>
      </c>
      <c r="D382" s="4">
        <v>46244</v>
      </c>
      <c r="E382" s="3" t="s">
        <v>614</v>
      </c>
      <c r="F382" s="3" t="s">
        <v>714</v>
      </c>
    </row>
    <row r="383" spans="1:6" x14ac:dyDescent="0.3">
      <c r="A383" s="3" t="s">
        <v>524</v>
      </c>
      <c r="B383" s="3" t="s">
        <v>33</v>
      </c>
      <c r="C383" s="3" t="str">
        <f t="shared" si="5"/>
        <v>450013344110</v>
      </c>
      <c r="D383" s="4">
        <v>46356</v>
      </c>
      <c r="E383" s="3" t="s">
        <v>612</v>
      </c>
      <c r="F383" s="3" t="s">
        <v>718</v>
      </c>
    </row>
    <row r="384" spans="1:6" x14ac:dyDescent="0.3">
      <c r="A384" s="3" t="s">
        <v>524</v>
      </c>
      <c r="B384" s="3" t="s">
        <v>20</v>
      </c>
      <c r="C384" s="3" t="str">
        <f t="shared" si="5"/>
        <v>450013344120</v>
      </c>
      <c r="D384" s="4">
        <v>46356</v>
      </c>
      <c r="E384" s="3" t="s">
        <v>612</v>
      </c>
      <c r="F384" s="3" t="s">
        <v>718</v>
      </c>
    </row>
    <row r="385" spans="1:6" x14ac:dyDescent="0.3">
      <c r="A385" s="3" t="s">
        <v>524</v>
      </c>
      <c r="B385" s="3" t="s">
        <v>21</v>
      </c>
      <c r="C385" s="3" t="str">
        <f t="shared" si="5"/>
        <v>450013344130</v>
      </c>
      <c r="D385" s="4">
        <v>46356</v>
      </c>
      <c r="E385" s="3" t="s">
        <v>612</v>
      </c>
      <c r="F385" s="3" t="s">
        <v>718</v>
      </c>
    </row>
    <row r="386" spans="1:6" x14ac:dyDescent="0.3">
      <c r="A386" s="3" t="s">
        <v>524</v>
      </c>
      <c r="B386" s="3" t="s">
        <v>25</v>
      </c>
      <c r="C386" s="3" t="str">
        <f t="shared" si="5"/>
        <v>450013344140</v>
      </c>
      <c r="D386" s="4">
        <v>46356</v>
      </c>
      <c r="E386" s="3" t="s">
        <v>612</v>
      </c>
      <c r="F386" s="3" t="s">
        <v>718</v>
      </c>
    </row>
    <row r="387" spans="1:6" x14ac:dyDescent="0.3">
      <c r="A387" s="3" t="s">
        <v>524</v>
      </c>
      <c r="B387" s="3" t="s">
        <v>22</v>
      </c>
      <c r="C387" s="3" t="str">
        <f t="shared" ref="C387:C450" si="6">_xlfn.CONCAT(A387:B387)</f>
        <v>450013344150</v>
      </c>
      <c r="D387" s="4">
        <v>46356</v>
      </c>
      <c r="E387" s="3" t="s">
        <v>612</v>
      </c>
      <c r="F387" s="3" t="s">
        <v>718</v>
      </c>
    </row>
    <row r="388" spans="1:6" x14ac:dyDescent="0.3">
      <c r="A388" s="3" t="s">
        <v>524</v>
      </c>
      <c r="B388" s="3" t="s">
        <v>23</v>
      </c>
      <c r="C388" s="3" t="str">
        <f t="shared" si="6"/>
        <v>450013344160</v>
      </c>
      <c r="D388" s="4">
        <v>46356</v>
      </c>
      <c r="E388" s="3" t="s">
        <v>612</v>
      </c>
      <c r="F388" s="3" t="s">
        <v>718</v>
      </c>
    </row>
    <row r="389" spans="1:6" x14ac:dyDescent="0.3">
      <c r="A389" s="3" t="s">
        <v>524</v>
      </c>
      <c r="B389" s="3" t="s">
        <v>24</v>
      </c>
      <c r="C389" s="3" t="str">
        <f t="shared" si="6"/>
        <v>450013344170</v>
      </c>
      <c r="D389" s="4">
        <v>46356</v>
      </c>
      <c r="E389" s="3" t="s">
        <v>612</v>
      </c>
      <c r="F389" s="3" t="s">
        <v>718</v>
      </c>
    </row>
    <row r="390" spans="1:6" x14ac:dyDescent="0.3">
      <c r="A390" s="3" t="s">
        <v>524</v>
      </c>
      <c r="B390" s="3" t="s">
        <v>321</v>
      </c>
      <c r="C390" s="3" t="str">
        <f t="shared" si="6"/>
        <v>450013344180</v>
      </c>
      <c r="D390" s="4">
        <v>46356</v>
      </c>
      <c r="E390" s="3" t="s">
        <v>612</v>
      </c>
      <c r="F390" s="3" t="s">
        <v>718</v>
      </c>
    </row>
    <row r="391" spans="1:6" x14ac:dyDescent="0.3">
      <c r="A391" s="3" t="s">
        <v>524</v>
      </c>
      <c r="B391" s="3" t="s">
        <v>322</v>
      </c>
      <c r="C391" s="3" t="str">
        <f t="shared" si="6"/>
        <v>450013344190</v>
      </c>
      <c r="D391" s="4">
        <v>46356</v>
      </c>
      <c r="E391" s="3" t="s">
        <v>612</v>
      </c>
      <c r="F391" s="3" t="s">
        <v>718</v>
      </c>
    </row>
    <row r="392" spans="1:6" x14ac:dyDescent="0.3">
      <c r="A392" s="3" t="s">
        <v>524</v>
      </c>
      <c r="B392" s="3" t="s">
        <v>323</v>
      </c>
      <c r="C392" s="3" t="str">
        <f t="shared" si="6"/>
        <v>4500133441100</v>
      </c>
      <c r="D392" s="4">
        <v>46356</v>
      </c>
      <c r="E392" s="3" t="s">
        <v>612</v>
      </c>
      <c r="F392" s="3" t="s">
        <v>718</v>
      </c>
    </row>
    <row r="393" spans="1:6" x14ac:dyDescent="0.3">
      <c r="A393" s="3" t="s">
        <v>524</v>
      </c>
      <c r="B393" s="3" t="s">
        <v>175</v>
      </c>
      <c r="C393" s="3" t="str">
        <f t="shared" si="6"/>
        <v>4500133441110</v>
      </c>
      <c r="D393" s="4">
        <v>46356</v>
      </c>
      <c r="E393" s="3" t="s">
        <v>612</v>
      </c>
      <c r="F393" s="3" t="s">
        <v>718</v>
      </c>
    </row>
    <row r="394" spans="1:6" x14ac:dyDescent="0.3">
      <c r="A394" s="3" t="s">
        <v>524</v>
      </c>
      <c r="B394" s="3" t="s">
        <v>375</v>
      </c>
      <c r="C394" s="3" t="str">
        <f t="shared" si="6"/>
        <v>4500133441120</v>
      </c>
      <c r="D394" s="4">
        <v>46356</v>
      </c>
      <c r="E394" s="3" t="s">
        <v>612</v>
      </c>
      <c r="F394" s="3" t="s">
        <v>718</v>
      </c>
    </row>
    <row r="395" spans="1:6" x14ac:dyDescent="0.3">
      <c r="A395" s="3" t="s">
        <v>524</v>
      </c>
      <c r="B395" s="3" t="s">
        <v>203</v>
      </c>
      <c r="C395" s="3" t="str">
        <f t="shared" si="6"/>
        <v>4500133441130</v>
      </c>
      <c r="D395" s="4">
        <v>46356</v>
      </c>
      <c r="E395" s="3" t="s">
        <v>612</v>
      </c>
      <c r="F395" s="3" t="s">
        <v>718</v>
      </c>
    </row>
    <row r="396" spans="1:6" x14ac:dyDescent="0.3">
      <c r="A396" s="3" t="s">
        <v>360</v>
      </c>
      <c r="B396" s="3" t="s">
        <v>33</v>
      </c>
      <c r="C396" s="3" t="str">
        <f t="shared" si="6"/>
        <v>450013346210</v>
      </c>
      <c r="D396" s="4">
        <v>46234</v>
      </c>
      <c r="E396" s="3" t="s">
        <v>618</v>
      </c>
      <c r="F396" s="3" t="s">
        <v>754</v>
      </c>
    </row>
    <row r="397" spans="1:6" x14ac:dyDescent="0.3">
      <c r="A397" s="3" t="s">
        <v>398</v>
      </c>
      <c r="B397" s="3" t="s">
        <v>33</v>
      </c>
      <c r="C397" s="3" t="str">
        <f t="shared" si="6"/>
        <v>450013397410</v>
      </c>
      <c r="D397" s="4">
        <v>46249</v>
      </c>
      <c r="E397" s="3" t="s">
        <v>612</v>
      </c>
      <c r="F397" s="3" t="s">
        <v>729</v>
      </c>
    </row>
    <row r="398" spans="1:6" x14ac:dyDescent="0.3">
      <c r="A398" s="3" t="s">
        <v>398</v>
      </c>
      <c r="B398" s="3" t="s">
        <v>20</v>
      </c>
      <c r="C398" s="3" t="str">
        <f t="shared" si="6"/>
        <v>450013397420</v>
      </c>
      <c r="D398" s="4">
        <v>46249</v>
      </c>
      <c r="E398" s="3" t="s">
        <v>612</v>
      </c>
      <c r="F398" s="3" t="s">
        <v>729</v>
      </c>
    </row>
    <row r="399" spans="1:6" x14ac:dyDescent="0.3">
      <c r="A399" s="3" t="s">
        <v>398</v>
      </c>
      <c r="B399" s="3" t="s">
        <v>21</v>
      </c>
      <c r="C399" s="3" t="str">
        <f t="shared" si="6"/>
        <v>450013397430</v>
      </c>
      <c r="D399" s="4">
        <v>46249</v>
      </c>
      <c r="E399" s="3" t="s">
        <v>612</v>
      </c>
      <c r="F399" s="3" t="s">
        <v>729</v>
      </c>
    </row>
    <row r="400" spans="1:6" x14ac:dyDescent="0.3">
      <c r="A400" s="3" t="s">
        <v>398</v>
      </c>
      <c r="B400" s="3" t="s">
        <v>25</v>
      </c>
      <c r="C400" s="3" t="str">
        <f t="shared" si="6"/>
        <v>450013397440</v>
      </c>
      <c r="D400" s="4">
        <v>46249</v>
      </c>
      <c r="E400" s="3" t="s">
        <v>612</v>
      </c>
      <c r="F400" s="3" t="s">
        <v>729</v>
      </c>
    </row>
    <row r="401" spans="1:6" x14ac:dyDescent="0.3">
      <c r="A401" s="3" t="s">
        <v>398</v>
      </c>
      <c r="B401" s="3" t="s">
        <v>22</v>
      </c>
      <c r="C401" s="3" t="str">
        <f t="shared" si="6"/>
        <v>450013397450</v>
      </c>
      <c r="D401" s="4">
        <v>46249</v>
      </c>
      <c r="E401" s="3" t="s">
        <v>612</v>
      </c>
      <c r="F401" s="3" t="s">
        <v>729</v>
      </c>
    </row>
    <row r="402" spans="1:6" x14ac:dyDescent="0.3">
      <c r="A402" s="3" t="s">
        <v>398</v>
      </c>
      <c r="B402" s="3" t="s">
        <v>23</v>
      </c>
      <c r="C402" s="3" t="str">
        <f t="shared" si="6"/>
        <v>450013397460</v>
      </c>
      <c r="D402" s="4">
        <v>46249</v>
      </c>
      <c r="E402" s="3" t="s">
        <v>612</v>
      </c>
      <c r="F402" s="3" t="s">
        <v>729</v>
      </c>
    </row>
    <row r="403" spans="1:6" x14ac:dyDescent="0.3">
      <c r="A403" s="3" t="s">
        <v>398</v>
      </c>
      <c r="B403" s="3" t="s">
        <v>24</v>
      </c>
      <c r="C403" s="3" t="str">
        <f t="shared" si="6"/>
        <v>450013397470</v>
      </c>
      <c r="D403" s="4">
        <v>46249</v>
      </c>
      <c r="E403" s="3" t="s">
        <v>612</v>
      </c>
      <c r="F403" s="3" t="s">
        <v>729</v>
      </c>
    </row>
    <row r="404" spans="1:6" x14ac:dyDescent="0.3">
      <c r="A404" s="3" t="s">
        <v>398</v>
      </c>
      <c r="B404" s="3" t="s">
        <v>321</v>
      </c>
      <c r="C404" s="3" t="str">
        <f t="shared" si="6"/>
        <v>450013397480</v>
      </c>
      <c r="D404" s="4">
        <v>46249</v>
      </c>
      <c r="E404" s="3" t="s">
        <v>612</v>
      </c>
      <c r="F404" s="3" t="s">
        <v>729</v>
      </c>
    </row>
    <row r="405" spans="1:6" x14ac:dyDescent="0.3">
      <c r="A405" s="3" t="s">
        <v>398</v>
      </c>
      <c r="B405" s="3" t="s">
        <v>322</v>
      </c>
      <c r="C405" s="3" t="str">
        <f t="shared" si="6"/>
        <v>450013397490</v>
      </c>
      <c r="D405" s="4">
        <v>46249</v>
      </c>
      <c r="E405" s="3" t="s">
        <v>612</v>
      </c>
      <c r="F405" s="3" t="s">
        <v>729</v>
      </c>
    </row>
    <row r="406" spans="1:6" x14ac:dyDescent="0.3">
      <c r="A406" s="3" t="s">
        <v>398</v>
      </c>
      <c r="B406" s="3" t="s">
        <v>323</v>
      </c>
      <c r="C406" s="3" t="str">
        <f t="shared" si="6"/>
        <v>4500133974100</v>
      </c>
      <c r="D406" s="4">
        <v>46249</v>
      </c>
      <c r="E406" s="3" t="s">
        <v>612</v>
      </c>
      <c r="F406" s="3" t="s">
        <v>729</v>
      </c>
    </row>
    <row r="407" spans="1:6" x14ac:dyDescent="0.3">
      <c r="A407" s="3" t="s">
        <v>398</v>
      </c>
      <c r="B407" s="3" t="s">
        <v>175</v>
      </c>
      <c r="C407" s="3" t="str">
        <f t="shared" si="6"/>
        <v>4500133974110</v>
      </c>
      <c r="D407" s="4">
        <v>46249</v>
      </c>
      <c r="E407" s="3" t="s">
        <v>612</v>
      </c>
      <c r="F407" s="3" t="s">
        <v>729</v>
      </c>
    </row>
    <row r="408" spans="1:6" x14ac:dyDescent="0.3">
      <c r="A408" s="3" t="s">
        <v>398</v>
      </c>
      <c r="B408" s="3" t="s">
        <v>375</v>
      </c>
      <c r="C408" s="3" t="str">
        <f t="shared" si="6"/>
        <v>4500133974120</v>
      </c>
      <c r="D408" s="4">
        <v>46249</v>
      </c>
      <c r="E408" s="3" t="s">
        <v>612</v>
      </c>
      <c r="F408" s="3" t="s">
        <v>729</v>
      </c>
    </row>
    <row r="409" spans="1:6" x14ac:dyDescent="0.3">
      <c r="A409" s="3" t="s">
        <v>398</v>
      </c>
      <c r="B409" s="3" t="s">
        <v>203</v>
      </c>
      <c r="C409" s="3" t="str">
        <f t="shared" si="6"/>
        <v>4500133974130</v>
      </c>
      <c r="D409" s="4">
        <v>46249</v>
      </c>
      <c r="E409" s="3" t="s">
        <v>612</v>
      </c>
      <c r="F409" s="3" t="s">
        <v>729</v>
      </c>
    </row>
    <row r="410" spans="1:6" x14ac:dyDescent="0.3">
      <c r="A410" s="3" t="s">
        <v>398</v>
      </c>
      <c r="B410" s="3" t="s">
        <v>376</v>
      </c>
      <c r="C410" s="3" t="str">
        <f t="shared" si="6"/>
        <v>4500133974140</v>
      </c>
      <c r="D410" s="4">
        <v>46249</v>
      </c>
      <c r="E410" s="3" t="s">
        <v>612</v>
      </c>
      <c r="F410" s="3" t="s">
        <v>729</v>
      </c>
    </row>
    <row r="411" spans="1:6" x14ac:dyDescent="0.3">
      <c r="A411" s="3" t="s">
        <v>398</v>
      </c>
      <c r="B411" s="3" t="s">
        <v>377</v>
      </c>
      <c r="C411" s="3" t="str">
        <f t="shared" si="6"/>
        <v>4500133974150</v>
      </c>
      <c r="D411" s="4">
        <v>46249</v>
      </c>
      <c r="E411" s="3" t="s">
        <v>612</v>
      </c>
      <c r="F411" s="3" t="s">
        <v>729</v>
      </c>
    </row>
    <row r="412" spans="1:6" x14ac:dyDescent="0.3">
      <c r="A412" s="3" t="s">
        <v>398</v>
      </c>
      <c r="B412" s="3" t="s">
        <v>378</v>
      </c>
      <c r="C412" s="3" t="str">
        <f t="shared" si="6"/>
        <v>4500133974160</v>
      </c>
      <c r="D412" s="4">
        <v>46249</v>
      </c>
      <c r="E412" s="3" t="s">
        <v>612</v>
      </c>
      <c r="F412" s="3" t="s">
        <v>729</v>
      </c>
    </row>
    <row r="413" spans="1:6" x14ac:dyDescent="0.3">
      <c r="A413" s="3" t="s">
        <v>398</v>
      </c>
      <c r="B413" s="3" t="s">
        <v>324</v>
      </c>
      <c r="C413" s="3" t="str">
        <f t="shared" si="6"/>
        <v>4500133974170</v>
      </c>
      <c r="D413" s="4">
        <v>46249</v>
      </c>
      <c r="E413" s="3" t="s">
        <v>612</v>
      </c>
      <c r="F413" s="3" t="s">
        <v>729</v>
      </c>
    </row>
    <row r="414" spans="1:6" x14ac:dyDescent="0.3">
      <c r="A414" s="3" t="s">
        <v>398</v>
      </c>
      <c r="B414" s="3" t="s">
        <v>379</v>
      </c>
      <c r="C414" s="3" t="str">
        <f t="shared" si="6"/>
        <v>4500133974190</v>
      </c>
      <c r="D414" s="4">
        <v>46249</v>
      </c>
      <c r="E414" s="3" t="s">
        <v>612</v>
      </c>
      <c r="F414" s="3" t="s">
        <v>729</v>
      </c>
    </row>
    <row r="415" spans="1:6" x14ac:dyDescent="0.3">
      <c r="A415" s="3" t="s">
        <v>398</v>
      </c>
      <c r="B415" s="3" t="s">
        <v>380</v>
      </c>
      <c r="C415" s="3" t="str">
        <f t="shared" si="6"/>
        <v>4500133974200</v>
      </c>
      <c r="D415" s="4">
        <v>46249</v>
      </c>
      <c r="E415" s="3" t="s">
        <v>612</v>
      </c>
      <c r="F415" s="3" t="s">
        <v>729</v>
      </c>
    </row>
    <row r="416" spans="1:6" x14ac:dyDescent="0.3">
      <c r="A416" s="3" t="s">
        <v>398</v>
      </c>
      <c r="B416" s="3" t="s">
        <v>326</v>
      </c>
      <c r="C416" s="3" t="str">
        <f t="shared" si="6"/>
        <v>4500133974210</v>
      </c>
      <c r="D416" s="4">
        <v>46295</v>
      </c>
      <c r="E416" s="3" t="s">
        <v>612</v>
      </c>
      <c r="F416" s="3" t="s">
        <v>729</v>
      </c>
    </row>
    <row r="417" spans="1:6" x14ac:dyDescent="0.3">
      <c r="A417" s="3" t="s">
        <v>398</v>
      </c>
      <c r="B417" s="3" t="s">
        <v>413</v>
      </c>
      <c r="C417" s="3" t="str">
        <f t="shared" si="6"/>
        <v>4500133974220</v>
      </c>
      <c r="D417" s="4">
        <v>46249</v>
      </c>
      <c r="E417" s="3" t="s">
        <v>612</v>
      </c>
      <c r="F417" s="3" t="s">
        <v>729</v>
      </c>
    </row>
    <row r="418" spans="1:6" x14ac:dyDescent="0.3">
      <c r="A418" s="3" t="s">
        <v>398</v>
      </c>
      <c r="B418" s="3" t="s">
        <v>327</v>
      </c>
      <c r="C418" s="3" t="str">
        <f t="shared" si="6"/>
        <v>4500133974230</v>
      </c>
      <c r="D418" s="4">
        <v>46249</v>
      </c>
      <c r="E418" s="3" t="s">
        <v>612</v>
      </c>
      <c r="F418" s="3" t="s">
        <v>729</v>
      </c>
    </row>
    <row r="419" spans="1:6" x14ac:dyDescent="0.3">
      <c r="A419" s="3" t="s">
        <v>398</v>
      </c>
      <c r="B419" s="3" t="s">
        <v>328</v>
      </c>
      <c r="C419" s="3" t="str">
        <f t="shared" si="6"/>
        <v>4500133974240</v>
      </c>
      <c r="D419" s="4">
        <v>46249</v>
      </c>
      <c r="E419" s="3" t="s">
        <v>612</v>
      </c>
      <c r="F419" s="3" t="s">
        <v>729</v>
      </c>
    </row>
    <row r="420" spans="1:6" x14ac:dyDescent="0.3">
      <c r="A420" s="3" t="s">
        <v>398</v>
      </c>
      <c r="B420" s="3" t="s">
        <v>329</v>
      </c>
      <c r="C420" s="3" t="str">
        <f t="shared" si="6"/>
        <v>4500133974250</v>
      </c>
      <c r="D420" s="4">
        <v>46249</v>
      </c>
      <c r="E420" s="3" t="s">
        <v>612</v>
      </c>
      <c r="F420" s="3" t="s">
        <v>729</v>
      </c>
    </row>
    <row r="421" spans="1:6" x14ac:dyDescent="0.3">
      <c r="A421" s="3" t="s">
        <v>398</v>
      </c>
      <c r="B421" s="3" t="s">
        <v>330</v>
      </c>
      <c r="C421" s="3" t="str">
        <f t="shared" si="6"/>
        <v>4500133974260</v>
      </c>
      <c r="D421" s="4">
        <v>46249</v>
      </c>
      <c r="E421" s="3" t="s">
        <v>612</v>
      </c>
      <c r="F421" s="3" t="s">
        <v>729</v>
      </c>
    </row>
    <row r="422" spans="1:6" x14ac:dyDescent="0.3">
      <c r="A422" s="3" t="s">
        <v>398</v>
      </c>
      <c r="B422" s="3" t="s">
        <v>414</v>
      </c>
      <c r="C422" s="3" t="str">
        <f t="shared" si="6"/>
        <v>4500133974270</v>
      </c>
      <c r="D422" s="4">
        <v>46249</v>
      </c>
      <c r="E422" s="3" t="s">
        <v>612</v>
      </c>
      <c r="F422" s="3" t="s">
        <v>729</v>
      </c>
    </row>
    <row r="423" spans="1:6" x14ac:dyDescent="0.3">
      <c r="A423" s="3" t="s">
        <v>398</v>
      </c>
      <c r="B423" s="3" t="s">
        <v>415</v>
      </c>
      <c r="C423" s="3" t="str">
        <f t="shared" si="6"/>
        <v>4500133974280</v>
      </c>
      <c r="D423" s="4">
        <v>46249</v>
      </c>
      <c r="E423" s="3" t="s">
        <v>612</v>
      </c>
      <c r="F423" s="3" t="s">
        <v>729</v>
      </c>
    </row>
    <row r="424" spans="1:6" x14ac:dyDescent="0.3">
      <c r="A424" s="3" t="s">
        <v>401</v>
      </c>
      <c r="B424" s="3" t="s">
        <v>33</v>
      </c>
      <c r="C424" s="3" t="str">
        <f t="shared" si="6"/>
        <v>450013402110</v>
      </c>
      <c r="D424" s="4">
        <v>46237</v>
      </c>
      <c r="E424" s="3" t="s">
        <v>612</v>
      </c>
      <c r="F424" s="3" t="s">
        <v>718</v>
      </c>
    </row>
    <row r="425" spans="1:6" x14ac:dyDescent="0.3">
      <c r="A425" s="3" t="s">
        <v>401</v>
      </c>
      <c r="B425" s="3" t="s">
        <v>20</v>
      </c>
      <c r="C425" s="3" t="str">
        <f t="shared" si="6"/>
        <v>450013402120</v>
      </c>
      <c r="D425" s="4">
        <v>46237</v>
      </c>
      <c r="E425" s="3" t="s">
        <v>612</v>
      </c>
      <c r="F425" s="3" t="s">
        <v>718</v>
      </c>
    </row>
    <row r="426" spans="1:6" x14ac:dyDescent="0.3">
      <c r="A426" s="3" t="s">
        <v>401</v>
      </c>
      <c r="B426" s="3" t="s">
        <v>21</v>
      </c>
      <c r="C426" s="3" t="str">
        <f t="shared" si="6"/>
        <v>450013402130</v>
      </c>
      <c r="D426" s="4">
        <v>46237</v>
      </c>
      <c r="E426" s="3" t="s">
        <v>612</v>
      </c>
      <c r="F426" s="3" t="s">
        <v>718</v>
      </c>
    </row>
    <row r="427" spans="1:6" x14ac:dyDescent="0.3">
      <c r="A427" s="3" t="s">
        <v>491</v>
      </c>
      <c r="B427" s="3" t="s">
        <v>33</v>
      </c>
      <c r="C427" s="3" t="str">
        <f t="shared" si="6"/>
        <v>450013418410</v>
      </c>
      <c r="D427" s="4">
        <v>46231</v>
      </c>
      <c r="E427" s="3" t="s">
        <v>611</v>
      </c>
      <c r="F427" s="3" t="s">
        <v>774</v>
      </c>
    </row>
    <row r="428" spans="1:6" x14ac:dyDescent="0.3">
      <c r="A428" s="3" t="s">
        <v>393</v>
      </c>
      <c r="B428" s="3" t="s">
        <v>33</v>
      </c>
      <c r="C428" s="3" t="str">
        <f t="shared" si="6"/>
        <v>450013443810</v>
      </c>
      <c r="D428" s="4">
        <v>46264</v>
      </c>
      <c r="E428" s="3" t="s">
        <v>628</v>
      </c>
      <c r="F428" s="3" t="s">
        <v>775</v>
      </c>
    </row>
    <row r="429" spans="1:6" x14ac:dyDescent="0.3">
      <c r="A429" s="3" t="s">
        <v>542</v>
      </c>
      <c r="B429" s="3" t="s">
        <v>33</v>
      </c>
      <c r="C429" s="3" t="str">
        <f t="shared" si="6"/>
        <v>450013450510</v>
      </c>
      <c r="D429" s="4">
        <v>46275</v>
      </c>
      <c r="E429" s="3" t="s">
        <v>612</v>
      </c>
      <c r="F429" s="3" t="s">
        <v>713</v>
      </c>
    </row>
    <row r="430" spans="1:6" x14ac:dyDescent="0.3">
      <c r="A430" s="3" t="s">
        <v>542</v>
      </c>
      <c r="B430" s="3" t="s">
        <v>20</v>
      </c>
      <c r="C430" s="3" t="str">
        <f t="shared" si="6"/>
        <v>450013450520</v>
      </c>
      <c r="D430" s="4">
        <v>46275</v>
      </c>
      <c r="E430" s="3" t="s">
        <v>612</v>
      </c>
      <c r="F430" s="3" t="s">
        <v>713</v>
      </c>
    </row>
    <row r="431" spans="1:6" x14ac:dyDescent="0.3">
      <c r="A431" s="3" t="s">
        <v>542</v>
      </c>
      <c r="B431" s="3" t="s">
        <v>21</v>
      </c>
      <c r="C431" s="3" t="str">
        <f t="shared" si="6"/>
        <v>450013450530</v>
      </c>
      <c r="D431" s="4">
        <v>46275</v>
      </c>
      <c r="E431" s="3" t="s">
        <v>612</v>
      </c>
      <c r="F431" s="3" t="s">
        <v>713</v>
      </c>
    </row>
    <row r="432" spans="1:6" x14ac:dyDescent="0.3">
      <c r="A432" s="3" t="s">
        <v>563</v>
      </c>
      <c r="B432" s="3" t="s">
        <v>33</v>
      </c>
      <c r="C432" s="3" t="str">
        <f t="shared" si="6"/>
        <v>450013464610</v>
      </c>
      <c r="D432" s="4">
        <v>46269</v>
      </c>
      <c r="E432" s="3" t="s">
        <v>617</v>
      </c>
      <c r="F432" s="3" t="s">
        <v>719</v>
      </c>
    </row>
    <row r="433" spans="1:6" x14ac:dyDescent="0.3">
      <c r="A433" s="3" t="s">
        <v>563</v>
      </c>
      <c r="B433" s="3" t="s">
        <v>20</v>
      </c>
      <c r="C433" s="3" t="str">
        <f t="shared" si="6"/>
        <v>450013464620</v>
      </c>
      <c r="D433" s="4">
        <v>46269</v>
      </c>
      <c r="E433" s="3" t="s">
        <v>617</v>
      </c>
      <c r="F433" s="3" t="s">
        <v>719</v>
      </c>
    </row>
    <row r="434" spans="1:6" x14ac:dyDescent="0.3">
      <c r="A434" s="3" t="s">
        <v>563</v>
      </c>
      <c r="B434" s="3" t="s">
        <v>21</v>
      </c>
      <c r="C434" s="3" t="str">
        <f t="shared" si="6"/>
        <v>450013464630</v>
      </c>
      <c r="D434" s="4">
        <v>46269</v>
      </c>
      <c r="E434" s="3" t="s">
        <v>617</v>
      </c>
      <c r="F434" s="3" t="s">
        <v>719</v>
      </c>
    </row>
    <row r="435" spans="1:6" x14ac:dyDescent="0.3">
      <c r="A435" s="3" t="s">
        <v>563</v>
      </c>
      <c r="B435" s="3" t="s">
        <v>25</v>
      </c>
      <c r="C435" s="3" t="str">
        <f t="shared" si="6"/>
        <v>450013464640</v>
      </c>
      <c r="D435" s="4">
        <v>46269</v>
      </c>
      <c r="E435" s="3" t="s">
        <v>617</v>
      </c>
      <c r="F435" s="3" t="s">
        <v>719</v>
      </c>
    </row>
    <row r="436" spans="1:6" x14ac:dyDescent="0.3">
      <c r="A436" s="3" t="s">
        <v>563</v>
      </c>
      <c r="B436" s="3" t="s">
        <v>22</v>
      </c>
      <c r="C436" s="3" t="str">
        <f t="shared" si="6"/>
        <v>450013464650</v>
      </c>
      <c r="D436" s="4">
        <v>46269</v>
      </c>
      <c r="E436" s="3" t="s">
        <v>617</v>
      </c>
      <c r="F436" s="3" t="s">
        <v>719</v>
      </c>
    </row>
    <row r="437" spans="1:6" x14ac:dyDescent="0.3">
      <c r="A437" s="3" t="s">
        <v>563</v>
      </c>
      <c r="B437" s="3" t="s">
        <v>23</v>
      </c>
      <c r="C437" s="3" t="str">
        <f t="shared" si="6"/>
        <v>450013464660</v>
      </c>
      <c r="D437" s="4">
        <v>46269</v>
      </c>
      <c r="E437" s="3" t="s">
        <v>617</v>
      </c>
      <c r="F437" s="3" t="s">
        <v>719</v>
      </c>
    </row>
    <row r="438" spans="1:6" x14ac:dyDescent="0.3">
      <c r="A438" s="3" t="s">
        <v>563</v>
      </c>
      <c r="B438" s="3" t="s">
        <v>24</v>
      </c>
      <c r="C438" s="3" t="str">
        <f t="shared" si="6"/>
        <v>450013464670</v>
      </c>
      <c r="D438" s="4">
        <v>46269</v>
      </c>
      <c r="E438" s="3" t="s">
        <v>617</v>
      </c>
      <c r="F438" s="3" t="s">
        <v>719</v>
      </c>
    </row>
    <row r="439" spans="1:6" x14ac:dyDescent="0.3">
      <c r="A439" s="3" t="s">
        <v>563</v>
      </c>
      <c r="B439" s="3" t="s">
        <v>321</v>
      </c>
      <c r="C439" s="3" t="str">
        <f t="shared" si="6"/>
        <v>450013464680</v>
      </c>
      <c r="D439" s="4">
        <v>46269</v>
      </c>
      <c r="E439" s="3" t="s">
        <v>617</v>
      </c>
      <c r="F439" s="3" t="s">
        <v>719</v>
      </c>
    </row>
    <row r="440" spans="1:6" x14ac:dyDescent="0.3">
      <c r="A440" s="3" t="s">
        <v>563</v>
      </c>
      <c r="B440" s="3" t="s">
        <v>322</v>
      </c>
      <c r="C440" s="3" t="str">
        <f t="shared" si="6"/>
        <v>450013464690</v>
      </c>
      <c r="D440" s="4">
        <v>46269</v>
      </c>
      <c r="E440" s="3" t="s">
        <v>617</v>
      </c>
      <c r="F440" s="3" t="s">
        <v>719</v>
      </c>
    </row>
    <row r="441" spans="1:6" x14ac:dyDescent="0.3">
      <c r="A441" s="3" t="s">
        <v>563</v>
      </c>
      <c r="B441" s="3" t="s">
        <v>323</v>
      </c>
      <c r="C441" s="3" t="str">
        <f t="shared" si="6"/>
        <v>4500134646100</v>
      </c>
      <c r="D441" s="4">
        <v>46269</v>
      </c>
      <c r="E441" s="3" t="s">
        <v>617</v>
      </c>
      <c r="F441" s="3" t="s">
        <v>719</v>
      </c>
    </row>
    <row r="442" spans="1:6" x14ac:dyDescent="0.3">
      <c r="A442" s="3" t="s">
        <v>563</v>
      </c>
      <c r="B442" s="3" t="s">
        <v>175</v>
      </c>
      <c r="C442" s="3" t="str">
        <f t="shared" si="6"/>
        <v>4500134646110</v>
      </c>
      <c r="D442" s="4">
        <v>46269</v>
      </c>
      <c r="E442" s="3" t="s">
        <v>617</v>
      </c>
      <c r="F442" s="3" t="s">
        <v>719</v>
      </c>
    </row>
    <row r="443" spans="1:6" x14ac:dyDescent="0.3">
      <c r="A443" s="3" t="s">
        <v>563</v>
      </c>
      <c r="B443" s="3" t="s">
        <v>375</v>
      </c>
      <c r="C443" s="3" t="str">
        <f t="shared" si="6"/>
        <v>4500134646120</v>
      </c>
      <c r="D443" s="4">
        <v>46269</v>
      </c>
      <c r="E443" s="3" t="s">
        <v>617</v>
      </c>
      <c r="F443" s="3" t="s">
        <v>719</v>
      </c>
    </row>
    <row r="444" spans="1:6" x14ac:dyDescent="0.3">
      <c r="A444" s="3" t="s">
        <v>563</v>
      </c>
      <c r="B444" s="3" t="s">
        <v>203</v>
      </c>
      <c r="C444" s="3" t="str">
        <f t="shared" si="6"/>
        <v>4500134646130</v>
      </c>
      <c r="D444" s="4">
        <v>46269</v>
      </c>
      <c r="E444" s="3" t="s">
        <v>617</v>
      </c>
      <c r="F444" s="3" t="s">
        <v>719</v>
      </c>
    </row>
    <row r="445" spans="1:6" x14ac:dyDescent="0.3">
      <c r="A445" s="3" t="s">
        <v>563</v>
      </c>
      <c r="B445" s="3" t="s">
        <v>376</v>
      </c>
      <c r="C445" s="3" t="str">
        <f t="shared" si="6"/>
        <v>4500134646140</v>
      </c>
      <c r="D445" s="4">
        <v>46269</v>
      </c>
      <c r="E445" s="3" t="s">
        <v>617</v>
      </c>
      <c r="F445" s="3" t="s">
        <v>719</v>
      </c>
    </row>
    <row r="446" spans="1:6" x14ac:dyDescent="0.3">
      <c r="A446" s="3" t="s">
        <v>563</v>
      </c>
      <c r="B446" s="3" t="s">
        <v>377</v>
      </c>
      <c r="C446" s="3" t="str">
        <f t="shared" si="6"/>
        <v>4500134646150</v>
      </c>
      <c r="D446" s="4">
        <v>46269</v>
      </c>
      <c r="E446" s="3" t="s">
        <v>617</v>
      </c>
      <c r="F446" s="3" t="s">
        <v>719</v>
      </c>
    </row>
    <row r="447" spans="1:6" x14ac:dyDescent="0.3">
      <c r="A447" s="3" t="s">
        <v>563</v>
      </c>
      <c r="B447" s="3" t="s">
        <v>378</v>
      </c>
      <c r="C447" s="3" t="str">
        <f t="shared" si="6"/>
        <v>4500134646160</v>
      </c>
      <c r="D447" s="4">
        <v>46269</v>
      </c>
      <c r="E447" s="3" t="s">
        <v>617</v>
      </c>
      <c r="F447" s="3" t="s">
        <v>719</v>
      </c>
    </row>
    <row r="448" spans="1:6" x14ac:dyDescent="0.3">
      <c r="A448" s="3" t="s">
        <v>563</v>
      </c>
      <c r="B448" s="3" t="s">
        <v>324</v>
      </c>
      <c r="C448" s="3" t="str">
        <f t="shared" si="6"/>
        <v>4500134646170</v>
      </c>
      <c r="D448" s="4">
        <v>46269</v>
      </c>
      <c r="E448" s="3" t="s">
        <v>617</v>
      </c>
      <c r="F448" s="3" t="s">
        <v>719</v>
      </c>
    </row>
    <row r="449" spans="1:6" x14ac:dyDescent="0.3">
      <c r="A449" s="3" t="s">
        <v>563</v>
      </c>
      <c r="B449" s="3" t="s">
        <v>325</v>
      </c>
      <c r="C449" s="3" t="str">
        <f t="shared" si="6"/>
        <v>4500134646180</v>
      </c>
      <c r="D449" s="4">
        <v>46269</v>
      </c>
      <c r="E449" s="3" t="s">
        <v>617</v>
      </c>
      <c r="F449" s="3" t="s">
        <v>719</v>
      </c>
    </row>
    <row r="450" spans="1:6" x14ac:dyDescent="0.3">
      <c r="A450" s="3" t="s">
        <v>563</v>
      </c>
      <c r="B450" s="3" t="s">
        <v>379</v>
      </c>
      <c r="C450" s="3" t="str">
        <f t="shared" si="6"/>
        <v>4500134646190</v>
      </c>
      <c r="D450" s="4">
        <v>46269</v>
      </c>
      <c r="E450" s="3" t="s">
        <v>617</v>
      </c>
      <c r="F450" s="3" t="s">
        <v>719</v>
      </c>
    </row>
    <row r="451" spans="1:6" x14ac:dyDescent="0.3">
      <c r="A451" s="3" t="s">
        <v>563</v>
      </c>
      <c r="B451" s="3" t="s">
        <v>380</v>
      </c>
      <c r="C451" s="3" t="str">
        <f t="shared" ref="C451:C514" si="7">_xlfn.CONCAT(A451:B451)</f>
        <v>4500134646200</v>
      </c>
      <c r="D451" s="4">
        <v>46269</v>
      </c>
      <c r="E451" s="3" t="s">
        <v>617</v>
      </c>
      <c r="F451" s="3" t="s">
        <v>719</v>
      </c>
    </row>
    <row r="452" spans="1:6" x14ac:dyDescent="0.3">
      <c r="A452" s="3" t="s">
        <v>563</v>
      </c>
      <c r="B452" s="3" t="s">
        <v>326</v>
      </c>
      <c r="C452" s="3" t="str">
        <f t="shared" si="7"/>
        <v>4500134646210</v>
      </c>
      <c r="D452" s="4">
        <v>46269</v>
      </c>
      <c r="E452" s="3" t="s">
        <v>617</v>
      </c>
      <c r="F452" s="3" t="s">
        <v>719</v>
      </c>
    </row>
    <row r="453" spans="1:6" x14ac:dyDescent="0.3">
      <c r="A453" s="3" t="s">
        <v>563</v>
      </c>
      <c r="B453" s="3" t="s">
        <v>413</v>
      </c>
      <c r="C453" s="3" t="str">
        <f t="shared" si="7"/>
        <v>4500134646220</v>
      </c>
      <c r="D453" s="4">
        <v>46269</v>
      </c>
      <c r="E453" s="3" t="s">
        <v>617</v>
      </c>
      <c r="F453" s="3" t="s">
        <v>719</v>
      </c>
    </row>
    <row r="454" spans="1:6" x14ac:dyDescent="0.3">
      <c r="A454" s="3" t="s">
        <v>563</v>
      </c>
      <c r="B454" s="3" t="s">
        <v>327</v>
      </c>
      <c r="C454" s="3" t="str">
        <f t="shared" si="7"/>
        <v>4500134646230</v>
      </c>
      <c r="D454" s="4">
        <v>46269</v>
      </c>
      <c r="E454" s="3" t="s">
        <v>617</v>
      </c>
      <c r="F454" s="3" t="s">
        <v>719</v>
      </c>
    </row>
    <row r="455" spans="1:6" x14ac:dyDescent="0.3">
      <c r="A455" s="3" t="s">
        <v>563</v>
      </c>
      <c r="B455" s="3" t="s">
        <v>328</v>
      </c>
      <c r="C455" s="3" t="str">
        <f t="shared" si="7"/>
        <v>4500134646240</v>
      </c>
      <c r="D455" s="4">
        <v>46269</v>
      </c>
      <c r="E455" s="3" t="s">
        <v>617</v>
      </c>
      <c r="F455" s="3" t="s">
        <v>719</v>
      </c>
    </row>
    <row r="456" spans="1:6" x14ac:dyDescent="0.3">
      <c r="A456" s="3" t="s">
        <v>563</v>
      </c>
      <c r="B456" s="3" t="s">
        <v>329</v>
      </c>
      <c r="C456" s="3" t="str">
        <f t="shared" si="7"/>
        <v>4500134646250</v>
      </c>
      <c r="D456" s="4">
        <v>46269</v>
      </c>
      <c r="E456" s="3" t="s">
        <v>617</v>
      </c>
      <c r="F456" s="3" t="s">
        <v>719</v>
      </c>
    </row>
    <row r="457" spans="1:6" x14ac:dyDescent="0.3">
      <c r="A457" s="3" t="s">
        <v>563</v>
      </c>
      <c r="B457" s="3" t="s">
        <v>330</v>
      </c>
      <c r="C457" s="3" t="str">
        <f t="shared" si="7"/>
        <v>4500134646260</v>
      </c>
      <c r="D457" s="4">
        <v>46269</v>
      </c>
      <c r="E457" s="3" t="s">
        <v>617</v>
      </c>
      <c r="F457" s="3" t="s">
        <v>719</v>
      </c>
    </row>
    <row r="458" spans="1:6" x14ac:dyDescent="0.3">
      <c r="A458" s="3" t="s">
        <v>563</v>
      </c>
      <c r="B458" s="3" t="s">
        <v>414</v>
      </c>
      <c r="C458" s="3" t="str">
        <f t="shared" si="7"/>
        <v>4500134646270</v>
      </c>
      <c r="D458" s="4">
        <v>46269</v>
      </c>
      <c r="E458" s="3" t="s">
        <v>617</v>
      </c>
      <c r="F458" s="3" t="s">
        <v>719</v>
      </c>
    </row>
    <row r="459" spans="1:6" x14ac:dyDescent="0.3">
      <c r="A459" s="3" t="s">
        <v>563</v>
      </c>
      <c r="B459" s="3" t="s">
        <v>415</v>
      </c>
      <c r="C459" s="3" t="str">
        <f t="shared" si="7"/>
        <v>4500134646280</v>
      </c>
      <c r="D459" s="4">
        <v>46269</v>
      </c>
      <c r="E459" s="3" t="s">
        <v>617</v>
      </c>
      <c r="F459" s="3" t="s">
        <v>719</v>
      </c>
    </row>
    <row r="460" spans="1:6" x14ac:dyDescent="0.3">
      <c r="A460" s="3" t="s">
        <v>563</v>
      </c>
      <c r="B460" s="3" t="s">
        <v>634</v>
      </c>
      <c r="C460" s="3" t="str">
        <f t="shared" si="7"/>
        <v>4500134646290</v>
      </c>
      <c r="D460" s="4">
        <v>46269</v>
      </c>
      <c r="E460" s="3" t="s">
        <v>617</v>
      </c>
      <c r="F460" s="3" t="s">
        <v>719</v>
      </c>
    </row>
    <row r="461" spans="1:6" x14ac:dyDescent="0.3">
      <c r="A461" s="3" t="s">
        <v>563</v>
      </c>
      <c r="B461" s="3" t="s">
        <v>635</v>
      </c>
      <c r="C461" s="3" t="str">
        <f t="shared" si="7"/>
        <v>4500134646300</v>
      </c>
      <c r="D461" s="4">
        <v>46269</v>
      </c>
      <c r="E461" s="3" t="s">
        <v>617</v>
      </c>
      <c r="F461" s="3" t="s">
        <v>719</v>
      </c>
    </row>
    <row r="462" spans="1:6" x14ac:dyDescent="0.3">
      <c r="A462" s="3" t="s">
        <v>563</v>
      </c>
      <c r="B462" s="3" t="s">
        <v>636</v>
      </c>
      <c r="C462" s="3" t="str">
        <f t="shared" si="7"/>
        <v>4500134646310</v>
      </c>
      <c r="D462" s="4">
        <v>46269</v>
      </c>
      <c r="E462" s="3" t="s">
        <v>617</v>
      </c>
      <c r="F462" s="3" t="s">
        <v>719</v>
      </c>
    </row>
    <row r="463" spans="1:6" x14ac:dyDescent="0.3">
      <c r="A463" s="3" t="s">
        <v>488</v>
      </c>
      <c r="B463" s="3" t="s">
        <v>33</v>
      </c>
      <c r="C463" s="3" t="str">
        <f t="shared" si="7"/>
        <v>450013464710</v>
      </c>
      <c r="D463" s="4">
        <v>46269</v>
      </c>
      <c r="E463" s="3" t="s">
        <v>617</v>
      </c>
      <c r="F463" s="3" t="s">
        <v>719</v>
      </c>
    </row>
    <row r="464" spans="1:6" x14ac:dyDescent="0.3">
      <c r="A464" s="3" t="s">
        <v>488</v>
      </c>
      <c r="B464" s="3" t="s">
        <v>20</v>
      </c>
      <c r="C464" s="3" t="str">
        <f t="shared" si="7"/>
        <v>450013464720</v>
      </c>
      <c r="D464" s="4">
        <v>46269</v>
      </c>
      <c r="E464" s="3" t="s">
        <v>617</v>
      </c>
      <c r="F464" s="3" t="s">
        <v>719</v>
      </c>
    </row>
    <row r="465" spans="1:6" x14ac:dyDescent="0.3">
      <c r="A465" s="3" t="s">
        <v>488</v>
      </c>
      <c r="B465" s="3" t="s">
        <v>21</v>
      </c>
      <c r="C465" s="3" t="str">
        <f t="shared" si="7"/>
        <v>450013464730</v>
      </c>
      <c r="D465" s="4">
        <v>46269</v>
      </c>
      <c r="E465" s="3" t="s">
        <v>617</v>
      </c>
      <c r="F465" s="3" t="s">
        <v>719</v>
      </c>
    </row>
    <row r="466" spans="1:6" x14ac:dyDescent="0.3">
      <c r="A466" s="3" t="s">
        <v>395</v>
      </c>
      <c r="B466" s="3" t="s">
        <v>33</v>
      </c>
      <c r="C466" s="3" t="str">
        <f t="shared" si="7"/>
        <v>450013482110</v>
      </c>
      <c r="D466" s="4">
        <v>46244</v>
      </c>
      <c r="E466" s="3" t="s">
        <v>618</v>
      </c>
      <c r="F466" s="3" t="s">
        <v>746</v>
      </c>
    </row>
    <row r="467" spans="1:6" x14ac:dyDescent="0.3">
      <c r="A467" s="3" t="s">
        <v>397</v>
      </c>
      <c r="B467" s="3" t="s">
        <v>33</v>
      </c>
      <c r="C467" s="3" t="str">
        <f t="shared" si="7"/>
        <v>450013482310</v>
      </c>
      <c r="D467" s="4">
        <v>46252</v>
      </c>
      <c r="E467" s="3" t="s">
        <v>618</v>
      </c>
      <c r="F467" s="3" t="s">
        <v>746</v>
      </c>
    </row>
    <row r="468" spans="1:6" x14ac:dyDescent="0.3">
      <c r="A468" s="3" t="s">
        <v>672</v>
      </c>
      <c r="B468" s="3" t="s">
        <v>33</v>
      </c>
      <c r="C468" s="3" t="str">
        <f t="shared" si="7"/>
        <v>450013487710</v>
      </c>
      <c r="D468" s="4">
        <v>46301</v>
      </c>
      <c r="E468" s="3" t="s">
        <v>614</v>
      </c>
      <c r="F468" s="3" t="s">
        <v>711</v>
      </c>
    </row>
    <row r="469" spans="1:6" x14ac:dyDescent="0.3">
      <c r="A469" s="3" t="s">
        <v>672</v>
      </c>
      <c r="B469" s="3" t="s">
        <v>20</v>
      </c>
      <c r="C469" s="3" t="str">
        <f t="shared" si="7"/>
        <v>450013487720</v>
      </c>
      <c r="D469" s="4">
        <v>46242</v>
      </c>
      <c r="E469" s="3" t="s">
        <v>614</v>
      </c>
      <c r="F469" s="3" t="s">
        <v>711</v>
      </c>
    </row>
    <row r="470" spans="1:6" x14ac:dyDescent="0.3">
      <c r="A470" s="3" t="s">
        <v>403</v>
      </c>
      <c r="B470" s="3" t="s">
        <v>20</v>
      </c>
      <c r="C470" s="3" t="str">
        <f t="shared" si="7"/>
        <v>450013527520</v>
      </c>
      <c r="D470" s="4">
        <v>46254</v>
      </c>
      <c r="E470" s="3" t="s">
        <v>633</v>
      </c>
      <c r="F470" s="3" t="s">
        <v>746</v>
      </c>
    </row>
    <row r="471" spans="1:6" x14ac:dyDescent="0.3">
      <c r="A471" s="3" t="s">
        <v>409</v>
      </c>
      <c r="B471" s="3" t="s">
        <v>33</v>
      </c>
      <c r="C471" s="3" t="str">
        <f t="shared" si="7"/>
        <v>450013528210</v>
      </c>
      <c r="D471" s="4">
        <v>46254</v>
      </c>
      <c r="E471" s="3" t="s">
        <v>618</v>
      </c>
      <c r="F471" s="3" t="s">
        <v>746</v>
      </c>
    </row>
    <row r="472" spans="1:6" x14ac:dyDescent="0.3">
      <c r="A472" s="3" t="s">
        <v>412</v>
      </c>
      <c r="B472" s="3" t="s">
        <v>33</v>
      </c>
      <c r="C472" s="3" t="str">
        <f t="shared" si="7"/>
        <v>450013537710</v>
      </c>
      <c r="D472" s="4">
        <v>46247</v>
      </c>
      <c r="E472" s="3" t="s">
        <v>618</v>
      </c>
      <c r="F472" s="3" t="s">
        <v>746</v>
      </c>
    </row>
    <row r="473" spans="1:6" x14ac:dyDescent="0.3">
      <c r="A473" s="3" t="s">
        <v>832</v>
      </c>
      <c r="B473" s="3" t="s">
        <v>33</v>
      </c>
      <c r="C473" s="3" t="str">
        <f t="shared" si="7"/>
        <v>450013550810</v>
      </c>
      <c r="D473" s="4">
        <v>46279</v>
      </c>
      <c r="E473" s="3" t="s">
        <v>612</v>
      </c>
      <c r="F473" s="3" t="s">
        <v>730</v>
      </c>
    </row>
    <row r="474" spans="1:6" x14ac:dyDescent="0.3">
      <c r="A474" s="3" t="s">
        <v>832</v>
      </c>
      <c r="B474" s="3" t="s">
        <v>20</v>
      </c>
      <c r="C474" s="3" t="str">
        <f t="shared" si="7"/>
        <v>450013550820</v>
      </c>
      <c r="D474" s="4">
        <v>46279</v>
      </c>
      <c r="E474" s="3" t="s">
        <v>612</v>
      </c>
      <c r="F474" s="3" t="s">
        <v>730</v>
      </c>
    </row>
    <row r="475" spans="1:6" x14ac:dyDescent="0.3">
      <c r="A475" s="3" t="s">
        <v>832</v>
      </c>
      <c r="B475" s="3" t="s">
        <v>21</v>
      </c>
      <c r="C475" s="3" t="str">
        <f t="shared" si="7"/>
        <v>450013550830</v>
      </c>
      <c r="D475" s="4">
        <v>46279</v>
      </c>
      <c r="E475" s="3" t="s">
        <v>612</v>
      </c>
      <c r="F475" s="3" t="s">
        <v>730</v>
      </c>
    </row>
    <row r="476" spans="1:6" x14ac:dyDescent="0.3">
      <c r="A476" s="3" t="s">
        <v>832</v>
      </c>
      <c r="B476" s="3" t="s">
        <v>25</v>
      </c>
      <c r="C476" s="3" t="str">
        <f t="shared" si="7"/>
        <v>450013550840</v>
      </c>
      <c r="D476" s="4">
        <v>46279</v>
      </c>
      <c r="E476" s="3" t="s">
        <v>612</v>
      </c>
      <c r="F476" s="3" t="s">
        <v>730</v>
      </c>
    </row>
    <row r="477" spans="1:6" x14ac:dyDescent="0.3">
      <c r="A477" s="3" t="s">
        <v>832</v>
      </c>
      <c r="B477" s="3" t="s">
        <v>22</v>
      </c>
      <c r="C477" s="3" t="str">
        <f t="shared" si="7"/>
        <v>450013550850</v>
      </c>
      <c r="D477" s="4">
        <v>46308</v>
      </c>
      <c r="E477" s="3" t="s">
        <v>612</v>
      </c>
      <c r="F477" s="3" t="s">
        <v>730</v>
      </c>
    </row>
    <row r="478" spans="1:6" x14ac:dyDescent="0.3">
      <c r="A478" s="3" t="s">
        <v>407</v>
      </c>
      <c r="B478" s="3" t="s">
        <v>33</v>
      </c>
      <c r="C478" s="3" t="str">
        <f t="shared" si="7"/>
        <v>450013552910</v>
      </c>
      <c r="D478" s="4">
        <v>46254</v>
      </c>
      <c r="E478" s="3" t="s">
        <v>618</v>
      </c>
      <c r="F478" s="3" t="s">
        <v>746</v>
      </c>
    </row>
    <row r="479" spans="1:6" x14ac:dyDescent="0.3">
      <c r="A479" s="3" t="s">
        <v>657</v>
      </c>
      <c r="B479" s="3" t="s">
        <v>33</v>
      </c>
      <c r="C479" s="3" t="str">
        <f t="shared" si="7"/>
        <v>450013569910</v>
      </c>
      <c r="D479" s="4">
        <v>46254</v>
      </c>
      <c r="E479" s="3" t="s">
        <v>614</v>
      </c>
      <c r="F479" s="3" t="s">
        <v>711</v>
      </c>
    </row>
    <row r="480" spans="1:6" x14ac:dyDescent="0.3">
      <c r="A480" s="3" t="s">
        <v>657</v>
      </c>
      <c r="B480" s="3" t="s">
        <v>20</v>
      </c>
      <c r="C480" s="3" t="str">
        <f t="shared" si="7"/>
        <v>450013569920</v>
      </c>
      <c r="D480" s="4">
        <v>46254</v>
      </c>
      <c r="E480" s="3" t="s">
        <v>614</v>
      </c>
      <c r="F480" s="3" t="s">
        <v>711</v>
      </c>
    </row>
    <row r="481" spans="1:6" x14ac:dyDescent="0.3">
      <c r="A481" s="3" t="s">
        <v>657</v>
      </c>
      <c r="B481" s="3" t="s">
        <v>21</v>
      </c>
      <c r="C481" s="3" t="str">
        <f t="shared" si="7"/>
        <v>450013569930</v>
      </c>
      <c r="D481" s="4">
        <v>46304</v>
      </c>
      <c r="E481" s="3" t="s">
        <v>614</v>
      </c>
      <c r="F481" s="3" t="s">
        <v>711</v>
      </c>
    </row>
    <row r="482" spans="1:6" x14ac:dyDescent="0.3">
      <c r="A482" s="3" t="s">
        <v>657</v>
      </c>
      <c r="B482" s="3" t="s">
        <v>25</v>
      </c>
      <c r="C482" s="3" t="str">
        <f t="shared" si="7"/>
        <v>450013569940</v>
      </c>
      <c r="D482" s="4">
        <v>46304</v>
      </c>
      <c r="E482" s="3" t="s">
        <v>614</v>
      </c>
      <c r="F482" s="3" t="s">
        <v>711</v>
      </c>
    </row>
    <row r="483" spans="1:6" x14ac:dyDescent="0.3">
      <c r="A483" s="3" t="s">
        <v>452</v>
      </c>
      <c r="B483" s="3" t="s">
        <v>33</v>
      </c>
      <c r="C483" s="3" t="str">
        <f t="shared" si="7"/>
        <v>450013571410</v>
      </c>
      <c r="D483" s="4">
        <v>46273</v>
      </c>
      <c r="E483" s="3" t="s">
        <v>628</v>
      </c>
      <c r="F483" s="3" t="s">
        <v>748</v>
      </c>
    </row>
    <row r="484" spans="1:6" x14ac:dyDescent="0.3">
      <c r="A484" s="3" t="s">
        <v>452</v>
      </c>
      <c r="B484" s="3" t="s">
        <v>20</v>
      </c>
      <c r="C484" s="3" t="str">
        <f t="shared" si="7"/>
        <v>450013571420</v>
      </c>
      <c r="D484" s="4">
        <v>46273</v>
      </c>
      <c r="E484" s="3" t="s">
        <v>628</v>
      </c>
      <c r="F484" s="3" t="s">
        <v>748</v>
      </c>
    </row>
    <row r="485" spans="1:6" x14ac:dyDescent="0.3">
      <c r="A485" s="3" t="s">
        <v>452</v>
      </c>
      <c r="B485" s="3" t="s">
        <v>21</v>
      </c>
      <c r="C485" s="3" t="str">
        <f t="shared" si="7"/>
        <v>450013571430</v>
      </c>
      <c r="D485" s="4">
        <v>46273</v>
      </c>
      <c r="E485" s="3" t="s">
        <v>628</v>
      </c>
      <c r="F485" s="3" t="s">
        <v>748</v>
      </c>
    </row>
    <row r="486" spans="1:6" x14ac:dyDescent="0.3">
      <c r="A486" s="3" t="s">
        <v>831</v>
      </c>
      <c r="B486" s="3" t="s">
        <v>33</v>
      </c>
      <c r="C486" s="3" t="str">
        <f t="shared" si="7"/>
        <v>450013572010</v>
      </c>
      <c r="D486" s="4">
        <v>46295</v>
      </c>
      <c r="E486" s="3" t="s">
        <v>612</v>
      </c>
      <c r="F486" s="3" t="s">
        <v>713</v>
      </c>
    </row>
    <row r="487" spans="1:6" x14ac:dyDescent="0.3">
      <c r="A487" s="3" t="s">
        <v>831</v>
      </c>
      <c r="B487" s="3" t="s">
        <v>20</v>
      </c>
      <c r="C487" s="3" t="str">
        <f t="shared" si="7"/>
        <v>450013572020</v>
      </c>
      <c r="D487" s="4">
        <v>46295</v>
      </c>
      <c r="E487" s="3" t="s">
        <v>612</v>
      </c>
      <c r="F487" s="3" t="s">
        <v>713</v>
      </c>
    </row>
    <row r="488" spans="1:6" x14ac:dyDescent="0.3">
      <c r="A488" s="3" t="s">
        <v>831</v>
      </c>
      <c r="B488" s="3" t="s">
        <v>21</v>
      </c>
      <c r="C488" s="3" t="str">
        <f t="shared" si="7"/>
        <v>450013572030</v>
      </c>
      <c r="D488" s="4">
        <v>46295</v>
      </c>
      <c r="E488" s="3" t="s">
        <v>612</v>
      </c>
      <c r="F488" s="3" t="s">
        <v>713</v>
      </c>
    </row>
    <row r="489" spans="1:6" x14ac:dyDescent="0.3">
      <c r="A489" s="3" t="s">
        <v>831</v>
      </c>
      <c r="B489" s="3" t="s">
        <v>25</v>
      </c>
      <c r="C489" s="3" t="str">
        <f t="shared" si="7"/>
        <v>450013572040</v>
      </c>
      <c r="D489" s="4">
        <v>46295</v>
      </c>
      <c r="E489" s="3" t="s">
        <v>612</v>
      </c>
      <c r="F489" s="3" t="s">
        <v>713</v>
      </c>
    </row>
    <row r="490" spans="1:6" x14ac:dyDescent="0.3">
      <c r="A490" s="3" t="s">
        <v>442</v>
      </c>
      <c r="B490" s="3" t="s">
        <v>33</v>
      </c>
      <c r="C490" s="3" t="str">
        <f t="shared" si="7"/>
        <v>450013572310</v>
      </c>
      <c r="D490" s="4">
        <v>46295</v>
      </c>
      <c r="E490" s="3" t="s">
        <v>612</v>
      </c>
      <c r="F490" s="3" t="s">
        <v>713</v>
      </c>
    </row>
    <row r="491" spans="1:6" x14ac:dyDescent="0.3">
      <c r="A491" s="3" t="s">
        <v>442</v>
      </c>
      <c r="B491" s="3" t="s">
        <v>21</v>
      </c>
      <c r="C491" s="3" t="str">
        <f t="shared" si="7"/>
        <v>450013572330</v>
      </c>
      <c r="D491" s="4">
        <v>46295</v>
      </c>
      <c r="E491" s="3" t="s">
        <v>612</v>
      </c>
      <c r="F491" s="3" t="s">
        <v>713</v>
      </c>
    </row>
    <row r="492" spans="1:6" x14ac:dyDescent="0.3">
      <c r="A492" s="3" t="s">
        <v>442</v>
      </c>
      <c r="B492" s="3" t="s">
        <v>25</v>
      </c>
      <c r="C492" s="3" t="str">
        <f t="shared" si="7"/>
        <v>450013572340</v>
      </c>
      <c r="D492" s="4">
        <v>46295</v>
      </c>
      <c r="E492" s="3" t="s">
        <v>612</v>
      </c>
      <c r="F492" s="3" t="s">
        <v>713</v>
      </c>
    </row>
    <row r="493" spans="1:6" x14ac:dyDescent="0.3">
      <c r="A493" s="3" t="s">
        <v>442</v>
      </c>
      <c r="B493" s="3" t="s">
        <v>22</v>
      </c>
      <c r="C493" s="3" t="str">
        <f t="shared" si="7"/>
        <v>450013572350</v>
      </c>
      <c r="D493" s="4">
        <v>46295</v>
      </c>
      <c r="E493" s="3" t="s">
        <v>612</v>
      </c>
      <c r="F493" s="3" t="s">
        <v>713</v>
      </c>
    </row>
    <row r="494" spans="1:6" x14ac:dyDescent="0.3">
      <c r="A494" s="3" t="s">
        <v>437</v>
      </c>
      <c r="B494" s="3" t="s">
        <v>33</v>
      </c>
      <c r="C494" s="3" t="str">
        <f t="shared" si="7"/>
        <v>450013585310</v>
      </c>
      <c r="D494" s="4">
        <v>46269</v>
      </c>
      <c r="E494" s="3" t="s">
        <v>617</v>
      </c>
      <c r="F494" s="3" t="s">
        <v>717</v>
      </c>
    </row>
    <row r="495" spans="1:6" x14ac:dyDescent="0.3">
      <c r="A495" s="3" t="s">
        <v>437</v>
      </c>
      <c r="B495" s="3" t="s">
        <v>20</v>
      </c>
      <c r="C495" s="3" t="str">
        <f t="shared" si="7"/>
        <v>450013585320</v>
      </c>
      <c r="D495" s="4">
        <v>46269</v>
      </c>
      <c r="E495" s="3" t="s">
        <v>617</v>
      </c>
      <c r="F495" s="3" t="s">
        <v>717</v>
      </c>
    </row>
    <row r="496" spans="1:6" x14ac:dyDescent="0.3">
      <c r="A496" s="3" t="s">
        <v>437</v>
      </c>
      <c r="B496" s="3" t="s">
        <v>21</v>
      </c>
      <c r="C496" s="3" t="str">
        <f t="shared" si="7"/>
        <v>450013585330</v>
      </c>
      <c r="D496" s="4">
        <v>46269</v>
      </c>
      <c r="E496" s="3" t="s">
        <v>617</v>
      </c>
      <c r="F496" s="3" t="s">
        <v>717</v>
      </c>
    </row>
    <row r="497" spans="1:6" x14ac:dyDescent="0.3">
      <c r="A497" s="3" t="s">
        <v>437</v>
      </c>
      <c r="B497" s="3" t="s">
        <v>25</v>
      </c>
      <c r="C497" s="3" t="str">
        <f t="shared" si="7"/>
        <v>450013585340</v>
      </c>
      <c r="D497" s="4">
        <v>46269</v>
      </c>
      <c r="E497" s="3" t="s">
        <v>617</v>
      </c>
      <c r="F497" s="3" t="s">
        <v>717</v>
      </c>
    </row>
    <row r="498" spans="1:6" x14ac:dyDescent="0.3">
      <c r="A498" s="3" t="s">
        <v>437</v>
      </c>
      <c r="B498" s="3" t="s">
        <v>22</v>
      </c>
      <c r="C498" s="3" t="str">
        <f t="shared" si="7"/>
        <v>450013585350</v>
      </c>
      <c r="D498" s="4">
        <v>46269</v>
      </c>
      <c r="E498" s="3" t="s">
        <v>617</v>
      </c>
      <c r="F498" s="3" t="s">
        <v>717</v>
      </c>
    </row>
    <row r="499" spans="1:6" x14ac:dyDescent="0.3">
      <c r="A499" s="3" t="s">
        <v>438</v>
      </c>
      <c r="B499" s="3" t="s">
        <v>33</v>
      </c>
      <c r="C499" s="3" t="str">
        <f t="shared" si="7"/>
        <v>450013604410</v>
      </c>
      <c r="D499" s="4">
        <v>46267</v>
      </c>
      <c r="E499" s="3" t="s">
        <v>612</v>
      </c>
      <c r="F499" s="3" t="s">
        <v>730</v>
      </c>
    </row>
    <row r="500" spans="1:6" x14ac:dyDescent="0.3">
      <c r="A500" s="3" t="s">
        <v>424</v>
      </c>
      <c r="B500" s="3" t="s">
        <v>25</v>
      </c>
      <c r="C500" s="3" t="str">
        <f t="shared" si="7"/>
        <v>450013608840</v>
      </c>
      <c r="D500" s="4">
        <v>46254</v>
      </c>
      <c r="E500" s="3" t="s">
        <v>618</v>
      </c>
      <c r="F500" s="3" t="s">
        <v>776</v>
      </c>
    </row>
    <row r="501" spans="1:6" x14ac:dyDescent="0.3">
      <c r="A501" s="3" t="s">
        <v>424</v>
      </c>
      <c r="B501" s="3" t="s">
        <v>23</v>
      </c>
      <c r="C501" s="3" t="str">
        <f t="shared" si="7"/>
        <v>450013608860</v>
      </c>
      <c r="D501" s="4">
        <v>46259</v>
      </c>
      <c r="E501" s="3" t="s">
        <v>618</v>
      </c>
      <c r="F501" s="3" t="s">
        <v>776</v>
      </c>
    </row>
    <row r="502" spans="1:6" x14ac:dyDescent="0.3">
      <c r="A502" s="3" t="s">
        <v>424</v>
      </c>
      <c r="B502" s="3" t="s">
        <v>24</v>
      </c>
      <c r="C502" s="3" t="str">
        <f t="shared" si="7"/>
        <v>450013608870</v>
      </c>
      <c r="D502" s="4">
        <v>46259</v>
      </c>
      <c r="E502" s="3" t="s">
        <v>618</v>
      </c>
      <c r="F502" s="3" t="s">
        <v>776</v>
      </c>
    </row>
    <row r="503" spans="1:6" x14ac:dyDescent="0.3">
      <c r="A503" s="3" t="s">
        <v>426</v>
      </c>
      <c r="B503" s="3" t="s">
        <v>20</v>
      </c>
      <c r="C503" s="3" t="str">
        <f t="shared" si="7"/>
        <v>450013609320</v>
      </c>
      <c r="D503" s="4">
        <v>46262</v>
      </c>
      <c r="E503" s="3" t="s">
        <v>614</v>
      </c>
      <c r="F503" s="3" t="s">
        <v>746</v>
      </c>
    </row>
    <row r="504" spans="1:6" x14ac:dyDescent="0.3">
      <c r="A504" s="3" t="s">
        <v>477</v>
      </c>
      <c r="B504" s="3" t="s">
        <v>33</v>
      </c>
      <c r="C504" s="3" t="str">
        <f t="shared" si="7"/>
        <v>450013632310</v>
      </c>
      <c r="D504" s="4">
        <v>46275</v>
      </c>
      <c r="E504" s="3" t="s">
        <v>623</v>
      </c>
      <c r="F504" s="3" t="s">
        <v>777</v>
      </c>
    </row>
    <row r="505" spans="1:6" x14ac:dyDescent="0.3">
      <c r="A505" s="3" t="s">
        <v>477</v>
      </c>
      <c r="B505" s="3" t="s">
        <v>20</v>
      </c>
      <c r="C505" s="3" t="str">
        <f t="shared" si="7"/>
        <v>450013632320</v>
      </c>
      <c r="D505" s="4">
        <v>46275</v>
      </c>
      <c r="E505" s="3" t="s">
        <v>623</v>
      </c>
      <c r="F505" s="3" t="s">
        <v>777</v>
      </c>
    </row>
    <row r="506" spans="1:6" x14ac:dyDescent="0.3">
      <c r="A506" s="3" t="s">
        <v>567</v>
      </c>
      <c r="B506" s="3" t="s">
        <v>33</v>
      </c>
      <c r="C506" s="3" t="str">
        <f t="shared" si="7"/>
        <v>450013649010</v>
      </c>
      <c r="D506" s="4">
        <v>46305</v>
      </c>
      <c r="E506" s="3" t="s">
        <v>638</v>
      </c>
      <c r="F506" s="3" t="s">
        <v>723</v>
      </c>
    </row>
    <row r="507" spans="1:6" x14ac:dyDescent="0.3">
      <c r="A507" s="3" t="s">
        <v>430</v>
      </c>
      <c r="B507" s="3" t="s">
        <v>33</v>
      </c>
      <c r="C507" s="3" t="str">
        <f t="shared" si="7"/>
        <v>450013650510</v>
      </c>
      <c r="D507" s="4">
        <v>46274</v>
      </c>
      <c r="E507" s="3" t="s">
        <v>614</v>
      </c>
      <c r="F507" s="3" t="s">
        <v>776</v>
      </c>
    </row>
    <row r="508" spans="1:6" x14ac:dyDescent="0.3">
      <c r="A508" s="3" t="s">
        <v>430</v>
      </c>
      <c r="B508" s="3" t="s">
        <v>20</v>
      </c>
      <c r="C508" s="3" t="str">
        <f t="shared" si="7"/>
        <v>450013650520</v>
      </c>
      <c r="D508" s="4">
        <v>46274</v>
      </c>
      <c r="E508" s="3" t="s">
        <v>614</v>
      </c>
      <c r="F508" s="3" t="s">
        <v>776</v>
      </c>
    </row>
    <row r="509" spans="1:6" x14ac:dyDescent="0.3">
      <c r="A509" s="3" t="s">
        <v>554</v>
      </c>
      <c r="B509" s="3" t="s">
        <v>33</v>
      </c>
      <c r="C509" s="3" t="str">
        <f t="shared" si="7"/>
        <v>450013657410</v>
      </c>
      <c r="D509" s="4">
        <v>46270</v>
      </c>
      <c r="E509" s="3" t="s">
        <v>612</v>
      </c>
      <c r="F509" s="3" t="s">
        <v>718</v>
      </c>
    </row>
    <row r="510" spans="1:6" x14ac:dyDescent="0.3">
      <c r="A510" s="3" t="s">
        <v>554</v>
      </c>
      <c r="B510" s="3" t="s">
        <v>20</v>
      </c>
      <c r="C510" s="3" t="str">
        <f t="shared" si="7"/>
        <v>450013657420</v>
      </c>
      <c r="D510" s="4">
        <v>46270</v>
      </c>
      <c r="E510" s="3" t="s">
        <v>612</v>
      </c>
      <c r="F510" s="3" t="s">
        <v>718</v>
      </c>
    </row>
    <row r="511" spans="1:6" x14ac:dyDescent="0.3">
      <c r="A511" s="3" t="s">
        <v>554</v>
      </c>
      <c r="B511" s="3" t="s">
        <v>21</v>
      </c>
      <c r="C511" s="3" t="str">
        <f t="shared" si="7"/>
        <v>450013657430</v>
      </c>
      <c r="D511" s="4">
        <v>46270</v>
      </c>
      <c r="E511" s="3" t="s">
        <v>612</v>
      </c>
      <c r="F511" s="3" t="s">
        <v>718</v>
      </c>
    </row>
    <row r="512" spans="1:6" x14ac:dyDescent="0.3">
      <c r="A512" s="3" t="s">
        <v>554</v>
      </c>
      <c r="B512" s="3" t="s">
        <v>25</v>
      </c>
      <c r="C512" s="3" t="str">
        <f t="shared" si="7"/>
        <v>450013657440</v>
      </c>
      <c r="D512" s="4">
        <v>46270</v>
      </c>
      <c r="E512" s="3" t="s">
        <v>612</v>
      </c>
      <c r="F512" s="3" t="s">
        <v>718</v>
      </c>
    </row>
    <row r="513" spans="1:6" x14ac:dyDescent="0.3">
      <c r="A513" s="3" t="s">
        <v>554</v>
      </c>
      <c r="B513" s="3" t="s">
        <v>22</v>
      </c>
      <c r="C513" s="3" t="str">
        <f t="shared" si="7"/>
        <v>450013657450</v>
      </c>
      <c r="D513" s="4">
        <v>46270</v>
      </c>
      <c r="E513" s="3" t="s">
        <v>612</v>
      </c>
      <c r="F513" s="3" t="s">
        <v>718</v>
      </c>
    </row>
    <row r="514" spans="1:6" x14ac:dyDescent="0.3">
      <c r="A514" s="3" t="s">
        <v>554</v>
      </c>
      <c r="B514" s="3" t="s">
        <v>23</v>
      </c>
      <c r="C514" s="3" t="str">
        <f t="shared" si="7"/>
        <v>450013657460</v>
      </c>
      <c r="D514" s="4">
        <v>46270</v>
      </c>
      <c r="E514" s="3" t="s">
        <v>612</v>
      </c>
      <c r="F514" s="3" t="s">
        <v>718</v>
      </c>
    </row>
    <row r="515" spans="1:6" x14ac:dyDescent="0.3">
      <c r="A515" s="3" t="s">
        <v>554</v>
      </c>
      <c r="B515" s="3" t="s">
        <v>24</v>
      </c>
      <c r="C515" s="3" t="str">
        <f t="shared" ref="C515:C578" si="8">_xlfn.CONCAT(A515:B515)</f>
        <v>450013657470</v>
      </c>
      <c r="D515" s="4">
        <v>46290</v>
      </c>
      <c r="E515" s="3" t="s">
        <v>612</v>
      </c>
      <c r="F515" s="3" t="s">
        <v>718</v>
      </c>
    </row>
    <row r="516" spans="1:6" x14ac:dyDescent="0.3">
      <c r="A516" s="3" t="s">
        <v>554</v>
      </c>
      <c r="B516" s="3" t="s">
        <v>321</v>
      </c>
      <c r="C516" s="3" t="str">
        <f t="shared" si="8"/>
        <v>450013657480</v>
      </c>
      <c r="D516" s="4">
        <v>46270</v>
      </c>
      <c r="E516" s="3" t="s">
        <v>612</v>
      </c>
      <c r="F516" s="3" t="s">
        <v>718</v>
      </c>
    </row>
    <row r="517" spans="1:6" x14ac:dyDescent="0.3">
      <c r="A517" s="3" t="s">
        <v>836</v>
      </c>
      <c r="B517" s="3" t="s">
        <v>33</v>
      </c>
      <c r="C517" s="3" t="str">
        <f t="shared" si="8"/>
        <v>450013659910</v>
      </c>
      <c r="D517" s="4">
        <v>46273</v>
      </c>
      <c r="E517" s="3" t="s">
        <v>617</v>
      </c>
      <c r="F517" s="3" t="s">
        <v>719</v>
      </c>
    </row>
    <row r="518" spans="1:6" x14ac:dyDescent="0.3">
      <c r="A518" s="3" t="s">
        <v>836</v>
      </c>
      <c r="B518" s="3" t="s">
        <v>20</v>
      </c>
      <c r="C518" s="3" t="str">
        <f t="shared" si="8"/>
        <v>450013659920</v>
      </c>
      <c r="D518" s="4">
        <v>46273</v>
      </c>
      <c r="E518" s="3" t="s">
        <v>617</v>
      </c>
      <c r="F518" s="3" t="s">
        <v>719</v>
      </c>
    </row>
    <row r="519" spans="1:6" x14ac:dyDescent="0.3">
      <c r="A519" s="3" t="s">
        <v>836</v>
      </c>
      <c r="B519" s="3" t="s">
        <v>21</v>
      </c>
      <c r="C519" s="3" t="str">
        <f t="shared" si="8"/>
        <v>450013659930</v>
      </c>
      <c r="D519" s="4">
        <v>46273</v>
      </c>
      <c r="E519" s="3" t="s">
        <v>617</v>
      </c>
      <c r="F519" s="3" t="s">
        <v>719</v>
      </c>
    </row>
    <row r="520" spans="1:6" x14ac:dyDescent="0.3">
      <c r="A520" s="3" t="s">
        <v>836</v>
      </c>
      <c r="B520" s="3" t="s">
        <v>25</v>
      </c>
      <c r="C520" s="3" t="str">
        <f t="shared" si="8"/>
        <v>450013659940</v>
      </c>
      <c r="D520" s="4">
        <v>46273</v>
      </c>
      <c r="E520" s="3" t="s">
        <v>617</v>
      </c>
      <c r="F520" s="3" t="s">
        <v>719</v>
      </c>
    </row>
    <row r="521" spans="1:6" x14ac:dyDescent="0.3">
      <c r="A521" s="3" t="s">
        <v>836</v>
      </c>
      <c r="B521" s="3" t="s">
        <v>22</v>
      </c>
      <c r="C521" s="3" t="str">
        <f t="shared" si="8"/>
        <v>450013659950</v>
      </c>
      <c r="D521" s="4">
        <v>46273</v>
      </c>
      <c r="E521" s="3" t="s">
        <v>617</v>
      </c>
      <c r="F521" s="3" t="s">
        <v>719</v>
      </c>
    </row>
    <row r="522" spans="1:6" x14ac:dyDescent="0.3">
      <c r="A522" s="3" t="s">
        <v>463</v>
      </c>
      <c r="B522" s="3" t="s">
        <v>21</v>
      </c>
      <c r="C522" s="3" t="str">
        <f t="shared" si="8"/>
        <v>450013665130</v>
      </c>
      <c r="D522" s="4">
        <v>46280</v>
      </c>
      <c r="E522" s="3" t="s">
        <v>612</v>
      </c>
      <c r="F522" s="3" t="s">
        <v>778</v>
      </c>
    </row>
    <row r="523" spans="1:6" x14ac:dyDescent="0.3">
      <c r="A523" s="3" t="s">
        <v>486</v>
      </c>
      <c r="B523" s="3" t="s">
        <v>33</v>
      </c>
      <c r="C523" s="3" t="str">
        <f t="shared" si="8"/>
        <v>450013666510</v>
      </c>
      <c r="D523" s="4">
        <v>46286</v>
      </c>
      <c r="E523" s="3" t="s">
        <v>621</v>
      </c>
      <c r="F523" s="3" t="s">
        <v>779</v>
      </c>
    </row>
    <row r="524" spans="1:6" x14ac:dyDescent="0.3">
      <c r="A524" s="3" t="s">
        <v>486</v>
      </c>
      <c r="B524" s="3" t="s">
        <v>20</v>
      </c>
      <c r="C524" s="3" t="str">
        <f t="shared" si="8"/>
        <v>450013666520</v>
      </c>
      <c r="D524" s="4">
        <v>46286</v>
      </c>
      <c r="E524" s="3" t="s">
        <v>621</v>
      </c>
      <c r="F524" s="3" t="s">
        <v>779</v>
      </c>
    </row>
    <row r="525" spans="1:6" x14ac:dyDescent="0.3">
      <c r="A525" s="3" t="s">
        <v>486</v>
      </c>
      <c r="B525" s="3" t="s">
        <v>21</v>
      </c>
      <c r="C525" s="3" t="str">
        <f t="shared" si="8"/>
        <v>450013666530</v>
      </c>
      <c r="D525" s="4">
        <v>46286</v>
      </c>
      <c r="E525" s="3" t="s">
        <v>621</v>
      </c>
      <c r="F525" s="3" t="s">
        <v>779</v>
      </c>
    </row>
    <row r="526" spans="1:6" x14ac:dyDescent="0.3">
      <c r="A526" s="3" t="s">
        <v>486</v>
      </c>
      <c r="B526" s="3" t="s">
        <v>25</v>
      </c>
      <c r="C526" s="3" t="str">
        <f t="shared" si="8"/>
        <v>450013666540</v>
      </c>
      <c r="D526" s="4">
        <v>46269</v>
      </c>
      <c r="E526" s="3" t="s">
        <v>621</v>
      </c>
      <c r="F526" s="3" t="s">
        <v>779</v>
      </c>
    </row>
    <row r="527" spans="1:6" x14ac:dyDescent="0.3">
      <c r="A527" s="3" t="s">
        <v>486</v>
      </c>
      <c r="B527" s="3" t="s">
        <v>22</v>
      </c>
      <c r="C527" s="3" t="str">
        <f t="shared" si="8"/>
        <v>450013666550</v>
      </c>
      <c r="D527" s="4">
        <v>46269</v>
      </c>
      <c r="E527" s="3" t="s">
        <v>621</v>
      </c>
      <c r="F527" s="3" t="s">
        <v>779</v>
      </c>
    </row>
    <row r="528" spans="1:6" x14ac:dyDescent="0.3">
      <c r="A528" s="3" t="s">
        <v>486</v>
      </c>
      <c r="B528" s="3" t="s">
        <v>23</v>
      </c>
      <c r="C528" s="3" t="str">
        <f t="shared" si="8"/>
        <v>450013666560</v>
      </c>
      <c r="D528" s="4">
        <v>46269</v>
      </c>
      <c r="E528" s="3" t="s">
        <v>621</v>
      </c>
      <c r="F528" s="3" t="s">
        <v>779</v>
      </c>
    </row>
    <row r="529" spans="1:6" x14ac:dyDescent="0.3">
      <c r="A529" s="3" t="s">
        <v>486</v>
      </c>
      <c r="B529" s="3" t="s">
        <v>24</v>
      </c>
      <c r="C529" s="3" t="str">
        <f t="shared" si="8"/>
        <v>450013666570</v>
      </c>
      <c r="D529" s="4">
        <v>46286</v>
      </c>
      <c r="E529" s="3" t="s">
        <v>621</v>
      </c>
      <c r="F529" s="3" t="s">
        <v>779</v>
      </c>
    </row>
    <row r="530" spans="1:6" x14ac:dyDescent="0.3">
      <c r="A530" s="3" t="s">
        <v>486</v>
      </c>
      <c r="B530" s="3" t="s">
        <v>321</v>
      </c>
      <c r="C530" s="3" t="str">
        <f t="shared" si="8"/>
        <v>450013666580</v>
      </c>
      <c r="D530" s="4">
        <v>46286</v>
      </c>
      <c r="E530" s="3" t="s">
        <v>621</v>
      </c>
      <c r="F530" s="3" t="s">
        <v>779</v>
      </c>
    </row>
    <row r="531" spans="1:6" x14ac:dyDescent="0.3">
      <c r="A531" s="3" t="s">
        <v>454</v>
      </c>
      <c r="B531" s="3" t="s">
        <v>33</v>
      </c>
      <c r="C531" s="3" t="str">
        <f t="shared" si="8"/>
        <v>450013670010</v>
      </c>
      <c r="D531" s="4">
        <v>46280</v>
      </c>
      <c r="E531" s="3" t="s">
        <v>628</v>
      </c>
      <c r="F531" s="3" t="s">
        <v>748</v>
      </c>
    </row>
    <row r="532" spans="1:6" x14ac:dyDescent="0.3">
      <c r="A532" s="3" t="s">
        <v>454</v>
      </c>
      <c r="B532" s="3" t="s">
        <v>20</v>
      </c>
      <c r="C532" s="3" t="str">
        <f t="shared" si="8"/>
        <v>450013670020</v>
      </c>
      <c r="D532" s="4">
        <v>46280</v>
      </c>
      <c r="E532" s="3" t="s">
        <v>628</v>
      </c>
      <c r="F532" s="3" t="s">
        <v>748</v>
      </c>
    </row>
    <row r="533" spans="1:6" x14ac:dyDescent="0.3">
      <c r="A533" s="3" t="s">
        <v>454</v>
      </c>
      <c r="B533" s="3" t="s">
        <v>21</v>
      </c>
      <c r="C533" s="3" t="str">
        <f t="shared" si="8"/>
        <v>450013670030</v>
      </c>
      <c r="D533" s="4">
        <v>46280</v>
      </c>
      <c r="E533" s="3" t="s">
        <v>628</v>
      </c>
      <c r="F533" s="3" t="s">
        <v>748</v>
      </c>
    </row>
    <row r="534" spans="1:6" x14ac:dyDescent="0.3">
      <c r="A534" s="3" t="s">
        <v>533</v>
      </c>
      <c r="B534" s="3" t="s">
        <v>33</v>
      </c>
      <c r="C534" s="3" t="str">
        <f t="shared" si="8"/>
        <v>450013672910</v>
      </c>
      <c r="D534" s="4">
        <v>46269</v>
      </c>
      <c r="E534" s="3" t="s">
        <v>617</v>
      </c>
      <c r="F534" s="3" t="s">
        <v>780</v>
      </c>
    </row>
    <row r="535" spans="1:6" x14ac:dyDescent="0.3">
      <c r="A535" s="3" t="s">
        <v>533</v>
      </c>
      <c r="B535" s="3" t="s">
        <v>20</v>
      </c>
      <c r="C535" s="3" t="str">
        <f t="shared" si="8"/>
        <v>450013672920</v>
      </c>
      <c r="D535" s="4">
        <v>46269</v>
      </c>
      <c r="E535" s="3" t="s">
        <v>617</v>
      </c>
      <c r="F535" s="3" t="s">
        <v>780</v>
      </c>
    </row>
    <row r="536" spans="1:6" x14ac:dyDescent="0.3">
      <c r="A536" s="3" t="s">
        <v>472</v>
      </c>
      <c r="B536" s="3" t="s">
        <v>33</v>
      </c>
      <c r="C536" s="3" t="str">
        <f t="shared" si="8"/>
        <v>450013675610</v>
      </c>
      <c r="D536" s="4">
        <v>46269</v>
      </c>
      <c r="E536" s="3" t="s">
        <v>612</v>
      </c>
      <c r="F536" s="3" t="s">
        <v>781</v>
      </c>
    </row>
    <row r="537" spans="1:6" x14ac:dyDescent="0.3">
      <c r="A537" s="3" t="s">
        <v>458</v>
      </c>
      <c r="B537" s="3" t="s">
        <v>33</v>
      </c>
      <c r="C537" s="3" t="str">
        <f t="shared" si="8"/>
        <v>450013675710</v>
      </c>
      <c r="D537" s="4">
        <v>46276</v>
      </c>
      <c r="E537" s="3" t="s">
        <v>612</v>
      </c>
      <c r="F537" s="3" t="s">
        <v>782</v>
      </c>
    </row>
    <row r="538" spans="1:6" x14ac:dyDescent="0.3">
      <c r="A538" s="3" t="s">
        <v>458</v>
      </c>
      <c r="B538" s="3" t="s">
        <v>20</v>
      </c>
      <c r="C538" s="3" t="str">
        <f t="shared" si="8"/>
        <v>450013675720</v>
      </c>
      <c r="D538" s="4">
        <v>46276</v>
      </c>
      <c r="E538" s="3" t="s">
        <v>612</v>
      </c>
      <c r="F538" s="3" t="s">
        <v>782</v>
      </c>
    </row>
    <row r="539" spans="1:6" x14ac:dyDescent="0.3">
      <c r="A539" s="3" t="s">
        <v>458</v>
      </c>
      <c r="B539" s="3" t="s">
        <v>21</v>
      </c>
      <c r="C539" s="3" t="str">
        <f t="shared" si="8"/>
        <v>450013675730</v>
      </c>
      <c r="D539" s="4">
        <v>46276</v>
      </c>
      <c r="E539" s="3" t="s">
        <v>612</v>
      </c>
      <c r="F539" s="3" t="s">
        <v>782</v>
      </c>
    </row>
    <row r="540" spans="1:6" x14ac:dyDescent="0.3">
      <c r="A540" s="3" t="s">
        <v>837</v>
      </c>
      <c r="B540" s="3" t="s">
        <v>33</v>
      </c>
      <c r="C540" s="3" t="str">
        <f t="shared" si="8"/>
        <v>450013677610</v>
      </c>
      <c r="D540" s="4">
        <v>46310</v>
      </c>
      <c r="E540" s="3" t="s">
        <v>630</v>
      </c>
      <c r="F540" s="3" t="s">
        <v>847</v>
      </c>
    </row>
    <row r="541" spans="1:6" x14ac:dyDescent="0.3">
      <c r="A541" s="3" t="s">
        <v>448</v>
      </c>
      <c r="B541" s="3" t="s">
        <v>33</v>
      </c>
      <c r="C541" s="3" t="str">
        <f t="shared" si="8"/>
        <v>450013678110</v>
      </c>
      <c r="D541" s="4">
        <v>46280</v>
      </c>
      <c r="E541" s="3" t="s">
        <v>614</v>
      </c>
      <c r="F541" s="3" t="s">
        <v>778</v>
      </c>
    </row>
    <row r="542" spans="1:6" x14ac:dyDescent="0.3">
      <c r="A542" s="3" t="s">
        <v>448</v>
      </c>
      <c r="B542" s="3" t="s">
        <v>20</v>
      </c>
      <c r="C542" s="3" t="str">
        <f t="shared" si="8"/>
        <v>450013678120</v>
      </c>
      <c r="D542" s="4">
        <v>46280</v>
      </c>
      <c r="E542" s="3" t="s">
        <v>614</v>
      </c>
      <c r="F542" s="3" t="s">
        <v>778</v>
      </c>
    </row>
    <row r="543" spans="1:6" x14ac:dyDescent="0.3">
      <c r="A543" s="3" t="s">
        <v>448</v>
      </c>
      <c r="B543" s="3" t="s">
        <v>21</v>
      </c>
      <c r="C543" s="3" t="str">
        <f t="shared" si="8"/>
        <v>450013678130</v>
      </c>
      <c r="D543" s="4">
        <v>46280</v>
      </c>
      <c r="E543" s="3" t="s">
        <v>614</v>
      </c>
      <c r="F543" s="3" t="s">
        <v>778</v>
      </c>
    </row>
    <row r="544" spans="1:6" x14ac:dyDescent="0.3">
      <c r="A544" s="3" t="s">
        <v>474</v>
      </c>
      <c r="B544" s="3" t="s">
        <v>33</v>
      </c>
      <c r="C544" s="3" t="str">
        <f t="shared" si="8"/>
        <v>450013678710</v>
      </c>
      <c r="D544" s="4">
        <v>46264</v>
      </c>
      <c r="E544" s="3" t="s">
        <v>614</v>
      </c>
      <c r="F544" s="3" t="s">
        <v>711</v>
      </c>
    </row>
    <row r="545" spans="1:6" x14ac:dyDescent="0.3">
      <c r="A545" s="3" t="s">
        <v>474</v>
      </c>
      <c r="B545" s="3" t="s">
        <v>20</v>
      </c>
      <c r="C545" s="3" t="str">
        <f t="shared" si="8"/>
        <v>450013678720</v>
      </c>
      <c r="D545" s="4">
        <v>46266</v>
      </c>
      <c r="E545" s="3" t="s">
        <v>614</v>
      </c>
      <c r="F545" s="3" t="s">
        <v>711</v>
      </c>
    </row>
    <row r="546" spans="1:6" x14ac:dyDescent="0.3">
      <c r="A546" s="3" t="s">
        <v>474</v>
      </c>
      <c r="B546" s="3" t="s">
        <v>21</v>
      </c>
      <c r="C546" s="3" t="str">
        <f t="shared" si="8"/>
        <v>450013678730</v>
      </c>
      <c r="D546" s="4">
        <v>46266</v>
      </c>
      <c r="E546" s="3" t="s">
        <v>614</v>
      </c>
      <c r="F546" s="3" t="s">
        <v>711</v>
      </c>
    </row>
    <row r="547" spans="1:6" x14ac:dyDescent="0.3">
      <c r="A547" s="3" t="s">
        <v>474</v>
      </c>
      <c r="B547" s="3" t="s">
        <v>25</v>
      </c>
      <c r="C547" s="3" t="str">
        <f t="shared" si="8"/>
        <v>450013678740</v>
      </c>
      <c r="D547" s="4">
        <v>46266</v>
      </c>
      <c r="E547" s="3" t="s">
        <v>614</v>
      </c>
      <c r="F547" s="3" t="s">
        <v>711</v>
      </c>
    </row>
    <row r="548" spans="1:6" x14ac:dyDescent="0.3">
      <c r="A548" s="3" t="s">
        <v>665</v>
      </c>
      <c r="B548" s="3" t="s">
        <v>33</v>
      </c>
      <c r="C548" s="3" t="str">
        <f t="shared" si="8"/>
        <v>450013686110</v>
      </c>
      <c r="D548" s="4">
        <v>46285</v>
      </c>
      <c r="E548" s="3" t="s">
        <v>614</v>
      </c>
      <c r="F548" s="3" t="s">
        <v>727</v>
      </c>
    </row>
    <row r="549" spans="1:6" x14ac:dyDescent="0.3">
      <c r="A549" s="3" t="s">
        <v>665</v>
      </c>
      <c r="B549" s="3" t="s">
        <v>20</v>
      </c>
      <c r="C549" s="3" t="str">
        <f t="shared" si="8"/>
        <v>450013686120</v>
      </c>
      <c r="D549" s="4">
        <v>46301</v>
      </c>
      <c r="E549" s="3" t="s">
        <v>614</v>
      </c>
      <c r="F549" s="3" t="s">
        <v>727</v>
      </c>
    </row>
    <row r="550" spans="1:6" x14ac:dyDescent="0.3">
      <c r="A550" s="3" t="s">
        <v>827</v>
      </c>
      <c r="B550" s="3" t="s">
        <v>33</v>
      </c>
      <c r="C550" s="3" t="str">
        <f t="shared" si="8"/>
        <v>450013687210</v>
      </c>
      <c r="D550" s="4">
        <v>46295</v>
      </c>
      <c r="E550" s="3" t="s">
        <v>644</v>
      </c>
      <c r="F550" s="3" t="s">
        <v>733</v>
      </c>
    </row>
    <row r="551" spans="1:6" x14ac:dyDescent="0.3">
      <c r="A551" s="3" t="s">
        <v>827</v>
      </c>
      <c r="B551" s="3" t="s">
        <v>20</v>
      </c>
      <c r="C551" s="3" t="str">
        <f t="shared" si="8"/>
        <v>450013687220</v>
      </c>
      <c r="D551" s="4">
        <v>46272</v>
      </c>
      <c r="E551" s="3" t="s">
        <v>644</v>
      </c>
      <c r="F551" s="3" t="s">
        <v>733</v>
      </c>
    </row>
    <row r="552" spans="1:6" x14ac:dyDescent="0.3">
      <c r="A552" s="3" t="s">
        <v>827</v>
      </c>
      <c r="B552" s="3" t="s">
        <v>21</v>
      </c>
      <c r="C552" s="3" t="str">
        <f t="shared" si="8"/>
        <v>450013687230</v>
      </c>
      <c r="D552" s="4">
        <v>46277</v>
      </c>
      <c r="E552" s="3" t="s">
        <v>644</v>
      </c>
      <c r="F552" s="3" t="s">
        <v>733</v>
      </c>
    </row>
    <row r="553" spans="1:6" x14ac:dyDescent="0.3">
      <c r="A553" s="3" t="s">
        <v>555</v>
      </c>
      <c r="B553" s="3" t="s">
        <v>33</v>
      </c>
      <c r="C553" s="3" t="str">
        <f t="shared" si="8"/>
        <v>450013687910</v>
      </c>
      <c r="D553" s="4">
        <v>46297</v>
      </c>
      <c r="E553" s="3" t="s">
        <v>622</v>
      </c>
      <c r="F553" s="3" t="s">
        <v>783</v>
      </c>
    </row>
    <row r="554" spans="1:6" x14ac:dyDescent="0.3">
      <c r="A554" s="3" t="s">
        <v>461</v>
      </c>
      <c r="B554" s="3" t="s">
        <v>33</v>
      </c>
      <c r="C554" s="3" t="str">
        <f t="shared" si="8"/>
        <v>450013690910</v>
      </c>
      <c r="D554" s="4">
        <v>46274</v>
      </c>
      <c r="E554" s="3" t="s">
        <v>623</v>
      </c>
      <c r="F554" s="3" t="s">
        <v>784</v>
      </c>
    </row>
    <row r="555" spans="1:6" x14ac:dyDescent="0.3">
      <c r="A555" s="3" t="s">
        <v>547</v>
      </c>
      <c r="B555" s="3" t="s">
        <v>33</v>
      </c>
      <c r="C555" s="3" t="str">
        <f t="shared" si="8"/>
        <v>450013691810</v>
      </c>
      <c r="D555" s="4">
        <v>46287</v>
      </c>
      <c r="E555" s="3" t="s">
        <v>619</v>
      </c>
      <c r="F555" s="3" t="s">
        <v>711</v>
      </c>
    </row>
    <row r="556" spans="1:6" x14ac:dyDescent="0.3">
      <c r="A556" s="3" t="s">
        <v>547</v>
      </c>
      <c r="B556" s="3" t="s">
        <v>21</v>
      </c>
      <c r="C556" s="3" t="str">
        <f t="shared" si="8"/>
        <v>450013691830</v>
      </c>
      <c r="D556" s="4">
        <v>46287</v>
      </c>
      <c r="E556" s="3" t="s">
        <v>619</v>
      </c>
      <c r="F556" s="3" t="s">
        <v>711</v>
      </c>
    </row>
    <row r="557" spans="1:6" x14ac:dyDescent="0.3">
      <c r="A557" s="3" t="s">
        <v>547</v>
      </c>
      <c r="B557" s="3" t="s">
        <v>25</v>
      </c>
      <c r="C557" s="3" t="str">
        <f t="shared" si="8"/>
        <v>450013691840</v>
      </c>
      <c r="D557" s="4">
        <v>46287</v>
      </c>
      <c r="E557" s="3" t="s">
        <v>619</v>
      </c>
      <c r="F557" s="3" t="s">
        <v>711</v>
      </c>
    </row>
    <row r="558" spans="1:6" x14ac:dyDescent="0.3">
      <c r="A558" s="3" t="s">
        <v>574</v>
      </c>
      <c r="B558" s="3" t="s">
        <v>33</v>
      </c>
      <c r="C558" s="3" t="str">
        <f t="shared" si="8"/>
        <v>450013692310</v>
      </c>
      <c r="D558" s="4">
        <v>46295</v>
      </c>
      <c r="E558" s="3" t="s">
        <v>610</v>
      </c>
      <c r="F558" s="3" t="s">
        <v>721</v>
      </c>
    </row>
    <row r="559" spans="1:6" x14ac:dyDescent="0.3">
      <c r="A559" s="3" t="s">
        <v>574</v>
      </c>
      <c r="B559" s="3" t="s">
        <v>20</v>
      </c>
      <c r="C559" s="3" t="str">
        <f t="shared" si="8"/>
        <v>450013692320</v>
      </c>
      <c r="D559" s="4">
        <v>46295</v>
      </c>
      <c r="E559" s="3" t="s">
        <v>610</v>
      </c>
      <c r="F559" s="3" t="s">
        <v>721</v>
      </c>
    </row>
    <row r="560" spans="1:6" x14ac:dyDescent="0.3">
      <c r="A560" s="3" t="s">
        <v>434</v>
      </c>
      <c r="B560" s="3" t="s">
        <v>33</v>
      </c>
      <c r="C560" s="3" t="str">
        <f t="shared" si="8"/>
        <v>450013694110</v>
      </c>
      <c r="D560" s="4">
        <v>46280</v>
      </c>
      <c r="E560" s="3" t="s">
        <v>638</v>
      </c>
      <c r="F560" s="3" t="s">
        <v>775</v>
      </c>
    </row>
    <row r="561" spans="1:6" x14ac:dyDescent="0.3">
      <c r="A561" s="3" t="s">
        <v>550</v>
      </c>
      <c r="B561" s="3" t="s">
        <v>33</v>
      </c>
      <c r="C561" s="3" t="str">
        <f t="shared" si="8"/>
        <v>450013695410</v>
      </c>
      <c r="D561" s="4">
        <v>46280</v>
      </c>
      <c r="E561" s="3" t="s">
        <v>617</v>
      </c>
      <c r="F561" s="3" t="s">
        <v>785</v>
      </c>
    </row>
    <row r="562" spans="1:6" x14ac:dyDescent="0.3">
      <c r="A562" s="3" t="s">
        <v>546</v>
      </c>
      <c r="B562" s="3" t="s">
        <v>33</v>
      </c>
      <c r="C562" s="3" t="str">
        <f t="shared" si="8"/>
        <v>450013695610</v>
      </c>
      <c r="D562" s="4">
        <v>46275</v>
      </c>
      <c r="E562" s="3" t="s">
        <v>617</v>
      </c>
      <c r="F562" s="3" t="s">
        <v>773</v>
      </c>
    </row>
    <row r="563" spans="1:6" x14ac:dyDescent="0.3">
      <c r="A563" s="3" t="s">
        <v>546</v>
      </c>
      <c r="B563" s="3" t="s">
        <v>20</v>
      </c>
      <c r="C563" s="3" t="str">
        <f t="shared" si="8"/>
        <v>450013695620</v>
      </c>
      <c r="D563" s="4">
        <v>46275</v>
      </c>
      <c r="E563" s="3" t="s">
        <v>617</v>
      </c>
      <c r="F563" s="3" t="s">
        <v>773</v>
      </c>
    </row>
    <row r="564" spans="1:6" x14ac:dyDescent="0.3">
      <c r="A564" s="3" t="s">
        <v>546</v>
      </c>
      <c r="B564" s="3" t="s">
        <v>21</v>
      </c>
      <c r="C564" s="3" t="str">
        <f t="shared" si="8"/>
        <v>450013695630</v>
      </c>
      <c r="D564" s="4">
        <v>46275</v>
      </c>
      <c r="E564" s="3" t="s">
        <v>617</v>
      </c>
      <c r="F564" s="3" t="s">
        <v>773</v>
      </c>
    </row>
    <row r="565" spans="1:6" x14ac:dyDescent="0.3">
      <c r="A565" s="3" t="s">
        <v>546</v>
      </c>
      <c r="B565" s="3" t="s">
        <v>25</v>
      </c>
      <c r="C565" s="3" t="str">
        <f t="shared" si="8"/>
        <v>450013695640</v>
      </c>
      <c r="D565" s="4">
        <v>46275</v>
      </c>
      <c r="E565" s="3" t="s">
        <v>617</v>
      </c>
      <c r="F565" s="3" t="s">
        <v>773</v>
      </c>
    </row>
    <row r="566" spans="1:6" x14ac:dyDescent="0.3">
      <c r="A566" s="3" t="s">
        <v>546</v>
      </c>
      <c r="B566" s="3" t="s">
        <v>22</v>
      </c>
      <c r="C566" s="3" t="str">
        <f t="shared" si="8"/>
        <v>450013695650</v>
      </c>
      <c r="D566" s="4">
        <v>46275</v>
      </c>
      <c r="E566" s="3" t="s">
        <v>617</v>
      </c>
      <c r="F566" s="3" t="s">
        <v>773</v>
      </c>
    </row>
    <row r="567" spans="1:6" x14ac:dyDescent="0.3">
      <c r="A567" s="3" t="s">
        <v>450</v>
      </c>
      <c r="B567" s="3" t="s">
        <v>33</v>
      </c>
      <c r="C567" s="3" t="str">
        <f t="shared" si="8"/>
        <v>450013700410</v>
      </c>
      <c r="D567" s="4">
        <v>46276</v>
      </c>
      <c r="E567" s="3" t="s">
        <v>612</v>
      </c>
      <c r="F567" s="3" t="s">
        <v>759</v>
      </c>
    </row>
    <row r="568" spans="1:6" x14ac:dyDescent="0.3">
      <c r="A568" s="3" t="s">
        <v>445</v>
      </c>
      <c r="B568" s="3" t="s">
        <v>33</v>
      </c>
      <c r="C568" s="3" t="str">
        <f t="shared" si="8"/>
        <v>450013707610</v>
      </c>
      <c r="D568" s="4">
        <v>46269</v>
      </c>
      <c r="E568" s="3" t="s">
        <v>640</v>
      </c>
      <c r="F568" s="3" t="s">
        <v>786</v>
      </c>
    </row>
    <row r="569" spans="1:6" x14ac:dyDescent="0.3">
      <c r="A569" s="3" t="s">
        <v>465</v>
      </c>
      <c r="B569" s="3" t="s">
        <v>33</v>
      </c>
      <c r="C569" s="3" t="str">
        <f t="shared" si="8"/>
        <v>450013713310</v>
      </c>
      <c r="D569" s="4">
        <v>46275</v>
      </c>
      <c r="E569" s="3" t="s">
        <v>628</v>
      </c>
      <c r="F569" s="3" t="s">
        <v>775</v>
      </c>
    </row>
    <row r="570" spans="1:6" x14ac:dyDescent="0.3">
      <c r="A570" s="3" t="s">
        <v>514</v>
      </c>
      <c r="B570" s="3" t="s">
        <v>33</v>
      </c>
      <c r="C570" s="3" t="str">
        <f t="shared" si="8"/>
        <v>450013713610</v>
      </c>
      <c r="D570" s="4">
        <v>46287</v>
      </c>
      <c r="E570" s="3" t="s">
        <v>641</v>
      </c>
      <c r="F570" s="3" t="s">
        <v>787</v>
      </c>
    </row>
    <row r="571" spans="1:6" x14ac:dyDescent="0.3">
      <c r="A571" s="3" t="s">
        <v>659</v>
      </c>
      <c r="B571" s="3" t="s">
        <v>33</v>
      </c>
      <c r="C571" s="3" t="str">
        <f t="shared" si="8"/>
        <v>450013717410</v>
      </c>
      <c r="D571" s="4">
        <v>46287</v>
      </c>
      <c r="E571" s="3" t="s">
        <v>612</v>
      </c>
      <c r="F571" s="3" t="s">
        <v>733</v>
      </c>
    </row>
    <row r="572" spans="1:6" x14ac:dyDescent="0.3">
      <c r="A572" s="3" t="s">
        <v>659</v>
      </c>
      <c r="B572" s="3" t="s">
        <v>20</v>
      </c>
      <c r="C572" s="3" t="str">
        <f t="shared" si="8"/>
        <v>450013717420</v>
      </c>
      <c r="D572" s="4">
        <v>46287</v>
      </c>
      <c r="E572" s="3" t="s">
        <v>612</v>
      </c>
      <c r="F572" s="3" t="s">
        <v>733</v>
      </c>
    </row>
    <row r="573" spans="1:6" x14ac:dyDescent="0.3">
      <c r="A573" s="3" t="s">
        <v>440</v>
      </c>
      <c r="B573" s="3" t="s">
        <v>21</v>
      </c>
      <c r="C573" s="3" t="str">
        <f t="shared" si="8"/>
        <v>450013717730</v>
      </c>
      <c r="D573" s="4">
        <v>46275</v>
      </c>
      <c r="E573" s="3" t="s">
        <v>618</v>
      </c>
      <c r="F573" s="3" t="s">
        <v>746</v>
      </c>
    </row>
    <row r="574" spans="1:6" x14ac:dyDescent="0.3">
      <c r="A574" s="3" t="s">
        <v>596</v>
      </c>
      <c r="B574" s="3" t="s">
        <v>33</v>
      </c>
      <c r="C574" s="3" t="str">
        <f t="shared" si="8"/>
        <v>450013717810</v>
      </c>
      <c r="D574" s="4">
        <v>46274</v>
      </c>
      <c r="E574" s="3" t="s">
        <v>619</v>
      </c>
      <c r="F574" s="3" t="s">
        <v>759</v>
      </c>
    </row>
    <row r="575" spans="1:6" x14ac:dyDescent="0.3">
      <c r="A575" s="3" t="s">
        <v>596</v>
      </c>
      <c r="B575" s="3" t="s">
        <v>20</v>
      </c>
      <c r="C575" s="3" t="str">
        <f t="shared" si="8"/>
        <v>450013717820</v>
      </c>
      <c r="D575" s="4">
        <v>46310</v>
      </c>
      <c r="E575" s="3" t="s">
        <v>619</v>
      </c>
      <c r="F575" s="3" t="s">
        <v>759</v>
      </c>
    </row>
    <row r="576" spans="1:6" x14ac:dyDescent="0.3">
      <c r="A576" s="3" t="s">
        <v>569</v>
      </c>
      <c r="B576" s="3" t="s">
        <v>33</v>
      </c>
      <c r="C576" s="3" t="str">
        <f t="shared" si="8"/>
        <v>450013724010</v>
      </c>
      <c r="D576" s="4">
        <v>46290</v>
      </c>
      <c r="E576" s="3" t="s">
        <v>612</v>
      </c>
      <c r="F576" s="3" t="s">
        <v>730</v>
      </c>
    </row>
    <row r="577" spans="1:6" x14ac:dyDescent="0.3">
      <c r="A577" s="3" t="s">
        <v>522</v>
      </c>
      <c r="B577" s="3" t="s">
        <v>20</v>
      </c>
      <c r="C577" s="3" t="str">
        <f t="shared" si="8"/>
        <v>450013724520</v>
      </c>
      <c r="D577" s="4">
        <v>46272</v>
      </c>
      <c r="E577" s="3" t="s">
        <v>612</v>
      </c>
      <c r="F577" s="3" t="s">
        <v>718</v>
      </c>
    </row>
    <row r="578" spans="1:6" x14ac:dyDescent="0.3">
      <c r="A578" s="3" t="s">
        <v>522</v>
      </c>
      <c r="B578" s="3" t="s">
        <v>21</v>
      </c>
      <c r="C578" s="3" t="str">
        <f t="shared" si="8"/>
        <v>450013724530</v>
      </c>
      <c r="D578" s="4">
        <v>46287</v>
      </c>
      <c r="E578" s="3" t="s">
        <v>612</v>
      </c>
      <c r="F578" s="3" t="s">
        <v>718</v>
      </c>
    </row>
    <row r="579" spans="1:6" x14ac:dyDescent="0.3">
      <c r="A579" s="3" t="s">
        <v>468</v>
      </c>
      <c r="B579" s="3" t="s">
        <v>33</v>
      </c>
      <c r="C579" s="3" t="str">
        <f t="shared" ref="C579:C642" si="9">_xlfn.CONCAT(A579:B579)</f>
        <v>450013732810</v>
      </c>
      <c r="D579" s="4">
        <v>46280</v>
      </c>
      <c r="E579" s="3" t="s">
        <v>612</v>
      </c>
      <c r="F579" s="3" t="s">
        <v>788</v>
      </c>
    </row>
    <row r="580" spans="1:6" x14ac:dyDescent="0.3">
      <c r="A580" s="3" t="s">
        <v>481</v>
      </c>
      <c r="B580" s="3" t="s">
        <v>33</v>
      </c>
      <c r="C580" s="3" t="str">
        <f t="shared" si="9"/>
        <v>450013733410</v>
      </c>
      <c r="D580" s="4">
        <v>46270</v>
      </c>
      <c r="E580" s="3" t="s">
        <v>614</v>
      </c>
      <c r="F580" s="3" t="s">
        <v>746</v>
      </c>
    </row>
    <row r="581" spans="1:6" x14ac:dyDescent="0.3">
      <c r="A581" s="3" t="s">
        <v>508</v>
      </c>
      <c r="B581" s="3" t="s">
        <v>33</v>
      </c>
      <c r="C581" s="3" t="str">
        <f t="shared" si="9"/>
        <v>450013743510</v>
      </c>
      <c r="D581" s="4">
        <v>46285</v>
      </c>
      <c r="E581" s="3" t="s">
        <v>624</v>
      </c>
      <c r="F581" s="3" t="s">
        <v>777</v>
      </c>
    </row>
    <row r="582" spans="1:6" x14ac:dyDescent="0.3">
      <c r="A582" s="3" t="s">
        <v>508</v>
      </c>
      <c r="B582" s="3" t="s">
        <v>20</v>
      </c>
      <c r="C582" s="3" t="str">
        <f t="shared" si="9"/>
        <v>450013743520</v>
      </c>
      <c r="D582" s="4">
        <v>46285</v>
      </c>
      <c r="E582" s="3" t="s">
        <v>624</v>
      </c>
      <c r="F582" s="3" t="s">
        <v>777</v>
      </c>
    </row>
    <row r="583" spans="1:6" x14ac:dyDescent="0.3">
      <c r="A583" s="3" t="s">
        <v>508</v>
      </c>
      <c r="B583" s="3" t="s">
        <v>21</v>
      </c>
      <c r="C583" s="3" t="str">
        <f t="shared" si="9"/>
        <v>450013743530</v>
      </c>
      <c r="D583" s="4">
        <v>46285</v>
      </c>
      <c r="E583" s="3" t="s">
        <v>624</v>
      </c>
      <c r="F583" s="3" t="s">
        <v>777</v>
      </c>
    </row>
    <row r="584" spans="1:6" x14ac:dyDescent="0.3">
      <c r="A584" s="3" t="s">
        <v>548</v>
      </c>
      <c r="B584" s="3" t="s">
        <v>33</v>
      </c>
      <c r="C584" s="3" t="str">
        <f t="shared" si="9"/>
        <v>450013751110</v>
      </c>
      <c r="D584" s="4">
        <v>46280</v>
      </c>
      <c r="E584" s="3" t="s">
        <v>612</v>
      </c>
      <c r="F584" s="3" t="s">
        <v>713</v>
      </c>
    </row>
    <row r="585" spans="1:6" x14ac:dyDescent="0.3">
      <c r="A585" s="3" t="s">
        <v>658</v>
      </c>
      <c r="B585" s="3" t="s">
        <v>33</v>
      </c>
      <c r="C585" s="3" t="str">
        <f t="shared" si="9"/>
        <v>450013759110</v>
      </c>
      <c r="D585" s="4">
        <v>46291</v>
      </c>
      <c r="E585" s="3" t="s">
        <v>612</v>
      </c>
      <c r="F585" s="3" t="s">
        <v>711</v>
      </c>
    </row>
    <row r="586" spans="1:6" x14ac:dyDescent="0.3">
      <c r="A586" s="3" t="s">
        <v>658</v>
      </c>
      <c r="B586" s="3" t="s">
        <v>20</v>
      </c>
      <c r="C586" s="3" t="str">
        <f t="shared" si="9"/>
        <v>450013759120</v>
      </c>
      <c r="D586" s="4">
        <v>46277</v>
      </c>
      <c r="E586" s="3" t="s">
        <v>612</v>
      </c>
      <c r="F586" s="3" t="s">
        <v>711</v>
      </c>
    </row>
    <row r="587" spans="1:6" x14ac:dyDescent="0.3">
      <c r="A587" s="3" t="s">
        <v>658</v>
      </c>
      <c r="B587" s="3" t="s">
        <v>21</v>
      </c>
      <c r="C587" s="3" t="str">
        <f t="shared" si="9"/>
        <v>450013759130</v>
      </c>
      <c r="D587" s="4">
        <v>46277</v>
      </c>
      <c r="E587" s="3" t="s">
        <v>612</v>
      </c>
      <c r="F587" s="3" t="s">
        <v>711</v>
      </c>
    </row>
    <row r="588" spans="1:6" x14ac:dyDescent="0.3">
      <c r="A588" s="3" t="s">
        <v>658</v>
      </c>
      <c r="B588" s="3" t="s">
        <v>25</v>
      </c>
      <c r="C588" s="3" t="str">
        <f t="shared" si="9"/>
        <v>450013759140</v>
      </c>
      <c r="D588" s="4">
        <v>46301</v>
      </c>
      <c r="E588" s="3" t="s">
        <v>612</v>
      </c>
      <c r="F588" s="3" t="s">
        <v>711</v>
      </c>
    </row>
    <row r="589" spans="1:6" x14ac:dyDescent="0.3">
      <c r="A589" s="3" t="s">
        <v>506</v>
      </c>
      <c r="B589" s="3" t="s">
        <v>33</v>
      </c>
      <c r="C589" s="3" t="str">
        <f t="shared" si="9"/>
        <v>450013762410</v>
      </c>
      <c r="D589" s="4">
        <v>46280</v>
      </c>
      <c r="E589" s="3" t="s">
        <v>612</v>
      </c>
      <c r="F589" s="3" t="s">
        <v>773</v>
      </c>
    </row>
    <row r="590" spans="1:6" x14ac:dyDescent="0.3">
      <c r="A590" s="3" t="s">
        <v>834</v>
      </c>
      <c r="B590" s="3" t="s">
        <v>33</v>
      </c>
      <c r="C590" s="3" t="str">
        <f t="shared" si="9"/>
        <v>450013762810</v>
      </c>
      <c r="D590" s="4">
        <v>46291</v>
      </c>
      <c r="E590" s="3" t="s">
        <v>612</v>
      </c>
      <c r="F590" s="3" t="s">
        <v>718</v>
      </c>
    </row>
    <row r="591" spans="1:6" x14ac:dyDescent="0.3">
      <c r="A591" s="3" t="s">
        <v>504</v>
      </c>
      <c r="B591" s="3" t="s">
        <v>33</v>
      </c>
      <c r="C591" s="3" t="str">
        <f t="shared" si="9"/>
        <v>450013764110</v>
      </c>
      <c r="D591" s="4">
        <v>46282</v>
      </c>
      <c r="E591" s="3" t="s">
        <v>642</v>
      </c>
      <c r="F591" s="3" t="s">
        <v>733</v>
      </c>
    </row>
    <row r="592" spans="1:6" x14ac:dyDescent="0.3">
      <c r="A592" s="3" t="s">
        <v>504</v>
      </c>
      <c r="B592" s="3" t="s">
        <v>20</v>
      </c>
      <c r="C592" s="3" t="str">
        <f t="shared" si="9"/>
        <v>450013764120</v>
      </c>
      <c r="D592" s="4">
        <v>46282</v>
      </c>
      <c r="E592" s="3" t="s">
        <v>642</v>
      </c>
      <c r="F592" s="3" t="s">
        <v>733</v>
      </c>
    </row>
    <row r="593" spans="1:6" x14ac:dyDescent="0.3">
      <c r="A593" s="3" t="s">
        <v>504</v>
      </c>
      <c r="B593" s="3" t="s">
        <v>21</v>
      </c>
      <c r="C593" s="3" t="str">
        <f t="shared" si="9"/>
        <v>450013764130</v>
      </c>
      <c r="D593" s="4">
        <v>46282</v>
      </c>
      <c r="E593" s="3" t="s">
        <v>642</v>
      </c>
      <c r="F593" s="3" t="s">
        <v>733</v>
      </c>
    </row>
    <row r="594" spans="1:6" x14ac:dyDescent="0.3">
      <c r="A594" s="3" t="s">
        <v>485</v>
      </c>
      <c r="B594" s="3" t="s">
        <v>33</v>
      </c>
      <c r="C594" s="3" t="str">
        <f t="shared" si="9"/>
        <v>450013770410</v>
      </c>
      <c r="D594" s="4">
        <v>46282</v>
      </c>
      <c r="E594" s="3" t="s">
        <v>612</v>
      </c>
      <c r="F594" s="3" t="s">
        <v>789</v>
      </c>
    </row>
    <row r="595" spans="1:6" x14ac:dyDescent="0.3">
      <c r="A595" s="3" t="s">
        <v>530</v>
      </c>
      <c r="B595" s="3" t="s">
        <v>33</v>
      </c>
      <c r="C595" s="3" t="str">
        <f t="shared" si="9"/>
        <v>450013772710</v>
      </c>
      <c r="D595" s="4">
        <v>46281</v>
      </c>
      <c r="E595" s="3" t="s">
        <v>623</v>
      </c>
      <c r="F595" s="3" t="s">
        <v>777</v>
      </c>
    </row>
    <row r="596" spans="1:6" x14ac:dyDescent="0.3">
      <c r="A596" s="3" t="s">
        <v>530</v>
      </c>
      <c r="B596" s="3" t="s">
        <v>20</v>
      </c>
      <c r="C596" s="3" t="str">
        <f t="shared" si="9"/>
        <v>450013772720</v>
      </c>
      <c r="D596" s="4">
        <v>46282</v>
      </c>
      <c r="E596" s="3" t="s">
        <v>623</v>
      </c>
      <c r="F596" s="3" t="s">
        <v>777</v>
      </c>
    </row>
    <row r="597" spans="1:6" x14ac:dyDescent="0.3">
      <c r="A597" s="3" t="s">
        <v>667</v>
      </c>
      <c r="B597" s="3" t="s">
        <v>33</v>
      </c>
      <c r="C597" s="3" t="str">
        <f t="shared" si="9"/>
        <v>450013795210</v>
      </c>
      <c r="D597" s="4">
        <v>46301</v>
      </c>
      <c r="E597" s="3" t="s">
        <v>612</v>
      </c>
      <c r="F597" s="3" t="s">
        <v>727</v>
      </c>
    </row>
    <row r="598" spans="1:6" x14ac:dyDescent="0.3">
      <c r="A598" s="3" t="s">
        <v>503</v>
      </c>
      <c r="B598" s="3" t="s">
        <v>33</v>
      </c>
      <c r="C598" s="3" t="str">
        <f t="shared" si="9"/>
        <v>450013799610</v>
      </c>
      <c r="D598" s="4">
        <v>46287</v>
      </c>
      <c r="E598" s="3" t="s">
        <v>623</v>
      </c>
      <c r="F598" s="3" t="s">
        <v>777</v>
      </c>
    </row>
    <row r="599" spans="1:6" x14ac:dyDescent="0.3">
      <c r="A599" s="3" t="s">
        <v>529</v>
      </c>
      <c r="B599" s="3" t="s">
        <v>33</v>
      </c>
      <c r="C599" s="3" t="str">
        <f t="shared" si="9"/>
        <v>450013804510</v>
      </c>
      <c r="D599" s="4">
        <v>46275</v>
      </c>
      <c r="E599" s="3" t="s">
        <v>620</v>
      </c>
      <c r="F599" s="3" t="s">
        <v>790</v>
      </c>
    </row>
    <row r="600" spans="1:6" x14ac:dyDescent="0.3">
      <c r="A600" s="3" t="s">
        <v>493</v>
      </c>
      <c r="B600" s="3" t="s">
        <v>33</v>
      </c>
      <c r="C600" s="3" t="str">
        <f t="shared" si="9"/>
        <v>450013806610</v>
      </c>
      <c r="D600" s="4">
        <v>46275</v>
      </c>
      <c r="E600" s="3" t="s">
        <v>614</v>
      </c>
      <c r="F600" s="3" t="s">
        <v>730</v>
      </c>
    </row>
    <row r="601" spans="1:6" x14ac:dyDescent="0.3">
      <c r="A601" s="3" t="s">
        <v>493</v>
      </c>
      <c r="B601" s="3" t="s">
        <v>20</v>
      </c>
      <c r="C601" s="3" t="str">
        <f t="shared" si="9"/>
        <v>450013806620</v>
      </c>
      <c r="D601" s="4">
        <v>46275</v>
      </c>
      <c r="E601" s="3" t="s">
        <v>614</v>
      </c>
      <c r="F601" s="3" t="s">
        <v>730</v>
      </c>
    </row>
    <row r="602" spans="1:6" x14ac:dyDescent="0.3">
      <c r="A602" s="3" t="s">
        <v>810</v>
      </c>
      <c r="B602" s="3" t="s">
        <v>33</v>
      </c>
      <c r="C602" s="3" t="str">
        <f t="shared" si="9"/>
        <v>450013811410</v>
      </c>
      <c r="D602" s="4">
        <v>46293</v>
      </c>
      <c r="E602" s="3" t="s">
        <v>612</v>
      </c>
      <c r="F602" s="3" t="s">
        <v>730</v>
      </c>
    </row>
    <row r="603" spans="1:6" x14ac:dyDescent="0.3">
      <c r="A603" s="3" t="s">
        <v>810</v>
      </c>
      <c r="B603" s="3" t="s">
        <v>20</v>
      </c>
      <c r="C603" s="3" t="str">
        <f t="shared" si="9"/>
        <v>450013811420</v>
      </c>
      <c r="D603" s="4">
        <v>46293</v>
      </c>
      <c r="E603" s="3" t="s">
        <v>612</v>
      </c>
      <c r="F603" s="3" t="s">
        <v>730</v>
      </c>
    </row>
    <row r="604" spans="1:6" x14ac:dyDescent="0.3">
      <c r="A604" s="3" t="s">
        <v>810</v>
      </c>
      <c r="B604" s="3" t="s">
        <v>21</v>
      </c>
      <c r="C604" s="3" t="str">
        <f t="shared" si="9"/>
        <v>450013811430</v>
      </c>
      <c r="D604" s="4">
        <v>46293</v>
      </c>
      <c r="E604" s="3" t="s">
        <v>612</v>
      </c>
      <c r="F604" s="3" t="s">
        <v>730</v>
      </c>
    </row>
    <row r="605" spans="1:6" x14ac:dyDescent="0.3">
      <c r="A605" s="3" t="s">
        <v>595</v>
      </c>
      <c r="B605" s="3" t="s">
        <v>33</v>
      </c>
      <c r="C605" s="3" t="str">
        <f t="shared" si="9"/>
        <v>450013811710</v>
      </c>
      <c r="D605" s="4">
        <v>46288</v>
      </c>
      <c r="E605" s="3" t="s">
        <v>619</v>
      </c>
      <c r="F605" s="3" t="s">
        <v>730</v>
      </c>
    </row>
    <row r="606" spans="1:6" x14ac:dyDescent="0.3">
      <c r="A606" s="3" t="s">
        <v>499</v>
      </c>
      <c r="B606" s="3" t="s">
        <v>33</v>
      </c>
      <c r="C606" s="3" t="str">
        <f t="shared" si="9"/>
        <v>450013812910</v>
      </c>
      <c r="D606" s="4">
        <v>46288</v>
      </c>
      <c r="E606" s="3" t="s">
        <v>623</v>
      </c>
      <c r="F606" s="3" t="s">
        <v>791</v>
      </c>
    </row>
    <row r="607" spans="1:6" x14ac:dyDescent="0.3">
      <c r="A607" s="3" t="s">
        <v>576</v>
      </c>
      <c r="B607" s="3" t="s">
        <v>33</v>
      </c>
      <c r="C607" s="3" t="str">
        <f t="shared" si="9"/>
        <v>450013813110</v>
      </c>
      <c r="D607" s="4">
        <v>46297</v>
      </c>
      <c r="E607" s="3" t="s">
        <v>623</v>
      </c>
      <c r="F607" s="3" t="s">
        <v>777</v>
      </c>
    </row>
    <row r="608" spans="1:6" x14ac:dyDescent="0.3">
      <c r="A608" s="3" t="s">
        <v>501</v>
      </c>
      <c r="B608" s="3" t="s">
        <v>20</v>
      </c>
      <c r="C608" s="3" t="str">
        <f t="shared" si="9"/>
        <v>450013814620</v>
      </c>
      <c r="D608" s="4">
        <v>46281</v>
      </c>
      <c r="E608" s="3" t="s">
        <v>618</v>
      </c>
      <c r="F608" s="3" t="s">
        <v>746</v>
      </c>
    </row>
    <row r="609" spans="1:6" x14ac:dyDescent="0.3">
      <c r="A609" s="3" t="s">
        <v>821</v>
      </c>
      <c r="B609" s="3" t="s">
        <v>33</v>
      </c>
      <c r="C609" s="3" t="str">
        <f t="shared" si="9"/>
        <v>450013820610</v>
      </c>
      <c r="D609" s="4">
        <v>46297</v>
      </c>
      <c r="E609" s="3" t="s">
        <v>612</v>
      </c>
      <c r="F609" s="3" t="s">
        <v>718</v>
      </c>
    </row>
    <row r="610" spans="1:6" x14ac:dyDescent="0.3">
      <c r="A610" s="3" t="s">
        <v>821</v>
      </c>
      <c r="B610" s="3" t="s">
        <v>20</v>
      </c>
      <c r="C610" s="3" t="str">
        <f t="shared" si="9"/>
        <v>450013820620</v>
      </c>
      <c r="D610" s="4">
        <v>46297</v>
      </c>
      <c r="E610" s="3" t="s">
        <v>612</v>
      </c>
      <c r="F610" s="3" t="s">
        <v>718</v>
      </c>
    </row>
    <row r="611" spans="1:6" x14ac:dyDescent="0.3">
      <c r="A611" s="3" t="s">
        <v>821</v>
      </c>
      <c r="B611" s="3" t="s">
        <v>21</v>
      </c>
      <c r="C611" s="3" t="str">
        <f t="shared" si="9"/>
        <v>450013820630</v>
      </c>
      <c r="D611" s="4">
        <v>46297</v>
      </c>
      <c r="E611" s="3" t="s">
        <v>612</v>
      </c>
      <c r="F611" s="3" t="s">
        <v>718</v>
      </c>
    </row>
    <row r="612" spans="1:6" x14ac:dyDescent="0.3">
      <c r="A612" s="3" t="s">
        <v>821</v>
      </c>
      <c r="B612" s="3" t="s">
        <v>22</v>
      </c>
      <c r="C612" s="3" t="str">
        <f t="shared" si="9"/>
        <v>450013820650</v>
      </c>
      <c r="D612" s="4">
        <v>46297</v>
      </c>
      <c r="E612" s="3" t="s">
        <v>612</v>
      </c>
      <c r="F612" s="3" t="s">
        <v>718</v>
      </c>
    </row>
    <row r="613" spans="1:6" x14ac:dyDescent="0.3">
      <c r="A613" s="3" t="s">
        <v>821</v>
      </c>
      <c r="B613" s="3" t="s">
        <v>23</v>
      </c>
      <c r="C613" s="3" t="str">
        <f t="shared" si="9"/>
        <v>450013820660</v>
      </c>
      <c r="D613" s="4">
        <v>46297</v>
      </c>
      <c r="E613" s="3" t="s">
        <v>612</v>
      </c>
      <c r="F613" s="3" t="s">
        <v>718</v>
      </c>
    </row>
    <row r="614" spans="1:6" x14ac:dyDescent="0.3">
      <c r="A614" s="3" t="s">
        <v>821</v>
      </c>
      <c r="B614" s="3" t="s">
        <v>375</v>
      </c>
      <c r="C614" s="3" t="str">
        <f t="shared" si="9"/>
        <v>4500138206120</v>
      </c>
      <c r="D614" s="4">
        <v>46304</v>
      </c>
      <c r="E614" s="3" t="s">
        <v>612</v>
      </c>
      <c r="F614" s="3" t="s">
        <v>718</v>
      </c>
    </row>
    <row r="615" spans="1:6" x14ac:dyDescent="0.3">
      <c r="A615" s="3" t="s">
        <v>821</v>
      </c>
      <c r="B615" s="3" t="s">
        <v>203</v>
      </c>
      <c r="C615" s="3" t="str">
        <f t="shared" si="9"/>
        <v>4500138206130</v>
      </c>
      <c r="D615" s="4">
        <v>46282</v>
      </c>
      <c r="E615" s="3" t="s">
        <v>612</v>
      </c>
      <c r="F615" s="3" t="s">
        <v>718</v>
      </c>
    </row>
    <row r="616" spans="1:6" x14ac:dyDescent="0.3">
      <c r="A616" s="3" t="s">
        <v>821</v>
      </c>
      <c r="B616" s="3" t="s">
        <v>376</v>
      </c>
      <c r="C616" s="3" t="str">
        <f t="shared" si="9"/>
        <v>4500138206140</v>
      </c>
      <c r="D616" s="4">
        <v>46282</v>
      </c>
      <c r="E616" s="3" t="s">
        <v>612</v>
      </c>
      <c r="F616" s="3" t="s">
        <v>718</v>
      </c>
    </row>
    <row r="617" spans="1:6" x14ac:dyDescent="0.3">
      <c r="A617" s="3" t="s">
        <v>821</v>
      </c>
      <c r="B617" s="3" t="s">
        <v>377</v>
      </c>
      <c r="C617" s="3" t="str">
        <f t="shared" si="9"/>
        <v>4500138206150</v>
      </c>
      <c r="D617" s="4">
        <v>46282</v>
      </c>
      <c r="E617" s="3" t="s">
        <v>612</v>
      </c>
      <c r="F617" s="3" t="s">
        <v>718</v>
      </c>
    </row>
    <row r="618" spans="1:6" x14ac:dyDescent="0.3">
      <c r="A618" s="3" t="s">
        <v>821</v>
      </c>
      <c r="B618" s="3" t="s">
        <v>378</v>
      </c>
      <c r="C618" s="3" t="str">
        <f t="shared" si="9"/>
        <v>4500138206160</v>
      </c>
      <c r="D618" s="4">
        <v>46282</v>
      </c>
      <c r="E618" s="3" t="s">
        <v>612</v>
      </c>
      <c r="F618" s="3" t="s">
        <v>718</v>
      </c>
    </row>
    <row r="619" spans="1:6" x14ac:dyDescent="0.3">
      <c r="A619" s="3" t="s">
        <v>821</v>
      </c>
      <c r="B619" s="3" t="s">
        <v>324</v>
      </c>
      <c r="C619" s="3" t="str">
        <f t="shared" si="9"/>
        <v>4500138206170</v>
      </c>
      <c r="D619" s="4">
        <v>46282</v>
      </c>
      <c r="E619" s="3" t="s">
        <v>612</v>
      </c>
      <c r="F619" s="3" t="s">
        <v>718</v>
      </c>
    </row>
    <row r="620" spans="1:6" x14ac:dyDescent="0.3">
      <c r="A620" s="3" t="s">
        <v>821</v>
      </c>
      <c r="B620" s="3" t="s">
        <v>325</v>
      </c>
      <c r="C620" s="3" t="str">
        <f t="shared" si="9"/>
        <v>4500138206180</v>
      </c>
      <c r="D620" s="4">
        <v>46297</v>
      </c>
      <c r="E620" s="3" t="s">
        <v>612</v>
      </c>
      <c r="F620" s="3" t="s">
        <v>718</v>
      </c>
    </row>
    <row r="621" spans="1:6" x14ac:dyDescent="0.3">
      <c r="A621" s="3" t="s">
        <v>692</v>
      </c>
      <c r="B621" s="3" t="s">
        <v>33</v>
      </c>
      <c r="C621" s="3" t="str">
        <f t="shared" si="9"/>
        <v>450013826610</v>
      </c>
      <c r="D621" s="4">
        <v>46295</v>
      </c>
      <c r="E621" s="3" t="s">
        <v>612</v>
      </c>
      <c r="F621" s="3" t="s">
        <v>730</v>
      </c>
    </row>
    <row r="622" spans="1:6" x14ac:dyDescent="0.3">
      <c r="A622" s="3" t="s">
        <v>692</v>
      </c>
      <c r="B622" s="3" t="s">
        <v>20</v>
      </c>
      <c r="C622" s="3" t="str">
        <f t="shared" si="9"/>
        <v>450013826620</v>
      </c>
      <c r="D622" s="4">
        <v>46295</v>
      </c>
      <c r="E622" s="3" t="s">
        <v>612</v>
      </c>
      <c r="F622" s="3" t="s">
        <v>730</v>
      </c>
    </row>
    <row r="623" spans="1:6" x14ac:dyDescent="0.3">
      <c r="A623" s="3" t="s">
        <v>692</v>
      </c>
      <c r="B623" s="3" t="s">
        <v>21</v>
      </c>
      <c r="C623" s="3" t="str">
        <f t="shared" si="9"/>
        <v>450013826630</v>
      </c>
      <c r="D623" s="4">
        <v>46295</v>
      </c>
      <c r="E623" s="3" t="s">
        <v>612</v>
      </c>
      <c r="F623" s="3" t="s">
        <v>730</v>
      </c>
    </row>
    <row r="624" spans="1:6" x14ac:dyDescent="0.3">
      <c r="A624" s="3" t="s">
        <v>692</v>
      </c>
      <c r="B624" s="3" t="s">
        <v>25</v>
      </c>
      <c r="C624" s="3" t="str">
        <f t="shared" si="9"/>
        <v>450013826640</v>
      </c>
      <c r="D624" s="4">
        <v>46295</v>
      </c>
      <c r="E624" s="3" t="s">
        <v>612</v>
      </c>
      <c r="F624" s="3" t="s">
        <v>730</v>
      </c>
    </row>
    <row r="625" spans="1:6" x14ac:dyDescent="0.3">
      <c r="A625" s="3" t="s">
        <v>692</v>
      </c>
      <c r="B625" s="3" t="s">
        <v>22</v>
      </c>
      <c r="C625" s="3" t="str">
        <f t="shared" si="9"/>
        <v>450013826650</v>
      </c>
      <c r="D625" s="4">
        <v>46295</v>
      </c>
      <c r="E625" s="3" t="s">
        <v>612</v>
      </c>
      <c r="F625" s="3" t="s">
        <v>730</v>
      </c>
    </row>
    <row r="626" spans="1:6" x14ac:dyDescent="0.3">
      <c r="A626" s="3" t="s">
        <v>692</v>
      </c>
      <c r="B626" s="3" t="s">
        <v>23</v>
      </c>
      <c r="C626" s="3" t="str">
        <f t="shared" si="9"/>
        <v>450013826660</v>
      </c>
      <c r="D626" s="4">
        <v>46295</v>
      </c>
      <c r="E626" s="3" t="s">
        <v>612</v>
      </c>
      <c r="F626" s="3" t="s">
        <v>730</v>
      </c>
    </row>
    <row r="627" spans="1:6" x14ac:dyDescent="0.3">
      <c r="A627" s="3" t="s">
        <v>692</v>
      </c>
      <c r="B627" s="3" t="s">
        <v>24</v>
      </c>
      <c r="C627" s="3" t="str">
        <f t="shared" si="9"/>
        <v>450013826670</v>
      </c>
      <c r="D627" s="4">
        <v>46295</v>
      </c>
      <c r="E627" s="3" t="s">
        <v>612</v>
      </c>
      <c r="F627" s="3" t="s">
        <v>730</v>
      </c>
    </row>
    <row r="628" spans="1:6" x14ac:dyDescent="0.3">
      <c r="A628" s="3" t="s">
        <v>692</v>
      </c>
      <c r="B628" s="3" t="s">
        <v>321</v>
      </c>
      <c r="C628" s="3" t="str">
        <f t="shared" si="9"/>
        <v>450013826680</v>
      </c>
      <c r="D628" s="4">
        <v>46295</v>
      </c>
      <c r="E628" s="3" t="s">
        <v>612</v>
      </c>
      <c r="F628" s="3" t="s">
        <v>730</v>
      </c>
    </row>
    <row r="629" spans="1:6" x14ac:dyDescent="0.3">
      <c r="A629" s="3" t="s">
        <v>692</v>
      </c>
      <c r="B629" s="3" t="s">
        <v>322</v>
      </c>
      <c r="C629" s="3" t="str">
        <f t="shared" si="9"/>
        <v>450013826690</v>
      </c>
      <c r="D629" s="4">
        <v>46295</v>
      </c>
      <c r="E629" s="3" t="s">
        <v>612</v>
      </c>
      <c r="F629" s="3" t="s">
        <v>730</v>
      </c>
    </row>
    <row r="630" spans="1:6" x14ac:dyDescent="0.3">
      <c r="A630" s="3" t="s">
        <v>692</v>
      </c>
      <c r="B630" s="3" t="s">
        <v>323</v>
      </c>
      <c r="C630" s="3" t="str">
        <f t="shared" si="9"/>
        <v>4500138266100</v>
      </c>
      <c r="D630" s="4">
        <v>46295</v>
      </c>
      <c r="E630" s="3" t="s">
        <v>612</v>
      </c>
      <c r="F630" s="3" t="s">
        <v>730</v>
      </c>
    </row>
    <row r="631" spans="1:6" x14ac:dyDescent="0.3">
      <c r="A631" s="3" t="s">
        <v>692</v>
      </c>
      <c r="B631" s="3" t="s">
        <v>175</v>
      </c>
      <c r="C631" s="3" t="str">
        <f t="shared" si="9"/>
        <v>4500138266110</v>
      </c>
      <c r="D631" s="4">
        <v>46295</v>
      </c>
      <c r="E631" s="3" t="s">
        <v>612</v>
      </c>
      <c r="F631" s="3" t="s">
        <v>730</v>
      </c>
    </row>
    <row r="632" spans="1:6" x14ac:dyDescent="0.3">
      <c r="A632" s="3" t="s">
        <v>692</v>
      </c>
      <c r="B632" s="3" t="s">
        <v>375</v>
      </c>
      <c r="C632" s="3" t="str">
        <f t="shared" si="9"/>
        <v>4500138266120</v>
      </c>
      <c r="D632" s="4">
        <v>46295</v>
      </c>
      <c r="E632" s="3" t="s">
        <v>612</v>
      </c>
      <c r="F632" s="3" t="s">
        <v>730</v>
      </c>
    </row>
    <row r="633" spans="1:6" x14ac:dyDescent="0.3">
      <c r="A633" s="3" t="s">
        <v>692</v>
      </c>
      <c r="B633" s="3" t="s">
        <v>203</v>
      </c>
      <c r="C633" s="3" t="str">
        <f t="shared" si="9"/>
        <v>4500138266130</v>
      </c>
      <c r="D633" s="4">
        <v>46295</v>
      </c>
      <c r="E633" s="3" t="s">
        <v>612</v>
      </c>
      <c r="F633" s="3" t="s">
        <v>730</v>
      </c>
    </row>
    <row r="634" spans="1:6" x14ac:dyDescent="0.3">
      <c r="A634" s="3" t="s">
        <v>692</v>
      </c>
      <c r="B634" s="3" t="s">
        <v>376</v>
      </c>
      <c r="C634" s="3" t="str">
        <f t="shared" si="9"/>
        <v>4500138266140</v>
      </c>
      <c r="D634" s="4">
        <v>46295</v>
      </c>
      <c r="E634" s="3" t="s">
        <v>612</v>
      </c>
      <c r="F634" s="3" t="s">
        <v>730</v>
      </c>
    </row>
    <row r="635" spans="1:6" x14ac:dyDescent="0.3">
      <c r="A635" s="3" t="s">
        <v>692</v>
      </c>
      <c r="B635" s="3" t="s">
        <v>377</v>
      </c>
      <c r="C635" s="3" t="str">
        <f t="shared" si="9"/>
        <v>4500138266150</v>
      </c>
      <c r="D635" s="4">
        <v>46295</v>
      </c>
      <c r="E635" s="3" t="s">
        <v>612</v>
      </c>
      <c r="F635" s="3" t="s">
        <v>730</v>
      </c>
    </row>
    <row r="636" spans="1:6" x14ac:dyDescent="0.3">
      <c r="A636" s="3" t="s">
        <v>692</v>
      </c>
      <c r="B636" s="3" t="s">
        <v>378</v>
      </c>
      <c r="C636" s="3" t="str">
        <f t="shared" si="9"/>
        <v>4500138266160</v>
      </c>
      <c r="D636" s="4">
        <v>46295</v>
      </c>
      <c r="E636" s="3" t="s">
        <v>612</v>
      </c>
      <c r="F636" s="3" t="s">
        <v>730</v>
      </c>
    </row>
    <row r="637" spans="1:6" x14ac:dyDescent="0.3">
      <c r="A637" s="3" t="s">
        <v>692</v>
      </c>
      <c r="B637" s="3" t="s">
        <v>324</v>
      </c>
      <c r="C637" s="3" t="str">
        <f t="shared" si="9"/>
        <v>4500138266170</v>
      </c>
      <c r="D637" s="4">
        <v>46295</v>
      </c>
      <c r="E637" s="3" t="s">
        <v>612</v>
      </c>
      <c r="F637" s="3" t="s">
        <v>730</v>
      </c>
    </row>
    <row r="638" spans="1:6" x14ac:dyDescent="0.3">
      <c r="A638" s="3" t="s">
        <v>692</v>
      </c>
      <c r="B638" s="3" t="s">
        <v>325</v>
      </c>
      <c r="C638" s="3" t="str">
        <f t="shared" si="9"/>
        <v>4500138266180</v>
      </c>
      <c r="D638" s="4">
        <v>46295</v>
      </c>
      <c r="E638" s="3" t="s">
        <v>612</v>
      </c>
      <c r="F638" s="3" t="s">
        <v>730</v>
      </c>
    </row>
    <row r="639" spans="1:6" x14ac:dyDescent="0.3">
      <c r="A639" s="3" t="s">
        <v>822</v>
      </c>
      <c r="B639" s="3" t="s">
        <v>33</v>
      </c>
      <c r="C639" s="3" t="str">
        <f t="shared" si="9"/>
        <v>450013832410</v>
      </c>
      <c r="D639" s="4">
        <v>46283</v>
      </c>
      <c r="E639" s="3" t="s">
        <v>612</v>
      </c>
      <c r="F639" s="3" t="s">
        <v>718</v>
      </c>
    </row>
    <row r="640" spans="1:6" x14ac:dyDescent="0.3">
      <c r="A640" s="3" t="s">
        <v>822</v>
      </c>
      <c r="B640" s="3" t="s">
        <v>20</v>
      </c>
      <c r="C640" s="3" t="str">
        <f t="shared" si="9"/>
        <v>450013832420</v>
      </c>
      <c r="D640" s="4">
        <v>46297</v>
      </c>
      <c r="E640" s="3" t="s">
        <v>612</v>
      </c>
      <c r="F640" s="3" t="s">
        <v>718</v>
      </c>
    </row>
    <row r="641" spans="1:6" x14ac:dyDescent="0.3">
      <c r="A641" s="3" t="s">
        <v>656</v>
      </c>
      <c r="B641" s="3" t="s">
        <v>33</v>
      </c>
      <c r="C641" s="3" t="str">
        <f t="shared" si="9"/>
        <v>450013834810</v>
      </c>
      <c r="D641" s="4">
        <v>46294</v>
      </c>
      <c r="E641" s="3" t="s">
        <v>612</v>
      </c>
      <c r="F641" s="3" t="s">
        <v>727</v>
      </c>
    </row>
    <row r="642" spans="1:6" x14ac:dyDescent="0.3">
      <c r="A642" s="3" t="s">
        <v>656</v>
      </c>
      <c r="B642" s="3" t="s">
        <v>20</v>
      </c>
      <c r="C642" s="3" t="str">
        <f t="shared" si="9"/>
        <v>450013834820</v>
      </c>
      <c r="D642" s="4">
        <v>46294</v>
      </c>
      <c r="E642" s="3" t="s">
        <v>612</v>
      </c>
      <c r="F642" s="3" t="s">
        <v>727</v>
      </c>
    </row>
    <row r="643" spans="1:6" x14ac:dyDescent="0.3">
      <c r="A643" s="3" t="s">
        <v>656</v>
      </c>
      <c r="B643" s="3" t="s">
        <v>25</v>
      </c>
      <c r="C643" s="3" t="str">
        <f t="shared" ref="C643:C706" si="10">_xlfn.CONCAT(A643:B643)</f>
        <v>450013834840</v>
      </c>
      <c r="D643" s="4">
        <v>46294</v>
      </c>
      <c r="E643" s="3" t="s">
        <v>612</v>
      </c>
      <c r="F643" s="3" t="s">
        <v>727</v>
      </c>
    </row>
    <row r="644" spans="1:6" x14ac:dyDescent="0.3">
      <c r="A644" s="3" t="s">
        <v>19</v>
      </c>
      <c r="B644" s="3" t="s">
        <v>33</v>
      </c>
      <c r="C644" s="3" t="str">
        <f t="shared" si="10"/>
        <v>450013836810</v>
      </c>
      <c r="D644" s="4">
        <v>46295</v>
      </c>
      <c r="E644" s="3" t="s">
        <v>612</v>
      </c>
      <c r="F644" s="3" t="s">
        <v>730</v>
      </c>
    </row>
    <row r="645" spans="1:6" x14ac:dyDescent="0.3">
      <c r="A645" s="3" t="s">
        <v>19</v>
      </c>
      <c r="B645" s="3" t="s">
        <v>20</v>
      </c>
      <c r="C645" s="3" t="str">
        <f t="shared" si="10"/>
        <v>450013836820</v>
      </c>
      <c r="D645" s="4">
        <v>46295</v>
      </c>
      <c r="E645" s="3" t="s">
        <v>612</v>
      </c>
      <c r="F645" s="3" t="s">
        <v>730</v>
      </c>
    </row>
    <row r="646" spans="1:6" x14ac:dyDescent="0.3">
      <c r="A646" s="3" t="s">
        <v>19</v>
      </c>
      <c r="B646" s="3" t="s">
        <v>21</v>
      </c>
      <c r="C646" s="3" t="str">
        <f t="shared" si="10"/>
        <v>450013836830</v>
      </c>
      <c r="D646" s="4">
        <v>46295</v>
      </c>
      <c r="E646" s="3" t="s">
        <v>612</v>
      </c>
      <c r="F646" s="3" t="s">
        <v>730</v>
      </c>
    </row>
    <row r="647" spans="1:6" x14ac:dyDescent="0.3">
      <c r="A647" s="3" t="s">
        <v>19</v>
      </c>
      <c r="B647" s="3" t="s">
        <v>25</v>
      </c>
      <c r="C647" s="3" t="str">
        <f t="shared" si="10"/>
        <v>450013836840</v>
      </c>
      <c r="D647" s="4">
        <v>46295</v>
      </c>
      <c r="E647" s="3" t="s">
        <v>612</v>
      </c>
      <c r="F647" s="3" t="s">
        <v>730</v>
      </c>
    </row>
    <row r="648" spans="1:6" x14ac:dyDescent="0.3">
      <c r="A648" s="3" t="s">
        <v>19</v>
      </c>
      <c r="B648" s="3" t="s">
        <v>22</v>
      </c>
      <c r="C648" s="3" t="str">
        <f t="shared" si="10"/>
        <v>450013836850</v>
      </c>
      <c r="D648" s="4">
        <v>46295</v>
      </c>
      <c r="E648" s="3" t="s">
        <v>612</v>
      </c>
      <c r="F648" s="3" t="s">
        <v>730</v>
      </c>
    </row>
    <row r="649" spans="1:6" x14ac:dyDescent="0.3">
      <c r="A649" s="3" t="s">
        <v>19</v>
      </c>
      <c r="B649" s="3" t="s">
        <v>23</v>
      </c>
      <c r="C649" s="3" t="str">
        <f t="shared" si="10"/>
        <v>450013836860</v>
      </c>
      <c r="D649" s="4">
        <v>46295</v>
      </c>
      <c r="E649" s="3" t="s">
        <v>612</v>
      </c>
      <c r="F649" s="3" t="s">
        <v>730</v>
      </c>
    </row>
    <row r="650" spans="1:6" x14ac:dyDescent="0.3">
      <c r="A650" s="3" t="s">
        <v>19</v>
      </c>
      <c r="B650" s="3" t="s">
        <v>24</v>
      </c>
      <c r="C650" s="3" t="str">
        <f t="shared" si="10"/>
        <v>450013836870</v>
      </c>
      <c r="D650" s="4">
        <v>46295</v>
      </c>
      <c r="E650" s="3" t="s">
        <v>612</v>
      </c>
      <c r="F650" s="3" t="s">
        <v>730</v>
      </c>
    </row>
    <row r="651" spans="1:6" x14ac:dyDescent="0.3">
      <c r="A651" s="3" t="s">
        <v>812</v>
      </c>
      <c r="B651" s="3" t="s">
        <v>33</v>
      </c>
      <c r="C651" s="3" t="str">
        <f t="shared" si="10"/>
        <v>450013845210</v>
      </c>
      <c r="D651" s="4">
        <v>46297</v>
      </c>
      <c r="E651" s="3" t="s">
        <v>612</v>
      </c>
      <c r="F651" s="3" t="s">
        <v>718</v>
      </c>
    </row>
    <row r="652" spans="1:6" x14ac:dyDescent="0.3">
      <c r="A652" s="3" t="s">
        <v>812</v>
      </c>
      <c r="B652" s="3" t="s">
        <v>20</v>
      </c>
      <c r="C652" s="3" t="str">
        <f t="shared" si="10"/>
        <v>450013845220</v>
      </c>
      <c r="D652" s="4">
        <v>46297</v>
      </c>
      <c r="E652" s="3" t="s">
        <v>612</v>
      </c>
      <c r="F652" s="3" t="s">
        <v>718</v>
      </c>
    </row>
    <row r="653" spans="1:6" x14ac:dyDescent="0.3">
      <c r="A653" s="3" t="s">
        <v>812</v>
      </c>
      <c r="B653" s="3" t="s">
        <v>21</v>
      </c>
      <c r="C653" s="3" t="str">
        <f t="shared" si="10"/>
        <v>450013845230</v>
      </c>
      <c r="D653" s="4">
        <v>46297</v>
      </c>
      <c r="E653" s="3" t="s">
        <v>612</v>
      </c>
      <c r="F653" s="3" t="s">
        <v>718</v>
      </c>
    </row>
    <row r="654" spans="1:6" x14ac:dyDescent="0.3">
      <c r="A654" s="3" t="s">
        <v>812</v>
      </c>
      <c r="B654" s="3" t="s">
        <v>25</v>
      </c>
      <c r="C654" s="3" t="str">
        <f t="shared" si="10"/>
        <v>450013845240</v>
      </c>
      <c r="D654" s="4">
        <v>46297</v>
      </c>
      <c r="E654" s="3" t="s">
        <v>612</v>
      </c>
      <c r="F654" s="3" t="s">
        <v>718</v>
      </c>
    </row>
    <row r="655" spans="1:6" x14ac:dyDescent="0.3">
      <c r="A655" s="3" t="s">
        <v>812</v>
      </c>
      <c r="B655" s="3" t="s">
        <v>22</v>
      </c>
      <c r="C655" s="3" t="str">
        <f t="shared" si="10"/>
        <v>450013845250</v>
      </c>
      <c r="D655" s="4">
        <v>46297</v>
      </c>
      <c r="E655" s="3" t="s">
        <v>612</v>
      </c>
      <c r="F655" s="3" t="s">
        <v>718</v>
      </c>
    </row>
    <row r="656" spans="1:6" x14ac:dyDescent="0.3">
      <c r="A656" s="3" t="s">
        <v>812</v>
      </c>
      <c r="B656" s="3" t="s">
        <v>24</v>
      </c>
      <c r="C656" s="3" t="str">
        <f t="shared" si="10"/>
        <v>450013845270</v>
      </c>
      <c r="D656" s="4">
        <v>46297</v>
      </c>
      <c r="E656" s="3" t="s">
        <v>612</v>
      </c>
      <c r="F656" s="3" t="s">
        <v>718</v>
      </c>
    </row>
    <row r="657" spans="1:6" x14ac:dyDescent="0.3">
      <c r="A657" s="3" t="s">
        <v>812</v>
      </c>
      <c r="B657" s="3" t="s">
        <v>321</v>
      </c>
      <c r="C657" s="3" t="str">
        <f t="shared" si="10"/>
        <v>450013845280</v>
      </c>
      <c r="D657" s="4">
        <v>46297</v>
      </c>
      <c r="E657" s="3" t="s">
        <v>612</v>
      </c>
      <c r="F657" s="3" t="s">
        <v>718</v>
      </c>
    </row>
    <row r="658" spans="1:6" x14ac:dyDescent="0.3">
      <c r="A658" s="3" t="s">
        <v>812</v>
      </c>
      <c r="B658" s="3" t="s">
        <v>322</v>
      </c>
      <c r="C658" s="3" t="str">
        <f t="shared" si="10"/>
        <v>450013845290</v>
      </c>
      <c r="D658" s="4">
        <v>46297</v>
      </c>
      <c r="E658" s="3" t="s">
        <v>612</v>
      </c>
      <c r="F658" s="3" t="s">
        <v>718</v>
      </c>
    </row>
    <row r="659" spans="1:6" x14ac:dyDescent="0.3">
      <c r="A659" s="3" t="s">
        <v>812</v>
      </c>
      <c r="B659" s="3" t="s">
        <v>323</v>
      </c>
      <c r="C659" s="3" t="str">
        <f t="shared" si="10"/>
        <v>4500138452100</v>
      </c>
      <c r="D659" s="4">
        <v>46297</v>
      </c>
      <c r="E659" s="3" t="s">
        <v>612</v>
      </c>
      <c r="F659" s="3" t="s">
        <v>718</v>
      </c>
    </row>
    <row r="660" spans="1:6" x14ac:dyDescent="0.3">
      <c r="A660" s="3" t="s">
        <v>527</v>
      </c>
      <c r="B660" s="3" t="s">
        <v>33</v>
      </c>
      <c r="C660" s="3" t="str">
        <f t="shared" si="10"/>
        <v>450013852110</v>
      </c>
      <c r="D660" s="4">
        <v>46290</v>
      </c>
      <c r="E660" s="3" t="s">
        <v>614</v>
      </c>
      <c r="F660" s="3" t="s">
        <v>746</v>
      </c>
    </row>
    <row r="661" spans="1:6" x14ac:dyDescent="0.3">
      <c r="A661" s="3" t="s">
        <v>816</v>
      </c>
      <c r="B661" s="3" t="s">
        <v>33</v>
      </c>
      <c r="C661" s="3" t="str">
        <f t="shared" si="10"/>
        <v>450013856910</v>
      </c>
      <c r="D661" s="4">
        <v>46304</v>
      </c>
      <c r="E661" s="3" t="s">
        <v>612</v>
      </c>
      <c r="F661" s="3" t="s">
        <v>718</v>
      </c>
    </row>
    <row r="662" spans="1:6" x14ac:dyDescent="0.3">
      <c r="A662" s="3" t="s">
        <v>816</v>
      </c>
      <c r="B662" s="3" t="s">
        <v>20</v>
      </c>
      <c r="C662" s="3" t="str">
        <f t="shared" si="10"/>
        <v>450013856920</v>
      </c>
      <c r="D662" s="4">
        <v>46296</v>
      </c>
      <c r="E662" s="3" t="s">
        <v>612</v>
      </c>
      <c r="F662" s="3" t="s">
        <v>718</v>
      </c>
    </row>
    <row r="663" spans="1:6" x14ac:dyDescent="0.3">
      <c r="A663" s="3" t="s">
        <v>553</v>
      </c>
      <c r="B663" s="3" t="s">
        <v>33</v>
      </c>
      <c r="C663" s="3" t="str">
        <f t="shared" si="10"/>
        <v>450013866710</v>
      </c>
      <c r="D663" s="4">
        <v>46297</v>
      </c>
      <c r="E663" s="3" t="s">
        <v>612</v>
      </c>
      <c r="F663" s="3" t="s">
        <v>792</v>
      </c>
    </row>
    <row r="664" spans="1:6" x14ac:dyDescent="0.3">
      <c r="A664" s="3" t="s">
        <v>520</v>
      </c>
      <c r="B664" s="3" t="s">
        <v>33</v>
      </c>
      <c r="C664" s="3" t="str">
        <f t="shared" si="10"/>
        <v>450013868010</v>
      </c>
      <c r="D664" s="4">
        <v>46283</v>
      </c>
      <c r="E664" s="3" t="s">
        <v>614</v>
      </c>
      <c r="F664" s="3" t="s">
        <v>793</v>
      </c>
    </row>
    <row r="665" spans="1:6" x14ac:dyDescent="0.3">
      <c r="A665" s="3" t="s">
        <v>663</v>
      </c>
      <c r="B665" s="3" t="s">
        <v>33</v>
      </c>
      <c r="C665" s="3" t="str">
        <f t="shared" si="10"/>
        <v>450013868110</v>
      </c>
      <c r="D665" s="4">
        <v>46296</v>
      </c>
      <c r="E665" s="3" t="s">
        <v>614</v>
      </c>
      <c r="F665" s="3" t="s">
        <v>721</v>
      </c>
    </row>
    <row r="666" spans="1:6" x14ac:dyDescent="0.3">
      <c r="A666" s="3" t="s">
        <v>532</v>
      </c>
      <c r="B666" s="3" t="s">
        <v>33</v>
      </c>
      <c r="C666" s="3" t="str">
        <f t="shared" si="10"/>
        <v>450013870910</v>
      </c>
      <c r="D666" s="4">
        <v>46287</v>
      </c>
      <c r="E666" s="3" t="s">
        <v>643</v>
      </c>
      <c r="F666" s="3" t="s">
        <v>730</v>
      </c>
    </row>
    <row r="667" spans="1:6" x14ac:dyDescent="0.3">
      <c r="A667" s="3" t="s">
        <v>532</v>
      </c>
      <c r="B667" s="3" t="s">
        <v>20</v>
      </c>
      <c r="C667" s="3" t="str">
        <f t="shared" si="10"/>
        <v>450013870920</v>
      </c>
      <c r="D667" s="4">
        <v>46287</v>
      </c>
      <c r="E667" s="3" t="s">
        <v>643</v>
      </c>
      <c r="F667" s="3" t="s">
        <v>730</v>
      </c>
    </row>
    <row r="668" spans="1:6" x14ac:dyDescent="0.3">
      <c r="A668" s="3" t="s">
        <v>532</v>
      </c>
      <c r="B668" s="3" t="s">
        <v>21</v>
      </c>
      <c r="C668" s="3" t="str">
        <f t="shared" si="10"/>
        <v>450013870930</v>
      </c>
      <c r="D668" s="4">
        <v>46287</v>
      </c>
      <c r="E668" s="3" t="s">
        <v>643</v>
      </c>
      <c r="F668" s="3" t="s">
        <v>730</v>
      </c>
    </row>
    <row r="669" spans="1:6" x14ac:dyDescent="0.3">
      <c r="A669" s="3" t="s">
        <v>532</v>
      </c>
      <c r="B669" s="3" t="s">
        <v>25</v>
      </c>
      <c r="C669" s="3" t="str">
        <f t="shared" si="10"/>
        <v>450013870940</v>
      </c>
      <c r="D669" s="4">
        <v>46287</v>
      </c>
      <c r="E669" s="3" t="s">
        <v>643</v>
      </c>
      <c r="F669" s="3" t="s">
        <v>730</v>
      </c>
    </row>
    <row r="670" spans="1:6" x14ac:dyDescent="0.3">
      <c r="A670" s="3" t="s">
        <v>532</v>
      </c>
      <c r="B670" s="3" t="s">
        <v>22</v>
      </c>
      <c r="C670" s="3" t="str">
        <f t="shared" si="10"/>
        <v>450013870950</v>
      </c>
      <c r="D670" s="4">
        <v>46287</v>
      </c>
      <c r="E670" s="3" t="s">
        <v>643</v>
      </c>
      <c r="F670" s="3" t="s">
        <v>730</v>
      </c>
    </row>
    <row r="671" spans="1:6" x14ac:dyDescent="0.3">
      <c r="A671" s="3" t="s">
        <v>532</v>
      </c>
      <c r="B671" s="3" t="s">
        <v>23</v>
      </c>
      <c r="C671" s="3" t="str">
        <f t="shared" si="10"/>
        <v>450013870960</v>
      </c>
      <c r="D671" s="4">
        <v>46287</v>
      </c>
      <c r="E671" s="3" t="s">
        <v>643</v>
      </c>
      <c r="F671" s="3" t="s">
        <v>730</v>
      </c>
    </row>
    <row r="672" spans="1:6" x14ac:dyDescent="0.3">
      <c r="A672" s="3" t="s">
        <v>532</v>
      </c>
      <c r="B672" s="3" t="s">
        <v>24</v>
      </c>
      <c r="C672" s="3" t="str">
        <f t="shared" si="10"/>
        <v>450013870970</v>
      </c>
      <c r="D672" s="4">
        <v>46287</v>
      </c>
      <c r="E672" s="3" t="s">
        <v>643</v>
      </c>
      <c r="F672" s="3" t="s">
        <v>730</v>
      </c>
    </row>
    <row r="673" spans="1:6" x14ac:dyDescent="0.3">
      <c r="A673" s="3" t="s">
        <v>650</v>
      </c>
      <c r="B673" s="3" t="s">
        <v>321</v>
      </c>
      <c r="C673" s="3" t="str">
        <f t="shared" si="10"/>
        <v>450013874580</v>
      </c>
      <c r="D673" s="4">
        <v>46301</v>
      </c>
      <c r="E673" s="3" t="s">
        <v>612</v>
      </c>
      <c r="F673" s="3" t="s">
        <v>733</v>
      </c>
    </row>
    <row r="674" spans="1:6" x14ac:dyDescent="0.3">
      <c r="A674" s="3" t="s">
        <v>525</v>
      </c>
      <c r="B674" s="3" t="s">
        <v>33</v>
      </c>
      <c r="C674" s="3" t="str">
        <f t="shared" si="10"/>
        <v>450013874910</v>
      </c>
      <c r="D674" s="4">
        <v>46281</v>
      </c>
      <c r="E674" s="3" t="s">
        <v>611</v>
      </c>
      <c r="F674" s="3" t="s">
        <v>794</v>
      </c>
    </row>
    <row r="675" spans="1:6" x14ac:dyDescent="0.3">
      <c r="A675" s="3" t="s">
        <v>649</v>
      </c>
      <c r="B675" s="3" t="s">
        <v>33</v>
      </c>
      <c r="C675" s="3" t="str">
        <f t="shared" si="10"/>
        <v>450013881110</v>
      </c>
      <c r="D675" s="4">
        <v>46295</v>
      </c>
      <c r="E675" s="3" t="s">
        <v>612</v>
      </c>
      <c r="F675" s="3" t="s">
        <v>795</v>
      </c>
    </row>
    <row r="676" spans="1:6" x14ac:dyDescent="0.3">
      <c r="A676" s="3" t="s">
        <v>649</v>
      </c>
      <c r="B676" s="3" t="s">
        <v>20</v>
      </c>
      <c r="C676" s="3" t="str">
        <f t="shared" si="10"/>
        <v>450013881120</v>
      </c>
      <c r="D676" s="4">
        <v>46295</v>
      </c>
      <c r="E676" s="3" t="s">
        <v>612</v>
      </c>
      <c r="F676" s="3" t="s">
        <v>795</v>
      </c>
    </row>
    <row r="677" spans="1:6" x14ac:dyDescent="0.3">
      <c r="A677" s="3" t="s">
        <v>670</v>
      </c>
      <c r="B677" s="3" t="s">
        <v>33</v>
      </c>
      <c r="C677" s="3" t="str">
        <f t="shared" si="10"/>
        <v>450013895110</v>
      </c>
      <c r="D677" s="4">
        <v>46301</v>
      </c>
      <c r="E677" s="3" t="s">
        <v>699</v>
      </c>
      <c r="F677" s="3" t="s">
        <v>796</v>
      </c>
    </row>
    <row r="678" spans="1:6" x14ac:dyDescent="0.3">
      <c r="A678" s="3" t="s">
        <v>835</v>
      </c>
      <c r="B678" s="3" t="s">
        <v>33</v>
      </c>
      <c r="C678" s="3" t="str">
        <f t="shared" si="10"/>
        <v>450013898210</v>
      </c>
      <c r="D678" s="4">
        <v>46300</v>
      </c>
      <c r="E678" s="3" t="s">
        <v>619</v>
      </c>
      <c r="F678" s="3" t="s">
        <v>848</v>
      </c>
    </row>
    <row r="679" spans="1:6" x14ac:dyDescent="0.3">
      <c r="A679" s="3" t="s">
        <v>686</v>
      </c>
      <c r="B679" s="3" t="s">
        <v>33</v>
      </c>
      <c r="C679" s="3" t="str">
        <f t="shared" si="10"/>
        <v>450013901610</v>
      </c>
      <c r="D679" s="4">
        <v>46296</v>
      </c>
      <c r="E679" s="3" t="s">
        <v>614</v>
      </c>
      <c r="F679" s="3" t="s">
        <v>714</v>
      </c>
    </row>
    <row r="680" spans="1:6" x14ac:dyDescent="0.3">
      <c r="A680" s="3" t="s">
        <v>608</v>
      </c>
      <c r="B680" s="3" t="s">
        <v>33</v>
      </c>
      <c r="C680" s="3" t="str">
        <f t="shared" si="10"/>
        <v>450013902710</v>
      </c>
      <c r="D680" s="4">
        <v>46286</v>
      </c>
      <c r="E680" s="3" t="s">
        <v>620</v>
      </c>
      <c r="F680" s="3" t="s">
        <v>773</v>
      </c>
    </row>
    <row r="681" spans="1:6" x14ac:dyDescent="0.3">
      <c r="A681" s="3" t="s">
        <v>593</v>
      </c>
      <c r="B681" s="3" t="s">
        <v>33</v>
      </c>
      <c r="C681" s="3" t="str">
        <f t="shared" si="10"/>
        <v>450013912710</v>
      </c>
      <c r="D681" s="4">
        <v>46300</v>
      </c>
      <c r="E681" s="3" t="s">
        <v>619</v>
      </c>
      <c r="F681" s="3" t="s">
        <v>759</v>
      </c>
    </row>
    <row r="682" spans="1:6" x14ac:dyDescent="0.3">
      <c r="A682" s="3" t="s">
        <v>593</v>
      </c>
      <c r="B682" s="3" t="s">
        <v>20</v>
      </c>
      <c r="C682" s="3" t="str">
        <f t="shared" si="10"/>
        <v>450013912720</v>
      </c>
      <c r="D682" s="4">
        <v>46300</v>
      </c>
      <c r="E682" s="3" t="s">
        <v>619</v>
      </c>
      <c r="F682" s="3" t="s">
        <v>759</v>
      </c>
    </row>
    <row r="683" spans="1:6" x14ac:dyDescent="0.3">
      <c r="A683" s="3" t="s">
        <v>564</v>
      </c>
      <c r="B683" s="3" t="s">
        <v>33</v>
      </c>
      <c r="C683" s="3" t="str">
        <f t="shared" si="10"/>
        <v>450013913410</v>
      </c>
      <c r="D683" s="4">
        <v>46297</v>
      </c>
      <c r="E683" s="3" t="s">
        <v>642</v>
      </c>
      <c r="F683" s="3" t="s">
        <v>730</v>
      </c>
    </row>
    <row r="684" spans="1:6" x14ac:dyDescent="0.3">
      <c r="A684" s="3" t="s">
        <v>564</v>
      </c>
      <c r="B684" s="3" t="s">
        <v>21</v>
      </c>
      <c r="C684" s="3" t="str">
        <f t="shared" si="10"/>
        <v>450013913430</v>
      </c>
      <c r="D684" s="4">
        <v>46297</v>
      </c>
      <c r="E684" s="3" t="s">
        <v>642</v>
      </c>
      <c r="F684" s="3" t="s">
        <v>730</v>
      </c>
    </row>
    <row r="685" spans="1:6" x14ac:dyDescent="0.3">
      <c r="A685" s="3" t="s">
        <v>564</v>
      </c>
      <c r="B685" s="3" t="s">
        <v>25</v>
      </c>
      <c r="C685" s="3" t="str">
        <f t="shared" si="10"/>
        <v>450013913440</v>
      </c>
      <c r="D685" s="4">
        <v>46297</v>
      </c>
      <c r="E685" s="3" t="s">
        <v>642</v>
      </c>
      <c r="F685" s="3" t="s">
        <v>730</v>
      </c>
    </row>
    <row r="686" spans="1:6" x14ac:dyDescent="0.3">
      <c r="A686" s="3" t="s">
        <v>578</v>
      </c>
      <c r="B686" s="3" t="s">
        <v>33</v>
      </c>
      <c r="C686" s="3" t="str">
        <f t="shared" si="10"/>
        <v>450013914910</v>
      </c>
      <c r="D686" s="4">
        <v>46294</v>
      </c>
      <c r="E686" s="3" t="s">
        <v>621</v>
      </c>
      <c r="F686" s="3" t="s">
        <v>797</v>
      </c>
    </row>
    <row r="687" spans="1:6" x14ac:dyDescent="0.3">
      <c r="A687" s="3" t="s">
        <v>562</v>
      </c>
      <c r="B687" s="3" t="s">
        <v>33</v>
      </c>
      <c r="C687" s="3" t="str">
        <f t="shared" si="10"/>
        <v>450013917310</v>
      </c>
      <c r="D687" s="4">
        <v>46303</v>
      </c>
      <c r="E687" s="3" t="s">
        <v>615</v>
      </c>
      <c r="F687" s="3" t="s">
        <v>798</v>
      </c>
    </row>
    <row r="688" spans="1:6" x14ac:dyDescent="0.3">
      <c r="A688" s="3" t="s">
        <v>562</v>
      </c>
      <c r="B688" s="3" t="s">
        <v>20</v>
      </c>
      <c r="C688" s="3" t="str">
        <f t="shared" si="10"/>
        <v>450013917320</v>
      </c>
      <c r="D688" s="4">
        <v>46303</v>
      </c>
      <c r="E688" s="3" t="s">
        <v>615</v>
      </c>
      <c r="F688" s="3" t="s">
        <v>798</v>
      </c>
    </row>
    <row r="689" spans="1:6" x14ac:dyDescent="0.3">
      <c r="A689" s="3" t="s">
        <v>562</v>
      </c>
      <c r="B689" s="3" t="s">
        <v>21</v>
      </c>
      <c r="C689" s="3" t="str">
        <f t="shared" si="10"/>
        <v>450013917330</v>
      </c>
      <c r="D689" s="4">
        <v>46303</v>
      </c>
      <c r="E689" s="3" t="s">
        <v>615</v>
      </c>
      <c r="F689" s="3" t="s">
        <v>798</v>
      </c>
    </row>
    <row r="690" spans="1:6" x14ac:dyDescent="0.3">
      <c r="A690" s="3" t="s">
        <v>562</v>
      </c>
      <c r="B690" s="3" t="s">
        <v>25</v>
      </c>
      <c r="C690" s="3" t="str">
        <f t="shared" si="10"/>
        <v>450013917340</v>
      </c>
      <c r="D690" s="4">
        <v>46303</v>
      </c>
      <c r="E690" s="3" t="s">
        <v>615</v>
      </c>
      <c r="F690" s="3" t="s">
        <v>798</v>
      </c>
    </row>
    <row r="691" spans="1:6" x14ac:dyDescent="0.3">
      <c r="A691" s="3" t="s">
        <v>577</v>
      </c>
      <c r="B691" s="3" t="s">
        <v>33</v>
      </c>
      <c r="C691" s="3" t="str">
        <f t="shared" si="10"/>
        <v>450013918210</v>
      </c>
      <c r="D691" s="4">
        <v>46300</v>
      </c>
      <c r="E691" s="3" t="s">
        <v>629</v>
      </c>
      <c r="F691" s="3" t="s">
        <v>799</v>
      </c>
    </row>
    <row r="692" spans="1:6" x14ac:dyDescent="0.3">
      <c r="A692" s="3" t="s">
        <v>838</v>
      </c>
      <c r="B692" s="3" t="s">
        <v>33</v>
      </c>
      <c r="C692" s="3" t="str">
        <f t="shared" si="10"/>
        <v>450013920310</v>
      </c>
      <c r="D692" s="4">
        <v>46302</v>
      </c>
      <c r="E692" s="3" t="s">
        <v>617</v>
      </c>
      <c r="F692" s="3" t="s">
        <v>773</v>
      </c>
    </row>
    <row r="693" spans="1:6" x14ac:dyDescent="0.3">
      <c r="A693" s="3" t="s">
        <v>580</v>
      </c>
      <c r="B693" s="3" t="s">
        <v>33</v>
      </c>
      <c r="C693" s="3" t="str">
        <f t="shared" si="10"/>
        <v>450013920410</v>
      </c>
      <c r="D693" s="4">
        <v>46302</v>
      </c>
      <c r="E693" s="3" t="s">
        <v>617</v>
      </c>
      <c r="F693" s="3" t="s">
        <v>773</v>
      </c>
    </row>
    <row r="694" spans="1:6" x14ac:dyDescent="0.3">
      <c r="A694" s="3" t="s">
        <v>653</v>
      </c>
      <c r="B694" s="3" t="s">
        <v>33</v>
      </c>
      <c r="C694" s="3" t="str">
        <f t="shared" si="10"/>
        <v>450013920910</v>
      </c>
      <c r="D694" s="4">
        <v>46308</v>
      </c>
      <c r="E694" s="3" t="s">
        <v>614</v>
      </c>
      <c r="F694" s="3" t="s">
        <v>800</v>
      </c>
    </row>
    <row r="695" spans="1:6" x14ac:dyDescent="0.3">
      <c r="A695" s="3" t="s">
        <v>653</v>
      </c>
      <c r="B695" s="3" t="s">
        <v>20</v>
      </c>
      <c r="C695" s="3" t="str">
        <f t="shared" si="10"/>
        <v>450013920920</v>
      </c>
      <c r="D695" s="4">
        <v>46308</v>
      </c>
      <c r="E695" s="3" t="s">
        <v>614</v>
      </c>
      <c r="F695" s="3" t="s">
        <v>800</v>
      </c>
    </row>
    <row r="696" spans="1:6" x14ac:dyDescent="0.3">
      <c r="A696" s="3" t="s">
        <v>647</v>
      </c>
      <c r="B696" s="3" t="s">
        <v>33</v>
      </c>
      <c r="C696" s="3" t="str">
        <f t="shared" si="10"/>
        <v>450013921110</v>
      </c>
      <c r="D696" s="4">
        <v>46295</v>
      </c>
      <c r="E696" s="3" t="s">
        <v>614</v>
      </c>
      <c r="F696" s="3" t="s">
        <v>730</v>
      </c>
    </row>
    <row r="697" spans="1:6" x14ac:dyDescent="0.3">
      <c r="A697" s="3" t="s">
        <v>647</v>
      </c>
      <c r="B697" s="3" t="s">
        <v>20</v>
      </c>
      <c r="C697" s="3" t="str">
        <f t="shared" si="10"/>
        <v>450013921120</v>
      </c>
      <c r="D697" s="4">
        <v>46295</v>
      </c>
      <c r="E697" s="3" t="s">
        <v>614</v>
      </c>
      <c r="F697" s="3" t="s">
        <v>730</v>
      </c>
    </row>
    <row r="698" spans="1:6" x14ac:dyDescent="0.3">
      <c r="A698" s="3" t="s">
        <v>599</v>
      </c>
      <c r="B698" s="3" t="s">
        <v>33</v>
      </c>
      <c r="C698" s="3" t="str">
        <f t="shared" si="10"/>
        <v>450013931110</v>
      </c>
      <c r="D698" s="4">
        <v>46295</v>
      </c>
      <c r="E698" s="3" t="s">
        <v>626</v>
      </c>
      <c r="F698" s="3" t="s">
        <v>723</v>
      </c>
    </row>
    <row r="699" spans="1:6" x14ac:dyDescent="0.3">
      <c r="A699" s="3" t="s">
        <v>599</v>
      </c>
      <c r="B699" s="3" t="s">
        <v>20</v>
      </c>
      <c r="C699" s="3" t="str">
        <f t="shared" si="10"/>
        <v>450013931120</v>
      </c>
      <c r="D699" s="4">
        <v>46309</v>
      </c>
      <c r="E699" s="3" t="s">
        <v>626</v>
      </c>
      <c r="F699" s="3" t="s">
        <v>723</v>
      </c>
    </row>
    <row r="700" spans="1:6" x14ac:dyDescent="0.3">
      <c r="A700" s="3" t="s">
        <v>561</v>
      </c>
      <c r="B700" s="3" t="s">
        <v>33</v>
      </c>
      <c r="C700" s="3" t="str">
        <f t="shared" si="10"/>
        <v>450013938210</v>
      </c>
      <c r="D700" s="4">
        <v>46297</v>
      </c>
      <c r="E700" s="3" t="s">
        <v>617</v>
      </c>
      <c r="F700" s="3" t="s">
        <v>773</v>
      </c>
    </row>
    <row r="701" spans="1:6" x14ac:dyDescent="0.3">
      <c r="A701" s="3" t="s">
        <v>839</v>
      </c>
      <c r="B701" s="3" t="s">
        <v>33</v>
      </c>
      <c r="C701" s="3" t="str">
        <f t="shared" si="10"/>
        <v>450013939610</v>
      </c>
      <c r="D701" s="4">
        <v>46297</v>
      </c>
      <c r="E701" s="3" t="s">
        <v>627</v>
      </c>
      <c r="F701" s="3" t="s">
        <v>849</v>
      </c>
    </row>
    <row r="702" spans="1:6" x14ac:dyDescent="0.3">
      <c r="A702" s="3" t="s">
        <v>592</v>
      </c>
      <c r="B702" s="3" t="s">
        <v>33</v>
      </c>
      <c r="C702" s="3" t="str">
        <f t="shared" si="10"/>
        <v>450013940110</v>
      </c>
      <c r="D702" s="4">
        <v>46283</v>
      </c>
      <c r="E702" s="3" t="s">
        <v>611</v>
      </c>
      <c r="F702" s="3" t="s">
        <v>730</v>
      </c>
    </row>
    <row r="703" spans="1:6" x14ac:dyDescent="0.3">
      <c r="A703" s="3" t="s">
        <v>662</v>
      </c>
      <c r="B703" s="3" t="s">
        <v>33</v>
      </c>
      <c r="C703" s="3" t="str">
        <f t="shared" si="10"/>
        <v>450013949610</v>
      </c>
      <c r="D703" s="4">
        <v>46300</v>
      </c>
      <c r="E703" s="3" t="s">
        <v>614</v>
      </c>
      <c r="F703" s="3" t="s">
        <v>773</v>
      </c>
    </row>
    <row r="704" spans="1:6" x14ac:dyDescent="0.3">
      <c r="A704" s="3" t="s">
        <v>556</v>
      </c>
      <c r="B704" s="3" t="s">
        <v>20</v>
      </c>
      <c r="C704" s="3" t="str">
        <f t="shared" si="10"/>
        <v>450013950320</v>
      </c>
      <c r="D704" s="4">
        <v>46295</v>
      </c>
      <c r="E704" s="3" t="s">
        <v>631</v>
      </c>
      <c r="F704" s="3" t="s">
        <v>711</v>
      </c>
    </row>
    <row r="705" spans="1:6" x14ac:dyDescent="0.3">
      <c r="A705" s="3" t="s">
        <v>671</v>
      </c>
      <c r="B705" s="3" t="s">
        <v>33</v>
      </c>
      <c r="C705" s="3" t="str">
        <f t="shared" si="10"/>
        <v>450013950510</v>
      </c>
      <c r="D705" s="4">
        <v>46304</v>
      </c>
      <c r="E705" s="3" t="s">
        <v>619</v>
      </c>
      <c r="F705" s="3" t="s">
        <v>730</v>
      </c>
    </row>
    <row r="706" spans="1:6" x14ac:dyDescent="0.3">
      <c r="A706" s="3" t="s">
        <v>671</v>
      </c>
      <c r="B706" s="3" t="s">
        <v>21</v>
      </c>
      <c r="C706" s="3" t="str">
        <f t="shared" si="10"/>
        <v>450013950530</v>
      </c>
      <c r="D706" s="4">
        <v>46300</v>
      </c>
      <c r="E706" s="3" t="s">
        <v>619</v>
      </c>
      <c r="F706" s="3" t="s">
        <v>730</v>
      </c>
    </row>
    <row r="707" spans="1:6" x14ac:dyDescent="0.3">
      <c r="A707" s="3" t="s">
        <v>671</v>
      </c>
      <c r="B707" s="3" t="s">
        <v>25</v>
      </c>
      <c r="C707" s="3" t="str">
        <f t="shared" ref="C707:C770" si="11">_xlfn.CONCAT(A707:B707)</f>
        <v>450013950540</v>
      </c>
      <c r="D707" s="4">
        <v>46300</v>
      </c>
      <c r="E707" s="3" t="s">
        <v>619</v>
      </c>
      <c r="F707" s="3" t="s">
        <v>730</v>
      </c>
    </row>
    <row r="708" spans="1:6" x14ac:dyDescent="0.3">
      <c r="A708" s="3" t="s">
        <v>671</v>
      </c>
      <c r="B708" s="3" t="s">
        <v>22</v>
      </c>
      <c r="C708" s="3" t="str">
        <f t="shared" si="11"/>
        <v>450013950550</v>
      </c>
      <c r="D708" s="4">
        <v>46320</v>
      </c>
      <c r="E708" s="3" t="s">
        <v>619</v>
      </c>
      <c r="F708" s="3" t="s">
        <v>730</v>
      </c>
    </row>
    <row r="709" spans="1:6" x14ac:dyDescent="0.3">
      <c r="A709" s="3" t="s">
        <v>671</v>
      </c>
      <c r="B709" s="3" t="s">
        <v>23</v>
      </c>
      <c r="C709" s="3" t="str">
        <f t="shared" si="11"/>
        <v>450013950560</v>
      </c>
      <c r="D709" s="4">
        <v>46300</v>
      </c>
      <c r="E709" s="3" t="s">
        <v>619</v>
      </c>
      <c r="F709" s="3" t="s">
        <v>730</v>
      </c>
    </row>
    <row r="710" spans="1:6" x14ac:dyDescent="0.3">
      <c r="A710" s="3" t="s">
        <v>671</v>
      </c>
      <c r="B710" s="3" t="s">
        <v>24</v>
      </c>
      <c r="C710" s="3" t="str">
        <f t="shared" si="11"/>
        <v>450013950570</v>
      </c>
      <c r="D710" s="4">
        <v>46305</v>
      </c>
      <c r="E710" s="3" t="s">
        <v>619</v>
      </c>
      <c r="F710" s="3" t="s">
        <v>730</v>
      </c>
    </row>
    <row r="711" spans="1:6" x14ac:dyDescent="0.3">
      <c r="A711" s="3" t="s">
        <v>559</v>
      </c>
      <c r="B711" s="3" t="s">
        <v>33</v>
      </c>
      <c r="C711" s="3" t="str">
        <f t="shared" si="11"/>
        <v>450013952710</v>
      </c>
      <c r="D711" s="4">
        <v>46306</v>
      </c>
      <c r="E711" s="3" t="s">
        <v>618</v>
      </c>
      <c r="F711" s="3" t="s">
        <v>746</v>
      </c>
    </row>
    <row r="712" spans="1:6" x14ac:dyDescent="0.3">
      <c r="A712" s="3" t="s">
        <v>559</v>
      </c>
      <c r="B712" s="3" t="s">
        <v>20</v>
      </c>
      <c r="C712" s="3" t="str">
        <f t="shared" si="11"/>
        <v>450013952720</v>
      </c>
      <c r="D712" s="4">
        <v>46306</v>
      </c>
      <c r="E712" s="3" t="s">
        <v>618</v>
      </c>
      <c r="F712" s="3" t="s">
        <v>746</v>
      </c>
    </row>
    <row r="713" spans="1:6" x14ac:dyDescent="0.3">
      <c r="A713" s="3" t="s">
        <v>695</v>
      </c>
      <c r="B713" s="3" t="s">
        <v>33</v>
      </c>
      <c r="C713" s="3" t="str">
        <f t="shared" si="11"/>
        <v>450013953010</v>
      </c>
      <c r="D713" s="4">
        <v>46301</v>
      </c>
      <c r="E713" s="3" t="s">
        <v>645</v>
      </c>
      <c r="F713" s="3" t="s">
        <v>801</v>
      </c>
    </row>
    <row r="714" spans="1:6" x14ac:dyDescent="0.3">
      <c r="A714" s="3" t="s">
        <v>695</v>
      </c>
      <c r="B714" s="3" t="s">
        <v>20</v>
      </c>
      <c r="C714" s="3" t="str">
        <f t="shared" si="11"/>
        <v>450013953020</v>
      </c>
      <c r="D714" s="4">
        <v>46298</v>
      </c>
      <c r="E714" s="3" t="s">
        <v>645</v>
      </c>
      <c r="F714" s="3" t="s">
        <v>801</v>
      </c>
    </row>
    <row r="715" spans="1:6" x14ac:dyDescent="0.3">
      <c r="A715" s="3" t="s">
        <v>824</v>
      </c>
      <c r="B715" s="3" t="s">
        <v>33</v>
      </c>
      <c r="C715" s="3" t="str">
        <f t="shared" si="11"/>
        <v>450013954110</v>
      </c>
      <c r="D715" s="4">
        <v>46304</v>
      </c>
      <c r="E715" s="3" t="s">
        <v>645</v>
      </c>
      <c r="F715" s="3" t="s">
        <v>850</v>
      </c>
    </row>
    <row r="716" spans="1:6" x14ac:dyDescent="0.3">
      <c r="A716" s="3" t="s">
        <v>664</v>
      </c>
      <c r="B716" s="3" t="s">
        <v>33</v>
      </c>
      <c r="C716" s="3" t="str">
        <f t="shared" si="11"/>
        <v>450013955610</v>
      </c>
      <c r="D716" s="4">
        <v>46295</v>
      </c>
      <c r="E716" s="3" t="s">
        <v>614</v>
      </c>
      <c r="F716" s="3" t="s">
        <v>802</v>
      </c>
    </row>
    <row r="717" spans="1:6" x14ac:dyDescent="0.3">
      <c r="A717" s="3" t="s">
        <v>841</v>
      </c>
      <c r="B717" s="3" t="s">
        <v>33</v>
      </c>
      <c r="C717" s="3" t="str">
        <f t="shared" si="11"/>
        <v>450013958410</v>
      </c>
      <c r="D717" s="4">
        <v>46296</v>
      </c>
      <c r="E717" s="3" t="s">
        <v>620</v>
      </c>
      <c r="F717" s="3" t="s">
        <v>851</v>
      </c>
    </row>
    <row r="718" spans="1:6" x14ac:dyDescent="0.3">
      <c r="A718" s="3" t="s">
        <v>841</v>
      </c>
      <c r="B718" s="3" t="s">
        <v>20</v>
      </c>
      <c r="C718" s="3" t="str">
        <f t="shared" si="11"/>
        <v>450013958420</v>
      </c>
      <c r="D718" s="4">
        <v>46296</v>
      </c>
      <c r="E718" s="3" t="s">
        <v>620</v>
      </c>
      <c r="F718" s="3" t="s">
        <v>851</v>
      </c>
    </row>
    <row r="719" spans="1:6" x14ac:dyDescent="0.3">
      <c r="A719" s="3" t="s">
        <v>683</v>
      </c>
      <c r="B719" s="3" t="s">
        <v>33</v>
      </c>
      <c r="C719" s="3" t="str">
        <f t="shared" si="11"/>
        <v>450013960110</v>
      </c>
      <c r="D719" s="4">
        <v>46300</v>
      </c>
      <c r="E719" s="3" t="s">
        <v>614</v>
      </c>
      <c r="F719" s="3" t="s">
        <v>722</v>
      </c>
    </row>
    <row r="720" spans="1:6" x14ac:dyDescent="0.3">
      <c r="A720" s="3" t="s">
        <v>685</v>
      </c>
      <c r="B720" s="3" t="s">
        <v>33</v>
      </c>
      <c r="C720" s="3" t="str">
        <f t="shared" si="11"/>
        <v>450013960210</v>
      </c>
      <c r="D720" s="4">
        <v>46300</v>
      </c>
      <c r="E720" s="3" t="s">
        <v>614</v>
      </c>
      <c r="F720" s="3" t="s">
        <v>742</v>
      </c>
    </row>
    <row r="721" spans="1:6" x14ac:dyDescent="0.3">
      <c r="A721" s="3" t="s">
        <v>690</v>
      </c>
      <c r="B721" s="3" t="s">
        <v>33</v>
      </c>
      <c r="C721" s="3" t="str">
        <f t="shared" si="11"/>
        <v>450013961110</v>
      </c>
      <c r="D721" s="4">
        <v>46305</v>
      </c>
      <c r="E721" s="3" t="s">
        <v>614</v>
      </c>
      <c r="F721" s="3" t="s">
        <v>767</v>
      </c>
    </row>
    <row r="722" spans="1:6" x14ac:dyDescent="0.3">
      <c r="A722" s="3" t="s">
        <v>823</v>
      </c>
      <c r="B722" s="3" t="s">
        <v>33</v>
      </c>
      <c r="C722" s="3" t="str">
        <f t="shared" si="11"/>
        <v>450013965010</v>
      </c>
      <c r="D722" s="4">
        <v>46297</v>
      </c>
      <c r="E722" s="3" t="s">
        <v>642</v>
      </c>
      <c r="F722" s="3" t="s">
        <v>733</v>
      </c>
    </row>
    <row r="723" spans="1:6" x14ac:dyDescent="0.3">
      <c r="A723" s="3" t="s">
        <v>823</v>
      </c>
      <c r="B723" s="3" t="s">
        <v>20</v>
      </c>
      <c r="C723" s="3" t="str">
        <f t="shared" si="11"/>
        <v>450013965020</v>
      </c>
      <c r="D723" s="4">
        <v>46297</v>
      </c>
      <c r="E723" s="3" t="s">
        <v>642</v>
      </c>
      <c r="F723" s="3" t="s">
        <v>733</v>
      </c>
    </row>
    <row r="724" spans="1:6" x14ac:dyDescent="0.3">
      <c r="A724" s="3" t="s">
        <v>694</v>
      </c>
      <c r="B724" s="3" t="s">
        <v>33</v>
      </c>
      <c r="C724" s="3" t="str">
        <f t="shared" si="11"/>
        <v>450013968210</v>
      </c>
      <c r="D724" s="4">
        <v>46300</v>
      </c>
      <c r="E724" s="3" t="s">
        <v>644</v>
      </c>
      <c r="F724" s="3" t="s">
        <v>731</v>
      </c>
    </row>
    <row r="725" spans="1:6" x14ac:dyDescent="0.3">
      <c r="A725" s="3" t="s">
        <v>694</v>
      </c>
      <c r="B725" s="3" t="s">
        <v>20</v>
      </c>
      <c r="C725" s="3" t="str">
        <f t="shared" si="11"/>
        <v>450013968220</v>
      </c>
      <c r="D725" s="4">
        <v>46300</v>
      </c>
      <c r="E725" s="3" t="s">
        <v>644</v>
      </c>
      <c r="F725" s="3" t="s">
        <v>731</v>
      </c>
    </row>
    <row r="726" spans="1:6" x14ac:dyDescent="0.3">
      <c r="A726" s="3" t="s">
        <v>694</v>
      </c>
      <c r="B726" s="3" t="s">
        <v>21</v>
      </c>
      <c r="C726" s="3" t="str">
        <f t="shared" si="11"/>
        <v>450013968230</v>
      </c>
      <c r="D726" s="4">
        <v>46300</v>
      </c>
      <c r="E726" s="3" t="s">
        <v>644</v>
      </c>
      <c r="F726" s="3" t="s">
        <v>731</v>
      </c>
    </row>
    <row r="727" spans="1:6" x14ac:dyDescent="0.3">
      <c r="A727" s="3" t="s">
        <v>689</v>
      </c>
      <c r="B727" s="3" t="s">
        <v>33</v>
      </c>
      <c r="C727" s="3" t="str">
        <f t="shared" si="11"/>
        <v>450013969610</v>
      </c>
      <c r="D727" s="4">
        <v>46300</v>
      </c>
      <c r="E727" s="3" t="s">
        <v>614</v>
      </c>
      <c r="F727" s="3" t="s">
        <v>803</v>
      </c>
    </row>
    <row r="728" spans="1:6" x14ac:dyDescent="0.3">
      <c r="A728" s="3" t="s">
        <v>691</v>
      </c>
      <c r="B728" s="3" t="s">
        <v>33</v>
      </c>
      <c r="C728" s="3" t="str">
        <f t="shared" si="11"/>
        <v>450013969710</v>
      </c>
      <c r="D728" s="4">
        <v>46305</v>
      </c>
      <c r="E728" s="3" t="s">
        <v>614</v>
      </c>
      <c r="F728" s="3" t="s">
        <v>771</v>
      </c>
    </row>
    <row r="729" spans="1:6" x14ac:dyDescent="0.3">
      <c r="A729" s="3" t="s">
        <v>815</v>
      </c>
      <c r="B729" s="3" t="s">
        <v>33</v>
      </c>
      <c r="C729" s="3" t="str">
        <f t="shared" si="11"/>
        <v>450013973010</v>
      </c>
      <c r="D729" s="4">
        <v>46301</v>
      </c>
      <c r="E729" s="3" t="s">
        <v>619</v>
      </c>
      <c r="F729" s="3" t="s">
        <v>852</v>
      </c>
    </row>
    <row r="730" spans="1:6" x14ac:dyDescent="0.3">
      <c r="A730" s="3" t="s">
        <v>602</v>
      </c>
      <c r="B730" s="3" t="s">
        <v>33</v>
      </c>
      <c r="C730" s="3" t="str">
        <f t="shared" si="11"/>
        <v>450013973810</v>
      </c>
      <c r="D730" s="4">
        <v>46315</v>
      </c>
      <c r="E730" s="3" t="s">
        <v>619</v>
      </c>
      <c r="F730" s="3" t="s">
        <v>759</v>
      </c>
    </row>
    <row r="731" spans="1:6" x14ac:dyDescent="0.3">
      <c r="A731" s="3" t="s">
        <v>825</v>
      </c>
      <c r="B731" s="3" t="s">
        <v>33</v>
      </c>
      <c r="C731" s="3" t="str">
        <f t="shared" si="11"/>
        <v>450013974610</v>
      </c>
      <c r="D731" s="4">
        <v>46303</v>
      </c>
      <c r="E731" s="3" t="s">
        <v>612</v>
      </c>
      <c r="F731" s="3" t="s">
        <v>730</v>
      </c>
    </row>
    <row r="732" spans="1:6" x14ac:dyDescent="0.3">
      <c r="A732" s="3" t="s">
        <v>603</v>
      </c>
      <c r="B732" s="3" t="s">
        <v>33</v>
      </c>
      <c r="C732" s="3" t="str">
        <f t="shared" si="11"/>
        <v>450013977410</v>
      </c>
      <c r="D732" s="4">
        <v>46295</v>
      </c>
      <c r="E732" s="3" t="s">
        <v>627</v>
      </c>
      <c r="F732" s="3" t="s">
        <v>714</v>
      </c>
    </row>
    <row r="733" spans="1:6" x14ac:dyDescent="0.3">
      <c r="A733" s="3" t="s">
        <v>603</v>
      </c>
      <c r="B733" s="3" t="s">
        <v>20</v>
      </c>
      <c r="C733" s="3" t="str">
        <f t="shared" si="11"/>
        <v>450013977420</v>
      </c>
      <c r="D733" s="4">
        <v>46295</v>
      </c>
      <c r="E733" s="3" t="s">
        <v>627</v>
      </c>
      <c r="F733" s="3" t="s">
        <v>714</v>
      </c>
    </row>
    <row r="734" spans="1:6" x14ac:dyDescent="0.3">
      <c r="A734" s="3" t="s">
        <v>603</v>
      </c>
      <c r="B734" s="3" t="s">
        <v>21</v>
      </c>
      <c r="C734" s="3" t="str">
        <f t="shared" si="11"/>
        <v>450013977430</v>
      </c>
      <c r="D734" s="4">
        <v>46295</v>
      </c>
      <c r="E734" s="3" t="s">
        <v>627</v>
      </c>
      <c r="F734" s="3" t="s">
        <v>714</v>
      </c>
    </row>
    <row r="735" spans="1:6" x14ac:dyDescent="0.3">
      <c r="A735" s="3" t="s">
        <v>603</v>
      </c>
      <c r="B735" s="3" t="s">
        <v>25</v>
      </c>
      <c r="C735" s="3" t="str">
        <f t="shared" si="11"/>
        <v>450013977440</v>
      </c>
      <c r="D735" s="4">
        <v>46295</v>
      </c>
      <c r="E735" s="3" t="s">
        <v>627</v>
      </c>
      <c r="F735" s="3" t="s">
        <v>714</v>
      </c>
    </row>
    <row r="736" spans="1:6" x14ac:dyDescent="0.3">
      <c r="A736" s="3" t="s">
        <v>603</v>
      </c>
      <c r="B736" s="3" t="s">
        <v>22</v>
      </c>
      <c r="C736" s="3" t="str">
        <f t="shared" si="11"/>
        <v>450013977450</v>
      </c>
      <c r="D736" s="4">
        <v>46295</v>
      </c>
      <c r="E736" s="3" t="s">
        <v>627</v>
      </c>
      <c r="F736" s="3" t="s">
        <v>714</v>
      </c>
    </row>
    <row r="737" spans="1:6" x14ac:dyDescent="0.3">
      <c r="A737" s="3" t="s">
        <v>603</v>
      </c>
      <c r="B737" s="3" t="s">
        <v>23</v>
      </c>
      <c r="C737" s="3" t="str">
        <f t="shared" si="11"/>
        <v>450013977460</v>
      </c>
      <c r="D737" s="4">
        <v>46295</v>
      </c>
      <c r="E737" s="3" t="s">
        <v>627</v>
      </c>
      <c r="F737" s="3" t="s">
        <v>714</v>
      </c>
    </row>
    <row r="738" spans="1:6" x14ac:dyDescent="0.3">
      <c r="A738" s="3" t="s">
        <v>603</v>
      </c>
      <c r="B738" s="3" t="s">
        <v>24</v>
      </c>
      <c r="C738" s="3" t="str">
        <f t="shared" si="11"/>
        <v>450013977470</v>
      </c>
      <c r="D738" s="4">
        <v>46295</v>
      </c>
      <c r="E738" s="3" t="s">
        <v>627</v>
      </c>
      <c r="F738" s="3" t="s">
        <v>714</v>
      </c>
    </row>
    <row r="739" spans="1:6" x14ac:dyDescent="0.3">
      <c r="A739" s="3" t="s">
        <v>603</v>
      </c>
      <c r="B739" s="3" t="s">
        <v>321</v>
      </c>
      <c r="C739" s="3" t="str">
        <f t="shared" si="11"/>
        <v>450013977480</v>
      </c>
      <c r="D739" s="4">
        <v>46295</v>
      </c>
      <c r="E739" s="3" t="s">
        <v>627</v>
      </c>
      <c r="F739" s="3" t="s">
        <v>714</v>
      </c>
    </row>
    <row r="740" spans="1:6" x14ac:dyDescent="0.3">
      <c r="A740" s="3" t="s">
        <v>603</v>
      </c>
      <c r="B740" s="3" t="s">
        <v>322</v>
      </c>
      <c r="C740" s="3" t="str">
        <f t="shared" si="11"/>
        <v>450013977490</v>
      </c>
      <c r="D740" s="4">
        <v>46295</v>
      </c>
      <c r="E740" s="3" t="s">
        <v>627</v>
      </c>
      <c r="F740" s="3" t="s">
        <v>714</v>
      </c>
    </row>
    <row r="741" spans="1:6" x14ac:dyDescent="0.3">
      <c r="A741" s="3" t="s">
        <v>603</v>
      </c>
      <c r="B741" s="3" t="s">
        <v>323</v>
      </c>
      <c r="C741" s="3" t="str">
        <f t="shared" si="11"/>
        <v>4500139774100</v>
      </c>
      <c r="D741" s="4">
        <v>46295</v>
      </c>
      <c r="E741" s="3" t="s">
        <v>627</v>
      </c>
      <c r="F741" s="3" t="s">
        <v>714</v>
      </c>
    </row>
    <row r="742" spans="1:6" x14ac:dyDescent="0.3">
      <c r="A742" s="3" t="s">
        <v>603</v>
      </c>
      <c r="B742" s="3" t="s">
        <v>175</v>
      </c>
      <c r="C742" s="3" t="str">
        <f t="shared" si="11"/>
        <v>4500139774110</v>
      </c>
      <c r="D742" s="4">
        <v>46295</v>
      </c>
      <c r="E742" s="3" t="s">
        <v>627</v>
      </c>
      <c r="F742" s="3" t="s">
        <v>714</v>
      </c>
    </row>
    <row r="743" spans="1:6" x14ac:dyDescent="0.3">
      <c r="A743" s="3" t="s">
        <v>603</v>
      </c>
      <c r="B743" s="3" t="s">
        <v>375</v>
      </c>
      <c r="C743" s="3" t="str">
        <f t="shared" si="11"/>
        <v>4500139774120</v>
      </c>
      <c r="D743" s="4">
        <v>46295</v>
      </c>
      <c r="E743" s="3" t="s">
        <v>627</v>
      </c>
      <c r="F743" s="3" t="s">
        <v>714</v>
      </c>
    </row>
    <row r="744" spans="1:6" x14ac:dyDescent="0.3">
      <c r="A744" s="3" t="s">
        <v>607</v>
      </c>
      <c r="B744" s="3" t="s">
        <v>33</v>
      </c>
      <c r="C744" s="3" t="str">
        <f t="shared" si="11"/>
        <v>450013981910</v>
      </c>
      <c r="D744" s="4">
        <v>46302</v>
      </c>
      <c r="E744" s="3" t="s">
        <v>612</v>
      </c>
      <c r="F744" s="3" t="s">
        <v>718</v>
      </c>
    </row>
    <row r="745" spans="1:6" x14ac:dyDescent="0.3">
      <c r="A745" s="3" t="s">
        <v>594</v>
      </c>
      <c r="B745" s="3" t="s">
        <v>33</v>
      </c>
      <c r="C745" s="3" t="str">
        <f t="shared" si="11"/>
        <v>450013988810</v>
      </c>
      <c r="D745" s="4">
        <v>46302</v>
      </c>
      <c r="E745" s="3" t="s">
        <v>625</v>
      </c>
      <c r="F745" s="3" t="s">
        <v>804</v>
      </c>
    </row>
    <row r="746" spans="1:6" x14ac:dyDescent="0.3">
      <c r="A746" s="3" t="s">
        <v>817</v>
      </c>
      <c r="B746" s="3" t="s">
        <v>33</v>
      </c>
      <c r="C746" s="3" t="str">
        <f t="shared" si="11"/>
        <v>450013989010</v>
      </c>
      <c r="D746" s="4">
        <v>46309</v>
      </c>
      <c r="E746" s="3" t="s">
        <v>642</v>
      </c>
      <c r="F746" s="3" t="s">
        <v>730</v>
      </c>
    </row>
    <row r="747" spans="1:6" x14ac:dyDescent="0.3">
      <c r="A747" s="3" t="s">
        <v>828</v>
      </c>
      <c r="B747" s="3" t="s">
        <v>33</v>
      </c>
      <c r="C747" s="3" t="str">
        <f t="shared" si="11"/>
        <v>450013992510</v>
      </c>
      <c r="D747" s="4">
        <v>46297</v>
      </c>
      <c r="E747" s="3" t="s">
        <v>614</v>
      </c>
      <c r="F747" s="3" t="s">
        <v>711</v>
      </c>
    </row>
    <row r="748" spans="1:6" x14ac:dyDescent="0.3">
      <c r="A748" s="3" t="s">
        <v>828</v>
      </c>
      <c r="B748" s="3" t="s">
        <v>20</v>
      </c>
      <c r="C748" s="3" t="str">
        <f t="shared" si="11"/>
        <v>450013992520</v>
      </c>
      <c r="D748" s="4">
        <v>46315</v>
      </c>
      <c r="E748" s="3" t="s">
        <v>614</v>
      </c>
      <c r="F748" s="3" t="s">
        <v>711</v>
      </c>
    </row>
    <row r="749" spans="1:6" x14ac:dyDescent="0.3">
      <c r="A749" s="3" t="s">
        <v>819</v>
      </c>
      <c r="B749" s="3" t="s">
        <v>33</v>
      </c>
      <c r="C749" s="3" t="str">
        <f t="shared" si="11"/>
        <v>450013993610</v>
      </c>
      <c r="D749" s="4">
        <v>46305</v>
      </c>
      <c r="E749" s="3" t="s">
        <v>612</v>
      </c>
      <c r="F749" s="3" t="s">
        <v>718</v>
      </c>
    </row>
    <row r="750" spans="1:6" x14ac:dyDescent="0.3">
      <c r="A750" s="3" t="s">
        <v>819</v>
      </c>
      <c r="B750" s="3" t="s">
        <v>20</v>
      </c>
      <c r="C750" s="3" t="str">
        <f t="shared" si="11"/>
        <v>450013993620</v>
      </c>
      <c r="D750" s="4">
        <v>46305</v>
      </c>
      <c r="E750" s="3" t="s">
        <v>612</v>
      </c>
      <c r="F750" s="3" t="s">
        <v>718</v>
      </c>
    </row>
    <row r="751" spans="1:6" x14ac:dyDescent="0.3">
      <c r="A751" s="3" t="s">
        <v>682</v>
      </c>
      <c r="B751" s="3" t="s">
        <v>33</v>
      </c>
      <c r="C751" s="3" t="str">
        <f t="shared" si="11"/>
        <v>450013997810</v>
      </c>
      <c r="D751" s="4">
        <v>46300</v>
      </c>
      <c r="E751" s="3" t="s">
        <v>614</v>
      </c>
      <c r="F751" s="3" t="s">
        <v>805</v>
      </c>
    </row>
    <row r="752" spans="1:6" x14ac:dyDescent="0.3">
      <c r="A752" s="3" t="s">
        <v>693</v>
      </c>
      <c r="B752" s="3" t="s">
        <v>33</v>
      </c>
      <c r="C752" s="3" t="str">
        <f t="shared" si="11"/>
        <v>450014002310</v>
      </c>
      <c r="D752" s="4">
        <v>46305</v>
      </c>
      <c r="E752" s="3" t="s">
        <v>618</v>
      </c>
      <c r="F752" s="3" t="s">
        <v>754</v>
      </c>
    </row>
    <row r="753" spans="1:6" x14ac:dyDescent="0.3">
      <c r="A753" s="3" t="s">
        <v>676</v>
      </c>
      <c r="B753" s="3" t="s">
        <v>33</v>
      </c>
      <c r="C753" s="3" t="str">
        <f t="shared" si="11"/>
        <v>450014002610</v>
      </c>
      <c r="D753" s="4">
        <v>46305</v>
      </c>
      <c r="E753" s="3" t="s">
        <v>618</v>
      </c>
      <c r="F753" s="3" t="s">
        <v>806</v>
      </c>
    </row>
    <row r="754" spans="1:6" x14ac:dyDescent="0.3">
      <c r="A754" s="3" t="s">
        <v>811</v>
      </c>
      <c r="B754" s="3" t="s">
        <v>33</v>
      </c>
      <c r="C754" s="3" t="str">
        <f t="shared" si="11"/>
        <v>450014002810</v>
      </c>
      <c r="D754" s="4">
        <v>46310</v>
      </c>
      <c r="E754" s="3" t="s">
        <v>632</v>
      </c>
      <c r="F754" s="3" t="s">
        <v>853</v>
      </c>
    </row>
    <row r="755" spans="1:6" x14ac:dyDescent="0.3">
      <c r="A755" s="3" t="s">
        <v>809</v>
      </c>
      <c r="B755" s="3" t="s">
        <v>33</v>
      </c>
      <c r="C755" s="3" t="str">
        <f t="shared" si="11"/>
        <v>450014003410</v>
      </c>
      <c r="D755" s="4">
        <v>46303</v>
      </c>
      <c r="E755" s="3" t="s">
        <v>618</v>
      </c>
      <c r="F755" s="3" t="s">
        <v>769</v>
      </c>
    </row>
    <row r="756" spans="1:6" x14ac:dyDescent="0.3">
      <c r="A756" s="3" t="s">
        <v>684</v>
      </c>
      <c r="B756" s="3" t="s">
        <v>33</v>
      </c>
      <c r="C756" s="3" t="str">
        <f t="shared" si="11"/>
        <v>450014003510</v>
      </c>
      <c r="D756" s="4">
        <v>46305</v>
      </c>
      <c r="E756" s="3" t="s">
        <v>618</v>
      </c>
      <c r="F756" s="3" t="s">
        <v>740</v>
      </c>
    </row>
    <row r="757" spans="1:6" x14ac:dyDescent="0.3">
      <c r="A757" s="3" t="s">
        <v>890</v>
      </c>
      <c r="B757" s="3" t="s">
        <v>33</v>
      </c>
      <c r="C757" s="3" t="str">
        <f t="shared" si="11"/>
        <v>450012860810</v>
      </c>
      <c r="D757" s="4">
        <v>46568</v>
      </c>
      <c r="E757" s="3" t="s">
        <v>699</v>
      </c>
      <c r="F757" s="3" t="s">
        <v>982</v>
      </c>
    </row>
    <row r="758" spans="1:6" x14ac:dyDescent="0.3">
      <c r="A758" s="3" t="s">
        <v>884</v>
      </c>
      <c r="B758" s="3" t="s">
        <v>33</v>
      </c>
      <c r="C758" s="3" t="str">
        <f t="shared" si="11"/>
        <v>450013243810</v>
      </c>
      <c r="D758" s="4">
        <v>46387</v>
      </c>
      <c r="E758" s="3" t="s">
        <v>699</v>
      </c>
      <c r="F758" s="3" t="s">
        <v>983</v>
      </c>
    </row>
    <row r="759" spans="1:6" x14ac:dyDescent="0.3">
      <c r="A759" s="3" t="s">
        <v>887</v>
      </c>
      <c r="B759" s="3" t="s">
        <v>33</v>
      </c>
      <c r="C759" s="3" t="str">
        <f t="shared" si="11"/>
        <v>450010894810</v>
      </c>
      <c r="D759" s="4">
        <v>46386</v>
      </c>
      <c r="E759" s="3" t="s">
        <v>699</v>
      </c>
      <c r="F759" s="3" t="s">
        <v>700</v>
      </c>
    </row>
    <row r="760" spans="1:6" x14ac:dyDescent="0.3">
      <c r="A760" s="3" t="s">
        <v>894</v>
      </c>
      <c r="B760" s="3" t="s">
        <v>20</v>
      </c>
      <c r="C760" s="3" t="str">
        <f t="shared" si="11"/>
        <v>450013034320</v>
      </c>
      <c r="D760" s="4">
        <v>46538</v>
      </c>
      <c r="E760" s="3" t="s">
        <v>609</v>
      </c>
      <c r="F760" s="3" t="s">
        <v>984</v>
      </c>
    </row>
    <row r="761" spans="1:6" x14ac:dyDescent="0.3">
      <c r="A761" s="3" t="s">
        <v>892</v>
      </c>
      <c r="B761" s="3" t="s">
        <v>33</v>
      </c>
      <c r="C761" s="3" t="str">
        <f t="shared" si="11"/>
        <v>450012676710</v>
      </c>
      <c r="D761" s="4">
        <v>46538</v>
      </c>
      <c r="E761" s="3" t="s">
        <v>842</v>
      </c>
      <c r="F761" s="3" t="s">
        <v>985</v>
      </c>
    </row>
    <row r="762" spans="1:6" x14ac:dyDescent="0.3">
      <c r="A762" s="3" t="s">
        <v>928</v>
      </c>
      <c r="B762" s="3" t="s">
        <v>33</v>
      </c>
      <c r="C762" s="3" t="str">
        <f t="shared" si="11"/>
        <v>450011584310</v>
      </c>
      <c r="D762" s="4">
        <v>46356</v>
      </c>
      <c r="E762" s="3" t="s">
        <v>609</v>
      </c>
      <c r="F762" s="3" t="s">
        <v>986</v>
      </c>
    </row>
    <row r="763" spans="1:6" x14ac:dyDescent="0.3">
      <c r="A763" s="3" t="s">
        <v>923</v>
      </c>
      <c r="B763" s="3" t="s">
        <v>33</v>
      </c>
      <c r="C763" s="3" t="str">
        <f t="shared" si="11"/>
        <v>450011219710</v>
      </c>
      <c r="D763" s="4">
        <v>46326</v>
      </c>
      <c r="E763" s="3" t="s">
        <v>609</v>
      </c>
      <c r="F763" s="3" t="s">
        <v>986</v>
      </c>
    </row>
    <row r="764" spans="1:6" x14ac:dyDescent="0.3">
      <c r="A764" s="3" t="s">
        <v>894</v>
      </c>
      <c r="B764" s="3" t="s">
        <v>33</v>
      </c>
      <c r="C764" s="3" t="str">
        <f t="shared" si="11"/>
        <v>450013034310</v>
      </c>
      <c r="D764" s="4">
        <v>46538</v>
      </c>
      <c r="E764" s="3" t="s">
        <v>609</v>
      </c>
      <c r="F764" s="3" t="s">
        <v>984</v>
      </c>
    </row>
    <row r="765" spans="1:6" x14ac:dyDescent="0.3">
      <c r="A765" s="3" t="s">
        <v>918</v>
      </c>
      <c r="B765" s="3" t="s">
        <v>33</v>
      </c>
      <c r="C765" s="3" t="str">
        <f t="shared" si="11"/>
        <v>450011282610</v>
      </c>
      <c r="D765" s="4">
        <v>46326</v>
      </c>
      <c r="E765" s="3" t="s">
        <v>609</v>
      </c>
      <c r="F765" s="3" t="s">
        <v>987</v>
      </c>
    </row>
    <row r="766" spans="1:6" x14ac:dyDescent="0.3">
      <c r="A766" s="3" t="s">
        <v>918</v>
      </c>
      <c r="B766" s="3" t="s">
        <v>20</v>
      </c>
      <c r="C766" s="3" t="str">
        <f t="shared" si="11"/>
        <v>450011282620</v>
      </c>
      <c r="D766" s="4">
        <v>46326</v>
      </c>
      <c r="E766" s="3" t="s">
        <v>609</v>
      </c>
      <c r="F766" s="3" t="s">
        <v>987</v>
      </c>
    </row>
    <row r="767" spans="1:6" x14ac:dyDescent="0.3">
      <c r="A767" s="3" t="s">
        <v>968</v>
      </c>
      <c r="B767" s="3" t="s">
        <v>20</v>
      </c>
      <c r="C767" s="3" t="str">
        <f t="shared" si="11"/>
        <v>450013730920</v>
      </c>
      <c r="D767" s="4">
        <v>46308</v>
      </c>
      <c r="E767" s="3" t="s">
        <v>988</v>
      </c>
      <c r="F767" s="3" t="s">
        <v>989</v>
      </c>
    </row>
    <row r="768" spans="1:6" x14ac:dyDescent="0.3">
      <c r="A768" s="3" t="s">
        <v>914</v>
      </c>
      <c r="B768" s="3" t="s">
        <v>33</v>
      </c>
      <c r="C768" s="3" t="str">
        <f t="shared" si="11"/>
        <v>450012341110</v>
      </c>
      <c r="D768" s="4">
        <v>46477</v>
      </c>
      <c r="E768" s="3" t="s">
        <v>609</v>
      </c>
      <c r="F768" s="3" t="s">
        <v>990</v>
      </c>
    </row>
    <row r="769" spans="1:6" x14ac:dyDescent="0.3">
      <c r="A769" s="3" t="s">
        <v>924</v>
      </c>
      <c r="B769" s="3" t="s">
        <v>33</v>
      </c>
      <c r="C769" s="3" t="str">
        <f t="shared" si="11"/>
        <v>450013567210</v>
      </c>
      <c r="D769" s="4">
        <v>46547</v>
      </c>
      <c r="E769" s="3" t="s">
        <v>613</v>
      </c>
      <c r="F769" s="3" t="s">
        <v>991</v>
      </c>
    </row>
    <row r="770" spans="1:6" x14ac:dyDescent="0.3">
      <c r="A770" s="3" t="s">
        <v>915</v>
      </c>
      <c r="B770" s="3" t="s">
        <v>33</v>
      </c>
      <c r="C770" s="3" t="str">
        <f t="shared" si="11"/>
        <v>450012342810</v>
      </c>
      <c r="D770" s="4">
        <v>46477</v>
      </c>
      <c r="E770" s="3" t="s">
        <v>842</v>
      </c>
      <c r="F770" s="3" t="s">
        <v>990</v>
      </c>
    </row>
    <row r="771" spans="1:6" x14ac:dyDescent="0.3">
      <c r="A771" s="3" t="s">
        <v>907</v>
      </c>
      <c r="B771" s="3" t="s">
        <v>33</v>
      </c>
      <c r="C771" s="3" t="str">
        <f t="shared" ref="C771:C834" si="12">_xlfn.CONCAT(A771:B771)</f>
        <v>450012915110</v>
      </c>
      <c r="D771" s="4">
        <v>46308</v>
      </c>
      <c r="E771" s="3" t="s">
        <v>623</v>
      </c>
      <c r="F771" s="3" t="s">
        <v>777</v>
      </c>
    </row>
    <row r="772" spans="1:6" x14ac:dyDescent="0.3">
      <c r="A772" s="3" t="s">
        <v>907</v>
      </c>
      <c r="B772" s="3" t="s">
        <v>20</v>
      </c>
      <c r="C772" s="3" t="str">
        <f t="shared" si="12"/>
        <v>450012915120</v>
      </c>
      <c r="D772" s="4">
        <v>46193</v>
      </c>
      <c r="E772" s="3" t="s">
        <v>623</v>
      </c>
      <c r="F772" s="3" t="s">
        <v>777</v>
      </c>
    </row>
    <row r="773" spans="1:6" x14ac:dyDescent="0.3">
      <c r="A773" s="3" t="s">
        <v>922</v>
      </c>
      <c r="B773" s="3" t="s">
        <v>33</v>
      </c>
      <c r="C773" s="3" t="str">
        <f t="shared" si="12"/>
        <v>450013033110</v>
      </c>
      <c r="D773" s="4">
        <v>46295</v>
      </c>
      <c r="E773" s="3" t="s">
        <v>609</v>
      </c>
      <c r="F773" s="3" t="s">
        <v>986</v>
      </c>
    </row>
    <row r="774" spans="1:6" x14ac:dyDescent="0.3">
      <c r="A774" s="3" t="s">
        <v>950</v>
      </c>
      <c r="B774" s="3" t="s">
        <v>33</v>
      </c>
      <c r="C774" s="3" t="str">
        <f t="shared" si="12"/>
        <v>450013466710</v>
      </c>
      <c r="D774" s="4">
        <v>46308</v>
      </c>
      <c r="E774" s="3" t="s">
        <v>641</v>
      </c>
      <c r="F774" s="3" t="s">
        <v>787</v>
      </c>
    </row>
    <row r="775" spans="1:6" x14ac:dyDescent="0.3">
      <c r="A775" s="3" t="s">
        <v>950</v>
      </c>
      <c r="B775" s="3" t="s">
        <v>20</v>
      </c>
      <c r="C775" s="3" t="str">
        <f t="shared" si="12"/>
        <v>450013466720</v>
      </c>
      <c r="D775" s="4">
        <v>46252</v>
      </c>
      <c r="E775" s="3" t="s">
        <v>641</v>
      </c>
      <c r="F775" s="3" t="s">
        <v>787</v>
      </c>
    </row>
    <row r="776" spans="1:6" x14ac:dyDescent="0.3">
      <c r="A776" s="3" t="s">
        <v>967</v>
      </c>
      <c r="B776" s="3" t="s">
        <v>33</v>
      </c>
      <c r="C776" s="3" t="str">
        <f t="shared" si="12"/>
        <v>450013589110</v>
      </c>
      <c r="D776" s="4">
        <v>46305</v>
      </c>
      <c r="E776" s="3" t="s">
        <v>609</v>
      </c>
      <c r="F776" s="3" t="s">
        <v>992</v>
      </c>
    </row>
    <row r="777" spans="1:6" x14ac:dyDescent="0.3">
      <c r="A777" s="3" t="s">
        <v>967</v>
      </c>
      <c r="B777" s="3" t="s">
        <v>20</v>
      </c>
      <c r="C777" s="3" t="str">
        <f t="shared" si="12"/>
        <v>450013589120</v>
      </c>
      <c r="D777" s="4">
        <v>46305</v>
      </c>
      <c r="E777" s="3" t="s">
        <v>609</v>
      </c>
      <c r="F777" s="3" t="s">
        <v>992</v>
      </c>
    </row>
    <row r="778" spans="1:6" x14ac:dyDescent="0.3">
      <c r="A778" s="3" t="s">
        <v>967</v>
      </c>
      <c r="B778" s="3" t="s">
        <v>21</v>
      </c>
      <c r="C778" s="3" t="str">
        <f t="shared" si="12"/>
        <v>450013589130</v>
      </c>
      <c r="D778" s="4">
        <v>46305</v>
      </c>
      <c r="E778" s="3" t="s">
        <v>609</v>
      </c>
      <c r="F778" s="3" t="s">
        <v>992</v>
      </c>
    </row>
    <row r="779" spans="1:6" x14ac:dyDescent="0.3">
      <c r="A779" s="3" t="s">
        <v>883</v>
      </c>
      <c r="B779" s="3" t="s">
        <v>33</v>
      </c>
      <c r="C779" s="3" t="str">
        <f t="shared" si="12"/>
        <v>450013624210</v>
      </c>
      <c r="D779" s="4">
        <v>46305</v>
      </c>
      <c r="E779" s="3" t="s">
        <v>622</v>
      </c>
      <c r="F779" s="3" t="s">
        <v>993</v>
      </c>
    </row>
    <row r="780" spans="1:6" x14ac:dyDescent="0.3">
      <c r="A780" s="3" t="s">
        <v>919</v>
      </c>
      <c r="B780" s="3" t="s">
        <v>33</v>
      </c>
      <c r="C780" s="3" t="str">
        <f t="shared" si="12"/>
        <v>450013653710</v>
      </c>
      <c r="D780" s="4">
        <v>46325</v>
      </c>
      <c r="E780" s="3" t="s">
        <v>613</v>
      </c>
      <c r="F780" s="3" t="s">
        <v>994</v>
      </c>
    </row>
    <row r="781" spans="1:6" x14ac:dyDescent="0.3">
      <c r="A781" s="3" t="s">
        <v>919</v>
      </c>
      <c r="B781" s="3" t="s">
        <v>20</v>
      </c>
      <c r="C781" s="3" t="str">
        <f t="shared" si="12"/>
        <v>450013653720</v>
      </c>
      <c r="D781" s="4">
        <v>46325</v>
      </c>
      <c r="E781" s="3" t="s">
        <v>613</v>
      </c>
      <c r="F781" s="3" t="s">
        <v>994</v>
      </c>
    </row>
    <row r="782" spans="1:6" x14ac:dyDescent="0.3">
      <c r="A782" s="3" t="s">
        <v>919</v>
      </c>
      <c r="B782" s="3" t="s">
        <v>21</v>
      </c>
      <c r="C782" s="3" t="str">
        <f t="shared" si="12"/>
        <v>450013653730</v>
      </c>
      <c r="D782" s="4">
        <v>46325</v>
      </c>
      <c r="E782" s="3" t="s">
        <v>613</v>
      </c>
      <c r="F782" s="3" t="s">
        <v>994</v>
      </c>
    </row>
    <row r="783" spans="1:6" x14ac:dyDescent="0.3">
      <c r="A783" s="3" t="s">
        <v>919</v>
      </c>
      <c r="B783" s="3" t="s">
        <v>25</v>
      </c>
      <c r="C783" s="3" t="str">
        <f t="shared" si="12"/>
        <v>450013653740</v>
      </c>
      <c r="D783" s="4">
        <v>46325</v>
      </c>
      <c r="E783" s="3" t="s">
        <v>613</v>
      </c>
      <c r="F783" s="3" t="s">
        <v>994</v>
      </c>
    </row>
    <row r="784" spans="1:6" x14ac:dyDescent="0.3">
      <c r="A784" s="3" t="s">
        <v>919</v>
      </c>
      <c r="B784" s="3" t="s">
        <v>22</v>
      </c>
      <c r="C784" s="3" t="str">
        <f t="shared" si="12"/>
        <v>450013653750</v>
      </c>
      <c r="D784" s="4">
        <v>46325</v>
      </c>
      <c r="E784" s="3" t="s">
        <v>613</v>
      </c>
      <c r="F784" s="3" t="s">
        <v>994</v>
      </c>
    </row>
    <row r="785" spans="1:6" x14ac:dyDescent="0.3">
      <c r="A785" s="3" t="s">
        <v>919</v>
      </c>
      <c r="B785" s="3" t="s">
        <v>23</v>
      </c>
      <c r="C785" s="3" t="str">
        <f t="shared" si="12"/>
        <v>450013653760</v>
      </c>
      <c r="D785" s="4">
        <v>46325</v>
      </c>
      <c r="E785" s="3" t="s">
        <v>613</v>
      </c>
      <c r="F785" s="3" t="s">
        <v>994</v>
      </c>
    </row>
    <row r="786" spans="1:6" x14ac:dyDescent="0.3">
      <c r="A786" s="3" t="s">
        <v>971</v>
      </c>
      <c r="B786" s="3" t="s">
        <v>33</v>
      </c>
      <c r="C786" s="3" t="str">
        <f t="shared" si="12"/>
        <v>450013671710</v>
      </c>
      <c r="D786" s="4">
        <v>46308</v>
      </c>
      <c r="E786" s="3" t="s">
        <v>612</v>
      </c>
      <c r="F786" s="3" t="s">
        <v>759</v>
      </c>
    </row>
    <row r="787" spans="1:6" x14ac:dyDescent="0.3">
      <c r="A787" s="3" t="s">
        <v>981</v>
      </c>
      <c r="B787" s="3" t="s">
        <v>33</v>
      </c>
      <c r="C787" s="3" t="str">
        <f t="shared" si="12"/>
        <v>450013671810</v>
      </c>
      <c r="D787" s="4">
        <v>46308</v>
      </c>
      <c r="E787" s="3" t="s">
        <v>612</v>
      </c>
      <c r="F787" s="3" t="s">
        <v>759</v>
      </c>
    </row>
    <row r="788" spans="1:6" x14ac:dyDescent="0.3">
      <c r="A788" s="3" t="s">
        <v>888</v>
      </c>
      <c r="B788" s="3" t="s">
        <v>33</v>
      </c>
      <c r="C788" s="3" t="str">
        <f t="shared" si="12"/>
        <v>450013695710</v>
      </c>
      <c r="D788" s="4">
        <v>46305</v>
      </c>
      <c r="E788" s="3" t="s">
        <v>622</v>
      </c>
      <c r="F788" s="3" t="s">
        <v>993</v>
      </c>
    </row>
    <row r="789" spans="1:6" x14ac:dyDescent="0.3">
      <c r="A789" s="3" t="s">
        <v>921</v>
      </c>
      <c r="B789" s="3" t="s">
        <v>33</v>
      </c>
      <c r="C789" s="3" t="str">
        <f t="shared" si="12"/>
        <v>450013698710</v>
      </c>
      <c r="D789" s="4">
        <v>46369</v>
      </c>
      <c r="E789" s="3" t="s">
        <v>612</v>
      </c>
      <c r="F789" s="3" t="s">
        <v>713</v>
      </c>
    </row>
    <row r="790" spans="1:6" x14ac:dyDescent="0.3">
      <c r="A790" s="3" t="s">
        <v>968</v>
      </c>
      <c r="B790" s="3" t="s">
        <v>33</v>
      </c>
      <c r="C790" s="3" t="str">
        <f t="shared" si="12"/>
        <v>450013730910</v>
      </c>
      <c r="D790" s="4">
        <v>46275</v>
      </c>
      <c r="E790" s="3" t="s">
        <v>988</v>
      </c>
      <c r="F790" s="3" t="s">
        <v>989</v>
      </c>
    </row>
    <row r="791" spans="1:6" x14ac:dyDescent="0.3">
      <c r="A791" s="3" t="s">
        <v>901</v>
      </c>
      <c r="B791" s="3" t="s">
        <v>33</v>
      </c>
      <c r="C791" s="3" t="str">
        <f t="shared" si="12"/>
        <v>450013786110</v>
      </c>
      <c r="D791" s="4">
        <v>46301</v>
      </c>
      <c r="E791" s="3" t="s">
        <v>988</v>
      </c>
      <c r="F791" s="3" t="s">
        <v>733</v>
      </c>
    </row>
    <row r="792" spans="1:6" x14ac:dyDescent="0.3">
      <c r="A792" s="3" t="s">
        <v>901</v>
      </c>
      <c r="B792" s="3" t="s">
        <v>20</v>
      </c>
      <c r="C792" s="3" t="str">
        <f t="shared" si="12"/>
        <v>450013786120</v>
      </c>
      <c r="D792" s="4">
        <v>46282</v>
      </c>
      <c r="E792" s="3" t="s">
        <v>988</v>
      </c>
      <c r="F792" s="3" t="s">
        <v>733</v>
      </c>
    </row>
    <row r="793" spans="1:6" x14ac:dyDescent="0.3">
      <c r="A793" s="3" t="s">
        <v>901</v>
      </c>
      <c r="B793" s="3" t="s">
        <v>21</v>
      </c>
      <c r="C793" s="3" t="str">
        <f t="shared" si="12"/>
        <v>450013786130</v>
      </c>
      <c r="D793" s="4">
        <v>46282</v>
      </c>
      <c r="E793" s="3" t="s">
        <v>988</v>
      </c>
      <c r="F793" s="3" t="s">
        <v>733</v>
      </c>
    </row>
    <row r="794" spans="1:6" x14ac:dyDescent="0.3">
      <c r="A794" s="3" t="s">
        <v>937</v>
      </c>
      <c r="B794" s="3" t="s">
        <v>33</v>
      </c>
      <c r="C794" s="3" t="str">
        <f t="shared" si="12"/>
        <v>450013818510</v>
      </c>
      <c r="D794" s="4">
        <v>46308</v>
      </c>
      <c r="E794" s="3" t="s">
        <v>612</v>
      </c>
      <c r="F794" s="3" t="s">
        <v>713</v>
      </c>
    </row>
    <row r="795" spans="1:6" x14ac:dyDescent="0.3">
      <c r="A795" s="3" t="s">
        <v>937</v>
      </c>
      <c r="B795" s="3" t="s">
        <v>20</v>
      </c>
      <c r="C795" s="3" t="str">
        <f t="shared" si="12"/>
        <v>450013818520</v>
      </c>
      <c r="D795" s="4">
        <v>46288</v>
      </c>
      <c r="E795" s="3" t="s">
        <v>612</v>
      </c>
      <c r="F795" s="3" t="s">
        <v>713</v>
      </c>
    </row>
    <row r="796" spans="1:6" x14ac:dyDescent="0.3">
      <c r="A796" s="3" t="s">
        <v>937</v>
      </c>
      <c r="B796" s="3" t="s">
        <v>21</v>
      </c>
      <c r="C796" s="3" t="str">
        <f t="shared" si="12"/>
        <v>450013818530</v>
      </c>
      <c r="D796" s="4">
        <v>46293</v>
      </c>
      <c r="E796" s="3" t="s">
        <v>612</v>
      </c>
      <c r="F796" s="3" t="s">
        <v>713</v>
      </c>
    </row>
    <row r="797" spans="1:6" x14ac:dyDescent="0.3">
      <c r="A797" s="3" t="s">
        <v>905</v>
      </c>
      <c r="B797" s="3" t="s">
        <v>33</v>
      </c>
      <c r="C797" s="3" t="str">
        <f t="shared" si="12"/>
        <v>450013841310</v>
      </c>
      <c r="D797" s="4">
        <v>46283</v>
      </c>
      <c r="E797" s="3" t="s">
        <v>995</v>
      </c>
      <c r="F797" s="3" t="s">
        <v>996</v>
      </c>
    </row>
    <row r="798" spans="1:6" x14ac:dyDescent="0.3">
      <c r="A798" s="3" t="s">
        <v>943</v>
      </c>
      <c r="B798" s="3" t="s">
        <v>33</v>
      </c>
      <c r="C798" s="3" t="str">
        <f t="shared" si="12"/>
        <v>450013859410</v>
      </c>
      <c r="D798" s="4">
        <v>46295</v>
      </c>
      <c r="E798" s="3" t="s">
        <v>625</v>
      </c>
      <c r="F798" s="3" t="s">
        <v>997</v>
      </c>
    </row>
    <row r="799" spans="1:6" x14ac:dyDescent="0.3">
      <c r="A799" s="3" t="s">
        <v>886</v>
      </c>
      <c r="B799" s="3" t="s">
        <v>20</v>
      </c>
      <c r="C799" s="3" t="str">
        <f t="shared" si="12"/>
        <v>450013859520</v>
      </c>
      <c r="D799" s="4">
        <v>46295</v>
      </c>
      <c r="E799" s="3" t="s">
        <v>625</v>
      </c>
      <c r="F799" s="3" t="s">
        <v>998</v>
      </c>
    </row>
    <row r="800" spans="1:6" x14ac:dyDescent="0.3">
      <c r="A800" s="3" t="s">
        <v>886</v>
      </c>
      <c r="B800" s="3" t="s">
        <v>25</v>
      </c>
      <c r="C800" s="3" t="str">
        <f t="shared" si="12"/>
        <v>450013859540</v>
      </c>
      <c r="D800" s="4">
        <v>46280</v>
      </c>
      <c r="E800" s="3" t="s">
        <v>625</v>
      </c>
      <c r="F800" s="3" t="s">
        <v>998</v>
      </c>
    </row>
    <row r="801" spans="1:6" x14ac:dyDescent="0.3">
      <c r="A801" s="3" t="s">
        <v>908</v>
      </c>
      <c r="B801" s="3" t="s">
        <v>33</v>
      </c>
      <c r="C801" s="3" t="str">
        <f t="shared" si="12"/>
        <v>450013887910</v>
      </c>
      <c r="D801" s="4">
        <v>46294</v>
      </c>
      <c r="E801" s="3" t="s">
        <v>620</v>
      </c>
      <c r="F801" s="3" t="s">
        <v>999</v>
      </c>
    </row>
    <row r="802" spans="1:6" x14ac:dyDescent="0.3">
      <c r="A802" s="3" t="s">
        <v>942</v>
      </c>
      <c r="B802" s="3" t="s">
        <v>33</v>
      </c>
      <c r="C802" s="3" t="str">
        <f t="shared" si="12"/>
        <v>450013897110</v>
      </c>
      <c r="D802" s="4">
        <v>46296</v>
      </c>
      <c r="E802" s="3" t="s">
        <v>627</v>
      </c>
      <c r="F802" s="3" t="s">
        <v>1000</v>
      </c>
    </row>
    <row r="803" spans="1:6" x14ac:dyDescent="0.3">
      <c r="A803" s="3" t="s">
        <v>912</v>
      </c>
      <c r="B803" s="3" t="s">
        <v>33</v>
      </c>
      <c r="C803" s="3" t="str">
        <f t="shared" si="12"/>
        <v>450013897310</v>
      </c>
      <c r="D803" s="4">
        <v>46290</v>
      </c>
      <c r="E803" s="3" t="s">
        <v>620</v>
      </c>
      <c r="F803" s="3" t="s">
        <v>851</v>
      </c>
    </row>
    <row r="804" spans="1:6" x14ac:dyDescent="0.3">
      <c r="A804" s="3" t="s">
        <v>911</v>
      </c>
      <c r="B804" s="3" t="s">
        <v>33</v>
      </c>
      <c r="C804" s="3" t="str">
        <f t="shared" si="12"/>
        <v>450013897410</v>
      </c>
      <c r="D804" s="4">
        <v>46297</v>
      </c>
      <c r="E804" s="3" t="s">
        <v>620</v>
      </c>
      <c r="F804" s="3" t="s">
        <v>851</v>
      </c>
    </row>
    <row r="805" spans="1:6" x14ac:dyDescent="0.3">
      <c r="A805" s="3" t="s">
        <v>927</v>
      </c>
      <c r="B805" s="3" t="s">
        <v>33</v>
      </c>
      <c r="C805" s="3" t="str">
        <f t="shared" si="12"/>
        <v>450013905610</v>
      </c>
      <c r="D805" s="4">
        <v>46308</v>
      </c>
      <c r="E805" s="3" t="s">
        <v>612</v>
      </c>
      <c r="F805" s="3" t="s">
        <v>1001</v>
      </c>
    </row>
    <row r="806" spans="1:6" x14ac:dyDescent="0.3">
      <c r="A806" s="3" t="s">
        <v>936</v>
      </c>
      <c r="B806" s="3" t="s">
        <v>33</v>
      </c>
      <c r="C806" s="3" t="str">
        <f t="shared" si="12"/>
        <v>450013913710</v>
      </c>
      <c r="D806" s="4">
        <v>46297</v>
      </c>
      <c r="E806" s="3" t="s">
        <v>629</v>
      </c>
      <c r="F806" s="3" t="s">
        <v>713</v>
      </c>
    </row>
    <row r="807" spans="1:6" x14ac:dyDescent="0.3">
      <c r="A807" s="3" t="s">
        <v>936</v>
      </c>
      <c r="B807" s="3" t="s">
        <v>20</v>
      </c>
      <c r="C807" s="3" t="str">
        <f t="shared" si="12"/>
        <v>450013913720</v>
      </c>
      <c r="D807" s="4">
        <v>46297</v>
      </c>
      <c r="E807" s="3" t="s">
        <v>629</v>
      </c>
      <c r="F807" s="3" t="s">
        <v>713</v>
      </c>
    </row>
    <row r="808" spans="1:6" x14ac:dyDescent="0.3">
      <c r="A808" s="3" t="s">
        <v>936</v>
      </c>
      <c r="B808" s="3" t="s">
        <v>21</v>
      </c>
      <c r="C808" s="3" t="str">
        <f t="shared" si="12"/>
        <v>450013913730</v>
      </c>
      <c r="D808" s="4">
        <v>46297</v>
      </c>
      <c r="E808" s="3" t="s">
        <v>629</v>
      </c>
      <c r="F808" s="3" t="s">
        <v>713</v>
      </c>
    </row>
    <row r="809" spans="1:6" x14ac:dyDescent="0.3">
      <c r="A809" s="3" t="s">
        <v>936</v>
      </c>
      <c r="B809" s="3" t="s">
        <v>25</v>
      </c>
      <c r="C809" s="3" t="str">
        <f t="shared" si="12"/>
        <v>450013913740</v>
      </c>
      <c r="D809" s="4">
        <v>46297</v>
      </c>
      <c r="E809" s="3" t="s">
        <v>629</v>
      </c>
      <c r="F809" s="3" t="s">
        <v>713</v>
      </c>
    </row>
    <row r="810" spans="1:6" x14ac:dyDescent="0.3">
      <c r="A810" s="3" t="s">
        <v>936</v>
      </c>
      <c r="B810" s="3" t="s">
        <v>22</v>
      </c>
      <c r="C810" s="3" t="str">
        <f t="shared" si="12"/>
        <v>450013913750</v>
      </c>
      <c r="D810" s="4">
        <v>46297</v>
      </c>
      <c r="E810" s="3" t="s">
        <v>629</v>
      </c>
      <c r="F810" s="3" t="s">
        <v>713</v>
      </c>
    </row>
    <row r="811" spans="1:6" x14ac:dyDescent="0.3">
      <c r="A811" s="3" t="s">
        <v>958</v>
      </c>
      <c r="B811" s="3" t="s">
        <v>33</v>
      </c>
      <c r="C811" s="3" t="str">
        <f t="shared" si="12"/>
        <v>450013913810</v>
      </c>
      <c r="D811" s="4">
        <v>46308</v>
      </c>
      <c r="E811" s="3" t="s">
        <v>641</v>
      </c>
      <c r="F811" s="3" t="s">
        <v>787</v>
      </c>
    </row>
    <row r="812" spans="1:6" x14ac:dyDescent="0.3">
      <c r="A812" s="3" t="s">
        <v>958</v>
      </c>
      <c r="B812" s="3" t="s">
        <v>20</v>
      </c>
      <c r="C812" s="3" t="str">
        <f t="shared" si="12"/>
        <v>450013913820</v>
      </c>
      <c r="D812" s="4">
        <v>46311</v>
      </c>
      <c r="E812" s="3" t="s">
        <v>641</v>
      </c>
      <c r="F812" s="3" t="s">
        <v>787</v>
      </c>
    </row>
    <row r="813" spans="1:6" x14ac:dyDescent="0.3">
      <c r="A813" s="3" t="s">
        <v>902</v>
      </c>
      <c r="B813" s="3" t="s">
        <v>33</v>
      </c>
      <c r="C813" s="3" t="str">
        <f t="shared" si="12"/>
        <v>450013919410</v>
      </c>
      <c r="D813" s="4">
        <v>46295</v>
      </c>
      <c r="E813" s="3" t="s">
        <v>620</v>
      </c>
      <c r="F813" s="3" t="s">
        <v>1002</v>
      </c>
    </row>
    <row r="814" spans="1:6" x14ac:dyDescent="0.3">
      <c r="A814" s="3" t="s">
        <v>920</v>
      </c>
      <c r="B814" s="3" t="s">
        <v>33</v>
      </c>
      <c r="C814" s="3" t="str">
        <f t="shared" si="12"/>
        <v>450013953410</v>
      </c>
      <c r="D814" s="4">
        <v>46310</v>
      </c>
      <c r="E814" s="3" t="s">
        <v>612</v>
      </c>
      <c r="F814" s="3" t="s">
        <v>729</v>
      </c>
    </row>
    <row r="815" spans="1:6" x14ac:dyDescent="0.3">
      <c r="A815" s="3" t="s">
        <v>920</v>
      </c>
      <c r="B815" s="3" t="s">
        <v>20</v>
      </c>
      <c r="C815" s="3" t="str">
        <f t="shared" si="12"/>
        <v>450013953420</v>
      </c>
      <c r="D815" s="4">
        <v>46310</v>
      </c>
      <c r="E815" s="3" t="s">
        <v>612</v>
      </c>
      <c r="F815" s="3" t="s">
        <v>729</v>
      </c>
    </row>
    <row r="816" spans="1:6" x14ac:dyDescent="0.3">
      <c r="A816" s="3" t="s">
        <v>941</v>
      </c>
      <c r="B816" s="3" t="s">
        <v>33</v>
      </c>
      <c r="C816" s="3" t="str">
        <f t="shared" si="12"/>
        <v>450013954710</v>
      </c>
      <c r="D816" s="4">
        <v>46297</v>
      </c>
      <c r="E816" s="3" t="s">
        <v>637</v>
      </c>
      <c r="F816" s="3" t="s">
        <v>1000</v>
      </c>
    </row>
    <row r="817" spans="1:6" x14ac:dyDescent="0.3">
      <c r="A817" s="3" t="s">
        <v>913</v>
      </c>
      <c r="B817" s="3" t="s">
        <v>33</v>
      </c>
      <c r="C817" s="3" t="str">
        <f t="shared" si="12"/>
        <v>450013956710</v>
      </c>
      <c r="D817" s="4">
        <v>46299</v>
      </c>
      <c r="E817" s="3" t="s">
        <v>645</v>
      </c>
      <c r="F817" s="3" t="s">
        <v>801</v>
      </c>
    </row>
    <row r="818" spans="1:6" x14ac:dyDescent="0.3">
      <c r="A818" s="3" t="s">
        <v>909</v>
      </c>
      <c r="B818" s="3" t="s">
        <v>33</v>
      </c>
      <c r="C818" s="3" t="str">
        <f t="shared" si="12"/>
        <v>450013958310</v>
      </c>
      <c r="D818" s="4">
        <v>46295</v>
      </c>
      <c r="E818" s="3" t="s">
        <v>621</v>
      </c>
      <c r="F818" s="3" t="s">
        <v>851</v>
      </c>
    </row>
    <row r="819" spans="1:6" x14ac:dyDescent="0.3">
      <c r="A819" s="3" t="s">
        <v>909</v>
      </c>
      <c r="B819" s="3" t="s">
        <v>20</v>
      </c>
      <c r="C819" s="3" t="str">
        <f t="shared" si="12"/>
        <v>450013958320</v>
      </c>
      <c r="D819" s="4">
        <v>46297</v>
      </c>
      <c r="E819" s="3" t="s">
        <v>621</v>
      </c>
      <c r="F819" s="3" t="s">
        <v>851</v>
      </c>
    </row>
    <row r="820" spans="1:6" x14ac:dyDescent="0.3">
      <c r="A820" s="3" t="s">
        <v>909</v>
      </c>
      <c r="B820" s="3" t="s">
        <v>21</v>
      </c>
      <c r="C820" s="3" t="str">
        <f t="shared" si="12"/>
        <v>450013958330</v>
      </c>
      <c r="D820" s="4">
        <v>46300</v>
      </c>
      <c r="E820" s="3" t="s">
        <v>621</v>
      </c>
      <c r="F820" s="3" t="s">
        <v>851</v>
      </c>
    </row>
    <row r="821" spans="1:6" x14ac:dyDescent="0.3">
      <c r="A821" s="3" t="s">
        <v>973</v>
      </c>
      <c r="B821" s="3" t="s">
        <v>33</v>
      </c>
      <c r="C821" s="3" t="str">
        <f t="shared" si="12"/>
        <v>450013960510</v>
      </c>
      <c r="D821" s="4">
        <v>46308</v>
      </c>
      <c r="E821" s="3" t="s">
        <v>614</v>
      </c>
      <c r="F821" s="3" t="s">
        <v>742</v>
      </c>
    </row>
    <row r="822" spans="1:6" x14ac:dyDescent="0.3">
      <c r="A822" s="3" t="s">
        <v>897</v>
      </c>
      <c r="B822" s="3" t="s">
        <v>33</v>
      </c>
      <c r="C822" s="3" t="str">
        <f t="shared" si="12"/>
        <v>450013967310</v>
      </c>
      <c r="D822" s="4">
        <v>46298</v>
      </c>
      <c r="E822" s="3" t="s">
        <v>612</v>
      </c>
      <c r="F822" s="3" t="s">
        <v>730</v>
      </c>
    </row>
    <row r="823" spans="1:6" x14ac:dyDescent="0.3">
      <c r="A823" s="3" t="s">
        <v>969</v>
      </c>
      <c r="B823" s="3" t="s">
        <v>33</v>
      </c>
      <c r="C823" s="3" t="str">
        <f t="shared" si="12"/>
        <v>450013980210</v>
      </c>
      <c r="D823" s="4">
        <v>46305</v>
      </c>
      <c r="E823" s="3" t="s">
        <v>614</v>
      </c>
      <c r="F823" s="3" t="s">
        <v>1003</v>
      </c>
    </row>
    <row r="824" spans="1:6" x14ac:dyDescent="0.3">
      <c r="A824" s="3" t="s">
        <v>935</v>
      </c>
      <c r="B824" s="3" t="s">
        <v>33</v>
      </c>
      <c r="C824" s="3" t="str">
        <f t="shared" si="12"/>
        <v>450013983610</v>
      </c>
      <c r="D824" s="4">
        <v>46302</v>
      </c>
      <c r="E824" s="3" t="s">
        <v>620</v>
      </c>
      <c r="F824" s="3" t="s">
        <v>851</v>
      </c>
    </row>
    <row r="825" spans="1:6" x14ac:dyDescent="0.3">
      <c r="A825" s="3" t="s">
        <v>960</v>
      </c>
      <c r="B825" s="3" t="s">
        <v>33</v>
      </c>
      <c r="C825" s="3" t="str">
        <f t="shared" si="12"/>
        <v>450013990810</v>
      </c>
      <c r="D825" s="4">
        <v>46309</v>
      </c>
      <c r="E825" s="3" t="s">
        <v>644</v>
      </c>
      <c r="F825" s="3" t="s">
        <v>718</v>
      </c>
    </row>
    <row r="826" spans="1:6" x14ac:dyDescent="0.3">
      <c r="A826" s="3" t="s">
        <v>960</v>
      </c>
      <c r="B826" s="3" t="s">
        <v>20</v>
      </c>
      <c r="C826" s="3" t="str">
        <f t="shared" si="12"/>
        <v>450013990820</v>
      </c>
      <c r="D826" s="4">
        <v>46309</v>
      </c>
      <c r="E826" s="3" t="s">
        <v>644</v>
      </c>
      <c r="F826" s="3" t="s">
        <v>718</v>
      </c>
    </row>
    <row r="827" spans="1:6" x14ac:dyDescent="0.3">
      <c r="A827" s="3" t="s">
        <v>960</v>
      </c>
      <c r="B827" s="3" t="s">
        <v>21</v>
      </c>
      <c r="C827" s="3" t="str">
        <f t="shared" si="12"/>
        <v>450013990830</v>
      </c>
      <c r="D827" s="4">
        <v>46309</v>
      </c>
      <c r="E827" s="3" t="s">
        <v>644</v>
      </c>
      <c r="F827" s="3" t="s">
        <v>718</v>
      </c>
    </row>
    <row r="828" spans="1:6" x14ac:dyDescent="0.3">
      <c r="A828" s="3" t="s">
        <v>960</v>
      </c>
      <c r="B828" s="3" t="s">
        <v>22</v>
      </c>
      <c r="C828" s="3" t="str">
        <f t="shared" si="12"/>
        <v>450013990850</v>
      </c>
      <c r="D828" s="4">
        <v>46309</v>
      </c>
      <c r="E828" s="3" t="s">
        <v>644</v>
      </c>
      <c r="F828" s="3" t="s">
        <v>718</v>
      </c>
    </row>
    <row r="829" spans="1:6" x14ac:dyDescent="0.3">
      <c r="A829" s="3" t="s">
        <v>940</v>
      </c>
      <c r="B829" s="3" t="s">
        <v>33</v>
      </c>
      <c r="C829" s="3" t="str">
        <f t="shared" si="12"/>
        <v>450013999210</v>
      </c>
      <c r="D829" s="4">
        <v>46304</v>
      </c>
      <c r="E829" s="3" t="s">
        <v>1004</v>
      </c>
      <c r="F829" s="3" t="s">
        <v>1000</v>
      </c>
    </row>
    <row r="830" spans="1:6" x14ac:dyDescent="0.3">
      <c r="A830" s="3" t="s">
        <v>964</v>
      </c>
      <c r="B830" s="3" t="s">
        <v>33</v>
      </c>
      <c r="C830" s="3" t="str">
        <f t="shared" si="12"/>
        <v>450014002210</v>
      </c>
      <c r="D830" s="4">
        <v>46305</v>
      </c>
      <c r="E830" s="3" t="s">
        <v>618</v>
      </c>
      <c r="F830" s="3" t="s">
        <v>730</v>
      </c>
    </row>
    <row r="831" spans="1:6" x14ac:dyDescent="0.3">
      <c r="A831" s="3" t="s">
        <v>964</v>
      </c>
      <c r="B831" s="3" t="s">
        <v>20</v>
      </c>
      <c r="C831" s="3" t="str">
        <f t="shared" si="12"/>
        <v>450014002220</v>
      </c>
      <c r="D831" s="4">
        <v>46310</v>
      </c>
      <c r="E831" s="3" t="s">
        <v>618</v>
      </c>
      <c r="F831" s="3" t="s">
        <v>730</v>
      </c>
    </row>
    <row r="832" spans="1:6" x14ac:dyDescent="0.3">
      <c r="A832" s="3" t="s">
        <v>964</v>
      </c>
      <c r="B832" s="3" t="s">
        <v>21</v>
      </c>
      <c r="C832" s="3" t="str">
        <f t="shared" si="12"/>
        <v>450014002230</v>
      </c>
      <c r="D832" s="4">
        <v>46300</v>
      </c>
      <c r="E832" s="3" t="s">
        <v>618</v>
      </c>
      <c r="F832" s="3" t="s">
        <v>730</v>
      </c>
    </row>
    <row r="833" spans="1:6" x14ac:dyDescent="0.3">
      <c r="A833" s="3" t="s">
        <v>964</v>
      </c>
      <c r="B833" s="3" t="s">
        <v>25</v>
      </c>
      <c r="C833" s="3" t="str">
        <f t="shared" si="12"/>
        <v>450014002240</v>
      </c>
      <c r="D833" s="4">
        <v>46300</v>
      </c>
      <c r="E833" s="3" t="s">
        <v>618</v>
      </c>
      <c r="F833" s="3" t="s">
        <v>730</v>
      </c>
    </row>
    <row r="834" spans="1:6" x14ac:dyDescent="0.3">
      <c r="A834" s="3" t="s">
        <v>964</v>
      </c>
      <c r="B834" s="3" t="s">
        <v>22</v>
      </c>
      <c r="C834" s="3" t="str">
        <f t="shared" si="12"/>
        <v>450014002250</v>
      </c>
      <c r="D834" s="4">
        <v>46300</v>
      </c>
      <c r="E834" s="3" t="s">
        <v>618</v>
      </c>
      <c r="F834" s="3" t="s">
        <v>730</v>
      </c>
    </row>
    <row r="835" spans="1:6" x14ac:dyDescent="0.3">
      <c r="A835" s="3" t="s">
        <v>964</v>
      </c>
      <c r="B835" s="3" t="s">
        <v>23</v>
      </c>
      <c r="C835" s="3" t="str">
        <f t="shared" ref="C835:C898" si="13">_xlfn.CONCAT(A835:B835)</f>
        <v>450014002260</v>
      </c>
      <c r="D835" s="4">
        <v>46300</v>
      </c>
      <c r="E835" s="3" t="s">
        <v>618</v>
      </c>
      <c r="F835" s="3" t="s">
        <v>730</v>
      </c>
    </row>
    <row r="836" spans="1:6" x14ac:dyDescent="0.3">
      <c r="A836" s="3" t="s">
        <v>964</v>
      </c>
      <c r="B836" s="3" t="s">
        <v>24</v>
      </c>
      <c r="C836" s="3" t="str">
        <f t="shared" si="13"/>
        <v>450014002270</v>
      </c>
      <c r="D836" s="4">
        <v>46300</v>
      </c>
      <c r="E836" s="3" t="s">
        <v>618</v>
      </c>
      <c r="F836" s="3" t="s">
        <v>730</v>
      </c>
    </row>
    <row r="837" spans="1:6" x14ac:dyDescent="0.3">
      <c r="A837" s="3" t="s">
        <v>964</v>
      </c>
      <c r="B837" s="3" t="s">
        <v>321</v>
      </c>
      <c r="C837" s="3" t="str">
        <f t="shared" si="13"/>
        <v>450014002280</v>
      </c>
      <c r="D837" s="4">
        <v>46300</v>
      </c>
      <c r="E837" s="3" t="s">
        <v>618</v>
      </c>
      <c r="F837" s="3" t="s">
        <v>730</v>
      </c>
    </row>
    <row r="838" spans="1:6" x14ac:dyDescent="0.3">
      <c r="A838" s="3" t="s">
        <v>964</v>
      </c>
      <c r="B838" s="3" t="s">
        <v>322</v>
      </c>
      <c r="C838" s="3" t="str">
        <f t="shared" si="13"/>
        <v>450014002290</v>
      </c>
      <c r="D838" s="4">
        <v>46300</v>
      </c>
      <c r="E838" s="3" t="s">
        <v>618</v>
      </c>
      <c r="F838" s="3" t="s">
        <v>730</v>
      </c>
    </row>
    <row r="839" spans="1:6" x14ac:dyDescent="0.3">
      <c r="A839" s="3" t="s">
        <v>964</v>
      </c>
      <c r="B839" s="3" t="s">
        <v>323</v>
      </c>
      <c r="C839" s="3" t="str">
        <f t="shared" si="13"/>
        <v>4500140022100</v>
      </c>
      <c r="D839" s="4">
        <v>46300</v>
      </c>
      <c r="E839" s="3" t="s">
        <v>618</v>
      </c>
      <c r="F839" s="3" t="s">
        <v>730</v>
      </c>
    </row>
    <row r="840" spans="1:6" x14ac:dyDescent="0.3">
      <c r="A840" s="3" t="s">
        <v>964</v>
      </c>
      <c r="B840" s="3" t="s">
        <v>175</v>
      </c>
      <c r="C840" s="3" t="str">
        <f t="shared" si="13"/>
        <v>4500140022110</v>
      </c>
      <c r="D840" s="4">
        <v>46300</v>
      </c>
      <c r="E840" s="3" t="s">
        <v>618</v>
      </c>
      <c r="F840" s="3" t="s">
        <v>730</v>
      </c>
    </row>
    <row r="841" spans="1:6" x14ac:dyDescent="0.3">
      <c r="A841" s="3" t="s">
        <v>964</v>
      </c>
      <c r="B841" s="3" t="s">
        <v>375</v>
      </c>
      <c r="C841" s="3" t="str">
        <f t="shared" si="13"/>
        <v>4500140022120</v>
      </c>
      <c r="D841" s="4">
        <v>46300</v>
      </c>
      <c r="E841" s="3" t="s">
        <v>618</v>
      </c>
      <c r="F841" s="3" t="s">
        <v>730</v>
      </c>
    </row>
    <row r="842" spans="1:6" x14ac:dyDescent="0.3">
      <c r="A842" s="3" t="s">
        <v>964</v>
      </c>
      <c r="B842" s="3" t="s">
        <v>203</v>
      </c>
      <c r="C842" s="3" t="str">
        <f t="shared" si="13"/>
        <v>4500140022130</v>
      </c>
      <c r="D842" s="4">
        <v>46300</v>
      </c>
      <c r="E842" s="3" t="s">
        <v>618</v>
      </c>
      <c r="F842" s="3" t="s">
        <v>730</v>
      </c>
    </row>
    <row r="843" spans="1:6" x14ac:dyDescent="0.3">
      <c r="A843" s="3" t="s">
        <v>930</v>
      </c>
      <c r="B843" s="3" t="s">
        <v>33</v>
      </c>
      <c r="C843" s="3" t="str">
        <f t="shared" si="13"/>
        <v>450014011010</v>
      </c>
      <c r="D843" s="4">
        <v>46305</v>
      </c>
      <c r="E843" s="3" t="s">
        <v>644</v>
      </c>
      <c r="F843" s="3" t="s">
        <v>852</v>
      </c>
    </row>
    <row r="844" spans="1:6" x14ac:dyDescent="0.3">
      <c r="A844" s="3" t="s">
        <v>948</v>
      </c>
      <c r="B844" s="3" t="s">
        <v>33</v>
      </c>
      <c r="C844" s="3" t="str">
        <f t="shared" si="13"/>
        <v>450014022310</v>
      </c>
      <c r="D844" s="4">
        <v>46311</v>
      </c>
      <c r="E844" s="3" t="s">
        <v>623</v>
      </c>
      <c r="F844" s="3" t="s">
        <v>730</v>
      </c>
    </row>
    <row r="845" spans="1:6" x14ac:dyDescent="0.3">
      <c r="A845" s="3" t="s">
        <v>952</v>
      </c>
      <c r="B845" s="3" t="s">
        <v>33</v>
      </c>
      <c r="C845" s="3" t="str">
        <f t="shared" si="13"/>
        <v>450014022410</v>
      </c>
      <c r="D845" s="4">
        <v>46333</v>
      </c>
      <c r="E845" s="3" t="s">
        <v>615</v>
      </c>
      <c r="F845" s="3" t="s">
        <v>793</v>
      </c>
    </row>
    <row r="846" spans="1:6" x14ac:dyDescent="0.3">
      <c r="A846" s="3" t="s">
        <v>952</v>
      </c>
      <c r="B846" s="3" t="s">
        <v>20</v>
      </c>
      <c r="C846" s="3" t="str">
        <f t="shared" si="13"/>
        <v>450014022420</v>
      </c>
      <c r="D846" s="4">
        <v>46333</v>
      </c>
      <c r="E846" s="3" t="s">
        <v>615</v>
      </c>
      <c r="F846" s="3" t="s">
        <v>793</v>
      </c>
    </row>
    <row r="847" spans="1:6" x14ac:dyDescent="0.3">
      <c r="A847" s="3" t="s">
        <v>933</v>
      </c>
      <c r="B847" s="3" t="s">
        <v>33</v>
      </c>
      <c r="C847" s="3" t="str">
        <f t="shared" si="13"/>
        <v>450014025710</v>
      </c>
      <c r="D847" s="4">
        <v>46309</v>
      </c>
      <c r="E847" s="3" t="s">
        <v>621</v>
      </c>
      <c r="F847" s="3" t="s">
        <v>1005</v>
      </c>
    </row>
    <row r="848" spans="1:6" x14ac:dyDescent="0.3">
      <c r="A848" s="3" t="s">
        <v>899</v>
      </c>
      <c r="B848" s="3" t="s">
        <v>33</v>
      </c>
      <c r="C848" s="3" t="str">
        <f t="shared" si="13"/>
        <v>450014026610</v>
      </c>
      <c r="D848" s="4">
        <v>46307</v>
      </c>
      <c r="E848" s="3" t="s">
        <v>614</v>
      </c>
      <c r="F848" s="3" t="s">
        <v>1006</v>
      </c>
    </row>
    <row r="849" spans="1:6" x14ac:dyDescent="0.3">
      <c r="A849" s="3" t="s">
        <v>962</v>
      </c>
      <c r="B849" s="3" t="s">
        <v>33</v>
      </c>
      <c r="C849" s="3" t="str">
        <f t="shared" si="13"/>
        <v>450014026810</v>
      </c>
      <c r="D849" s="4">
        <v>46307</v>
      </c>
      <c r="E849" s="3" t="s">
        <v>614</v>
      </c>
      <c r="F849" s="3" t="s">
        <v>776</v>
      </c>
    </row>
    <row r="850" spans="1:6" x14ac:dyDescent="0.3">
      <c r="A850" s="3" t="s">
        <v>900</v>
      </c>
      <c r="B850" s="3" t="s">
        <v>33</v>
      </c>
      <c r="C850" s="3" t="str">
        <f t="shared" si="13"/>
        <v>450014034010</v>
      </c>
      <c r="D850" s="4">
        <v>46307</v>
      </c>
      <c r="E850" s="3" t="s">
        <v>612</v>
      </c>
      <c r="F850" s="3" t="s">
        <v>759</v>
      </c>
    </row>
    <row r="851" spans="1:6" x14ac:dyDescent="0.3">
      <c r="A851" s="3" t="s">
        <v>953</v>
      </c>
      <c r="B851" s="3" t="s">
        <v>33</v>
      </c>
      <c r="C851" s="3" t="str">
        <f t="shared" si="13"/>
        <v>450014036210</v>
      </c>
      <c r="D851" s="4">
        <v>46311</v>
      </c>
      <c r="E851" s="3" t="s">
        <v>615</v>
      </c>
      <c r="F851" s="3" t="s">
        <v>1007</v>
      </c>
    </row>
    <row r="852" spans="1:6" x14ac:dyDescent="0.3">
      <c r="A852" s="3" t="s">
        <v>979</v>
      </c>
      <c r="B852" s="3" t="s">
        <v>33</v>
      </c>
      <c r="C852" s="3" t="str">
        <f t="shared" si="13"/>
        <v>450014036610</v>
      </c>
      <c r="D852" s="4">
        <v>46305</v>
      </c>
      <c r="E852" s="3" t="s">
        <v>618</v>
      </c>
      <c r="F852" s="3" t="s">
        <v>738</v>
      </c>
    </row>
    <row r="853" spans="1:6" x14ac:dyDescent="0.3">
      <c r="A853" s="3" t="s">
        <v>957</v>
      </c>
      <c r="B853" s="3" t="s">
        <v>33</v>
      </c>
      <c r="C853" s="3" t="str">
        <f t="shared" si="13"/>
        <v>450014036810</v>
      </c>
      <c r="D853" s="4">
        <v>46315</v>
      </c>
      <c r="E853" s="3" t="s">
        <v>619</v>
      </c>
      <c r="F853" s="3" t="s">
        <v>1008</v>
      </c>
    </row>
    <row r="854" spans="1:6" x14ac:dyDescent="0.3">
      <c r="A854" s="3" t="s">
        <v>896</v>
      </c>
      <c r="B854" s="3" t="s">
        <v>33</v>
      </c>
      <c r="C854" s="3" t="str">
        <f t="shared" si="13"/>
        <v>450014038010</v>
      </c>
      <c r="D854" s="4">
        <v>46304</v>
      </c>
      <c r="E854" s="3" t="s">
        <v>625</v>
      </c>
      <c r="F854" s="3" t="s">
        <v>1009</v>
      </c>
    </row>
    <row r="855" spans="1:6" x14ac:dyDescent="0.3">
      <c r="A855" s="3" t="s">
        <v>896</v>
      </c>
      <c r="B855" s="3" t="s">
        <v>20</v>
      </c>
      <c r="C855" s="3" t="str">
        <f t="shared" si="13"/>
        <v>450014038020</v>
      </c>
      <c r="D855" s="4">
        <v>46304</v>
      </c>
      <c r="E855" s="3" t="s">
        <v>625</v>
      </c>
      <c r="F855" s="3" t="s">
        <v>1009</v>
      </c>
    </row>
    <row r="856" spans="1:6" x14ac:dyDescent="0.3">
      <c r="A856" s="3" t="s">
        <v>896</v>
      </c>
      <c r="B856" s="3" t="s">
        <v>21</v>
      </c>
      <c r="C856" s="3" t="str">
        <f t="shared" si="13"/>
        <v>450014038030</v>
      </c>
      <c r="D856" s="4">
        <v>46304</v>
      </c>
      <c r="E856" s="3" t="s">
        <v>625</v>
      </c>
      <c r="F856" s="3" t="s">
        <v>1009</v>
      </c>
    </row>
    <row r="857" spans="1:6" x14ac:dyDescent="0.3">
      <c r="A857" s="3" t="s">
        <v>945</v>
      </c>
      <c r="B857" s="3" t="s">
        <v>33</v>
      </c>
      <c r="C857" s="3" t="str">
        <f t="shared" si="13"/>
        <v>450014038410</v>
      </c>
      <c r="D857" s="4">
        <v>46310</v>
      </c>
      <c r="E857" s="3" t="s">
        <v>609</v>
      </c>
      <c r="F857" s="3" t="s">
        <v>710</v>
      </c>
    </row>
    <row r="858" spans="1:6" x14ac:dyDescent="0.3">
      <c r="A858" s="3" t="s">
        <v>974</v>
      </c>
      <c r="B858" s="3" t="s">
        <v>33</v>
      </c>
      <c r="C858" s="3" t="str">
        <f t="shared" si="13"/>
        <v>450014039110</v>
      </c>
      <c r="D858" s="4">
        <v>46310</v>
      </c>
      <c r="E858" s="3" t="s">
        <v>614</v>
      </c>
      <c r="F858" s="3" t="s">
        <v>722</v>
      </c>
    </row>
    <row r="859" spans="1:6" x14ac:dyDescent="0.3">
      <c r="A859" s="3" t="s">
        <v>974</v>
      </c>
      <c r="B859" s="3" t="s">
        <v>20</v>
      </c>
      <c r="C859" s="3" t="str">
        <f t="shared" si="13"/>
        <v>450014039120</v>
      </c>
      <c r="D859" s="4">
        <v>46310</v>
      </c>
      <c r="E859" s="3" t="s">
        <v>614</v>
      </c>
      <c r="F859" s="3" t="s">
        <v>722</v>
      </c>
    </row>
    <row r="860" spans="1:6" x14ac:dyDescent="0.3">
      <c r="A860" s="3" t="s">
        <v>974</v>
      </c>
      <c r="B860" s="3" t="s">
        <v>21</v>
      </c>
      <c r="C860" s="3" t="str">
        <f t="shared" si="13"/>
        <v>450014039130</v>
      </c>
      <c r="D860" s="4">
        <v>46310</v>
      </c>
      <c r="E860" s="3" t="s">
        <v>614</v>
      </c>
      <c r="F860" s="3" t="s">
        <v>722</v>
      </c>
    </row>
    <row r="861" spans="1:6" x14ac:dyDescent="0.3">
      <c r="A861" s="3" t="s">
        <v>977</v>
      </c>
      <c r="B861" s="3" t="s">
        <v>33</v>
      </c>
      <c r="C861" s="3" t="str">
        <f t="shared" si="13"/>
        <v>450014039410</v>
      </c>
      <c r="D861" s="4">
        <v>46322</v>
      </c>
      <c r="E861" s="3" t="s">
        <v>614</v>
      </c>
      <c r="F861" s="3" t="s">
        <v>737</v>
      </c>
    </row>
    <row r="862" spans="1:6" x14ac:dyDescent="0.3">
      <c r="A862" s="3" t="s">
        <v>977</v>
      </c>
      <c r="B862" s="3" t="s">
        <v>20</v>
      </c>
      <c r="C862" s="3" t="str">
        <f t="shared" si="13"/>
        <v>450014039420</v>
      </c>
      <c r="D862" s="4">
        <v>46322</v>
      </c>
      <c r="E862" s="3" t="s">
        <v>614</v>
      </c>
      <c r="F862" s="3" t="s">
        <v>737</v>
      </c>
    </row>
    <row r="863" spans="1:6" x14ac:dyDescent="0.3">
      <c r="A863" s="3" t="s">
        <v>977</v>
      </c>
      <c r="B863" s="3" t="s">
        <v>21</v>
      </c>
      <c r="C863" s="3" t="str">
        <f t="shared" si="13"/>
        <v>450014039430</v>
      </c>
      <c r="D863" s="4">
        <v>46322</v>
      </c>
      <c r="E863" s="3" t="s">
        <v>614</v>
      </c>
      <c r="F863" s="3" t="s">
        <v>737</v>
      </c>
    </row>
    <row r="864" spans="1:6" x14ac:dyDescent="0.3">
      <c r="A864" s="3" t="s">
        <v>977</v>
      </c>
      <c r="B864" s="3" t="s">
        <v>25</v>
      </c>
      <c r="C864" s="3" t="str">
        <f t="shared" si="13"/>
        <v>450014039440</v>
      </c>
      <c r="D864" s="4">
        <v>46322</v>
      </c>
      <c r="E864" s="3" t="s">
        <v>614</v>
      </c>
      <c r="F864" s="3" t="s">
        <v>737</v>
      </c>
    </row>
    <row r="865" spans="1:6" x14ac:dyDescent="0.3">
      <c r="A865" s="3" t="s">
        <v>977</v>
      </c>
      <c r="B865" s="3" t="s">
        <v>22</v>
      </c>
      <c r="C865" s="3" t="str">
        <f t="shared" si="13"/>
        <v>450014039450</v>
      </c>
      <c r="D865" s="4">
        <v>46322</v>
      </c>
      <c r="E865" s="3" t="s">
        <v>614</v>
      </c>
      <c r="F865" s="3" t="s">
        <v>737</v>
      </c>
    </row>
    <row r="866" spans="1:6" x14ac:dyDescent="0.3">
      <c r="A866" s="3" t="s">
        <v>976</v>
      </c>
      <c r="B866" s="3" t="s">
        <v>23</v>
      </c>
      <c r="C866" s="3" t="str">
        <f t="shared" si="13"/>
        <v>450014039560</v>
      </c>
      <c r="D866" s="4">
        <v>46310</v>
      </c>
      <c r="E866" s="3" t="s">
        <v>614</v>
      </c>
      <c r="F866" s="3" t="s">
        <v>738</v>
      </c>
    </row>
    <row r="867" spans="1:6" x14ac:dyDescent="0.3">
      <c r="A867" s="3" t="s">
        <v>978</v>
      </c>
      <c r="B867" s="3" t="s">
        <v>33</v>
      </c>
      <c r="C867" s="3" t="str">
        <f t="shared" si="13"/>
        <v>450014039710</v>
      </c>
      <c r="D867" s="4">
        <v>46310</v>
      </c>
      <c r="E867" s="3" t="s">
        <v>614</v>
      </c>
      <c r="F867" s="3" t="s">
        <v>1010</v>
      </c>
    </row>
    <row r="868" spans="1:6" x14ac:dyDescent="0.3">
      <c r="A868" s="3" t="s">
        <v>975</v>
      </c>
      <c r="B868" s="3" t="s">
        <v>33</v>
      </c>
      <c r="C868" s="3" t="str">
        <f t="shared" si="13"/>
        <v>450014040210</v>
      </c>
      <c r="D868" s="4">
        <v>46310</v>
      </c>
      <c r="E868" s="3" t="s">
        <v>614</v>
      </c>
      <c r="F868" s="3" t="s">
        <v>771</v>
      </c>
    </row>
    <row r="869" spans="1:6" x14ac:dyDescent="0.3">
      <c r="A869" s="3" t="s">
        <v>975</v>
      </c>
      <c r="B869" s="3" t="s">
        <v>20</v>
      </c>
      <c r="C869" s="3" t="str">
        <f t="shared" si="13"/>
        <v>450014040220</v>
      </c>
      <c r="D869" s="4">
        <v>46310</v>
      </c>
      <c r="E869" s="3" t="s">
        <v>614</v>
      </c>
      <c r="F869" s="3" t="s">
        <v>771</v>
      </c>
    </row>
    <row r="870" spans="1:6" x14ac:dyDescent="0.3">
      <c r="A870" s="3" t="s">
        <v>975</v>
      </c>
      <c r="B870" s="3" t="s">
        <v>21</v>
      </c>
      <c r="C870" s="3" t="str">
        <f t="shared" si="13"/>
        <v>450014040230</v>
      </c>
      <c r="D870" s="4">
        <v>46310</v>
      </c>
      <c r="E870" s="3" t="s">
        <v>614</v>
      </c>
      <c r="F870" s="3" t="s">
        <v>771</v>
      </c>
    </row>
    <row r="871" spans="1:6" x14ac:dyDescent="0.3">
      <c r="A871" s="3" t="s">
        <v>946</v>
      </c>
      <c r="B871" s="3" t="s">
        <v>33</v>
      </c>
      <c r="C871" s="3" t="str">
        <f t="shared" si="13"/>
        <v>450014040410</v>
      </c>
      <c r="D871" s="4">
        <v>46310</v>
      </c>
      <c r="E871" s="3" t="s">
        <v>618</v>
      </c>
      <c r="F871" s="3" t="s">
        <v>771</v>
      </c>
    </row>
    <row r="872" spans="1:6" x14ac:dyDescent="0.3">
      <c r="A872" s="3" t="s">
        <v>946</v>
      </c>
      <c r="B872" s="3" t="s">
        <v>20</v>
      </c>
      <c r="C872" s="3" t="str">
        <f t="shared" si="13"/>
        <v>450014040420</v>
      </c>
      <c r="D872" s="4">
        <v>46310</v>
      </c>
      <c r="E872" s="3" t="s">
        <v>618</v>
      </c>
      <c r="F872" s="3" t="s">
        <v>771</v>
      </c>
    </row>
    <row r="873" spans="1:6" x14ac:dyDescent="0.3">
      <c r="A873" s="3" t="s">
        <v>946</v>
      </c>
      <c r="B873" s="3" t="s">
        <v>21</v>
      </c>
      <c r="C873" s="3" t="str">
        <f t="shared" si="13"/>
        <v>450014040430</v>
      </c>
      <c r="D873" s="4">
        <v>46310</v>
      </c>
      <c r="E873" s="3" t="s">
        <v>618</v>
      </c>
      <c r="F873" s="3" t="s">
        <v>771</v>
      </c>
    </row>
    <row r="874" spans="1:6" x14ac:dyDescent="0.3">
      <c r="A874" s="3" t="s">
        <v>980</v>
      </c>
      <c r="B874" s="3" t="s">
        <v>33</v>
      </c>
      <c r="C874" s="3" t="str">
        <f t="shared" si="13"/>
        <v>450014040510</v>
      </c>
      <c r="D874" s="4">
        <v>46310</v>
      </c>
      <c r="E874" s="3" t="s">
        <v>614</v>
      </c>
      <c r="F874" s="3" t="s">
        <v>1003</v>
      </c>
    </row>
    <row r="875" spans="1:6" x14ac:dyDescent="0.3">
      <c r="A875" s="3" t="s">
        <v>889</v>
      </c>
      <c r="B875" s="3" t="s">
        <v>33</v>
      </c>
      <c r="C875" s="3" t="str">
        <f t="shared" si="13"/>
        <v>450014042410</v>
      </c>
      <c r="D875" s="4">
        <v>46301</v>
      </c>
      <c r="E875" s="3" t="s">
        <v>611</v>
      </c>
      <c r="F875" s="3" t="s">
        <v>774</v>
      </c>
    </row>
    <row r="876" spans="1:6" x14ac:dyDescent="0.3">
      <c r="A876" s="3" t="s">
        <v>954</v>
      </c>
      <c r="B876" s="3" t="s">
        <v>33</v>
      </c>
      <c r="C876" s="3" t="str">
        <f t="shared" si="13"/>
        <v>450014043610</v>
      </c>
      <c r="D876" s="4">
        <v>46387</v>
      </c>
      <c r="E876" s="3" t="s">
        <v>609</v>
      </c>
      <c r="F876" s="3" t="s">
        <v>707</v>
      </c>
    </row>
    <row r="877" spans="1:6" x14ac:dyDescent="0.3">
      <c r="A877" s="3" t="s">
        <v>891</v>
      </c>
      <c r="B877" s="3" t="s">
        <v>33</v>
      </c>
      <c r="C877" s="3" t="str">
        <f t="shared" si="13"/>
        <v>450014043710</v>
      </c>
      <c r="D877" s="4">
        <v>46538</v>
      </c>
      <c r="E877" s="3" t="s">
        <v>842</v>
      </c>
      <c r="F877" s="3" t="s">
        <v>985</v>
      </c>
    </row>
    <row r="878" spans="1:6" x14ac:dyDescent="0.3">
      <c r="A878" s="3" t="s">
        <v>893</v>
      </c>
      <c r="B878" s="3" t="s">
        <v>33</v>
      </c>
      <c r="C878" s="3" t="str">
        <f t="shared" si="13"/>
        <v>450014043910</v>
      </c>
      <c r="D878" s="4">
        <v>46300</v>
      </c>
      <c r="E878" s="3" t="s">
        <v>611</v>
      </c>
      <c r="F878" s="3" t="s">
        <v>1011</v>
      </c>
    </row>
    <row r="879" spans="1:6" x14ac:dyDescent="0.3">
      <c r="A879" s="3" t="s">
        <v>895</v>
      </c>
      <c r="B879" s="3" t="s">
        <v>33</v>
      </c>
      <c r="C879" s="3" t="str">
        <f t="shared" si="13"/>
        <v>450014047410</v>
      </c>
      <c r="D879" s="4">
        <v>46325</v>
      </c>
      <c r="E879" s="3" t="s">
        <v>616</v>
      </c>
      <c r="F879" s="3" t="s">
        <v>701</v>
      </c>
    </row>
    <row r="880" spans="1:6" x14ac:dyDescent="0.3">
      <c r="A880" s="3" t="s">
        <v>898</v>
      </c>
      <c r="B880" s="3" t="s">
        <v>33</v>
      </c>
      <c r="C880" s="3" t="str">
        <f t="shared" si="13"/>
        <v>450014048310</v>
      </c>
      <c r="D880" s="4">
        <v>46323</v>
      </c>
      <c r="E880" s="3" t="s">
        <v>615</v>
      </c>
      <c r="F880" s="3" t="s">
        <v>1012</v>
      </c>
    </row>
    <row r="881" spans="1:6" x14ac:dyDescent="0.3">
      <c r="A881" s="3" t="s">
        <v>898</v>
      </c>
      <c r="B881" s="3" t="s">
        <v>20</v>
      </c>
      <c r="C881" s="3" t="str">
        <f t="shared" si="13"/>
        <v>450014048320</v>
      </c>
      <c r="D881" s="4">
        <v>46323</v>
      </c>
      <c r="E881" s="3" t="s">
        <v>615</v>
      </c>
      <c r="F881" s="3" t="s">
        <v>1012</v>
      </c>
    </row>
    <row r="882" spans="1:6" x14ac:dyDescent="0.3">
      <c r="A882" s="3" t="s">
        <v>1031</v>
      </c>
      <c r="B882" s="3" t="s">
        <v>33</v>
      </c>
      <c r="C882" s="3" t="str">
        <f t="shared" si="13"/>
        <v>450013627610</v>
      </c>
      <c r="D882" s="4">
        <v>46387</v>
      </c>
      <c r="E882" s="3" t="s">
        <v>610</v>
      </c>
      <c r="F882" s="3" t="s">
        <v>1143</v>
      </c>
    </row>
    <row r="883" spans="1:6" x14ac:dyDescent="0.3">
      <c r="A883" s="3" t="s">
        <v>1027</v>
      </c>
      <c r="B883" s="3" t="s">
        <v>33</v>
      </c>
      <c r="C883" s="3" t="str">
        <f t="shared" si="13"/>
        <v>450013742710</v>
      </c>
      <c r="D883" s="4">
        <v>46508</v>
      </c>
      <c r="E883" s="3" t="s">
        <v>699</v>
      </c>
      <c r="F883" s="3" t="s">
        <v>1144</v>
      </c>
    </row>
    <row r="884" spans="1:6" x14ac:dyDescent="0.3">
      <c r="A884" s="3" t="s">
        <v>1128</v>
      </c>
      <c r="B884" s="3" t="s">
        <v>33</v>
      </c>
      <c r="C884" s="3" t="str">
        <f t="shared" si="13"/>
        <v>450012800210</v>
      </c>
      <c r="D884" s="4">
        <v>46328</v>
      </c>
      <c r="E884" s="3" t="s">
        <v>616</v>
      </c>
      <c r="F884" s="3" t="s">
        <v>1145</v>
      </c>
    </row>
    <row r="885" spans="1:6" x14ac:dyDescent="0.3">
      <c r="A885" s="3" t="s">
        <v>1081</v>
      </c>
      <c r="B885" s="3" t="s">
        <v>20</v>
      </c>
      <c r="C885" s="3" t="str">
        <f t="shared" si="13"/>
        <v>450013386120</v>
      </c>
      <c r="D885" s="4">
        <v>46568</v>
      </c>
      <c r="E885" s="3" t="s">
        <v>842</v>
      </c>
      <c r="F885" s="3" t="s">
        <v>1146</v>
      </c>
    </row>
    <row r="886" spans="1:6" x14ac:dyDescent="0.3">
      <c r="A886" s="3" t="s">
        <v>1081</v>
      </c>
      <c r="B886" s="3" t="s">
        <v>33</v>
      </c>
      <c r="C886" s="3" t="str">
        <f t="shared" si="13"/>
        <v>450013386110</v>
      </c>
      <c r="D886" s="4">
        <v>46568</v>
      </c>
      <c r="E886" s="3" t="s">
        <v>842</v>
      </c>
      <c r="F886" s="3" t="s">
        <v>1146</v>
      </c>
    </row>
    <row r="887" spans="1:6" x14ac:dyDescent="0.3">
      <c r="A887" s="3" t="s">
        <v>1121</v>
      </c>
      <c r="B887" s="3" t="s">
        <v>33</v>
      </c>
      <c r="C887" s="3" t="str">
        <f t="shared" si="13"/>
        <v>450013953910</v>
      </c>
      <c r="D887" s="4">
        <v>46304</v>
      </c>
      <c r="E887" s="3" t="s">
        <v>620</v>
      </c>
      <c r="F887" s="3" t="s">
        <v>1147</v>
      </c>
    </row>
    <row r="888" spans="1:6" x14ac:dyDescent="0.3">
      <c r="A888" s="3" t="s">
        <v>1100</v>
      </c>
      <c r="B888" s="3" t="s">
        <v>33</v>
      </c>
      <c r="C888" s="3" t="str">
        <f t="shared" si="13"/>
        <v>450013852310</v>
      </c>
      <c r="D888" s="4">
        <v>46304</v>
      </c>
      <c r="E888" s="3" t="s">
        <v>620</v>
      </c>
      <c r="F888" s="3" t="s">
        <v>772</v>
      </c>
    </row>
    <row r="889" spans="1:6" x14ac:dyDescent="0.3">
      <c r="A889" s="3" t="s">
        <v>1036</v>
      </c>
      <c r="B889" s="3" t="s">
        <v>33</v>
      </c>
      <c r="C889" s="3" t="str">
        <f t="shared" si="13"/>
        <v>450013901710</v>
      </c>
      <c r="D889" s="4">
        <v>46310</v>
      </c>
      <c r="E889" s="3" t="s">
        <v>631</v>
      </c>
      <c r="F889" s="3" t="s">
        <v>713</v>
      </c>
    </row>
    <row r="890" spans="1:6" x14ac:dyDescent="0.3">
      <c r="A890" s="3" t="s">
        <v>1115</v>
      </c>
      <c r="B890" s="3" t="s">
        <v>21</v>
      </c>
      <c r="C890" s="3" t="str">
        <f t="shared" si="13"/>
        <v>450014016230</v>
      </c>
      <c r="D890" s="4">
        <v>46305</v>
      </c>
      <c r="E890" s="3" t="s">
        <v>612</v>
      </c>
      <c r="F890" s="3" t="s">
        <v>718</v>
      </c>
    </row>
    <row r="891" spans="1:6" x14ac:dyDescent="0.3">
      <c r="A891" s="3" t="s">
        <v>1115</v>
      </c>
      <c r="B891" s="3" t="s">
        <v>25</v>
      </c>
      <c r="C891" s="3" t="str">
        <f t="shared" si="13"/>
        <v>450014016240</v>
      </c>
      <c r="D891" s="4">
        <v>46305</v>
      </c>
      <c r="E891" s="3" t="s">
        <v>612</v>
      </c>
      <c r="F891" s="3" t="s">
        <v>718</v>
      </c>
    </row>
    <row r="892" spans="1:6" x14ac:dyDescent="0.3">
      <c r="A892" s="3" t="s">
        <v>1115</v>
      </c>
      <c r="B892" s="3" t="s">
        <v>22</v>
      </c>
      <c r="C892" s="3" t="str">
        <f t="shared" si="13"/>
        <v>450014016250</v>
      </c>
      <c r="D892" s="4">
        <v>46305</v>
      </c>
      <c r="E892" s="3" t="s">
        <v>612</v>
      </c>
      <c r="F892" s="3" t="s">
        <v>718</v>
      </c>
    </row>
    <row r="893" spans="1:6" x14ac:dyDescent="0.3">
      <c r="A893" s="3" t="s">
        <v>1071</v>
      </c>
      <c r="B893" s="3" t="s">
        <v>33</v>
      </c>
      <c r="C893" s="3" t="str">
        <f t="shared" si="13"/>
        <v>450012524010</v>
      </c>
      <c r="D893" s="4">
        <v>46477</v>
      </c>
      <c r="E893" s="3" t="s">
        <v>609</v>
      </c>
      <c r="F893" s="3" t="s">
        <v>1148</v>
      </c>
    </row>
    <row r="894" spans="1:6" x14ac:dyDescent="0.3">
      <c r="A894" s="3" t="s">
        <v>1061</v>
      </c>
      <c r="B894" s="3" t="s">
        <v>33</v>
      </c>
      <c r="C894" s="3" t="str">
        <f t="shared" si="13"/>
        <v>450012545210</v>
      </c>
      <c r="D894" s="4">
        <v>46477</v>
      </c>
      <c r="E894" s="3" t="s">
        <v>609</v>
      </c>
      <c r="F894" s="3" t="s">
        <v>1149</v>
      </c>
    </row>
    <row r="895" spans="1:6" x14ac:dyDescent="0.3">
      <c r="A895" s="3" t="s">
        <v>1102</v>
      </c>
      <c r="B895" s="3" t="s">
        <v>21</v>
      </c>
      <c r="C895" s="3" t="str">
        <f t="shared" si="13"/>
        <v>450014035430</v>
      </c>
      <c r="D895" s="4">
        <v>46309</v>
      </c>
      <c r="E895" s="3" t="s">
        <v>620</v>
      </c>
      <c r="F895" s="3" t="s">
        <v>772</v>
      </c>
    </row>
    <row r="896" spans="1:6" x14ac:dyDescent="0.3">
      <c r="A896" s="3" t="s">
        <v>1115</v>
      </c>
      <c r="B896" s="3" t="s">
        <v>23</v>
      </c>
      <c r="C896" s="3" t="str">
        <f t="shared" si="13"/>
        <v>450014016260</v>
      </c>
      <c r="D896" s="4">
        <v>46305</v>
      </c>
      <c r="E896" s="3" t="s">
        <v>612</v>
      </c>
      <c r="F896" s="3" t="s">
        <v>718</v>
      </c>
    </row>
    <row r="897" spans="1:6" x14ac:dyDescent="0.3">
      <c r="A897" s="3" t="s">
        <v>1115</v>
      </c>
      <c r="B897" s="3" t="s">
        <v>24</v>
      </c>
      <c r="C897" s="3" t="str">
        <f t="shared" si="13"/>
        <v>450014016270</v>
      </c>
      <c r="D897" s="4">
        <v>46305</v>
      </c>
      <c r="E897" s="3" t="s">
        <v>612</v>
      </c>
      <c r="F897" s="3" t="s">
        <v>718</v>
      </c>
    </row>
    <row r="898" spans="1:6" x14ac:dyDescent="0.3">
      <c r="A898" s="3" t="s">
        <v>1115</v>
      </c>
      <c r="B898" s="3" t="s">
        <v>321</v>
      </c>
      <c r="C898" s="3" t="str">
        <f t="shared" si="13"/>
        <v>450014016280</v>
      </c>
      <c r="D898" s="4">
        <v>46305</v>
      </c>
      <c r="E898" s="3" t="s">
        <v>612</v>
      </c>
      <c r="F898" s="3" t="s">
        <v>718</v>
      </c>
    </row>
    <row r="899" spans="1:6" x14ac:dyDescent="0.3">
      <c r="A899" s="3" t="s">
        <v>1117</v>
      </c>
      <c r="B899" s="3" t="s">
        <v>24</v>
      </c>
      <c r="C899" s="3" t="str">
        <f t="shared" ref="C899:C962" si="14">_xlfn.CONCAT(A899:B899)</f>
        <v>450013949870</v>
      </c>
      <c r="D899" s="4">
        <v>46341</v>
      </c>
      <c r="E899" s="3" t="s">
        <v>614</v>
      </c>
      <c r="F899" s="3" t="s">
        <v>733</v>
      </c>
    </row>
    <row r="900" spans="1:6" x14ac:dyDescent="0.3">
      <c r="A900" s="3" t="s">
        <v>1075</v>
      </c>
      <c r="B900" s="3" t="s">
        <v>22</v>
      </c>
      <c r="C900" s="3" t="str">
        <f t="shared" si="14"/>
        <v>450014044950</v>
      </c>
      <c r="D900" s="4">
        <v>46316</v>
      </c>
      <c r="E900" s="3" t="s">
        <v>1141</v>
      </c>
      <c r="F900" s="3" t="s">
        <v>731</v>
      </c>
    </row>
    <row r="901" spans="1:6" x14ac:dyDescent="0.3">
      <c r="A901" s="3" t="s">
        <v>1068</v>
      </c>
      <c r="B901" s="3" t="s">
        <v>33</v>
      </c>
      <c r="C901" s="3" t="str">
        <f t="shared" si="14"/>
        <v>450012367510</v>
      </c>
      <c r="D901" s="4">
        <v>46387</v>
      </c>
      <c r="E901" s="3" t="s">
        <v>609</v>
      </c>
      <c r="F901" s="3" t="s">
        <v>1150</v>
      </c>
    </row>
    <row r="902" spans="1:6" x14ac:dyDescent="0.3">
      <c r="A902" s="3" t="s">
        <v>1036</v>
      </c>
      <c r="B902" s="3" t="s">
        <v>20</v>
      </c>
      <c r="C902" s="3" t="str">
        <f t="shared" si="14"/>
        <v>450013901720</v>
      </c>
      <c r="D902" s="4">
        <v>46325</v>
      </c>
      <c r="E902" s="3" t="s">
        <v>631</v>
      </c>
      <c r="F902" s="3" t="s">
        <v>713</v>
      </c>
    </row>
    <row r="903" spans="1:6" x14ac:dyDescent="0.3">
      <c r="A903" s="3" t="s">
        <v>1036</v>
      </c>
      <c r="B903" s="3" t="s">
        <v>25</v>
      </c>
      <c r="C903" s="3" t="str">
        <f t="shared" si="14"/>
        <v>450013901740</v>
      </c>
      <c r="D903" s="4">
        <v>46325</v>
      </c>
      <c r="E903" s="3" t="s">
        <v>631</v>
      </c>
      <c r="F903" s="3" t="s">
        <v>713</v>
      </c>
    </row>
    <row r="904" spans="1:6" x14ac:dyDescent="0.3">
      <c r="A904" s="3" t="s">
        <v>1115</v>
      </c>
      <c r="B904" s="3" t="s">
        <v>33</v>
      </c>
      <c r="C904" s="3" t="str">
        <f t="shared" si="14"/>
        <v>450014016210</v>
      </c>
      <c r="D904" s="4">
        <v>46305</v>
      </c>
      <c r="E904" s="3" t="s">
        <v>612</v>
      </c>
      <c r="F904" s="3" t="s">
        <v>718</v>
      </c>
    </row>
    <row r="905" spans="1:6" x14ac:dyDescent="0.3">
      <c r="A905" s="3" t="s">
        <v>1123</v>
      </c>
      <c r="B905" s="3" t="s">
        <v>33</v>
      </c>
      <c r="C905" s="3" t="str">
        <f t="shared" si="14"/>
        <v>450011027510</v>
      </c>
      <c r="D905" s="4">
        <v>46003</v>
      </c>
      <c r="E905" s="3" t="s">
        <v>612</v>
      </c>
      <c r="F905" s="3" t="s">
        <v>718</v>
      </c>
    </row>
    <row r="906" spans="1:6" x14ac:dyDescent="0.3">
      <c r="A906" s="3" t="s">
        <v>1123</v>
      </c>
      <c r="B906" s="3" t="s">
        <v>20</v>
      </c>
      <c r="C906" s="3" t="str">
        <f t="shared" si="14"/>
        <v>450011027520</v>
      </c>
      <c r="D906" s="4">
        <v>46003</v>
      </c>
      <c r="E906" s="3" t="s">
        <v>612</v>
      </c>
      <c r="F906" s="3" t="s">
        <v>718</v>
      </c>
    </row>
    <row r="907" spans="1:6" x14ac:dyDescent="0.3">
      <c r="A907" s="3" t="s">
        <v>1123</v>
      </c>
      <c r="B907" s="3" t="s">
        <v>21</v>
      </c>
      <c r="C907" s="3" t="str">
        <f t="shared" si="14"/>
        <v>450011027530</v>
      </c>
      <c r="D907" s="4">
        <v>46003</v>
      </c>
      <c r="E907" s="3" t="s">
        <v>612</v>
      </c>
      <c r="F907" s="3" t="s">
        <v>718</v>
      </c>
    </row>
    <row r="908" spans="1:6" x14ac:dyDescent="0.3">
      <c r="A908" s="3" t="s">
        <v>1123</v>
      </c>
      <c r="B908" s="3" t="s">
        <v>25</v>
      </c>
      <c r="C908" s="3" t="str">
        <f t="shared" si="14"/>
        <v>450011027540</v>
      </c>
      <c r="D908" s="4">
        <v>46003</v>
      </c>
      <c r="E908" s="3" t="s">
        <v>612</v>
      </c>
      <c r="F908" s="3" t="s">
        <v>718</v>
      </c>
    </row>
    <row r="909" spans="1:6" x14ac:dyDescent="0.3">
      <c r="A909" s="3" t="s">
        <v>1123</v>
      </c>
      <c r="B909" s="3" t="s">
        <v>22</v>
      </c>
      <c r="C909" s="3" t="str">
        <f t="shared" si="14"/>
        <v>450011027550</v>
      </c>
      <c r="D909" s="4">
        <v>46003</v>
      </c>
      <c r="E909" s="3" t="s">
        <v>612</v>
      </c>
      <c r="F909" s="3" t="s">
        <v>718</v>
      </c>
    </row>
    <row r="910" spans="1:6" x14ac:dyDescent="0.3">
      <c r="A910" s="3" t="s">
        <v>1123</v>
      </c>
      <c r="B910" s="3" t="s">
        <v>23</v>
      </c>
      <c r="C910" s="3" t="str">
        <f t="shared" si="14"/>
        <v>450011027560</v>
      </c>
      <c r="D910" s="4">
        <v>46003</v>
      </c>
      <c r="E910" s="3" t="s">
        <v>612</v>
      </c>
      <c r="F910" s="3" t="s">
        <v>718</v>
      </c>
    </row>
    <row r="911" spans="1:6" x14ac:dyDescent="0.3">
      <c r="A911" s="3" t="s">
        <v>1123</v>
      </c>
      <c r="B911" s="3" t="s">
        <v>24</v>
      </c>
      <c r="C911" s="3" t="str">
        <f t="shared" si="14"/>
        <v>450011027570</v>
      </c>
      <c r="D911" s="4">
        <v>46003</v>
      </c>
      <c r="E911" s="3" t="s">
        <v>612</v>
      </c>
      <c r="F911" s="3" t="s">
        <v>718</v>
      </c>
    </row>
    <row r="912" spans="1:6" x14ac:dyDescent="0.3">
      <c r="A912" s="3" t="s">
        <v>1123</v>
      </c>
      <c r="B912" s="3" t="s">
        <v>321</v>
      </c>
      <c r="C912" s="3" t="str">
        <f t="shared" si="14"/>
        <v>450011027580</v>
      </c>
      <c r="D912" s="4">
        <v>46305</v>
      </c>
      <c r="E912" s="3" t="s">
        <v>612</v>
      </c>
      <c r="F912" s="3" t="s">
        <v>718</v>
      </c>
    </row>
    <row r="913" spans="1:6" x14ac:dyDescent="0.3">
      <c r="A913" s="3" t="s">
        <v>1123</v>
      </c>
      <c r="B913" s="3" t="s">
        <v>322</v>
      </c>
      <c r="C913" s="3" t="str">
        <f t="shared" si="14"/>
        <v>450011027590</v>
      </c>
      <c r="D913" s="4">
        <v>46003</v>
      </c>
      <c r="E913" s="3" t="s">
        <v>612</v>
      </c>
      <c r="F913" s="3" t="s">
        <v>718</v>
      </c>
    </row>
    <row r="914" spans="1:6" x14ac:dyDescent="0.3">
      <c r="A914" s="3" t="s">
        <v>1123</v>
      </c>
      <c r="B914" s="3" t="s">
        <v>323</v>
      </c>
      <c r="C914" s="3" t="str">
        <f t="shared" si="14"/>
        <v>4500110275100</v>
      </c>
      <c r="D914" s="4">
        <v>46003</v>
      </c>
      <c r="E914" s="3" t="s">
        <v>612</v>
      </c>
      <c r="F914" s="3" t="s">
        <v>718</v>
      </c>
    </row>
    <row r="915" spans="1:6" x14ac:dyDescent="0.3">
      <c r="A915" s="3" t="s">
        <v>1123</v>
      </c>
      <c r="B915" s="3" t="s">
        <v>175</v>
      </c>
      <c r="C915" s="3" t="str">
        <f t="shared" si="14"/>
        <v>4500110275110</v>
      </c>
      <c r="D915" s="4">
        <v>46003</v>
      </c>
      <c r="E915" s="3" t="s">
        <v>612</v>
      </c>
      <c r="F915" s="3" t="s">
        <v>718</v>
      </c>
    </row>
    <row r="916" spans="1:6" x14ac:dyDescent="0.3">
      <c r="A916" s="3" t="s">
        <v>1123</v>
      </c>
      <c r="B916" s="3" t="s">
        <v>375</v>
      </c>
      <c r="C916" s="3" t="str">
        <f t="shared" si="14"/>
        <v>4500110275120</v>
      </c>
      <c r="D916" s="4">
        <v>46305</v>
      </c>
      <c r="E916" s="3" t="s">
        <v>612</v>
      </c>
      <c r="F916" s="3" t="s">
        <v>718</v>
      </c>
    </row>
    <row r="917" spans="1:6" x14ac:dyDescent="0.3">
      <c r="A917" s="3" t="s">
        <v>1029</v>
      </c>
      <c r="B917" s="3" t="s">
        <v>33</v>
      </c>
      <c r="C917" s="3" t="str">
        <f t="shared" si="14"/>
        <v>450011406310</v>
      </c>
      <c r="D917" s="4">
        <v>46386</v>
      </c>
      <c r="E917" s="3" t="s">
        <v>699</v>
      </c>
      <c r="F917" s="3" t="s">
        <v>1144</v>
      </c>
    </row>
    <row r="918" spans="1:6" x14ac:dyDescent="0.3">
      <c r="A918" s="3" t="s">
        <v>1030</v>
      </c>
      <c r="B918" s="3" t="s">
        <v>33</v>
      </c>
      <c r="C918" s="3" t="str">
        <f t="shared" si="14"/>
        <v>450011864810</v>
      </c>
      <c r="D918" s="4">
        <v>46325</v>
      </c>
      <c r="E918" s="3" t="s">
        <v>610</v>
      </c>
      <c r="F918" s="3" t="s">
        <v>1143</v>
      </c>
    </row>
    <row r="919" spans="1:6" x14ac:dyDescent="0.3">
      <c r="A919" s="3" t="s">
        <v>1067</v>
      </c>
      <c r="B919" s="3" t="s">
        <v>33</v>
      </c>
      <c r="C919" s="3" t="str">
        <f t="shared" si="14"/>
        <v>450013277310</v>
      </c>
      <c r="D919" s="4">
        <v>46234</v>
      </c>
      <c r="E919" s="3" t="s">
        <v>611</v>
      </c>
      <c r="F919" s="3" t="s">
        <v>737</v>
      </c>
    </row>
    <row r="920" spans="1:6" x14ac:dyDescent="0.3">
      <c r="A920" s="3" t="s">
        <v>1067</v>
      </c>
      <c r="B920" s="3" t="s">
        <v>20</v>
      </c>
      <c r="C920" s="3" t="str">
        <f t="shared" si="14"/>
        <v>450013277320</v>
      </c>
      <c r="D920" s="4">
        <v>46234</v>
      </c>
      <c r="E920" s="3" t="s">
        <v>611</v>
      </c>
      <c r="F920" s="3" t="s">
        <v>737</v>
      </c>
    </row>
    <row r="921" spans="1:6" x14ac:dyDescent="0.3">
      <c r="A921" s="3" t="s">
        <v>1126</v>
      </c>
      <c r="B921" s="3" t="s">
        <v>33</v>
      </c>
      <c r="C921" s="3" t="str">
        <f t="shared" si="14"/>
        <v>450013473410</v>
      </c>
      <c r="D921" s="4">
        <v>46269</v>
      </c>
      <c r="E921" s="3" t="s">
        <v>617</v>
      </c>
      <c r="F921" s="3" t="s">
        <v>773</v>
      </c>
    </row>
    <row r="922" spans="1:6" x14ac:dyDescent="0.3">
      <c r="A922" s="3" t="s">
        <v>1126</v>
      </c>
      <c r="B922" s="3" t="s">
        <v>20</v>
      </c>
      <c r="C922" s="3" t="str">
        <f t="shared" si="14"/>
        <v>450013473420</v>
      </c>
      <c r="D922" s="4">
        <v>46269</v>
      </c>
      <c r="E922" s="3" t="s">
        <v>617</v>
      </c>
      <c r="F922" s="3" t="s">
        <v>773</v>
      </c>
    </row>
    <row r="923" spans="1:6" x14ac:dyDescent="0.3">
      <c r="A923" s="3" t="s">
        <v>1126</v>
      </c>
      <c r="B923" s="3" t="s">
        <v>21</v>
      </c>
      <c r="C923" s="3" t="str">
        <f t="shared" si="14"/>
        <v>450013473430</v>
      </c>
      <c r="D923" s="4">
        <v>46269</v>
      </c>
      <c r="E923" s="3" t="s">
        <v>617</v>
      </c>
      <c r="F923" s="3" t="s">
        <v>773</v>
      </c>
    </row>
    <row r="924" spans="1:6" x14ac:dyDescent="0.3">
      <c r="A924" s="3" t="s">
        <v>1126</v>
      </c>
      <c r="B924" s="3" t="s">
        <v>25</v>
      </c>
      <c r="C924" s="3" t="str">
        <f t="shared" si="14"/>
        <v>450013473440</v>
      </c>
      <c r="D924" s="4">
        <v>46269</v>
      </c>
      <c r="E924" s="3" t="s">
        <v>617</v>
      </c>
      <c r="F924" s="3" t="s">
        <v>773</v>
      </c>
    </row>
    <row r="925" spans="1:6" x14ac:dyDescent="0.3">
      <c r="A925" s="3" t="s">
        <v>1126</v>
      </c>
      <c r="B925" s="3" t="s">
        <v>22</v>
      </c>
      <c r="C925" s="3" t="str">
        <f t="shared" si="14"/>
        <v>450013473450</v>
      </c>
      <c r="D925" s="4">
        <v>46269</v>
      </c>
      <c r="E925" s="3" t="s">
        <v>617</v>
      </c>
      <c r="F925" s="3" t="s">
        <v>773</v>
      </c>
    </row>
    <row r="926" spans="1:6" x14ac:dyDescent="0.3">
      <c r="A926" s="3" t="s">
        <v>1126</v>
      </c>
      <c r="B926" s="3" t="s">
        <v>23</v>
      </c>
      <c r="C926" s="3" t="str">
        <f t="shared" si="14"/>
        <v>450013473460</v>
      </c>
      <c r="D926" s="4">
        <v>46269</v>
      </c>
      <c r="E926" s="3" t="s">
        <v>617</v>
      </c>
      <c r="F926" s="3" t="s">
        <v>773</v>
      </c>
    </row>
    <row r="927" spans="1:6" x14ac:dyDescent="0.3">
      <c r="A927" s="3" t="s">
        <v>1125</v>
      </c>
      <c r="B927" s="3" t="s">
        <v>33</v>
      </c>
      <c r="C927" s="3" t="str">
        <f t="shared" si="14"/>
        <v>450013495310</v>
      </c>
      <c r="D927" s="4">
        <v>46300</v>
      </c>
      <c r="E927" s="3" t="s">
        <v>620</v>
      </c>
      <c r="F927" s="3" t="s">
        <v>785</v>
      </c>
    </row>
    <row r="928" spans="1:6" x14ac:dyDescent="0.3">
      <c r="A928" s="3" t="s">
        <v>1034</v>
      </c>
      <c r="B928" s="3" t="s">
        <v>33</v>
      </c>
      <c r="C928" s="3" t="str">
        <f t="shared" si="14"/>
        <v>450013519110</v>
      </c>
      <c r="D928" s="4">
        <v>46304</v>
      </c>
      <c r="E928" s="3" t="s">
        <v>631</v>
      </c>
      <c r="F928" s="3" t="s">
        <v>713</v>
      </c>
    </row>
    <row r="929" spans="1:6" x14ac:dyDescent="0.3">
      <c r="A929" s="3" t="s">
        <v>1034</v>
      </c>
      <c r="B929" s="3" t="s">
        <v>20</v>
      </c>
      <c r="C929" s="3" t="str">
        <f t="shared" si="14"/>
        <v>450013519120</v>
      </c>
      <c r="D929" s="4">
        <v>46304</v>
      </c>
      <c r="E929" s="3" t="s">
        <v>631</v>
      </c>
      <c r="F929" s="3" t="s">
        <v>713</v>
      </c>
    </row>
    <row r="930" spans="1:6" x14ac:dyDescent="0.3">
      <c r="A930" s="3" t="s">
        <v>1034</v>
      </c>
      <c r="B930" s="3" t="s">
        <v>21</v>
      </c>
      <c r="C930" s="3" t="str">
        <f t="shared" si="14"/>
        <v>450013519130</v>
      </c>
      <c r="D930" s="4">
        <v>46260</v>
      </c>
      <c r="E930" s="3" t="s">
        <v>631</v>
      </c>
      <c r="F930" s="3" t="s">
        <v>713</v>
      </c>
    </row>
    <row r="931" spans="1:6" x14ac:dyDescent="0.3">
      <c r="A931" s="3" t="s">
        <v>1032</v>
      </c>
      <c r="B931" s="3" t="s">
        <v>33</v>
      </c>
      <c r="C931" s="3" t="str">
        <f t="shared" si="14"/>
        <v>450013534710</v>
      </c>
      <c r="D931" s="4">
        <v>46304</v>
      </c>
      <c r="E931" s="3" t="s">
        <v>639</v>
      </c>
      <c r="F931" s="3" t="s">
        <v>713</v>
      </c>
    </row>
    <row r="932" spans="1:6" x14ac:dyDescent="0.3">
      <c r="A932" s="3" t="s">
        <v>1054</v>
      </c>
      <c r="B932" s="3" t="s">
        <v>33</v>
      </c>
      <c r="C932" s="3" t="str">
        <f t="shared" si="14"/>
        <v>450013570210</v>
      </c>
      <c r="D932" s="4">
        <v>46308</v>
      </c>
      <c r="E932" s="3" t="s">
        <v>644</v>
      </c>
      <c r="F932" s="3" t="s">
        <v>729</v>
      </c>
    </row>
    <row r="933" spans="1:6" x14ac:dyDescent="0.3">
      <c r="A933" s="3" t="s">
        <v>1124</v>
      </c>
      <c r="B933" s="3" t="s">
        <v>33</v>
      </c>
      <c r="C933" s="3" t="str">
        <f t="shared" si="14"/>
        <v>450013588410</v>
      </c>
      <c r="D933" s="4">
        <v>46295</v>
      </c>
      <c r="E933" s="3" t="s">
        <v>612</v>
      </c>
      <c r="F933" s="3" t="s">
        <v>713</v>
      </c>
    </row>
    <row r="934" spans="1:6" x14ac:dyDescent="0.3">
      <c r="A934" s="3" t="s">
        <v>1124</v>
      </c>
      <c r="B934" s="3" t="s">
        <v>20</v>
      </c>
      <c r="C934" s="3" t="str">
        <f t="shared" si="14"/>
        <v>450013588420</v>
      </c>
      <c r="D934" s="4">
        <v>46295</v>
      </c>
      <c r="E934" s="3" t="s">
        <v>612</v>
      </c>
      <c r="F934" s="3" t="s">
        <v>713</v>
      </c>
    </row>
    <row r="935" spans="1:6" x14ac:dyDescent="0.3">
      <c r="A935" s="3" t="s">
        <v>1124</v>
      </c>
      <c r="B935" s="3" t="s">
        <v>21</v>
      </c>
      <c r="C935" s="3" t="str">
        <f t="shared" si="14"/>
        <v>450013588430</v>
      </c>
      <c r="D935" s="4">
        <v>46295</v>
      </c>
      <c r="E935" s="3" t="s">
        <v>612</v>
      </c>
      <c r="F935" s="3" t="s">
        <v>713</v>
      </c>
    </row>
    <row r="936" spans="1:6" x14ac:dyDescent="0.3">
      <c r="A936" s="3" t="s">
        <v>1044</v>
      </c>
      <c r="B936" s="3" t="s">
        <v>33</v>
      </c>
      <c r="C936" s="3" t="str">
        <f t="shared" si="14"/>
        <v>450013683810</v>
      </c>
      <c r="D936" s="4">
        <v>46287</v>
      </c>
      <c r="E936" s="3" t="s">
        <v>612</v>
      </c>
      <c r="F936" s="3" t="s">
        <v>713</v>
      </c>
    </row>
    <row r="937" spans="1:6" x14ac:dyDescent="0.3">
      <c r="A937" s="3" t="s">
        <v>1044</v>
      </c>
      <c r="B937" s="3" t="s">
        <v>20</v>
      </c>
      <c r="C937" s="3" t="str">
        <f t="shared" si="14"/>
        <v>450013683820</v>
      </c>
      <c r="D937" s="4">
        <v>46280</v>
      </c>
      <c r="E937" s="3" t="s">
        <v>612</v>
      </c>
      <c r="F937" s="3" t="s">
        <v>713</v>
      </c>
    </row>
    <row r="938" spans="1:6" x14ac:dyDescent="0.3">
      <c r="A938" s="3" t="s">
        <v>1044</v>
      </c>
      <c r="B938" s="3" t="s">
        <v>21</v>
      </c>
      <c r="C938" s="3" t="str">
        <f t="shared" si="14"/>
        <v>450013683830</v>
      </c>
      <c r="D938" s="4">
        <v>46280</v>
      </c>
      <c r="E938" s="3" t="s">
        <v>612</v>
      </c>
      <c r="F938" s="3" t="s">
        <v>713</v>
      </c>
    </row>
    <row r="939" spans="1:6" x14ac:dyDescent="0.3">
      <c r="A939" s="3" t="s">
        <v>1044</v>
      </c>
      <c r="B939" s="3" t="s">
        <v>25</v>
      </c>
      <c r="C939" s="3" t="str">
        <f t="shared" si="14"/>
        <v>450013683840</v>
      </c>
      <c r="D939" s="4">
        <v>46308</v>
      </c>
      <c r="E939" s="3" t="s">
        <v>612</v>
      </c>
      <c r="F939" s="3" t="s">
        <v>713</v>
      </c>
    </row>
    <row r="940" spans="1:6" x14ac:dyDescent="0.3">
      <c r="A940" s="3" t="s">
        <v>1044</v>
      </c>
      <c r="B940" s="3" t="s">
        <v>22</v>
      </c>
      <c r="C940" s="3" t="str">
        <f t="shared" si="14"/>
        <v>450013683850</v>
      </c>
      <c r="D940" s="4">
        <v>46285</v>
      </c>
      <c r="E940" s="3" t="s">
        <v>612</v>
      </c>
      <c r="F940" s="3" t="s">
        <v>713</v>
      </c>
    </row>
    <row r="941" spans="1:6" x14ac:dyDescent="0.3">
      <c r="A941" s="3" t="s">
        <v>1049</v>
      </c>
      <c r="B941" s="3" t="s">
        <v>33</v>
      </c>
      <c r="C941" s="3" t="str">
        <f t="shared" si="14"/>
        <v>450013735910</v>
      </c>
      <c r="D941" s="4">
        <v>46301</v>
      </c>
      <c r="E941" s="3" t="s">
        <v>620</v>
      </c>
      <c r="F941" s="3" t="s">
        <v>773</v>
      </c>
    </row>
    <row r="942" spans="1:6" x14ac:dyDescent="0.3">
      <c r="A942" s="3" t="s">
        <v>1108</v>
      </c>
      <c r="B942" s="3" t="s">
        <v>33</v>
      </c>
      <c r="C942" s="3" t="str">
        <f t="shared" si="14"/>
        <v>450013742810</v>
      </c>
      <c r="D942" s="4">
        <v>46308</v>
      </c>
      <c r="E942" s="3" t="s">
        <v>619</v>
      </c>
      <c r="F942" s="3" t="s">
        <v>1151</v>
      </c>
    </row>
    <row r="943" spans="1:6" x14ac:dyDescent="0.3">
      <c r="A943" s="3" t="s">
        <v>1098</v>
      </c>
      <c r="B943" s="3" t="s">
        <v>33</v>
      </c>
      <c r="C943" s="3" t="str">
        <f t="shared" si="14"/>
        <v>450013805710</v>
      </c>
      <c r="D943" s="4">
        <v>46294</v>
      </c>
      <c r="E943" s="3" t="s">
        <v>620</v>
      </c>
      <c r="F943" s="3" t="s">
        <v>785</v>
      </c>
    </row>
    <row r="944" spans="1:6" x14ac:dyDescent="0.3">
      <c r="A944" s="3" t="s">
        <v>1098</v>
      </c>
      <c r="B944" s="3" t="s">
        <v>20</v>
      </c>
      <c r="C944" s="3" t="str">
        <f t="shared" si="14"/>
        <v>450013805720</v>
      </c>
      <c r="D944" s="4">
        <v>46290</v>
      </c>
      <c r="E944" s="3" t="s">
        <v>620</v>
      </c>
      <c r="F944" s="3" t="s">
        <v>785</v>
      </c>
    </row>
    <row r="945" spans="1:6" x14ac:dyDescent="0.3">
      <c r="A945" s="3" t="s">
        <v>1113</v>
      </c>
      <c r="B945" s="3" t="s">
        <v>33</v>
      </c>
      <c r="C945" s="3" t="str">
        <f t="shared" si="14"/>
        <v>450013830910</v>
      </c>
      <c r="D945" s="4">
        <v>46308</v>
      </c>
      <c r="E945" s="3" t="s">
        <v>619</v>
      </c>
      <c r="F945" s="3" t="s">
        <v>1152</v>
      </c>
    </row>
    <row r="946" spans="1:6" x14ac:dyDescent="0.3">
      <c r="A946" s="3" t="s">
        <v>1036</v>
      </c>
      <c r="B946" s="3" t="s">
        <v>21</v>
      </c>
      <c r="C946" s="3" t="str">
        <f t="shared" si="14"/>
        <v>450013901730</v>
      </c>
      <c r="D946" s="4">
        <v>46295</v>
      </c>
      <c r="E946" s="3" t="s">
        <v>631</v>
      </c>
      <c r="F946" s="3" t="s">
        <v>713</v>
      </c>
    </row>
    <row r="947" spans="1:6" x14ac:dyDescent="0.3">
      <c r="A947" s="3" t="s">
        <v>1127</v>
      </c>
      <c r="B947" s="3" t="s">
        <v>33</v>
      </c>
      <c r="C947" s="3" t="str">
        <f t="shared" si="14"/>
        <v>450013923910</v>
      </c>
      <c r="D947" s="4">
        <v>46297</v>
      </c>
      <c r="E947" s="3" t="s">
        <v>620</v>
      </c>
      <c r="F947" s="3" t="s">
        <v>1153</v>
      </c>
    </row>
    <row r="948" spans="1:6" x14ac:dyDescent="0.3">
      <c r="A948" s="3" t="s">
        <v>1114</v>
      </c>
      <c r="B948" s="3" t="s">
        <v>33</v>
      </c>
      <c r="C948" s="3" t="str">
        <f t="shared" si="14"/>
        <v>450013931510</v>
      </c>
      <c r="D948" s="4">
        <v>46300</v>
      </c>
      <c r="E948" s="3" t="s">
        <v>612</v>
      </c>
      <c r="F948" s="3" t="s">
        <v>730</v>
      </c>
    </row>
    <row r="949" spans="1:6" x14ac:dyDescent="0.3">
      <c r="A949" s="3" t="s">
        <v>1114</v>
      </c>
      <c r="B949" s="3" t="s">
        <v>20</v>
      </c>
      <c r="C949" s="3" t="str">
        <f t="shared" si="14"/>
        <v>450013931520</v>
      </c>
      <c r="D949" s="4">
        <v>46300</v>
      </c>
      <c r="E949" s="3" t="s">
        <v>612</v>
      </c>
      <c r="F949" s="3" t="s">
        <v>730</v>
      </c>
    </row>
    <row r="950" spans="1:6" x14ac:dyDescent="0.3">
      <c r="A950" s="3" t="s">
        <v>1114</v>
      </c>
      <c r="B950" s="3" t="s">
        <v>21</v>
      </c>
      <c r="C950" s="3" t="str">
        <f t="shared" si="14"/>
        <v>450013931530</v>
      </c>
      <c r="D950" s="4">
        <v>46300</v>
      </c>
      <c r="E950" s="3" t="s">
        <v>612</v>
      </c>
      <c r="F950" s="3" t="s">
        <v>730</v>
      </c>
    </row>
    <row r="951" spans="1:6" x14ac:dyDescent="0.3">
      <c r="A951" s="3" t="s">
        <v>1114</v>
      </c>
      <c r="B951" s="3" t="s">
        <v>25</v>
      </c>
      <c r="C951" s="3" t="str">
        <f t="shared" si="14"/>
        <v>450013931540</v>
      </c>
      <c r="D951" s="4">
        <v>46300</v>
      </c>
      <c r="E951" s="3" t="s">
        <v>612</v>
      </c>
      <c r="F951" s="3" t="s">
        <v>730</v>
      </c>
    </row>
    <row r="952" spans="1:6" x14ac:dyDescent="0.3">
      <c r="A952" s="3" t="s">
        <v>1114</v>
      </c>
      <c r="B952" s="3" t="s">
        <v>22</v>
      </c>
      <c r="C952" s="3" t="str">
        <f t="shared" si="14"/>
        <v>450013931550</v>
      </c>
      <c r="D952" s="4">
        <v>46300</v>
      </c>
      <c r="E952" s="3" t="s">
        <v>612</v>
      </c>
      <c r="F952" s="3" t="s">
        <v>730</v>
      </c>
    </row>
    <row r="953" spans="1:6" x14ac:dyDescent="0.3">
      <c r="A953" s="3" t="s">
        <v>1114</v>
      </c>
      <c r="B953" s="3" t="s">
        <v>23</v>
      </c>
      <c r="C953" s="3" t="str">
        <f t="shared" si="14"/>
        <v>450013931560</v>
      </c>
      <c r="D953" s="4">
        <v>46300</v>
      </c>
      <c r="E953" s="3" t="s">
        <v>612</v>
      </c>
      <c r="F953" s="3" t="s">
        <v>730</v>
      </c>
    </row>
    <row r="954" spans="1:6" x14ac:dyDescent="0.3">
      <c r="A954" s="3" t="s">
        <v>1114</v>
      </c>
      <c r="B954" s="3" t="s">
        <v>24</v>
      </c>
      <c r="C954" s="3" t="str">
        <f t="shared" si="14"/>
        <v>450013931570</v>
      </c>
      <c r="D954" s="4">
        <v>46300</v>
      </c>
      <c r="E954" s="3" t="s">
        <v>612</v>
      </c>
      <c r="F954" s="3" t="s">
        <v>730</v>
      </c>
    </row>
    <row r="955" spans="1:6" x14ac:dyDescent="0.3">
      <c r="A955" s="3" t="s">
        <v>1114</v>
      </c>
      <c r="B955" s="3" t="s">
        <v>321</v>
      </c>
      <c r="C955" s="3" t="str">
        <f t="shared" si="14"/>
        <v>450013931580</v>
      </c>
      <c r="D955" s="4">
        <v>46295</v>
      </c>
      <c r="E955" s="3" t="s">
        <v>612</v>
      </c>
      <c r="F955" s="3" t="s">
        <v>730</v>
      </c>
    </row>
    <row r="956" spans="1:6" x14ac:dyDescent="0.3">
      <c r="A956" s="3" t="s">
        <v>1105</v>
      </c>
      <c r="B956" s="3" t="s">
        <v>33</v>
      </c>
      <c r="C956" s="3" t="str">
        <f t="shared" si="14"/>
        <v>450013939810</v>
      </c>
      <c r="D956" s="4">
        <v>46304</v>
      </c>
      <c r="E956" s="3" t="s">
        <v>617</v>
      </c>
      <c r="F956" s="3" t="s">
        <v>719</v>
      </c>
    </row>
    <row r="957" spans="1:6" x14ac:dyDescent="0.3">
      <c r="A957" s="3" t="s">
        <v>1017</v>
      </c>
      <c r="B957" s="3" t="s">
        <v>33</v>
      </c>
      <c r="C957" s="3" t="str">
        <f t="shared" si="14"/>
        <v>450013942010</v>
      </c>
      <c r="D957" s="4">
        <v>46311</v>
      </c>
      <c r="E957" s="3" t="s">
        <v>1004</v>
      </c>
      <c r="F957" s="3" t="s">
        <v>1154</v>
      </c>
    </row>
    <row r="958" spans="1:6" x14ac:dyDescent="0.3">
      <c r="A958" s="3" t="s">
        <v>1017</v>
      </c>
      <c r="B958" s="3" t="s">
        <v>20</v>
      </c>
      <c r="C958" s="3" t="str">
        <f t="shared" si="14"/>
        <v>450013942020</v>
      </c>
      <c r="D958" s="4">
        <v>46311</v>
      </c>
      <c r="E958" s="3" t="s">
        <v>1004</v>
      </c>
      <c r="F958" s="3" t="s">
        <v>1154</v>
      </c>
    </row>
    <row r="959" spans="1:6" x14ac:dyDescent="0.3">
      <c r="A959" s="3" t="s">
        <v>1117</v>
      </c>
      <c r="B959" s="3" t="s">
        <v>23</v>
      </c>
      <c r="C959" s="3" t="str">
        <f t="shared" si="14"/>
        <v>450013949860</v>
      </c>
      <c r="D959" s="4">
        <v>46300</v>
      </c>
      <c r="E959" s="3" t="s">
        <v>614</v>
      </c>
      <c r="F959" s="3" t="s">
        <v>733</v>
      </c>
    </row>
    <row r="960" spans="1:6" x14ac:dyDescent="0.3">
      <c r="A960" s="3" t="s">
        <v>1084</v>
      </c>
      <c r="B960" s="3" t="s">
        <v>33</v>
      </c>
      <c r="C960" s="3" t="str">
        <f t="shared" si="14"/>
        <v>450013954810</v>
      </c>
      <c r="D960" s="4">
        <v>46301</v>
      </c>
      <c r="E960" s="3" t="s">
        <v>1142</v>
      </c>
      <c r="F960" s="3" t="s">
        <v>1155</v>
      </c>
    </row>
    <row r="961" spans="1:6" x14ac:dyDescent="0.3">
      <c r="A961" s="3" t="s">
        <v>1051</v>
      </c>
      <c r="B961" s="3" t="s">
        <v>33</v>
      </c>
      <c r="C961" s="3" t="str">
        <f t="shared" si="14"/>
        <v>450013957610</v>
      </c>
      <c r="D961" s="4">
        <v>46297</v>
      </c>
      <c r="E961" s="3" t="s">
        <v>620</v>
      </c>
      <c r="F961" s="3" t="s">
        <v>1156</v>
      </c>
    </row>
    <row r="962" spans="1:6" x14ac:dyDescent="0.3">
      <c r="A962" s="3" t="s">
        <v>1065</v>
      </c>
      <c r="B962" s="3" t="s">
        <v>33</v>
      </c>
      <c r="C962" s="3" t="str">
        <f t="shared" si="14"/>
        <v>450013962710</v>
      </c>
      <c r="D962" s="4">
        <v>46308</v>
      </c>
      <c r="E962" s="3" t="s">
        <v>612</v>
      </c>
      <c r="F962" s="3" t="s">
        <v>1152</v>
      </c>
    </row>
    <row r="963" spans="1:6" x14ac:dyDescent="0.3">
      <c r="A963" s="3" t="s">
        <v>1099</v>
      </c>
      <c r="B963" s="3" t="s">
        <v>33</v>
      </c>
      <c r="C963" s="3" t="str">
        <f t="shared" ref="C963:C1026" si="15">_xlfn.CONCAT(A963:B963)</f>
        <v>450013968910</v>
      </c>
      <c r="D963" s="4">
        <v>46296</v>
      </c>
      <c r="E963" s="3" t="s">
        <v>621</v>
      </c>
      <c r="F963" s="3" t="s">
        <v>1157</v>
      </c>
    </row>
    <row r="964" spans="1:6" x14ac:dyDescent="0.3">
      <c r="A964" s="3" t="s">
        <v>1099</v>
      </c>
      <c r="B964" s="3" t="s">
        <v>20</v>
      </c>
      <c r="C964" s="3" t="str">
        <f t="shared" si="15"/>
        <v>450013968920</v>
      </c>
      <c r="D964" s="4">
        <v>46296</v>
      </c>
      <c r="E964" s="3" t="s">
        <v>621</v>
      </c>
      <c r="F964" s="3" t="s">
        <v>1157</v>
      </c>
    </row>
    <row r="965" spans="1:6" x14ac:dyDescent="0.3">
      <c r="A965" s="3" t="s">
        <v>1041</v>
      </c>
      <c r="B965" s="3" t="s">
        <v>33</v>
      </c>
      <c r="C965" s="3" t="str">
        <f t="shared" si="15"/>
        <v>450013971310</v>
      </c>
      <c r="D965" s="4">
        <v>46302</v>
      </c>
      <c r="E965" s="3" t="s">
        <v>629</v>
      </c>
      <c r="F965" s="3" t="s">
        <v>713</v>
      </c>
    </row>
    <row r="966" spans="1:6" x14ac:dyDescent="0.3">
      <c r="A966" s="3" t="s">
        <v>1041</v>
      </c>
      <c r="B966" s="3" t="s">
        <v>20</v>
      </c>
      <c r="C966" s="3" t="str">
        <f t="shared" si="15"/>
        <v>450013971320</v>
      </c>
      <c r="D966" s="4">
        <v>46302</v>
      </c>
      <c r="E966" s="3" t="s">
        <v>629</v>
      </c>
      <c r="F966" s="3" t="s">
        <v>713</v>
      </c>
    </row>
    <row r="967" spans="1:6" x14ac:dyDescent="0.3">
      <c r="A967" s="3" t="s">
        <v>1041</v>
      </c>
      <c r="B967" s="3" t="s">
        <v>21</v>
      </c>
      <c r="C967" s="3" t="str">
        <f t="shared" si="15"/>
        <v>450013971330</v>
      </c>
      <c r="D967" s="4">
        <v>46302</v>
      </c>
      <c r="E967" s="3" t="s">
        <v>629</v>
      </c>
      <c r="F967" s="3" t="s">
        <v>713</v>
      </c>
    </row>
    <row r="968" spans="1:6" x14ac:dyDescent="0.3">
      <c r="A968" s="3" t="s">
        <v>1122</v>
      </c>
      <c r="B968" s="3" t="s">
        <v>33</v>
      </c>
      <c r="C968" s="3" t="str">
        <f t="shared" si="15"/>
        <v>450013979410</v>
      </c>
      <c r="D968" s="4">
        <v>46303</v>
      </c>
      <c r="E968" s="3" t="s">
        <v>620</v>
      </c>
      <c r="F968" s="3" t="s">
        <v>772</v>
      </c>
    </row>
    <row r="969" spans="1:6" x14ac:dyDescent="0.3">
      <c r="A969" s="3" t="s">
        <v>1110</v>
      </c>
      <c r="B969" s="3" t="s">
        <v>33</v>
      </c>
      <c r="C969" s="3" t="str">
        <f t="shared" si="15"/>
        <v>450013986910</v>
      </c>
      <c r="D969" s="4">
        <v>46320</v>
      </c>
      <c r="E969" s="3" t="s">
        <v>628</v>
      </c>
      <c r="F969" s="3" t="s">
        <v>748</v>
      </c>
    </row>
    <row r="970" spans="1:6" x14ac:dyDescent="0.3">
      <c r="A970" s="3" t="s">
        <v>1119</v>
      </c>
      <c r="B970" s="3" t="s">
        <v>33</v>
      </c>
      <c r="C970" s="3" t="str">
        <f t="shared" si="15"/>
        <v>450013990410</v>
      </c>
      <c r="D970" s="4">
        <v>46305</v>
      </c>
      <c r="E970" s="3" t="s">
        <v>612</v>
      </c>
      <c r="F970" s="3" t="s">
        <v>733</v>
      </c>
    </row>
    <row r="971" spans="1:6" x14ac:dyDescent="0.3">
      <c r="A971" s="3" t="s">
        <v>1072</v>
      </c>
      <c r="B971" s="3" t="s">
        <v>33</v>
      </c>
      <c r="C971" s="3" t="str">
        <f t="shared" si="15"/>
        <v>450013994410</v>
      </c>
      <c r="D971" s="4">
        <v>46315</v>
      </c>
      <c r="E971" s="3" t="s">
        <v>624</v>
      </c>
      <c r="F971" s="3" t="s">
        <v>777</v>
      </c>
    </row>
    <row r="972" spans="1:6" x14ac:dyDescent="0.3">
      <c r="A972" s="3" t="s">
        <v>1085</v>
      </c>
      <c r="B972" s="3" t="s">
        <v>33</v>
      </c>
      <c r="C972" s="3" t="str">
        <f t="shared" si="15"/>
        <v>450013997210</v>
      </c>
      <c r="D972" s="4">
        <v>46300</v>
      </c>
      <c r="E972" s="3" t="s">
        <v>621</v>
      </c>
      <c r="F972" s="3" t="s">
        <v>1158</v>
      </c>
    </row>
    <row r="973" spans="1:6" x14ac:dyDescent="0.3">
      <c r="A973" s="3" t="s">
        <v>1085</v>
      </c>
      <c r="B973" s="3" t="s">
        <v>20</v>
      </c>
      <c r="C973" s="3" t="str">
        <f t="shared" si="15"/>
        <v>450013997220</v>
      </c>
      <c r="D973" s="4">
        <v>46300</v>
      </c>
      <c r="E973" s="3" t="s">
        <v>621</v>
      </c>
      <c r="F973" s="3" t="s">
        <v>1158</v>
      </c>
    </row>
    <row r="974" spans="1:6" x14ac:dyDescent="0.3">
      <c r="A974" s="3" t="s">
        <v>1085</v>
      </c>
      <c r="B974" s="3" t="s">
        <v>21</v>
      </c>
      <c r="C974" s="3" t="str">
        <f t="shared" si="15"/>
        <v>450013997230</v>
      </c>
      <c r="D974" s="4">
        <v>46300</v>
      </c>
      <c r="E974" s="3" t="s">
        <v>621</v>
      </c>
      <c r="F974" s="3" t="s">
        <v>1158</v>
      </c>
    </row>
    <row r="975" spans="1:6" x14ac:dyDescent="0.3">
      <c r="A975" s="3" t="s">
        <v>1055</v>
      </c>
      <c r="B975" s="3" t="s">
        <v>33</v>
      </c>
      <c r="C975" s="3" t="str">
        <f t="shared" si="15"/>
        <v>450014002910</v>
      </c>
      <c r="D975" s="4">
        <v>46303</v>
      </c>
      <c r="E975" s="3" t="s">
        <v>621</v>
      </c>
      <c r="F975" s="3" t="s">
        <v>1159</v>
      </c>
    </row>
    <row r="976" spans="1:6" x14ac:dyDescent="0.3">
      <c r="A976" s="3" t="s">
        <v>1055</v>
      </c>
      <c r="B976" s="3" t="s">
        <v>20</v>
      </c>
      <c r="C976" s="3" t="str">
        <f t="shared" si="15"/>
        <v>450014002920</v>
      </c>
      <c r="D976" s="4">
        <v>46303</v>
      </c>
      <c r="E976" s="3" t="s">
        <v>621</v>
      </c>
      <c r="F976" s="3" t="s">
        <v>1159</v>
      </c>
    </row>
    <row r="977" spans="1:6" x14ac:dyDescent="0.3">
      <c r="A977" s="3" t="s">
        <v>1055</v>
      </c>
      <c r="B977" s="3" t="s">
        <v>21</v>
      </c>
      <c r="C977" s="3" t="str">
        <f t="shared" si="15"/>
        <v>450014002930</v>
      </c>
      <c r="D977" s="4">
        <v>46303</v>
      </c>
      <c r="E977" s="3" t="s">
        <v>621</v>
      </c>
      <c r="F977" s="3" t="s">
        <v>1159</v>
      </c>
    </row>
    <row r="978" spans="1:6" x14ac:dyDescent="0.3">
      <c r="A978" s="3" t="s">
        <v>1055</v>
      </c>
      <c r="B978" s="3" t="s">
        <v>25</v>
      </c>
      <c r="C978" s="3" t="str">
        <f t="shared" si="15"/>
        <v>450014002940</v>
      </c>
      <c r="D978" s="4">
        <v>46303</v>
      </c>
      <c r="E978" s="3" t="s">
        <v>621</v>
      </c>
      <c r="F978" s="3" t="s">
        <v>1159</v>
      </c>
    </row>
    <row r="979" spans="1:6" x14ac:dyDescent="0.3">
      <c r="A979" s="3" t="s">
        <v>1055</v>
      </c>
      <c r="B979" s="3" t="s">
        <v>22</v>
      </c>
      <c r="C979" s="3" t="str">
        <f t="shared" si="15"/>
        <v>450014002950</v>
      </c>
      <c r="D979" s="4">
        <v>46303</v>
      </c>
      <c r="E979" s="3" t="s">
        <v>621</v>
      </c>
      <c r="F979" s="3" t="s">
        <v>1159</v>
      </c>
    </row>
    <row r="980" spans="1:6" x14ac:dyDescent="0.3">
      <c r="A980" s="3" t="s">
        <v>1055</v>
      </c>
      <c r="B980" s="3" t="s">
        <v>23</v>
      </c>
      <c r="C980" s="3" t="str">
        <f t="shared" si="15"/>
        <v>450014002960</v>
      </c>
      <c r="D980" s="4">
        <v>46303</v>
      </c>
      <c r="E980" s="3" t="s">
        <v>621</v>
      </c>
      <c r="F980" s="3" t="s">
        <v>1159</v>
      </c>
    </row>
    <row r="981" spans="1:6" x14ac:dyDescent="0.3">
      <c r="A981" s="3" t="s">
        <v>1055</v>
      </c>
      <c r="B981" s="3" t="s">
        <v>24</v>
      </c>
      <c r="C981" s="3" t="str">
        <f t="shared" si="15"/>
        <v>450014002970</v>
      </c>
      <c r="D981" s="4">
        <v>46303</v>
      </c>
      <c r="E981" s="3" t="s">
        <v>621</v>
      </c>
      <c r="F981" s="3" t="s">
        <v>1159</v>
      </c>
    </row>
    <row r="982" spans="1:6" x14ac:dyDescent="0.3">
      <c r="A982" s="3" t="s">
        <v>1093</v>
      </c>
      <c r="B982" s="3" t="s">
        <v>33</v>
      </c>
      <c r="C982" s="3" t="str">
        <f t="shared" si="15"/>
        <v>450014003010</v>
      </c>
      <c r="D982" s="4">
        <v>46301</v>
      </c>
      <c r="E982" s="3" t="s">
        <v>621</v>
      </c>
      <c r="F982" s="3" t="s">
        <v>1157</v>
      </c>
    </row>
    <row r="983" spans="1:6" x14ac:dyDescent="0.3">
      <c r="A983" s="3" t="s">
        <v>1093</v>
      </c>
      <c r="B983" s="3" t="s">
        <v>20</v>
      </c>
      <c r="C983" s="3" t="str">
        <f t="shared" si="15"/>
        <v>450014003020</v>
      </c>
      <c r="D983" s="4">
        <v>46301</v>
      </c>
      <c r="E983" s="3" t="s">
        <v>621</v>
      </c>
      <c r="F983" s="3" t="s">
        <v>1157</v>
      </c>
    </row>
    <row r="984" spans="1:6" x14ac:dyDescent="0.3">
      <c r="A984" s="3" t="s">
        <v>1093</v>
      </c>
      <c r="B984" s="3" t="s">
        <v>21</v>
      </c>
      <c r="C984" s="3" t="str">
        <f t="shared" si="15"/>
        <v>450014003030</v>
      </c>
      <c r="D984" s="4">
        <v>46301</v>
      </c>
      <c r="E984" s="3" t="s">
        <v>621</v>
      </c>
      <c r="F984" s="3" t="s">
        <v>1157</v>
      </c>
    </row>
    <row r="985" spans="1:6" x14ac:dyDescent="0.3">
      <c r="A985" s="3" t="s">
        <v>1093</v>
      </c>
      <c r="B985" s="3" t="s">
        <v>25</v>
      </c>
      <c r="C985" s="3" t="str">
        <f t="shared" si="15"/>
        <v>450014003040</v>
      </c>
      <c r="D985" s="4">
        <v>46301</v>
      </c>
      <c r="E985" s="3" t="s">
        <v>621</v>
      </c>
      <c r="F985" s="3" t="s">
        <v>1157</v>
      </c>
    </row>
    <row r="986" spans="1:6" x14ac:dyDescent="0.3">
      <c r="A986" s="3" t="s">
        <v>1093</v>
      </c>
      <c r="B986" s="3" t="s">
        <v>22</v>
      </c>
      <c r="C986" s="3" t="str">
        <f t="shared" si="15"/>
        <v>450014003050</v>
      </c>
      <c r="D986" s="4">
        <v>46301</v>
      </c>
      <c r="E986" s="3" t="s">
        <v>621</v>
      </c>
      <c r="F986" s="3" t="s">
        <v>1157</v>
      </c>
    </row>
    <row r="987" spans="1:6" x14ac:dyDescent="0.3">
      <c r="A987" s="3" t="s">
        <v>1093</v>
      </c>
      <c r="B987" s="3" t="s">
        <v>23</v>
      </c>
      <c r="C987" s="3" t="str">
        <f t="shared" si="15"/>
        <v>450014003060</v>
      </c>
      <c r="D987" s="4">
        <v>46301</v>
      </c>
      <c r="E987" s="3" t="s">
        <v>621</v>
      </c>
      <c r="F987" s="3" t="s">
        <v>1157</v>
      </c>
    </row>
    <row r="988" spans="1:6" x14ac:dyDescent="0.3">
      <c r="A988" s="3" t="s">
        <v>1109</v>
      </c>
      <c r="B988" s="3" t="s">
        <v>33</v>
      </c>
      <c r="C988" s="3" t="str">
        <f t="shared" si="15"/>
        <v>450014010510</v>
      </c>
      <c r="D988" s="4">
        <v>46308</v>
      </c>
      <c r="E988" s="3" t="s">
        <v>621</v>
      </c>
      <c r="F988" s="3" t="s">
        <v>1160</v>
      </c>
    </row>
    <row r="989" spans="1:6" x14ac:dyDescent="0.3">
      <c r="A989" s="3" t="s">
        <v>1053</v>
      </c>
      <c r="B989" s="3" t="s">
        <v>33</v>
      </c>
      <c r="C989" s="3" t="str">
        <f t="shared" si="15"/>
        <v>450014011110</v>
      </c>
      <c r="D989" s="4">
        <v>46302</v>
      </c>
      <c r="E989" s="3" t="s">
        <v>621</v>
      </c>
      <c r="F989" s="3" t="s">
        <v>1161</v>
      </c>
    </row>
    <row r="990" spans="1:6" x14ac:dyDescent="0.3">
      <c r="A990" s="3" t="s">
        <v>1053</v>
      </c>
      <c r="B990" s="3" t="s">
        <v>20</v>
      </c>
      <c r="C990" s="3" t="str">
        <f t="shared" si="15"/>
        <v>450014011120</v>
      </c>
      <c r="D990" s="4">
        <v>46302</v>
      </c>
      <c r="E990" s="3" t="s">
        <v>621</v>
      </c>
      <c r="F990" s="3" t="s">
        <v>1161</v>
      </c>
    </row>
    <row r="991" spans="1:6" x14ac:dyDescent="0.3">
      <c r="A991" s="3" t="s">
        <v>1053</v>
      </c>
      <c r="B991" s="3" t="s">
        <v>21</v>
      </c>
      <c r="C991" s="3" t="str">
        <f t="shared" si="15"/>
        <v>450014011130</v>
      </c>
      <c r="D991" s="4">
        <v>46302</v>
      </c>
      <c r="E991" s="3" t="s">
        <v>621</v>
      </c>
      <c r="F991" s="3" t="s">
        <v>1161</v>
      </c>
    </row>
    <row r="992" spans="1:6" x14ac:dyDescent="0.3">
      <c r="A992" s="3" t="s">
        <v>1053</v>
      </c>
      <c r="B992" s="3" t="s">
        <v>25</v>
      </c>
      <c r="C992" s="3" t="str">
        <f t="shared" si="15"/>
        <v>450014011140</v>
      </c>
      <c r="D992" s="4">
        <v>46302</v>
      </c>
      <c r="E992" s="3" t="s">
        <v>621</v>
      </c>
      <c r="F992" s="3" t="s">
        <v>1161</v>
      </c>
    </row>
    <row r="993" spans="1:6" x14ac:dyDescent="0.3">
      <c r="A993" s="3" t="s">
        <v>1053</v>
      </c>
      <c r="B993" s="3" t="s">
        <v>22</v>
      </c>
      <c r="C993" s="3" t="str">
        <f t="shared" si="15"/>
        <v>450014011150</v>
      </c>
      <c r="D993" s="4">
        <v>46302</v>
      </c>
      <c r="E993" s="3" t="s">
        <v>621</v>
      </c>
      <c r="F993" s="3" t="s">
        <v>1161</v>
      </c>
    </row>
    <row r="994" spans="1:6" x14ac:dyDescent="0.3">
      <c r="A994" s="3" t="s">
        <v>1053</v>
      </c>
      <c r="B994" s="3" t="s">
        <v>23</v>
      </c>
      <c r="C994" s="3" t="str">
        <f t="shared" si="15"/>
        <v>450014011160</v>
      </c>
      <c r="D994" s="4">
        <v>46302</v>
      </c>
      <c r="E994" s="3" t="s">
        <v>621</v>
      </c>
      <c r="F994" s="3" t="s">
        <v>1161</v>
      </c>
    </row>
    <row r="995" spans="1:6" x14ac:dyDescent="0.3">
      <c r="A995" s="3" t="s">
        <v>1053</v>
      </c>
      <c r="B995" s="3" t="s">
        <v>24</v>
      </c>
      <c r="C995" s="3" t="str">
        <f t="shared" si="15"/>
        <v>450014011170</v>
      </c>
      <c r="D995" s="4">
        <v>46302</v>
      </c>
      <c r="E995" s="3" t="s">
        <v>621</v>
      </c>
      <c r="F995" s="3" t="s">
        <v>1161</v>
      </c>
    </row>
    <row r="996" spans="1:6" x14ac:dyDescent="0.3">
      <c r="A996" s="3" t="s">
        <v>1053</v>
      </c>
      <c r="B996" s="3" t="s">
        <v>321</v>
      </c>
      <c r="C996" s="3" t="str">
        <f t="shared" si="15"/>
        <v>450014011180</v>
      </c>
      <c r="D996" s="4">
        <v>46302</v>
      </c>
      <c r="E996" s="3" t="s">
        <v>621</v>
      </c>
      <c r="F996" s="3" t="s">
        <v>1161</v>
      </c>
    </row>
    <row r="997" spans="1:6" x14ac:dyDescent="0.3">
      <c r="A997" s="3" t="s">
        <v>1024</v>
      </c>
      <c r="B997" s="3" t="s">
        <v>33</v>
      </c>
      <c r="C997" s="3" t="str">
        <f t="shared" si="15"/>
        <v>450014011810</v>
      </c>
      <c r="D997" s="4">
        <v>46308</v>
      </c>
      <c r="E997" s="3" t="s">
        <v>612</v>
      </c>
      <c r="F997" s="3" t="s">
        <v>759</v>
      </c>
    </row>
    <row r="998" spans="1:6" x14ac:dyDescent="0.3">
      <c r="A998" s="3" t="s">
        <v>1024</v>
      </c>
      <c r="B998" s="3" t="s">
        <v>20</v>
      </c>
      <c r="C998" s="3" t="str">
        <f t="shared" si="15"/>
        <v>450014011820</v>
      </c>
      <c r="D998" s="4">
        <v>46304</v>
      </c>
      <c r="E998" s="3" t="s">
        <v>612</v>
      </c>
      <c r="F998" s="3" t="s">
        <v>759</v>
      </c>
    </row>
    <row r="999" spans="1:6" x14ac:dyDescent="0.3">
      <c r="A999" s="3" t="s">
        <v>1028</v>
      </c>
      <c r="B999" s="3" t="s">
        <v>33</v>
      </c>
      <c r="C999" s="3" t="str">
        <f t="shared" si="15"/>
        <v>450014012710</v>
      </c>
      <c r="D999" s="4">
        <v>46304</v>
      </c>
      <c r="E999" s="3" t="s">
        <v>612</v>
      </c>
      <c r="F999" s="3" t="s">
        <v>718</v>
      </c>
    </row>
    <row r="1000" spans="1:6" x14ac:dyDescent="0.3">
      <c r="A1000" s="3" t="s">
        <v>1115</v>
      </c>
      <c r="B1000" s="3" t="s">
        <v>20</v>
      </c>
      <c r="C1000" s="3" t="str">
        <f t="shared" si="15"/>
        <v>450014016220</v>
      </c>
      <c r="D1000" s="4">
        <v>46305</v>
      </c>
      <c r="E1000" s="3" t="s">
        <v>612</v>
      </c>
      <c r="F1000" s="3" t="s">
        <v>718</v>
      </c>
    </row>
    <row r="1001" spans="1:6" x14ac:dyDescent="0.3">
      <c r="A1001" s="3" t="s">
        <v>1138</v>
      </c>
      <c r="B1001" s="3" t="s">
        <v>33</v>
      </c>
      <c r="C1001" s="3" t="str">
        <f t="shared" si="15"/>
        <v>450014018210</v>
      </c>
      <c r="D1001" s="4">
        <v>46309</v>
      </c>
      <c r="E1001" s="3" t="s">
        <v>629</v>
      </c>
      <c r="F1001" s="3" t="s">
        <v>799</v>
      </c>
    </row>
    <row r="1002" spans="1:6" x14ac:dyDescent="0.3">
      <c r="A1002" s="3" t="s">
        <v>1120</v>
      </c>
      <c r="B1002" s="3" t="s">
        <v>33</v>
      </c>
      <c r="C1002" s="3" t="str">
        <f t="shared" si="15"/>
        <v>450014018910</v>
      </c>
      <c r="D1002" s="4">
        <v>46305</v>
      </c>
      <c r="E1002" s="3" t="s">
        <v>614</v>
      </c>
      <c r="F1002" s="3" t="s">
        <v>738</v>
      </c>
    </row>
    <row r="1003" spans="1:6" x14ac:dyDescent="0.3">
      <c r="A1003" s="3" t="s">
        <v>1057</v>
      </c>
      <c r="B1003" s="3" t="s">
        <v>33</v>
      </c>
      <c r="C1003" s="3" t="str">
        <f t="shared" si="15"/>
        <v>450014019310</v>
      </c>
      <c r="D1003" s="4">
        <v>46310</v>
      </c>
      <c r="E1003" s="3" t="s">
        <v>619</v>
      </c>
      <c r="F1003" s="3" t="s">
        <v>726</v>
      </c>
    </row>
    <row r="1004" spans="1:6" x14ac:dyDescent="0.3">
      <c r="A1004" s="3" t="s">
        <v>1052</v>
      </c>
      <c r="B1004" s="3" t="s">
        <v>33</v>
      </c>
      <c r="C1004" s="3" t="str">
        <f t="shared" si="15"/>
        <v>450014025310</v>
      </c>
      <c r="D1004" s="4">
        <v>46307</v>
      </c>
      <c r="E1004" s="3" t="s">
        <v>614</v>
      </c>
      <c r="F1004" s="3" t="s">
        <v>740</v>
      </c>
    </row>
    <row r="1005" spans="1:6" x14ac:dyDescent="0.3">
      <c r="A1005" s="3" t="s">
        <v>1080</v>
      </c>
      <c r="B1005" s="3" t="s">
        <v>21</v>
      </c>
      <c r="C1005" s="3" t="str">
        <f t="shared" si="15"/>
        <v>450014025830</v>
      </c>
      <c r="D1005" s="4">
        <v>46305</v>
      </c>
      <c r="E1005" s="3" t="s">
        <v>618</v>
      </c>
      <c r="F1005" s="3" t="s">
        <v>746</v>
      </c>
    </row>
    <row r="1006" spans="1:6" x14ac:dyDescent="0.3">
      <c r="A1006" s="3" t="s">
        <v>1118</v>
      </c>
      <c r="B1006" s="3" t="s">
        <v>33</v>
      </c>
      <c r="C1006" s="3" t="str">
        <f t="shared" si="15"/>
        <v>450014027010</v>
      </c>
      <c r="D1006" s="4">
        <v>46310</v>
      </c>
      <c r="E1006" s="3" t="s">
        <v>612</v>
      </c>
      <c r="F1006" s="3" t="s">
        <v>727</v>
      </c>
    </row>
    <row r="1007" spans="1:6" x14ac:dyDescent="0.3">
      <c r="A1007" s="3" t="s">
        <v>1118</v>
      </c>
      <c r="B1007" s="3" t="s">
        <v>20</v>
      </c>
      <c r="C1007" s="3" t="str">
        <f t="shared" si="15"/>
        <v>450014027020</v>
      </c>
      <c r="D1007" s="4">
        <v>46310</v>
      </c>
      <c r="E1007" s="3" t="s">
        <v>612</v>
      </c>
      <c r="F1007" s="3" t="s">
        <v>727</v>
      </c>
    </row>
    <row r="1008" spans="1:6" x14ac:dyDescent="0.3">
      <c r="A1008" s="3" t="s">
        <v>1118</v>
      </c>
      <c r="B1008" s="3" t="s">
        <v>21</v>
      </c>
      <c r="C1008" s="3" t="str">
        <f t="shared" si="15"/>
        <v>450014027030</v>
      </c>
      <c r="D1008" s="4">
        <v>46310</v>
      </c>
      <c r="E1008" s="3" t="s">
        <v>612</v>
      </c>
      <c r="F1008" s="3" t="s">
        <v>727</v>
      </c>
    </row>
    <row r="1009" spans="1:6" x14ac:dyDescent="0.3">
      <c r="A1009" s="3" t="s">
        <v>1118</v>
      </c>
      <c r="B1009" s="3" t="s">
        <v>25</v>
      </c>
      <c r="C1009" s="3" t="str">
        <f t="shared" si="15"/>
        <v>450014027040</v>
      </c>
      <c r="D1009" s="4">
        <v>46310</v>
      </c>
      <c r="E1009" s="3" t="s">
        <v>612</v>
      </c>
      <c r="F1009" s="3" t="s">
        <v>727</v>
      </c>
    </row>
    <row r="1010" spans="1:6" x14ac:dyDescent="0.3">
      <c r="A1010" s="3" t="s">
        <v>1140</v>
      </c>
      <c r="B1010" s="3" t="s">
        <v>33</v>
      </c>
      <c r="C1010" s="3" t="str">
        <f t="shared" si="15"/>
        <v>450014031610</v>
      </c>
      <c r="D1010" s="4">
        <v>46311</v>
      </c>
      <c r="E1010" s="3" t="s">
        <v>612</v>
      </c>
      <c r="F1010" s="3" t="s">
        <v>852</v>
      </c>
    </row>
    <row r="1011" spans="1:6" x14ac:dyDescent="0.3">
      <c r="A1011" s="3" t="s">
        <v>1140</v>
      </c>
      <c r="B1011" s="3" t="s">
        <v>20</v>
      </c>
      <c r="C1011" s="3" t="str">
        <f t="shared" si="15"/>
        <v>450014031620</v>
      </c>
      <c r="D1011" s="4">
        <v>46311</v>
      </c>
      <c r="E1011" s="3" t="s">
        <v>612</v>
      </c>
      <c r="F1011" s="3" t="s">
        <v>852</v>
      </c>
    </row>
    <row r="1012" spans="1:6" x14ac:dyDescent="0.3">
      <c r="A1012" s="3" t="s">
        <v>1140</v>
      </c>
      <c r="B1012" s="3" t="s">
        <v>21</v>
      </c>
      <c r="C1012" s="3" t="str">
        <f t="shared" si="15"/>
        <v>450014031630</v>
      </c>
      <c r="D1012" s="4">
        <v>46311</v>
      </c>
      <c r="E1012" s="3" t="s">
        <v>612</v>
      </c>
      <c r="F1012" s="3" t="s">
        <v>852</v>
      </c>
    </row>
    <row r="1013" spans="1:6" x14ac:dyDescent="0.3">
      <c r="A1013" s="3" t="s">
        <v>1140</v>
      </c>
      <c r="B1013" s="3" t="s">
        <v>25</v>
      </c>
      <c r="C1013" s="3" t="str">
        <f t="shared" si="15"/>
        <v>450014031640</v>
      </c>
      <c r="D1013" s="4">
        <v>46311</v>
      </c>
      <c r="E1013" s="3" t="s">
        <v>612</v>
      </c>
      <c r="F1013" s="3" t="s">
        <v>852</v>
      </c>
    </row>
    <row r="1014" spans="1:6" x14ac:dyDescent="0.3">
      <c r="A1014" s="3" t="s">
        <v>1111</v>
      </c>
      <c r="B1014" s="3" t="s">
        <v>33</v>
      </c>
      <c r="C1014" s="3" t="str">
        <f t="shared" si="15"/>
        <v>450014032810</v>
      </c>
      <c r="D1014" s="4">
        <v>46310</v>
      </c>
      <c r="E1014" s="3" t="s">
        <v>633</v>
      </c>
      <c r="F1014" s="3" t="s">
        <v>1162</v>
      </c>
    </row>
    <row r="1015" spans="1:6" x14ac:dyDescent="0.3">
      <c r="A1015" s="3" t="s">
        <v>1078</v>
      </c>
      <c r="B1015" s="3" t="s">
        <v>33</v>
      </c>
      <c r="C1015" s="3" t="str">
        <f t="shared" si="15"/>
        <v>450014035310</v>
      </c>
      <c r="D1015" s="4">
        <v>46310</v>
      </c>
      <c r="E1015" s="3" t="s">
        <v>614</v>
      </c>
      <c r="F1015" s="3" t="s">
        <v>717</v>
      </c>
    </row>
    <row r="1016" spans="1:6" x14ac:dyDescent="0.3">
      <c r="A1016" s="3" t="s">
        <v>1102</v>
      </c>
      <c r="B1016" s="3" t="s">
        <v>33</v>
      </c>
      <c r="C1016" s="3" t="str">
        <f t="shared" si="15"/>
        <v>450014035410</v>
      </c>
      <c r="D1016" s="4">
        <v>46309</v>
      </c>
      <c r="E1016" s="3" t="s">
        <v>620</v>
      </c>
      <c r="F1016" s="3" t="s">
        <v>772</v>
      </c>
    </row>
    <row r="1017" spans="1:6" x14ac:dyDescent="0.3">
      <c r="A1017" s="3" t="s">
        <v>1102</v>
      </c>
      <c r="B1017" s="3" t="s">
        <v>20</v>
      </c>
      <c r="C1017" s="3" t="str">
        <f t="shared" si="15"/>
        <v>450014035420</v>
      </c>
      <c r="D1017" s="4">
        <v>46309</v>
      </c>
      <c r="E1017" s="3" t="s">
        <v>620</v>
      </c>
      <c r="F1017" s="3" t="s">
        <v>772</v>
      </c>
    </row>
    <row r="1018" spans="1:6" x14ac:dyDescent="0.3">
      <c r="A1018" s="3" t="s">
        <v>1019</v>
      </c>
      <c r="B1018" s="3" t="s">
        <v>33</v>
      </c>
      <c r="C1018" s="3" t="str">
        <f t="shared" si="15"/>
        <v>450014039910</v>
      </c>
      <c r="D1018" s="4">
        <v>46305</v>
      </c>
      <c r="E1018" s="3" t="s">
        <v>618</v>
      </c>
      <c r="F1018" s="3" t="s">
        <v>738</v>
      </c>
    </row>
    <row r="1019" spans="1:6" x14ac:dyDescent="0.3">
      <c r="A1019" s="3" t="s">
        <v>1019</v>
      </c>
      <c r="B1019" s="3" t="s">
        <v>20</v>
      </c>
      <c r="C1019" s="3" t="str">
        <f t="shared" si="15"/>
        <v>450014039920</v>
      </c>
      <c r="D1019" s="4">
        <v>46305</v>
      </c>
      <c r="E1019" s="3" t="s">
        <v>618</v>
      </c>
      <c r="F1019" s="3" t="s">
        <v>738</v>
      </c>
    </row>
    <row r="1020" spans="1:6" x14ac:dyDescent="0.3">
      <c r="A1020" s="3" t="s">
        <v>1016</v>
      </c>
      <c r="B1020" s="3" t="s">
        <v>33</v>
      </c>
      <c r="C1020" s="3" t="str">
        <f t="shared" si="15"/>
        <v>450014040810</v>
      </c>
      <c r="D1020" s="4">
        <v>46783</v>
      </c>
      <c r="E1020" s="3" t="s">
        <v>609</v>
      </c>
      <c r="F1020" s="3" t="s">
        <v>846</v>
      </c>
    </row>
    <row r="1021" spans="1:6" x14ac:dyDescent="0.3">
      <c r="A1021" s="3" t="s">
        <v>1016</v>
      </c>
      <c r="B1021" s="3" t="s">
        <v>20</v>
      </c>
      <c r="C1021" s="3" t="str">
        <f t="shared" si="15"/>
        <v>450014040820</v>
      </c>
      <c r="D1021" s="4">
        <v>46783</v>
      </c>
      <c r="E1021" s="3" t="s">
        <v>609</v>
      </c>
      <c r="F1021" s="3" t="s">
        <v>846</v>
      </c>
    </row>
    <row r="1022" spans="1:6" x14ac:dyDescent="0.3">
      <c r="A1022" s="3" t="s">
        <v>1015</v>
      </c>
      <c r="B1022" s="3" t="s">
        <v>33</v>
      </c>
      <c r="C1022" s="3" t="str">
        <f t="shared" si="15"/>
        <v>450014042610</v>
      </c>
      <c r="D1022" s="4">
        <v>46303</v>
      </c>
      <c r="E1022" s="3" t="s">
        <v>611</v>
      </c>
      <c r="F1022" s="3" t="s">
        <v>1011</v>
      </c>
    </row>
    <row r="1023" spans="1:6" x14ac:dyDescent="0.3">
      <c r="A1023" s="3" t="s">
        <v>1116</v>
      </c>
      <c r="B1023" s="3" t="s">
        <v>22</v>
      </c>
      <c r="C1023" s="3" t="str">
        <f t="shared" si="15"/>
        <v>450014043850</v>
      </c>
      <c r="D1023" s="4">
        <v>46313</v>
      </c>
      <c r="E1023" s="3" t="s">
        <v>612</v>
      </c>
      <c r="F1023" s="3" t="s">
        <v>1010</v>
      </c>
    </row>
    <row r="1024" spans="1:6" x14ac:dyDescent="0.3">
      <c r="A1024" s="3" t="s">
        <v>1075</v>
      </c>
      <c r="B1024" s="3" t="s">
        <v>33</v>
      </c>
      <c r="C1024" s="3" t="str">
        <f t="shared" si="15"/>
        <v>450014044910</v>
      </c>
      <c r="D1024" s="4">
        <v>46316</v>
      </c>
      <c r="E1024" s="3" t="s">
        <v>1141</v>
      </c>
      <c r="F1024" s="3" t="s">
        <v>731</v>
      </c>
    </row>
    <row r="1025" spans="1:6" x14ac:dyDescent="0.3">
      <c r="A1025" s="3" t="s">
        <v>1075</v>
      </c>
      <c r="B1025" s="3" t="s">
        <v>20</v>
      </c>
      <c r="C1025" s="3" t="str">
        <f t="shared" si="15"/>
        <v>450014044920</v>
      </c>
      <c r="D1025" s="4">
        <v>46316</v>
      </c>
      <c r="E1025" s="3" t="s">
        <v>1141</v>
      </c>
      <c r="F1025" s="3" t="s">
        <v>731</v>
      </c>
    </row>
    <row r="1026" spans="1:6" x14ac:dyDescent="0.3">
      <c r="A1026" s="3" t="s">
        <v>1075</v>
      </c>
      <c r="B1026" s="3" t="s">
        <v>21</v>
      </c>
      <c r="C1026" s="3" t="str">
        <f t="shared" si="15"/>
        <v>450014044930</v>
      </c>
      <c r="D1026" s="4">
        <v>46316</v>
      </c>
      <c r="E1026" s="3" t="s">
        <v>1141</v>
      </c>
      <c r="F1026" s="3" t="s">
        <v>731</v>
      </c>
    </row>
    <row r="1027" spans="1:6" x14ac:dyDescent="0.3">
      <c r="A1027" s="3" t="s">
        <v>1075</v>
      </c>
      <c r="B1027" s="3" t="s">
        <v>25</v>
      </c>
      <c r="C1027" s="3" t="str">
        <f t="shared" ref="C1027:C1091" si="16">_xlfn.CONCAT(A1027:B1027)</f>
        <v>450014044940</v>
      </c>
      <c r="D1027" s="4">
        <v>46316</v>
      </c>
      <c r="E1027" s="3" t="s">
        <v>1141</v>
      </c>
      <c r="F1027" s="3" t="s">
        <v>731</v>
      </c>
    </row>
    <row r="1028" spans="1:6" x14ac:dyDescent="0.3">
      <c r="A1028" s="3" t="s">
        <v>1063</v>
      </c>
      <c r="B1028" s="3" t="s">
        <v>20</v>
      </c>
      <c r="C1028" s="3" t="str">
        <f t="shared" si="16"/>
        <v>450014045020</v>
      </c>
      <c r="D1028" s="4">
        <v>46312</v>
      </c>
      <c r="E1028" s="3" t="s">
        <v>642</v>
      </c>
      <c r="F1028" s="3" t="s">
        <v>730</v>
      </c>
    </row>
    <row r="1029" spans="1:6" x14ac:dyDescent="0.3">
      <c r="A1029" s="3" t="s">
        <v>1063</v>
      </c>
      <c r="B1029" s="3" t="s">
        <v>21</v>
      </c>
      <c r="C1029" s="3" t="str">
        <f t="shared" si="16"/>
        <v>450014045030</v>
      </c>
      <c r="D1029" s="4">
        <v>46312</v>
      </c>
      <c r="E1029" s="3" t="s">
        <v>642</v>
      </c>
      <c r="F1029" s="3" t="s">
        <v>730</v>
      </c>
    </row>
    <row r="1030" spans="1:6" x14ac:dyDescent="0.3">
      <c r="A1030" s="3" t="s">
        <v>1058</v>
      </c>
      <c r="B1030" s="3" t="s">
        <v>33</v>
      </c>
      <c r="C1030" s="3" t="str">
        <f t="shared" si="16"/>
        <v>450014050810</v>
      </c>
      <c r="D1030" s="4">
        <v>46324</v>
      </c>
      <c r="E1030" s="3" t="s">
        <v>615</v>
      </c>
      <c r="F1030" s="3" t="s">
        <v>992</v>
      </c>
    </row>
    <row r="1031" spans="1:6" x14ac:dyDescent="0.3">
      <c r="A1031" s="3" t="s">
        <v>1058</v>
      </c>
      <c r="B1031" s="3" t="s">
        <v>20</v>
      </c>
      <c r="C1031" s="3" t="str">
        <f t="shared" si="16"/>
        <v>450014050820</v>
      </c>
      <c r="D1031" s="4">
        <v>46324</v>
      </c>
      <c r="E1031" s="3" t="s">
        <v>615</v>
      </c>
      <c r="F1031" s="3" t="s">
        <v>992</v>
      </c>
    </row>
    <row r="1032" spans="1:6" x14ac:dyDescent="0.3">
      <c r="A1032" s="3" t="s">
        <v>1018</v>
      </c>
      <c r="B1032" s="3" t="s">
        <v>33</v>
      </c>
      <c r="C1032" s="3" t="str">
        <f t="shared" si="16"/>
        <v>450014052210</v>
      </c>
      <c r="D1032" s="4">
        <v>46315</v>
      </c>
      <c r="E1032" s="3" t="s">
        <v>625</v>
      </c>
      <c r="F1032" s="3" t="s">
        <v>1163</v>
      </c>
    </row>
    <row r="1033" spans="1:6" x14ac:dyDescent="0.3">
      <c r="A1033" s="3" t="s">
        <v>1035</v>
      </c>
      <c r="B1033" s="3" t="s">
        <v>33</v>
      </c>
      <c r="C1033" s="3" t="str">
        <f t="shared" si="16"/>
        <v>450014052310</v>
      </c>
      <c r="D1033" s="4">
        <v>46305</v>
      </c>
      <c r="E1033" s="3" t="s">
        <v>625</v>
      </c>
      <c r="F1033" s="3" t="s">
        <v>1164</v>
      </c>
    </row>
    <row r="1034" spans="1:6" x14ac:dyDescent="0.3">
      <c r="A1034" s="3" t="s">
        <v>1038</v>
      </c>
      <c r="B1034" s="3" t="s">
        <v>33</v>
      </c>
      <c r="C1034" s="3" t="str">
        <f t="shared" si="16"/>
        <v>450014052510</v>
      </c>
      <c r="D1034" s="4">
        <v>46315</v>
      </c>
      <c r="E1034" s="3" t="s">
        <v>625</v>
      </c>
      <c r="F1034" s="3" t="s">
        <v>1165</v>
      </c>
    </row>
    <row r="1035" spans="1:6" x14ac:dyDescent="0.3">
      <c r="A1035" s="3" t="s">
        <v>1037</v>
      </c>
      <c r="B1035" s="3" t="s">
        <v>33</v>
      </c>
      <c r="C1035" s="3" t="str">
        <f t="shared" si="16"/>
        <v>450014052610</v>
      </c>
      <c r="D1035" s="4">
        <v>46315</v>
      </c>
      <c r="E1035" s="3" t="s">
        <v>625</v>
      </c>
      <c r="F1035" s="3" t="s">
        <v>1166</v>
      </c>
    </row>
    <row r="1036" spans="1:6" x14ac:dyDescent="0.3">
      <c r="A1036" s="3" t="s">
        <v>1037</v>
      </c>
      <c r="B1036" s="3" t="s">
        <v>20</v>
      </c>
      <c r="C1036" s="3" t="str">
        <f t="shared" si="16"/>
        <v>450014052620</v>
      </c>
      <c r="D1036" s="4">
        <v>46315</v>
      </c>
      <c r="E1036" s="3" t="s">
        <v>625</v>
      </c>
      <c r="F1036" s="3" t="s">
        <v>1166</v>
      </c>
    </row>
    <row r="1037" spans="1:6" x14ac:dyDescent="0.3">
      <c r="A1037" s="3" t="s">
        <v>1039</v>
      </c>
      <c r="B1037" s="3" t="s">
        <v>33</v>
      </c>
      <c r="C1037" s="3" t="str">
        <f t="shared" si="16"/>
        <v>450014052710</v>
      </c>
      <c r="D1037" s="4">
        <v>46315</v>
      </c>
      <c r="E1037" s="3" t="s">
        <v>625</v>
      </c>
      <c r="F1037" s="3" t="s">
        <v>1167</v>
      </c>
    </row>
    <row r="1038" spans="1:6" x14ac:dyDescent="0.3">
      <c r="A1038" s="3" t="s">
        <v>1039</v>
      </c>
      <c r="B1038" s="3" t="s">
        <v>20</v>
      </c>
      <c r="C1038" s="3" t="str">
        <f t="shared" si="16"/>
        <v>450014052720</v>
      </c>
      <c r="D1038" s="4">
        <v>46315</v>
      </c>
      <c r="E1038" s="3" t="s">
        <v>625</v>
      </c>
      <c r="F1038" s="3" t="s">
        <v>1167</v>
      </c>
    </row>
    <row r="1039" spans="1:6" x14ac:dyDescent="0.3">
      <c r="A1039" s="3" t="s">
        <v>1033</v>
      </c>
      <c r="B1039" s="3" t="s">
        <v>33</v>
      </c>
      <c r="C1039" s="3" t="str">
        <f t="shared" si="16"/>
        <v>450014052810</v>
      </c>
      <c r="D1039" s="4">
        <v>46315</v>
      </c>
      <c r="E1039" s="3" t="s">
        <v>625</v>
      </c>
      <c r="F1039" s="3" t="s">
        <v>1168</v>
      </c>
    </row>
    <row r="1040" spans="1:6" x14ac:dyDescent="0.3">
      <c r="A1040" s="3" t="s">
        <v>1033</v>
      </c>
      <c r="B1040" s="3" t="s">
        <v>20</v>
      </c>
      <c r="C1040" s="3" t="str">
        <f t="shared" si="16"/>
        <v>450014052820</v>
      </c>
      <c r="D1040" s="4">
        <v>46315</v>
      </c>
      <c r="E1040" s="3" t="s">
        <v>625</v>
      </c>
      <c r="F1040" s="3" t="s">
        <v>1168</v>
      </c>
    </row>
    <row r="1041" spans="1:6" x14ac:dyDescent="0.3">
      <c r="A1041" s="3" t="s">
        <v>1033</v>
      </c>
      <c r="B1041" s="3" t="s">
        <v>25</v>
      </c>
      <c r="C1041" s="3" t="str">
        <f t="shared" si="16"/>
        <v>450014052840</v>
      </c>
      <c r="D1041" s="4">
        <v>46305</v>
      </c>
      <c r="E1041" s="3" t="s">
        <v>625</v>
      </c>
      <c r="F1041" s="3" t="s">
        <v>1168</v>
      </c>
    </row>
    <row r="1042" spans="1:6" x14ac:dyDescent="0.3">
      <c r="A1042" s="3" t="s">
        <v>1020</v>
      </c>
      <c r="B1042" s="3" t="s">
        <v>33</v>
      </c>
      <c r="C1042" s="3" t="str">
        <f t="shared" si="16"/>
        <v>450014055510</v>
      </c>
      <c r="D1042" s="4">
        <v>46310</v>
      </c>
      <c r="E1042" s="3" t="s">
        <v>611</v>
      </c>
      <c r="F1042" s="3" t="s">
        <v>1169</v>
      </c>
    </row>
    <row r="1043" spans="1:6" x14ac:dyDescent="0.3">
      <c r="A1043" s="3" t="s">
        <v>1021</v>
      </c>
      <c r="B1043" s="3" t="s">
        <v>33</v>
      </c>
      <c r="C1043" s="3" t="str">
        <f t="shared" si="16"/>
        <v>450014055910</v>
      </c>
      <c r="D1043" s="4">
        <v>46310</v>
      </c>
      <c r="E1043" s="3" t="s">
        <v>611</v>
      </c>
      <c r="F1043" s="3" t="s">
        <v>1170</v>
      </c>
    </row>
    <row r="1044" spans="1:6" x14ac:dyDescent="0.3">
      <c r="A1044" s="3" t="s">
        <v>1133</v>
      </c>
      <c r="B1044" s="3" t="s">
        <v>33</v>
      </c>
      <c r="C1044" s="3" t="str">
        <f t="shared" si="16"/>
        <v>450014056710</v>
      </c>
      <c r="D1044" s="4">
        <v>46310</v>
      </c>
      <c r="E1044" s="3" t="s">
        <v>614</v>
      </c>
      <c r="F1044" s="3" t="s">
        <v>1006</v>
      </c>
    </row>
    <row r="1045" spans="1:6" x14ac:dyDescent="0.3">
      <c r="A1045" s="3" t="s">
        <v>1023</v>
      </c>
      <c r="B1045" s="3" t="s">
        <v>33</v>
      </c>
      <c r="C1045" s="3" t="str">
        <f t="shared" si="16"/>
        <v>450014056810</v>
      </c>
      <c r="D1045" s="4">
        <v>46310</v>
      </c>
      <c r="E1045" s="3" t="s">
        <v>611</v>
      </c>
      <c r="F1045" s="3" t="s">
        <v>1171</v>
      </c>
    </row>
    <row r="1046" spans="1:6" x14ac:dyDescent="0.3">
      <c r="A1046" s="3" t="s">
        <v>1022</v>
      </c>
      <c r="B1046" s="3" t="s">
        <v>33</v>
      </c>
      <c r="C1046" s="3" t="str">
        <f t="shared" si="16"/>
        <v>450014057010</v>
      </c>
      <c r="D1046" s="4">
        <v>46312</v>
      </c>
      <c r="E1046" s="3" t="s">
        <v>618</v>
      </c>
      <c r="F1046" s="3" t="s">
        <v>1172</v>
      </c>
    </row>
    <row r="1047" spans="1:6" x14ac:dyDescent="0.3">
      <c r="A1047" s="3" t="s">
        <v>1022</v>
      </c>
      <c r="B1047" s="3" t="s">
        <v>21</v>
      </c>
      <c r="C1047" s="3" t="str">
        <f t="shared" si="16"/>
        <v>450014057030</v>
      </c>
      <c r="D1047" s="4">
        <v>46312</v>
      </c>
      <c r="E1047" s="3" t="s">
        <v>618</v>
      </c>
      <c r="F1047" s="3" t="s">
        <v>1172</v>
      </c>
    </row>
    <row r="1048" spans="1:6" x14ac:dyDescent="0.3">
      <c r="A1048" s="3" t="s">
        <v>1022</v>
      </c>
      <c r="B1048" s="3" t="s">
        <v>25</v>
      </c>
      <c r="C1048" s="3" t="str">
        <f t="shared" si="16"/>
        <v>450014057040</v>
      </c>
      <c r="D1048" s="4">
        <v>46312</v>
      </c>
      <c r="E1048" s="3" t="s">
        <v>618</v>
      </c>
      <c r="F1048" s="3" t="s">
        <v>1172</v>
      </c>
    </row>
    <row r="1049" spans="1:6" x14ac:dyDescent="0.3">
      <c r="A1049" s="3" t="s">
        <v>1022</v>
      </c>
      <c r="B1049" s="3" t="s">
        <v>24</v>
      </c>
      <c r="C1049" s="3" t="str">
        <f t="shared" si="16"/>
        <v>450014057070</v>
      </c>
      <c r="D1049" s="4">
        <v>46312</v>
      </c>
      <c r="E1049" s="3" t="s">
        <v>618</v>
      </c>
      <c r="F1049" s="3" t="s">
        <v>1172</v>
      </c>
    </row>
    <row r="1050" spans="1:6" x14ac:dyDescent="0.3">
      <c r="A1050" s="3" t="s">
        <v>1025</v>
      </c>
      <c r="B1050" s="3" t="s">
        <v>33</v>
      </c>
      <c r="C1050" s="3" t="str">
        <f t="shared" si="16"/>
        <v>450014057410</v>
      </c>
      <c r="D1050" s="4">
        <v>46305</v>
      </c>
      <c r="E1050" s="3" t="s">
        <v>625</v>
      </c>
      <c r="F1050" s="3" t="s">
        <v>1173</v>
      </c>
    </row>
    <row r="1051" spans="1:6" x14ac:dyDescent="0.3">
      <c r="A1051" s="3" t="s">
        <v>1045</v>
      </c>
      <c r="B1051" s="3" t="s">
        <v>33</v>
      </c>
      <c r="C1051" s="3" t="str">
        <f t="shared" si="16"/>
        <v>450014057610</v>
      </c>
      <c r="D1051" s="4">
        <v>46312</v>
      </c>
      <c r="E1051" s="3" t="s">
        <v>618</v>
      </c>
      <c r="F1051" s="3" t="s">
        <v>771</v>
      </c>
    </row>
    <row r="1052" spans="1:6" x14ac:dyDescent="0.3">
      <c r="A1052" s="3" t="s">
        <v>1045</v>
      </c>
      <c r="B1052" s="3" t="s">
        <v>20</v>
      </c>
      <c r="C1052" s="3" t="str">
        <f t="shared" si="16"/>
        <v>450014057620</v>
      </c>
      <c r="D1052" s="4">
        <v>46312</v>
      </c>
      <c r="E1052" s="3" t="s">
        <v>618</v>
      </c>
      <c r="F1052" s="3" t="s">
        <v>771</v>
      </c>
    </row>
    <row r="1053" spans="1:6" x14ac:dyDescent="0.3">
      <c r="A1053" s="3" t="s">
        <v>1045</v>
      </c>
      <c r="B1053" s="3" t="s">
        <v>21</v>
      </c>
      <c r="C1053" s="3" t="str">
        <f t="shared" si="16"/>
        <v>450014057630</v>
      </c>
      <c r="D1053" s="4">
        <v>46312</v>
      </c>
      <c r="E1053" s="3" t="s">
        <v>618</v>
      </c>
      <c r="F1053" s="3" t="s">
        <v>771</v>
      </c>
    </row>
    <row r="1054" spans="1:6" x14ac:dyDescent="0.3">
      <c r="A1054" s="3" t="s">
        <v>1045</v>
      </c>
      <c r="B1054" s="3" t="s">
        <v>25</v>
      </c>
      <c r="C1054" s="3" t="str">
        <f t="shared" si="16"/>
        <v>450014057640</v>
      </c>
      <c r="D1054" s="4">
        <v>46312</v>
      </c>
      <c r="E1054" s="3" t="s">
        <v>618</v>
      </c>
      <c r="F1054" s="3" t="s">
        <v>771</v>
      </c>
    </row>
    <row r="1055" spans="1:6" x14ac:dyDescent="0.3">
      <c r="A1055" s="3" t="s">
        <v>1136</v>
      </c>
      <c r="B1055" s="3" t="s">
        <v>33</v>
      </c>
      <c r="C1055" s="3" t="str">
        <f t="shared" si="16"/>
        <v>450014057810</v>
      </c>
      <c r="D1055" s="4">
        <v>46323</v>
      </c>
      <c r="E1055" s="3" t="s">
        <v>614</v>
      </c>
      <c r="F1055" s="3" t="s">
        <v>778</v>
      </c>
    </row>
    <row r="1056" spans="1:6" x14ac:dyDescent="0.3">
      <c r="A1056" s="3" t="s">
        <v>1026</v>
      </c>
      <c r="B1056" s="3" t="s">
        <v>33</v>
      </c>
      <c r="C1056" s="3" t="str">
        <f t="shared" si="16"/>
        <v>450014058210</v>
      </c>
      <c r="D1056" s="4">
        <v>46302</v>
      </c>
      <c r="E1056" s="3" t="s">
        <v>618</v>
      </c>
      <c r="F1056" s="3" t="s">
        <v>1174</v>
      </c>
    </row>
    <row r="1057" spans="1:6" x14ac:dyDescent="0.3">
      <c r="A1057" s="3" t="s">
        <v>1026</v>
      </c>
      <c r="B1057" s="3" t="s">
        <v>20</v>
      </c>
      <c r="C1057" s="3" t="str">
        <f t="shared" si="16"/>
        <v>450014058220</v>
      </c>
      <c r="D1057" s="4">
        <v>46312</v>
      </c>
      <c r="E1057" s="3" t="s">
        <v>618</v>
      </c>
      <c r="F1057" s="3" t="s">
        <v>1174</v>
      </c>
    </row>
    <row r="1058" spans="1:6" x14ac:dyDescent="0.3">
      <c r="A1058" s="3" t="s">
        <v>1026</v>
      </c>
      <c r="B1058" s="3" t="s">
        <v>21</v>
      </c>
      <c r="C1058" s="3" t="str">
        <f t="shared" si="16"/>
        <v>450014058230</v>
      </c>
      <c r="D1058" s="4">
        <v>46312</v>
      </c>
      <c r="E1058" s="3" t="s">
        <v>618</v>
      </c>
      <c r="F1058" s="3" t="s">
        <v>1174</v>
      </c>
    </row>
    <row r="1059" spans="1:6" x14ac:dyDescent="0.3">
      <c r="A1059" s="3" t="s">
        <v>1026</v>
      </c>
      <c r="B1059" s="3" t="s">
        <v>25</v>
      </c>
      <c r="C1059" s="3" t="str">
        <f t="shared" si="16"/>
        <v>450014058240</v>
      </c>
      <c r="D1059" s="4">
        <v>46312</v>
      </c>
      <c r="E1059" s="3" t="s">
        <v>618</v>
      </c>
      <c r="F1059" s="3" t="s">
        <v>1174</v>
      </c>
    </row>
    <row r="1060" spans="1:6" x14ac:dyDescent="0.3">
      <c r="A1060" s="3" t="s">
        <v>1026</v>
      </c>
      <c r="B1060" s="3" t="s">
        <v>22</v>
      </c>
      <c r="C1060" s="3" t="str">
        <f t="shared" si="16"/>
        <v>450014058250</v>
      </c>
      <c r="D1060" s="4">
        <v>46312</v>
      </c>
      <c r="E1060" s="3" t="s">
        <v>618</v>
      </c>
      <c r="F1060" s="3" t="s">
        <v>1174</v>
      </c>
    </row>
    <row r="1061" spans="1:6" x14ac:dyDescent="0.3">
      <c r="A1061" s="3" t="s">
        <v>1132</v>
      </c>
      <c r="B1061" s="3" t="s">
        <v>33</v>
      </c>
      <c r="C1061" s="3" t="str">
        <f t="shared" si="16"/>
        <v>450014059010</v>
      </c>
      <c r="D1061" s="4">
        <v>46325</v>
      </c>
      <c r="E1061" s="3" t="s">
        <v>618</v>
      </c>
      <c r="F1061" s="3" t="s">
        <v>1175</v>
      </c>
    </row>
    <row r="1062" spans="1:6" x14ac:dyDescent="0.3">
      <c r="A1062" s="3" t="s">
        <v>1088</v>
      </c>
      <c r="B1062" s="3" t="s">
        <v>33</v>
      </c>
      <c r="C1062" s="3" t="str">
        <f t="shared" si="16"/>
        <v>450014059410</v>
      </c>
      <c r="D1062" s="4">
        <v>46315</v>
      </c>
      <c r="E1062" s="3" t="s">
        <v>625</v>
      </c>
      <c r="F1062" s="3" t="s">
        <v>1176</v>
      </c>
    </row>
    <row r="1063" spans="1:6" x14ac:dyDescent="0.3">
      <c r="A1063" s="3" t="s">
        <v>1088</v>
      </c>
      <c r="B1063" s="3" t="s">
        <v>20</v>
      </c>
      <c r="C1063" s="3" t="str">
        <f t="shared" si="16"/>
        <v>450014059420</v>
      </c>
      <c r="D1063" s="4">
        <v>46315</v>
      </c>
      <c r="E1063" s="3" t="s">
        <v>625</v>
      </c>
      <c r="F1063" s="3" t="s">
        <v>1176</v>
      </c>
    </row>
    <row r="1064" spans="1:6" x14ac:dyDescent="0.3">
      <c r="A1064" s="3" t="s">
        <v>1088</v>
      </c>
      <c r="B1064" s="3" t="s">
        <v>21</v>
      </c>
      <c r="C1064" s="3" t="str">
        <f t="shared" si="16"/>
        <v>450014059430</v>
      </c>
      <c r="D1064" s="4">
        <v>46315</v>
      </c>
      <c r="E1064" s="3" t="s">
        <v>625</v>
      </c>
      <c r="F1064" s="3" t="s">
        <v>1176</v>
      </c>
    </row>
    <row r="1065" spans="1:6" x14ac:dyDescent="0.3">
      <c r="A1065" s="3" t="s">
        <v>1088</v>
      </c>
      <c r="B1065" s="3" t="s">
        <v>22</v>
      </c>
      <c r="C1065" s="3" t="str">
        <f t="shared" si="16"/>
        <v>450014059450</v>
      </c>
      <c r="D1065" s="4">
        <v>46315</v>
      </c>
      <c r="E1065" s="3" t="s">
        <v>625</v>
      </c>
      <c r="F1065" s="3" t="s">
        <v>1176</v>
      </c>
    </row>
    <row r="1066" spans="1:6" x14ac:dyDescent="0.3">
      <c r="A1066" s="3" t="s">
        <v>1089</v>
      </c>
      <c r="B1066" s="3" t="s">
        <v>33</v>
      </c>
      <c r="C1066" s="3" t="str">
        <f t="shared" si="16"/>
        <v>450014059510</v>
      </c>
      <c r="D1066" s="4">
        <v>46315</v>
      </c>
      <c r="E1066" s="3" t="s">
        <v>625</v>
      </c>
      <c r="F1066" s="3" t="s">
        <v>1177</v>
      </c>
    </row>
    <row r="1067" spans="1:6" x14ac:dyDescent="0.3">
      <c r="A1067" s="3" t="s">
        <v>1046</v>
      </c>
      <c r="B1067" s="3" t="s">
        <v>20</v>
      </c>
      <c r="C1067" s="3" t="str">
        <f t="shared" si="16"/>
        <v>450014059720</v>
      </c>
      <c r="D1067" s="4">
        <v>46315</v>
      </c>
      <c r="E1067" s="3" t="s">
        <v>625</v>
      </c>
      <c r="F1067" s="3" t="s">
        <v>764</v>
      </c>
    </row>
    <row r="1068" spans="1:6" x14ac:dyDescent="0.3">
      <c r="A1068" s="3" t="s">
        <v>1047</v>
      </c>
      <c r="B1068" s="3" t="s">
        <v>33</v>
      </c>
      <c r="C1068" s="3" t="str">
        <f t="shared" si="16"/>
        <v>450014059810</v>
      </c>
      <c r="D1068" s="4">
        <v>46315</v>
      </c>
      <c r="E1068" s="3" t="s">
        <v>625</v>
      </c>
      <c r="F1068" s="3" t="s">
        <v>1178</v>
      </c>
    </row>
    <row r="1069" spans="1:6" x14ac:dyDescent="0.3">
      <c r="A1069" s="3" t="s">
        <v>1048</v>
      </c>
      <c r="B1069" s="3" t="s">
        <v>33</v>
      </c>
      <c r="C1069" s="3" t="str">
        <f t="shared" si="16"/>
        <v>450014059910</v>
      </c>
      <c r="D1069" s="4">
        <v>46315</v>
      </c>
      <c r="E1069" s="3" t="s">
        <v>625</v>
      </c>
      <c r="F1069" s="3" t="s">
        <v>1179</v>
      </c>
    </row>
    <row r="1070" spans="1:6" x14ac:dyDescent="0.3">
      <c r="A1070" s="3" t="s">
        <v>1090</v>
      </c>
      <c r="B1070" s="3" t="s">
        <v>33</v>
      </c>
      <c r="C1070" s="3" t="str">
        <f t="shared" si="16"/>
        <v>450014060010</v>
      </c>
      <c r="D1070" s="4">
        <v>46315</v>
      </c>
      <c r="E1070" s="3" t="s">
        <v>625</v>
      </c>
      <c r="F1070" s="3" t="s">
        <v>1180</v>
      </c>
    </row>
    <row r="1071" spans="1:6" x14ac:dyDescent="0.3">
      <c r="A1071" s="3" t="s">
        <v>1091</v>
      </c>
      <c r="B1071" s="3" t="s">
        <v>20</v>
      </c>
      <c r="C1071" s="3" t="str">
        <f t="shared" si="16"/>
        <v>450014060120</v>
      </c>
      <c r="D1071" s="4">
        <v>46315</v>
      </c>
      <c r="E1071" s="3" t="s">
        <v>625</v>
      </c>
      <c r="F1071" s="3" t="s">
        <v>1181</v>
      </c>
    </row>
    <row r="1072" spans="1:6" x14ac:dyDescent="0.3">
      <c r="A1072" s="3" t="s">
        <v>1092</v>
      </c>
      <c r="B1072" s="3" t="s">
        <v>33</v>
      </c>
      <c r="C1072" s="3" t="str">
        <f t="shared" si="16"/>
        <v>450014060210</v>
      </c>
      <c r="D1072" s="4">
        <v>46315</v>
      </c>
      <c r="E1072" s="3" t="s">
        <v>625</v>
      </c>
      <c r="F1072" s="3" t="s">
        <v>1182</v>
      </c>
    </row>
    <row r="1073" spans="1:6" x14ac:dyDescent="0.3">
      <c r="A1073" s="3" t="s">
        <v>1092</v>
      </c>
      <c r="B1073" s="3" t="s">
        <v>20</v>
      </c>
      <c r="C1073" s="3" t="str">
        <f t="shared" si="16"/>
        <v>450014060220</v>
      </c>
      <c r="D1073" s="4">
        <v>46315</v>
      </c>
      <c r="E1073" s="3" t="s">
        <v>625</v>
      </c>
      <c r="F1073" s="3" t="s">
        <v>1182</v>
      </c>
    </row>
    <row r="1074" spans="1:6" x14ac:dyDescent="0.3">
      <c r="A1074" s="3" t="s">
        <v>1087</v>
      </c>
      <c r="B1074" s="3" t="s">
        <v>33</v>
      </c>
      <c r="C1074" s="3" t="str">
        <f t="shared" si="16"/>
        <v>450014060310</v>
      </c>
      <c r="D1074" s="4">
        <v>46315</v>
      </c>
      <c r="E1074" s="3" t="s">
        <v>625</v>
      </c>
      <c r="F1074" s="3" t="s">
        <v>1180</v>
      </c>
    </row>
    <row r="1075" spans="1:6" x14ac:dyDescent="0.3">
      <c r="A1075" s="3" t="s">
        <v>1086</v>
      </c>
      <c r="B1075" s="3" t="s">
        <v>20</v>
      </c>
      <c r="C1075" s="3" t="str">
        <f t="shared" si="16"/>
        <v>450014060420</v>
      </c>
      <c r="D1075" s="4">
        <v>46315</v>
      </c>
      <c r="E1075" s="3" t="s">
        <v>625</v>
      </c>
      <c r="F1075" s="3" t="s">
        <v>1167</v>
      </c>
    </row>
    <row r="1076" spans="1:6" x14ac:dyDescent="0.3">
      <c r="A1076" s="3" t="s">
        <v>1043</v>
      </c>
      <c r="B1076" s="3" t="s">
        <v>33</v>
      </c>
      <c r="C1076" s="3" t="str">
        <f t="shared" si="16"/>
        <v>450014060510</v>
      </c>
      <c r="D1076" s="4">
        <v>46315</v>
      </c>
      <c r="E1076" s="3" t="s">
        <v>625</v>
      </c>
      <c r="F1076" s="3" t="s">
        <v>1183</v>
      </c>
    </row>
    <row r="1077" spans="1:6" x14ac:dyDescent="0.3">
      <c r="A1077" s="3" t="s">
        <v>1040</v>
      </c>
      <c r="B1077" s="3" t="s">
        <v>33</v>
      </c>
      <c r="C1077" s="3" t="str">
        <f t="shared" si="16"/>
        <v>450014060610</v>
      </c>
      <c r="D1077" s="4">
        <v>46315</v>
      </c>
      <c r="E1077" s="3" t="s">
        <v>625</v>
      </c>
      <c r="F1077" s="3" t="s">
        <v>1184</v>
      </c>
    </row>
    <row r="1078" spans="1:6" x14ac:dyDescent="0.3">
      <c r="A1078" s="3" t="s">
        <v>1040</v>
      </c>
      <c r="B1078" s="3" t="s">
        <v>20</v>
      </c>
      <c r="C1078" s="3" t="str">
        <f t="shared" si="16"/>
        <v>450014060620</v>
      </c>
      <c r="D1078" s="4">
        <v>46315</v>
      </c>
      <c r="E1078" s="3" t="s">
        <v>625</v>
      </c>
      <c r="F1078" s="3" t="s">
        <v>1184</v>
      </c>
    </row>
    <row r="1079" spans="1:6" x14ac:dyDescent="0.3">
      <c r="A1079" s="3" t="s">
        <v>1096</v>
      </c>
      <c r="B1079" s="3" t="s">
        <v>20</v>
      </c>
      <c r="C1079" s="3" t="str">
        <f t="shared" si="16"/>
        <v>450014060720</v>
      </c>
      <c r="D1079" s="4">
        <v>46315</v>
      </c>
      <c r="E1079" s="3" t="s">
        <v>625</v>
      </c>
      <c r="F1079" s="3" t="s">
        <v>1185</v>
      </c>
    </row>
    <row r="1080" spans="1:6" x14ac:dyDescent="0.3">
      <c r="A1080" s="3" t="s">
        <v>1095</v>
      </c>
      <c r="B1080" s="3" t="s">
        <v>33</v>
      </c>
      <c r="C1080" s="3" t="str">
        <f t="shared" si="16"/>
        <v>450014060810</v>
      </c>
      <c r="D1080" s="4">
        <v>46315</v>
      </c>
      <c r="E1080" s="3" t="s">
        <v>625</v>
      </c>
      <c r="F1080" s="3" t="s">
        <v>1180</v>
      </c>
    </row>
    <row r="1081" spans="1:6" x14ac:dyDescent="0.3">
      <c r="A1081" s="3" t="s">
        <v>1042</v>
      </c>
      <c r="B1081" s="3" t="s">
        <v>20</v>
      </c>
      <c r="C1081" s="3" t="str">
        <f t="shared" si="16"/>
        <v>450014060920</v>
      </c>
      <c r="D1081" s="4">
        <v>46315</v>
      </c>
      <c r="E1081" s="3" t="s">
        <v>625</v>
      </c>
      <c r="F1081" s="3" t="s">
        <v>1166</v>
      </c>
    </row>
    <row r="1082" spans="1:6" x14ac:dyDescent="0.3">
      <c r="A1082" s="3" t="s">
        <v>1094</v>
      </c>
      <c r="B1082" s="3" t="s">
        <v>33</v>
      </c>
      <c r="C1082" s="3" t="str">
        <f t="shared" si="16"/>
        <v>450014061010</v>
      </c>
      <c r="D1082" s="4">
        <v>46315</v>
      </c>
      <c r="E1082" s="3" t="s">
        <v>625</v>
      </c>
      <c r="F1082" s="3" t="s">
        <v>1186</v>
      </c>
    </row>
    <row r="1083" spans="1:6" x14ac:dyDescent="0.3">
      <c r="A1083" s="3" t="s">
        <v>1050</v>
      </c>
      <c r="B1083" s="3" t="s">
        <v>33</v>
      </c>
      <c r="C1083" s="3" t="str">
        <f t="shared" si="16"/>
        <v>450014066610</v>
      </c>
      <c r="D1083" s="4">
        <v>46315</v>
      </c>
      <c r="E1083" s="3" t="s">
        <v>618</v>
      </c>
      <c r="F1083" s="3" t="s">
        <v>1187</v>
      </c>
    </row>
    <row r="1084" spans="1:6" x14ac:dyDescent="0.3">
      <c r="A1084" s="3" t="s">
        <v>1129</v>
      </c>
      <c r="B1084" s="3" t="s">
        <v>33</v>
      </c>
      <c r="C1084" s="3" t="str">
        <f t="shared" si="16"/>
        <v>450014066810</v>
      </c>
      <c r="D1084" s="4">
        <v>46315</v>
      </c>
      <c r="E1084" s="3" t="s">
        <v>618</v>
      </c>
      <c r="F1084" s="3" t="s">
        <v>1174</v>
      </c>
    </row>
    <row r="1085" spans="1:6" x14ac:dyDescent="0.3">
      <c r="A1085" s="3" t="s">
        <v>1129</v>
      </c>
      <c r="B1085" s="3" t="s">
        <v>20</v>
      </c>
      <c r="C1085" s="3" t="str">
        <f t="shared" si="16"/>
        <v>450014066820</v>
      </c>
      <c r="D1085" s="4">
        <v>46315</v>
      </c>
      <c r="E1085" s="3" t="s">
        <v>618</v>
      </c>
      <c r="F1085" s="3" t="s">
        <v>1174</v>
      </c>
    </row>
    <row r="1086" spans="1:6" x14ac:dyDescent="0.3">
      <c r="A1086" s="3" t="s">
        <v>1129</v>
      </c>
      <c r="B1086" s="3" t="s">
        <v>21</v>
      </c>
      <c r="C1086" s="3" t="str">
        <f t="shared" si="16"/>
        <v>450014066830</v>
      </c>
      <c r="D1086" s="4">
        <v>46315</v>
      </c>
      <c r="E1086" s="3" t="s">
        <v>618</v>
      </c>
      <c r="F1086" s="3" t="s">
        <v>1174</v>
      </c>
    </row>
    <row r="1087" spans="1:6" x14ac:dyDescent="0.3">
      <c r="A1087" s="3" t="s">
        <v>1129</v>
      </c>
      <c r="B1087" s="3" t="s">
        <v>25</v>
      </c>
      <c r="C1087" s="3" t="str">
        <f t="shared" si="16"/>
        <v>450014066840</v>
      </c>
      <c r="D1087" s="4">
        <v>46304</v>
      </c>
      <c r="E1087" s="3" t="s">
        <v>618</v>
      </c>
      <c r="F1087" s="3" t="s">
        <v>1174</v>
      </c>
    </row>
    <row r="1088" spans="1:6" x14ac:dyDescent="0.3">
      <c r="A1088" s="3" t="s">
        <v>1134</v>
      </c>
      <c r="B1088" s="3" t="s">
        <v>33</v>
      </c>
      <c r="C1088" s="3" t="str">
        <f t="shared" si="16"/>
        <v>450014067610</v>
      </c>
      <c r="D1088" s="4">
        <v>46315</v>
      </c>
      <c r="E1088" s="3" t="s">
        <v>618</v>
      </c>
      <c r="F1088" s="3" t="s">
        <v>754</v>
      </c>
    </row>
    <row r="1089" spans="1:6" x14ac:dyDescent="0.3">
      <c r="A1089" s="3" t="s">
        <v>1134</v>
      </c>
      <c r="B1089" s="3" t="s">
        <v>20</v>
      </c>
      <c r="C1089" s="3" t="str">
        <f t="shared" si="16"/>
        <v>450014067620</v>
      </c>
      <c r="D1089" s="4">
        <v>46315</v>
      </c>
      <c r="E1089" s="3" t="s">
        <v>618</v>
      </c>
      <c r="F1089" s="3" t="s">
        <v>754</v>
      </c>
    </row>
    <row r="1090" spans="1:6" x14ac:dyDescent="0.3">
      <c r="A1090" s="3" t="s">
        <v>1134</v>
      </c>
      <c r="B1090" s="3" t="s">
        <v>21</v>
      </c>
      <c r="C1090" s="3" t="str">
        <f t="shared" si="16"/>
        <v>450014067630</v>
      </c>
      <c r="D1090" s="4">
        <v>46315</v>
      </c>
      <c r="E1090" s="3" t="s">
        <v>618</v>
      </c>
      <c r="F1090" s="3" t="s">
        <v>754</v>
      </c>
    </row>
    <row r="1091" spans="1:6" x14ac:dyDescent="0.3">
      <c r="A1091" s="3" t="s">
        <v>1222</v>
      </c>
      <c r="B1091" s="3" t="s">
        <v>20</v>
      </c>
      <c r="C1091" s="3" t="str">
        <f t="shared" si="16"/>
        <v>450013584120</v>
      </c>
      <c r="D1091" s="4">
        <v>46538</v>
      </c>
      <c r="E1091" s="3" t="s">
        <v>609</v>
      </c>
      <c r="F1091" s="3" t="s">
        <v>1255</v>
      </c>
    </row>
    <row r="1092" spans="1:6" x14ac:dyDescent="0.3">
      <c r="A1092" s="3" t="s">
        <v>1222</v>
      </c>
      <c r="B1092" s="3" t="s">
        <v>33</v>
      </c>
      <c r="C1092" s="3" t="str">
        <f t="shared" ref="C1092:C1155" si="17">_xlfn.CONCAT(A1092:B1092)</f>
        <v>450013584110</v>
      </c>
      <c r="D1092" s="4">
        <v>46538</v>
      </c>
      <c r="E1092" s="3" t="s">
        <v>609</v>
      </c>
      <c r="F1092" s="3" t="s">
        <v>1255</v>
      </c>
    </row>
    <row r="1093" spans="1:6" x14ac:dyDescent="0.3">
      <c r="A1093" s="3" t="s">
        <v>1249</v>
      </c>
      <c r="B1093" s="3" t="s">
        <v>24</v>
      </c>
      <c r="C1093" s="3" t="str">
        <f t="shared" si="17"/>
        <v>450013725570</v>
      </c>
      <c r="D1093" s="4">
        <v>46315</v>
      </c>
      <c r="E1093" s="3" t="s">
        <v>631</v>
      </c>
      <c r="F1093" s="3" t="s">
        <v>711</v>
      </c>
    </row>
    <row r="1094" spans="1:6" x14ac:dyDescent="0.3">
      <c r="A1094" s="3" t="s">
        <v>1228</v>
      </c>
      <c r="B1094" s="3" t="s">
        <v>23</v>
      </c>
      <c r="C1094" s="3" t="str">
        <f t="shared" si="17"/>
        <v>450014062160</v>
      </c>
      <c r="D1094" s="4">
        <v>46310</v>
      </c>
      <c r="E1094" s="3" t="s">
        <v>621</v>
      </c>
      <c r="F1094" s="3" t="s">
        <v>1256</v>
      </c>
    </row>
    <row r="1095" spans="1:6" x14ac:dyDescent="0.3">
      <c r="A1095" s="3" t="s">
        <v>1251</v>
      </c>
      <c r="B1095" s="3" t="s">
        <v>20</v>
      </c>
      <c r="C1095" s="3" t="str">
        <f t="shared" si="17"/>
        <v>450014089120</v>
      </c>
      <c r="D1095" s="4">
        <v>46329</v>
      </c>
      <c r="E1095" s="3" t="s">
        <v>614</v>
      </c>
      <c r="F1095" s="3" t="s">
        <v>711</v>
      </c>
    </row>
    <row r="1096" spans="1:6" x14ac:dyDescent="0.3">
      <c r="A1096" s="3" t="s">
        <v>1241</v>
      </c>
      <c r="B1096" s="3" t="s">
        <v>33</v>
      </c>
      <c r="C1096" s="3" t="str">
        <f t="shared" si="17"/>
        <v>450014084110</v>
      </c>
      <c r="D1096" s="4">
        <v>46314</v>
      </c>
      <c r="E1096" s="3" t="s">
        <v>627</v>
      </c>
      <c r="F1096" s="3" t="s">
        <v>1257</v>
      </c>
    </row>
    <row r="1097" spans="1:6" x14ac:dyDescent="0.3">
      <c r="A1097" s="3" t="s">
        <v>1194</v>
      </c>
      <c r="B1097" s="3" t="s">
        <v>20</v>
      </c>
      <c r="C1097" s="3" t="str">
        <f t="shared" si="17"/>
        <v>450014015720</v>
      </c>
      <c r="D1097" s="4">
        <v>46314</v>
      </c>
      <c r="E1097" s="3" t="s">
        <v>642</v>
      </c>
      <c r="F1097" s="3" t="s">
        <v>718</v>
      </c>
    </row>
    <row r="1098" spans="1:6" x14ac:dyDescent="0.3">
      <c r="A1098" s="3" t="s">
        <v>1194</v>
      </c>
      <c r="B1098" s="3" t="s">
        <v>21</v>
      </c>
      <c r="C1098" s="3" t="str">
        <f t="shared" si="17"/>
        <v>450014015730</v>
      </c>
      <c r="D1098" s="4">
        <v>46314</v>
      </c>
      <c r="E1098" s="3" t="s">
        <v>642</v>
      </c>
      <c r="F1098" s="3" t="s">
        <v>718</v>
      </c>
    </row>
    <row r="1099" spans="1:6" x14ac:dyDescent="0.3">
      <c r="A1099" s="3" t="s">
        <v>1232</v>
      </c>
      <c r="B1099" s="3" t="s">
        <v>20</v>
      </c>
      <c r="C1099" s="3" t="str">
        <f t="shared" si="17"/>
        <v>450014058720</v>
      </c>
      <c r="D1099" s="4">
        <v>46315</v>
      </c>
      <c r="E1099" s="3" t="s">
        <v>612</v>
      </c>
      <c r="F1099" s="3" t="s">
        <v>711</v>
      </c>
    </row>
    <row r="1100" spans="1:6" x14ac:dyDescent="0.3">
      <c r="A1100" s="3" t="s">
        <v>1232</v>
      </c>
      <c r="B1100" s="3" t="s">
        <v>25</v>
      </c>
      <c r="C1100" s="3" t="str">
        <f t="shared" si="17"/>
        <v>450014058740</v>
      </c>
      <c r="D1100" s="4">
        <v>46315</v>
      </c>
      <c r="E1100" s="3" t="s">
        <v>612</v>
      </c>
      <c r="F1100" s="3" t="s">
        <v>711</v>
      </c>
    </row>
    <row r="1101" spans="1:6" x14ac:dyDescent="0.3">
      <c r="A1101" s="3" t="s">
        <v>1211</v>
      </c>
      <c r="B1101" s="3" t="s">
        <v>33</v>
      </c>
      <c r="C1101" s="3" t="str">
        <f t="shared" si="17"/>
        <v>450013781610</v>
      </c>
      <c r="D1101" s="4">
        <v>46321</v>
      </c>
      <c r="E1101" s="3" t="s">
        <v>617</v>
      </c>
      <c r="F1101" s="3" t="s">
        <v>785</v>
      </c>
    </row>
    <row r="1102" spans="1:6" x14ac:dyDescent="0.3">
      <c r="A1102" s="3" t="s">
        <v>1232</v>
      </c>
      <c r="B1102" s="3" t="s">
        <v>33</v>
      </c>
      <c r="C1102" s="3" t="str">
        <f t="shared" si="17"/>
        <v>450014058710</v>
      </c>
      <c r="D1102" s="4">
        <v>46315</v>
      </c>
      <c r="E1102" s="3" t="s">
        <v>612</v>
      </c>
      <c r="F1102" s="3" t="s">
        <v>711</v>
      </c>
    </row>
    <row r="1103" spans="1:6" x14ac:dyDescent="0.3">
      <c r="A1103" s="3" t="s">
        <v>1228</v>
      </c>
      <c r="B1103" s="3" t="s">
        <v>22</v>
      </c>
      <c r="C1103" s="3" t="str">
        <f t="shared" si="17"/>
        <v>450014062150</v>
      </c>
      <c r="D1103" s="4">
        <v>46310</v>
      </c>
      <c r="E1103" s="3" t="s">
        <v>621</v>
      </c>
      <c r="F1103" s="3" t="s">
        <v>1256</v>
      </c>
    </row>
    <row r="1104" spans="1:6" x14ac:dyDescent="0.3">
      <c r="A1104" s="3" t="s">
        <v>1224</v>
      </c>
      <c r="B1104" s="3" t="s">
        <v>33</v>
      </c>
      <c r="C1104" s="3" t="str">
        <f t="shared" si="17"/>
        <v>450014027310</v>
      </c>
      <c r="D1104" s="4">
        <v>46310</v>
      </c>
      <c r="E1104" s="3" t="s">
        <v>612</v>
      </c>
      <c r="F1104" s="3" t="s">
        <v>718</v>
      </c>
    </row>
    <row r="1105" spans="1:6" x14ac:dyDescent="0.3">
      <c r="A1105" s="3" t="s">
        <v>1209</v>
      </c>
      <c r="B1105" s="3" t="s">
        <v>23</v>
      </c>
      <c r="C1105" s="3" t="str">
        <f t="shared" si="17"/>
        <v>450014044460</v>
      </c>
      <c r="D1105" s="4">
        <v>46315</v>
      </c>
      <c r="E1105" s="3" t="s">
        <v>612</v>
      </c>
      <c r="F1105" s="3" t="s">
        <v>730</v>
      </c>
    </row>
    <row r="1106" spans="1:6" x14ac:dyDescent="0.3">
      <c r="A1106" s="3" t="s">
        <v>1223</v>
      </c>
      <c r="B1106" s="3" t="s">
        <v>20</v>
      </c>
      <c r="C1106" s="3" t="str">
        <f t="shared" si="17"/>
        <v>450014070620</v>
      </c>
      <c r="D1106" s="4">
        <v>46319</v>
      </c>
      <c r="E1106" s="3" t="s">
        <v>612</v>
      </c>
      <c r="F1106" s="3" t="s">
        <v>718</v>
      </c>
    </row>
    <row r="1107" spans="1:6" x14ac:dyDescent="0.3">
      <c r="A1107" s="3" t="s">
        <v>1223</v>
      </c>
      <c r="B1107" s="3" t="s">
        <v>21</v>
      </c>
      <c r="C1107" s="3" t="str">
        <f t="shared" si="17"/>
        <v>450014070630</v>
      </c>
      <c r="D1107" s="4">
        <v>46335</v>
      </c>
      <c r="E1107" s="3" t="s">
        <v>612</v>
      </c>
      <c r="F1107" s="3" t="s">
        <v>718</v>
      </c>
    </row>
    <row r="1108" spans="1:6" x14ac:dyDescent="0.3">
      <c r="A1108" s="3" t="s">
        <v>1223</v>
      </c>
      <c r="B1108" s="3" t="s">
        <v>25</v>
      </c>
      <c r="C1108" s="3" t="str">
        <f t="shared" si="17"/>
        <v>450014070640</v>
      </c>
      <c r="D1108" s="4">
        <v>46319</v>
      </c>
      <c r="E1108" s="3" t="s">
        <v>612</v>
      </c>
      <c r="F1108" s="3" t="s">
        <v>718</v>
      </c>
    </row>
    <row r="1109" spans="1:6" x14ac:dyDescent="0.3">
      <c r="A1109" s="3" t="s">
        <v>1192</v>
      </c>
      <c r="B1109" s="3" t="s">
        <v>33</v>
      </c>
      <c r="C1109" s="3" t="str">
        <f t="shared" si="17"/>
        <v>450012893710</v>
      </c>
      <c r="D1109" s="4">
        <v>46356</v>
      </c>
      <c r="E1109" s="3" t="s">
        <v>842</v>
      </c>
      <c r="F1109" s="3" t="s">
        <v>1258</v>
      </c>
    </row>
    <row r="1110" spans="1:6" x14ac:dyDescent="0.3">
      <c r="A1110" s="3" t="s">
        <v>1253</v>
      </c>
      <c r="B1110" s="3" t="s">
        <v>33</v>
      </c>
      <c r="C1110" s="3" t="str">
        <f t="shared" si="17"/>
        <v>450013092110</v>
      </c>
      <c r="D1110" s="4">
        <v>46315</v>
      </c>
      <c r="E1110" s="3" t="s">
        <v>612</v>
      </c>
      <c r="F1110" s="3" t="s">
        <v>730</v>
      </c>
    </row>
    <row r="1111" spans="1:6" x14ac:dyDescent="0.3">
      <c r="A1111" s="3" t="s">
        <v>1234</v>
      </c>
      <c r="B1111" s="3" t="s">
        <v>33</v>
      </c>
      <c r="C1111" s="3" t="str">
        <f t="shared" si="17"/>
        <v>450013100310</v>
      </c>
      <c r="D1111" s="4">
        <v>46210</v>
      </c>
      <c r="E1111" s="3" t="s">
        <v>612</v>
      </c>
      <c r="F1111" s="3" t="s">
        <v>711</v>
      </c>
    </row>
    <row r="1112" spans="1:6" x14ac:dyDescent="0.3">
      <c r="A1112" s="3" t="s">
        <v>1234</v>
      </c>
      <c r="B1112" s="3" t="s">
        <v>20</v>
      </c>
      <c r="C1112" s="3" t="str">
        <f t="shared" si="17"/>
        <v>450013100320</v>
      </c>
      <c r="D1112" s="4">
        <v>46210</v>
      </c>
      <c r="E1112" s="3" t="s">
        <v>612</v>
      </c>
      <c r="F1112" s="3" t="s">
        <v>711</v>
      </c>
    </row>
    <row r="1113" spans="1:6" x14ac:dyDescent="0.3">
      <c r="A1113" s="3" t="s">
        <v>1234</v>
      </c>
      <c r="B1113" s="3" t="s">
        <v>21</v>
      </c>
      <c r="C1113" s="3" t="str">
        <f t="shared" si="17"/>
        <v>450013100330</v>
      </c>
      <c r="D1113" s="4">
        <v>46210</v>
      </c>
      <c r="E1113" s="3" t="s">
        <v>612</v>
      </c>
      <c r="F1113" s="3" t="s">
        <v>711</v>
      </c>
    </row>
    <row r="1114" spans="1:6" x14ac:dyDescent="0.3">
      <c r="A1114" s="3" t="s">
        <v>1234</v>
      </c>
      <c r="B1114" s="3" t="s">
        <v>25</v>
      </c>
      <c r="C1114" s="3" t="str">
        <f t="shared" si="17"/>
        <v>450013100340</v>
      </c>
      <c r="D1114" s="4">
        <v>46210</v>
      </c>
      <c r="E1114" s="3" t="s">
        <v>612</v>
      </c>
      <c r="F1114" s="3" t="s">
        <v>711</v>
      </c>
    </row>
    <row r="1115" spans="1:6" x14ac:dyDescent="0.3">
      <c r="A1115" s="3" t="s">
        <v>1234</v>
      </c>
      <c r="B1115" s="3" t="s">
        <v>22</v>
      </c>
      <c r="C1115" s="3" t="str">
        <f t="shared" si="17"/>
        <v>450013100350</v>
      </c>
      <c r="D1115" s="4">
        <v>46210</v>
      </c>
      <c r="E1115" s="3" t="s">
        <v>612</v>
      </c>
      <c r="F1115" s="3" t="s">
        <v>711</v>
      </c>
    </row>
    <row r="1116" spans="1:6" x14ac:dyDescent="0.3">
      <c r="A1116" s="3" t="s">
        <v>1234</v>
      </c>
      <c r="B1116" s="3" t="s">
        <v>23</v>
      </c>
      <c r="C1116" s="3" t="str">
        <f t="shared" si="17"/>
        <v>450013100360</v>
      </c>
      <c r="D1116" s="4">
        <v>46210</v>
      </c>
      <c r="E1116" s="3" t="s">
        <v>612</v>
      </c>
      <c r="F1116" s="3" t="s">
        <v>711</v>
      </c>
    </row>
    <row r="1117" spans="1:6" x14ac:dyDescent="0.3">
      <c r="A1117" s="3" t="s">
        <v>1234</v>
      </c>
      <c r="B1117" s="3" t="s">
        <v>24</v>
      </c>
      <c r="C1117" s="3" t="str">
        <f t="shared" si="17"/>
        <v>450013100370</v>
      </c>
      <c r="D1117" s="4">
        <v>46210</v>
      </c>
      <c r="E1117" s="3" t="s">
        <v>612</v>
      </c>
      <c r="F1117" s="3" t="s">
        <v>711</v>
      </c>
    </row>
    <row r="1118" spans="1:6" x14ac:dyDescent="0.3">
      <c r="A1118" s="3" t="s">
        <v>1234</v>
      </c>
      <c r="B1118" s="3" t="s">
        <v>321</v>
      </c>
      <c r="C1118" s="3" t="str">
        <f t="shared" si="17"/>
        <v>450013100380</v>
      </c>
      <c r="D1118" s="4">
        <v>46210</v>
      </c>
      <c r="E1118" s="3" t="s">
        <v>612</v>
      </c>
      <c r="F1118" s="3" t="s">
        <v>711</v>
      </c>
    </row>
    <row r="1119" spans="1:6" x14ac:dyDescent="0.3">
      <c r="A1119" s="3" t="s">
        <v>1234</v>
      </c>
      <c r="B1119" s="3" t="s">
        <v>322</v>
      </c>
      <c r="C1119" s="3" t="str">
        <f t="shared" si="17"/>
        <v>450013100390</v>
      </c>
      <c r="D1119" s="4">
        <v>46210</v>
      </c>
      <c r="E1119" s="3" t="s">
        <v>612</v>
      </c>
      <c r="F1119" s="3" t="s">
        <v>711</v>
      </c>
    </row>
    <row r="1120" spans="1:6" x14ac:dyDescent="0.3">
      <c r="A1120" s="3" t="s">
        <v>1234</v>
      </c>
      <c r="B1120" s="3" t="s">
        <v>323</v>
      </c>
      <c r="C1120" s="3" t="str">
        <f t="shared" si="17"/>
        <v>4500131003100</v>
      </c>
      <c r="D1120" s="4">
        <v>47334</v>
      </c>
      <c r="E1120" s="3" t="s">
        <v>612</v>
      </c>
      <c r="F1120" s="3" t="s">
        <v>711</v>
      </c>
    </row>
    <row r="1121" spans="1:6" x14ac:dyDescent="0.3">
      <c r="A1121" s="3" t="s">
        <v>1234</v>
      </c>
      <c r="B1121" s="3" t="s">
        <v>175</v>
      </c>
      <c r="C1121" s="3" t="str">
        <f t="shared" si="17"/>
        <v>4500131003110</v>
      </c>
      <c r="D1121" s="4">
        <v>46210</v>
      </c>
      <c r="E1121" s="3" t="s">
        <v>612</v>
      </c>
      <c r="F1121" s="3" t="s">
        <v>711</v>
      </c>
    </row>
    <row r="1122" spans="1:6" x14ac:dyDescent="0.3">
      <c r="A1122" s="3" t="s">
        <v>1234</v>
      </c>
      <c r="B1122" s="3" t="s">
        <v>375</v>
      </c>
      <c r="C1122" s="3" t="str">
        <f t="shared" si="17"/>
        <v>4500131003120</v>
      </c>
      <c r="D1122" s="4">
        <v>46210</v>
      </c>
      <c r="E1122" s="3" t="s">
        <v>612</v>
      </c>
      <c r="F1122" s="3" t="s">
        <v>711</v>
      </c>
    </row>
    <row r="1123" spans="1:6" x14ac:dyDescent="0.3">
      <c r="A1123" s="3" t="s">
        <v>1234</v>
      </c>
      <c r="B1123" s="3" t="s">
        <v>203</v>
      </c>
      <c r="C1123" s="3" t="str">
        <f t="shared" si="17"/>
        <v>4500131003130</v>
      </c>
      <c r="D1123" s="4">
        <v>46210</v>
      </c>
      <c r="E1123" s="3" t="s">
        <v>612</v>
      </c>
      <c r="F1123" s="3" t="s">
        <v>711</v>
      </c>
    </row>
    <row r="1124" spans="1:6" x14ac:dyDescent="0.3">
      <c r="A1124" s="3" t="s">
        <v>1234</v>
      </c>
      <c r="B1124" s="3" t="s">
        <v>376</v>
      </c>
      <c r="C1124" s="3" t="str">
        <f t="shared" si="17"/>
        <v>4500131003140</v>
      </c>
      <c r="D1124" s="4">
        <v>46210</v>
      </c>
      <c r="E1124" s="3" t="s">
        <v>612</v>
      </c>
      <c r="F1124" s="3" t="s">
        <v>711</v>
      </c>
    </row>
    <row r="1125" spans="1:6" x14ac:dyDescent="0.3">
      <c r="A1125" s="3" t="s">
        <v>1234</v>
      </c>
      <c r="B1125" s="3" t="s">
        <v>377</v>
      </c>
      <c r="C1125" s="3" t="str">
        <f t="shared" si="17"/>
        <v>4500131003150</v>
      </c>
      <c r="D1125" s="4">
        <v>46315</v>
      </c>
      <c r="E1125" s="3" t="s">
        <v>612</v>
      </c>
      <c r="F1125" s="3" t="s">
        <v>711</v>
      </c>
    </row>
    <row r="1126" spans="1:6" x14ac:dyDescent="0.3">
      <c r="A1126" s="3" t="s">
        <v>1242</v>
      </c>
      <c r="B1126" s="3" t="s">
        <v>20</v>
      </c>
      <c r="C1126" s="3" t="str">
        <f t="shared" si="17"/>
        <v>450013538620</v>
      </c>
      <c r="D1126" s="4">
        <v>46315</v>
      </c>
      <c r="E1126" s="3" t="s">
        <v>619</v>
      </c>
      <c r="F1126" s="3" t="s">
        <v>1259</v>
      </c>
    </row>
    <row r="1127" spans="1:6" x14ac:dyDescent="0.3">
      <c r="A1127" s="3" t="s">
        <v>1249</v>
      </c>
      <c r="B1127" s="3" t="s">
        <v>33</v>
      </c>
      <c r="C1127" s="3" t="str">
        <f t="shared" si="17"/>
        <v>450013725510</v>
      </c>
      <c r="D1127" s="4">
        <v>46274</v>
      </c>
      <c r="E1127" s="3" t="s">
        <v>631</v>
      </c>
      <c r="F1127" s="3" t="s">
        <v>711</v>
      </c>
    </row>
    <row r="1128" spans="1:6" x14ac:dyDescent="0.3">
      <c r="A1128" s="3" t="s">
        <v>1249</v>
      </c>
      <c r="B1128" s="3" t="s">
        <v>20</v>
      </c>
      <c r="C1128" s="3" t="str">
        <f t="shared" si="17"/>
        <v>450013725520</v>
      </c>
      <c r="D1128" s="4">
        <v>46280</v>
      </c>
      <c r="E1128" s="3" t="s">
        <v>631</v>
      </c>
      <c r="F1128" s="3" t="s">
        <v>711</v>
      </c>
    </row>
    <row r="1129" spans="1:6" x14ac:dyDescent="0.3">
      <c r="A1129" s="3" t="s">
        <v>1249</v>
      </c>
      <c r="B1129" s="3" t="s">
        <v>21</v>
      </c>
      <c r="C1129" s="3" t="str">
        <f t="shared" si="17"/>
        <v>450013725530</v>
      </c>
      <c r="D1129" s="4">
        <v>46280</v>
      </c>
      <c r="E1129" s="3" t="s">
        <v>631</v>
      </c>
      <c r="F1129" s="3" t="s">
        <v>711</v>
      </c>
    </row>
    <row r="1130" spans="1:6" x14ac:dyDescent="0.3">
      <c r="A1130" s="3" t="s">
        <v>1249</v>
      </c>
      <c r="B1130" s="3" t="s">
        <v>25</v>
      </c>
      <c r="C1130" s="3" t="str">
        <f t="shared" si="17"/>
        <v>450013725540</v>
      </c>
      <c r="D1130" s="4">
        <v>46274</v>
      </c>
      <c r="E1130" s="3" t="s">
        <v>631</v>
      </c>
      <c r="F1130" s="3" t="s">
        <v>711</v>
      </c>
    </row>
    <row r="1131" spans="1:6" x14ac:dyDescent="0.3">
      <c r="A1131" s="3" t="s">
        <v>1249</v>
      </c>
      <c r="B1131" s="3" t="s">
        <v>22</v>
      </c>
      <c r="C1131" s="3" t="str">
        <f t="shared" si="17"/>
        <v>450013725550</v>
      </c>
      <c r="D1131" s="4">
        <v>46274</v>
      </c>
      <c r="E1131" s="3" t="s">
        <v>631</v>
      </c>
      <c r="F1131" s="3" t="s">
        <v>711</v>
      </c>
    </row>
    <row r="1132" spans="1:6" x14ac:dyDescent="0.3">
      <c r="A1132" s="3" t="s">
        <v>1249</v>
      </c>
      <c r="B1132" s="3" t="s">
        <v>23</v>
      </c>
      <c r="C1132" s="3" t="str">
        <f t="shared" si="17"/>
        <v>450013725560</v>
      </c>
      <c r="D1132" s="4">
        <v>46315</v>
      </c>
      <c r="E1132" s="3" t="s">
        <v>631</v>
      </c>
      <c r="F1132" s="3" t="s">
        <v>711</v>
      </c>
    </row>
    <row r="1133" spans="1:6" x14ac:dyDescent="0.3">
      <c r="A1133" s="3" t="s">
        <v>1221</v>
      </c>
      <c r="B1133" s="3" t="s">
        <v>33</v>
      </c>
      <c r="C1133" s="3" t="str">
        <f t="shared" si="17"/>
        <v>450013728310</v>
      </c>
      <c r="D1133" s="4">
        <v>46280</v>
      </c>
      <c r="E1133" s="3" t="s">
        <v>612</v>
      </c>
      <c r="F1133" s="3" t="s">
        <v>727</v>
      </c>
    </row>
    <row r="1134" spans="1:6" x14ac:dyDescent="0.3">
      <c r="A1134" s="3" t="s">
        <v>1221</v>
      </c>
      <c r="B1134" s="3" t="s">
        <v>20</v>
      </c>
      <c r="C1134" s="3" t="str">
        <f t="shared" si="17"/>
        <v>450013728320</v>
      </c>
      <c r="D1134" s="4">
        <v>46308</v>
      </c>
      <c r="E1134" s="3" t="s">
        <v>612</v>
      </c>
      <c r="F1134" s="3" t="s">
        <v>727</v>
      </c>
    </row>
    <row r="1135" spans="1:6" x14ac:dyDescent="0.3">
      <c r="A1135" s="3" t="s">
        <v>1221</v>
      </c>
      <c r="B1135" s="3" t="s">
        <v>21</v>
      </c>
      <c r="C1135" s="3" t="str">
        <f t="shared" si="17"/>
        <v>450013728330</v>
      </c>
      <c r="D1135" s="4">
        <v>46315</v>
      </c>
      <c r="E1135" s="3" t="s">
        <v>612</v>
      </c>
      <c r="F1135" s="3" t="s">
        <v>727</v>
      </c>
    </row>
    <row r="1136" spans="1:6" x14ac:dyDescent="0.3">
      <c r="A1136" s="3" t="s">
        <v>1221</v>
      </c>
      <c r="B1136" s="3" t="s">
        <v>25</v>
      </c>
      <c r="C1136" s="3" t="str">
        <f t="shared" si="17"/>
        <v>450013728340</v>
      </c>
      <c r="D1136" s="4">
        <v>46280</v>
      </c>
      <c r="E1136" s="3" t="s">
        <v>612</v>
      </c>
      <c r="F1136" s="3" t="s">
        <v>727</v>
      </c>
    </row>
    <row r="1137" spans="1:6" x14ac:dyDescent="0.3">
      <c r="A1137" s="3" t="s">
        <v>1221</v>
      </c>
      <c r="B1137" s="3" t="s">
        <v>22</v>
      </c>
      <c r="C1137" s="3" t="str">
        <f t="shared" si="17"/>
        <v>450013728350</v>
      </c>
      <c r="D1137" s="4">
        <v>46290</v>
      </c>
      <c r="E1137" s="3" t="s">
        <v>612</v>
      </c>
      <c r="F1137" s="3" t="s">
        <v>727</v>
      </c>
    </row>
    <row r="1138" spans="1:6" x14ac:dyDescent="0.3">
      <c r="A1138" s="3" t="s">
        <v>1213</v>
      </c>
      <c r="B1138" s="3" t="s">
        <v>33</v>
      </c>
      <c r="C1138" s="3" t="str">
        <f t="shared" si="17"/>
        <v>450013807610</v>
      </c>
      <c r="D1138" s="4">
        <v>46290</v>
      </c>
      <c r="E1138" s="3" t="s">
        <v>617</v>
      </c>
      <c r="F1138" s="3" t="s">
        <v>785</v>
      </c>
    </row>
    <row r="1139" spans="1:6" x14ac:dyDescent="0.3">
      <c r="A1139" s="3" t="s">
        <v>1244</v>
      </c>
      <c r="B1139" s="3" t="s">
        <v>33</v>
      </c>
      <c r="C1139" s="3" t="str">
        <f t="shared" si="17"/>
        <v>450013854410</v>
      </c>
      <c r="D1139" s="4">
        <v>46315</v>
      </c>
      <c r="E1139" s="3" t="s">
        <v>612</v>
      </c>
      <c r="F1139" s="3" t="s">
        <v>733</v>
      </c>
    </row>
    <row r="1140" spans="1:6" x14ac:dyDescent="0.3">
      <c r="A1140" s="3" t="s">
        <v>1238</v>
      </c>
      <c r="B1140" s="3" t="s">
        <v>33</v>
      </c>
      <c r="C1140" s="3" t="str">
        <f t="shared" si="17"/>
        <v>450013854810</v>
      </c>
      <c r="D1140" s="4">
        <v>46315</v>
      </c>
      <c r="E1140" s="3" t="s">
        <v>612</v>
      </c>
      <c r="F1140" s="3" t="s">
        <v>848</v>
      </c>
    </row>
    <row r="1141" spans="1:6" x14ac:dyDescent="0.3">
      <c r="A1141" s="3" t="s">
        <v>1233</v>
      </c>
      <c r="B1141" s="3" t="s">
        <v>33</v>
      </c>
      <c r="C1141" s="3" t="str">
        <f t="shared" si="17"/>
        <v>450013856410</v>
      </c>
      <c r="D1141" s="4">
        <v>46315</v>
      </c>
      <c r="E1141" s="3" t="s">
        <v>612</v>
      </c>
      <c r="F1141" s="3" t="s">
        <v>711</v>
      </c>
    </row>
    <row r="1142" spans="1:6" x14ac:dyDescent="0.3">
      <c r="A1142" s="3" t="s">
        <v>1233</v>
      </c>
      <c r="B1142" s="3" t="s">
        <v>20</v>
      </c>
      <c r="C1142" s="3" t="str">
        <f t="shared" si="17"/>
        <v>450013856420</v>
      </c>
      <c r="D1142" s="4">
        <v>46315</v>
      </c>
      <c r="E1142" s="3" t="s">
        <v>612</v>
      </c>
      <c r="F1142" s="3" t="s">
        <v>711</v>
      </c>
    </row>
    <row r="1143" spans="1:6" x14ac:dyDescent="0.3">
      <c r="A1143" s="3" t="s">
        <v>1203</v>
      </c>
      <c r="B1143" s="3" t="s">
        <v>33</v>
      </c>
      <c r="C1143" s="3" t="str">
        <f t="shared" si="17"/>
        <v>450013914710</v>
      </c>
      <c r="D1143" s="4">
        <v>46301</v>
      </c>
      <c r="E1143" s="3" t="s">
        <v>617</v>
      </c>
      <c r="F1143" s="3" t="s">
        <v>773</v>
      </c>
    </row>
    <row r="1144" spans="1:6" x14ac:dyDescent="0.3">
      <c r="A1144" s="3" t="s">
        <v>1225</v>
      </c>
      <c r="B1144" s="3" t="s">
        <v>33</v>
      </c>
      <c r="C1144" s="3" t="str">
        <f t="shared" si="17"/>
        <v>450013967910</v>
      </c>
      <c r="D1144" s="4">
        <v>46305</v>
      </c>
      <c r="E1144" s="3" t="s">
        <v>620</v>
      </c>
      <c r="F1144" s="3" t="s">
        <v>1260</v>
      </c>
    </row>
    <row r="1145" spans="1:6" x14ac:dyDescent="0.3">
      <c r="A1145" s="3" t="s">
        <v>1201</v>
      </c>
      <c r="B1145" s="3" t="s">
        <v>33</v>
      </c>
      <c r="C1145" s="3" t="str">
        <f t="shared" si="17"/>
        <v>450013989210</v>
      </c>
      <c r="D1145" s="4">
        <v>46310</v>
      </c>
      <c r="E1145" s="3" t="s">
        <v>612</v>
      </c>
      <c r="F1145" s="3" t="s">
        <v>730</v>
      </c>
    </row>
    <row r="1146" spans="1:6" x14ac:dyDescent="0.3">
      <c r="A1146" s="3" t="s">
        <v>1201</v>
      </c>
      <c r="B1146" s="3" t="s">
        <v>20</v>
      </c>
      <c r="C1146" s="3" t="str">
        <f t="shared" si="17"/>
        <v>450013989220</v>
      </c>
      <c r="D1146" s="4">
        <v>46310</v>
      </c>
      <c r="E1146" s="3" t="s">
        <v>612</v>
      </c>
      <c r="F1146" s="3" t="s">
        <v>730</v>
      </c>
    </row>
    <row r="1147" spans="1:6" x14ac:dyDescent="0.3">
      <c r="A1147" s="3" t="s">
        <v>1201</v>
      </c>
      <c r="B1147" s="3" t="s">
        <v>21</v>
      </c>
      <c r="C1147" s="3" t="str">
        <f t="shared" si="17"/>
        <v>450013989230</v>
      </c>
      <c r="D1147" s="4">
        <v>46310</v>
      </c>
      <c r="E1147" s="3" t="s">
        <v>612</v>
      </c>
      <c r="F1147" s="3" t="s">
        <v>730</v>
      </c>
    </row>
    <row r="1148" spans="1:6" x14ac:dyDescent="0.3">
      <c r="A1148" s="3" t="s">
        <v>1201</v>
      </c>
      <c r="B1148" s="3" t="s">
        <v>25</v>
      </c>
      <c r="C1148" s="3" t="str">
        <f t="shared" si="17"/>
        <v>450013989240</v>
      </c>
      <c r="D1148" s="4">
        <v>46310</v>
      </c>
      <c r="E1148" s="3" t="s">
        <v>612</v>
      </c>
      <c r="F1148" s="3" t="s">
        <v>730</v>
      </c>
    </row>
    <row r="1149" spans="1:6" x14ac:dyDescent="0.3">
      <c r="A1149" s="3" t="s">
        <v>1201</v>
      </c>
      <c r="B1149" s="3" t="s">
        <v>22</v>
      </c>
      <c r="C1149" s="3" t="str">
        <f t="shared" si="17"/>
        <v>450013989250</v>
      </c>
      <c r="D1149" s="4">
        <v>46310</v>
      </c>
      <c r="E1149" s="3" t="s">
        <v>612</v>
      </c>
      <c r="F1149" s="3" t="s">
        <v>730</v>
      </c>
    </row>
    <row r="1150" spans="1:6" x14ac:dyDescent="0.3">
      <c r="A1150" s="3" t="s">
        <v>1248</v>
      </c>
      <c r="B1150" s="3" t="s">
        <v>33</v>
      </c>
      <c r="C1150" s="3" t="str">
        <f t="shared" si="17"/>
        <v>450013993410</v>
      </c>
      <c r="D1150" s="4">
        <v>46311</v>
      </c>
      <c r="E1150" s="3" t="s">
        <v>617</v>
      </c>
      <c r="F1150" s="3" t="s">
        <v>1261</v>
      </c>
    </row>
    <row r="1151" spans="1:6" x14ac:dyDescent="0.3">
      <c r="A1151" s="3" t="s">
        <v>1207</v>
      </c>
      <c r="B1151" s="3" t="s">
        <v>33</v>
      </c>
      <c r="C1151" s="3" t="str">
        <f t="shared" si="17"/>
        <v>450014005610</v>
      </c>
      <c r="D1151" s="4">
        <v>46304</v>
      </c>
      <c r="E1151" s="3" t="s">
        <v>621</v>
      </c>
      <c r="F1151" s="3" t="s">
        <v>1262</v>
      </c>
    </row>
    <row r="1152" spans="1:6" x14ac:dyDescent="0.3">
      <c r="A1152" s="3" t="s">
        <v>1215</v>
      </c>
      <c r="B1152" s="3" t="s">
        <v>33</v>
      </c>
      <c r="C1152" s="3" t="str">
        <f t="shared" si="17"/>
        <v>450014006410</v>
      </c>
      <c r="D1152" s="4">
        <v>46315</v>
      </c>
      <c r="E1152" s="3" t="s">
        <v>612</v>
      </c>
      <c r="F1152" s="3" t="s">
        <v>730</v>
      </c>
    </row>
    <row r="1153" spans="1:6" x14ac:dyDescent="0.3">
      <c r="A1153" s="3" t="s">
        <v>1215</v>
      </c>
      <c r="B1153" s="3" t="s">
        <v>20</v>
      </c>
      <c r="C1153" s="3" t="str">
        <f t="shared" si="17"/>
        <v>450014006420</v>
      </c>
      <c r="D1153" s="4">
        <v>46315</v>
      </c>
      <c r="E1153" s="3" t="s">
        <v>612</v>
      </c>
      <c r="F1153" s="3" t="s">
        <v>730</v>
      </c>
    </row>
    <row r="1154" spans="1:6" x14ac:dyDescent="0.3">
      <c r="A1154" s="3" t="s">
        <v>1215</v>
      </c>
      <c r="B1154" s="3" t="s">
        <v>21</v>
      </c>
      <c r="C1154" s="3" t="str">
        <f t="shared" si="17"/>
        <v>450014006430</v>
      </c>
      <c r="D1154" s="4">
        <v>46315</v>
      </c>
      <c r="E1154" s="3" t="s">
        <v>612</v>
      </c>
      <c r="F1154" s="3" t="s">
        <v>730</v>
      </c>
    </row>
    <row r="1155" spans="1:6" x14ac:dyDescent="0.3">
      <c r="A1155" s="3" t="s">
        <v>1215</v>
      </c>
      <c r="B1155" s="3" t="s">
        <v>25</v>
      </c>
      <c r="C1155" s="3" t="str">
        <f t="shared" si="17"/>
        <v>450014006440</v>
      </c>
      <c r="D1155" s="4">
        <v>46315</v>
      </c>
      <c r="E1155" s="3" t="s">
        <v>612</v>
      </c>
      <c r="F1155" s="3" t="s">
        <v>730</v>
      </c>
    </row>
    <row r="1156" spans="1:6" x14ac:dyDescent="0.3">
      <c r="A1156" s="3" t="s">
        <v>1215</v>
      </c>
      <c r="B1156" s="3" t="s">
        <v>22</v>
      </c>
      <c r="C1156" s="3" t="str">
        <f t="shared" ref="C1156:C1219" si="18">_xlfn.CONCAT(A1156:B1156)</f>
        <v>450014006450</v>
      </c>
      <c r="D1156" s="4">
        <v>46315</v>
      </c>
      <c r="E1156" s="3" t="s">
        <v>612</v>
      </c>
      <c r="F1156" s="3" t="s">
        <v>730</v>
      </c>
    </row>
    <row r="1157" spans="1:6" x14ac:dyDescent="0.3">
      <c r="A1157" s="3" t="s">
        <v>1215</v>
      </c>
      <c r="B1157" s="3" t="s">
        <v>23</v>
      </c>
      <c r="C1157" s="3" t="str">
        <f t="shared" si="18"/>
        <v>450014006460</v>
      </c>
      <c r="D1157" s="4">
        <v>46315</v>
      </c>
      <c r="E1157" s="3" t="s">
        <v>612</v>
      </c>
      <c r="F1157" s="3" t="s">
        <v>730</v>
      </c>
    </row>
    <row r="1158" spans="1:6" x14ac:dyDescent="0.3">
      <c r="A1158" s="3" t="s">
        <v>1215</v>
      </c>
      <c r="B1158" s="3" t="s">
        <v>24</v>
      </c>
      <c r="C1158" s="3" t="str">
        <f t="shared" si="18"/>
        <v>450014006470</v>
      </c>
      <c r="D1158" s="4">
        <v>46315</v>
      </c>
      <c r="E1158" s="3" t="s">
        <v>612</v>
      </c>
      <c r="F1158" s="3" t="s">
        <v>730</v>
      </c>
    </row>
    <row r="1159" spans="1:6" x14ac:dyDescent="0.3">
      <c r="A1159" s="3" t="s">
        <v>1215</v>
      </c>
      <c r="B1159" s="3" t="s">
        <v>321</v>
      </c>
      <c r="C1159" s="3" t="str">
        <f t="shared" si="18"/>
        <v>450014006480</v>
      </c>
      <c r="D1159" s="4">
        <v>46315</v>
      </c>
      <c r="E1159" s="3" t="s">
        <v>612</v>
      </c>
      <c r="F1159" s="3" t="s">
        <v>730</v>
      </c>
    </row>
    <row r="1160" spans="1:6" x14ac:dyDescent="0.3">
      <c r="A1160" s="3" t="s">
        <v>1215</v>
      </c>
      <c r="B1160" s="3" t="s">
        <v>322</v>
      </c>
      <c r="C1160" s="3" t="str">
        <f t="shared" si="18"/>
        <v>450014006490</v>
      </c>
      <c r="D1160" s="4">
        <v>46315</v>
      </c>
      <c r="E1160" s="3" t="s">
        <v>612</v>
      </c>
      <c r="F1160" s="3" t="s">
        <v>730</v>
      </c>
    </row>
    <row r="1161" spans="1:6" x14ac:dyDescent="0.3">
      <c r="A1161" s="3" t="s">
        <v>1215</v>
      </c>
      <c r="B1161" s="3" t="s">
        <v>323</v>
      </c>
      <c r="C1161" s="3" t="str">
        <f t="shared" si="18"/>
        <v>4500140064100</v>
      </c>
      <c r="D1161" s="4">
        <v>46315</v>
      </c>
      <c r="E1161" s="3" t="s">
        <v>612</v>
      </c>
      <c r="F1161" s="3" t="s">
        <v>730</v>
      </c>
    </row>
    <row r="1162" spans="1:6" x14ac:dyDescent="0.3">
      <c r="A1162" s="3" t="s">
        <v>1215</v>
      </c>
      <c r="B1162" s="3" t="s">
        <v>175</v>
      </c>
      <c r="C1162" s="3" t="str">
        <f t="shared" si="18"/>
        <v>4500140064110</v>
      </c>
      <c r="D1162" s="4">
        <v>46315</v>
      </c>
      <c r="E1162" s="3" t="s">
        <v>612</v>
      </c>
      <c r="F1162" s="3" t="s">
        <v>730</v>
      </c>
    </row>
    <row r="1163" spans="1:6" x14ac:dyDescent="0.3">
      <c r="A1163" s="3" t="s">
        <v>1215</v>
      </c>
      <c r="B1163" s="3" t="s">
        <v>375</v>
      </c>
      <c r="C1163" s="3" t="str">
        <f t="shared" si="18"/>
        <v>4500140064120</v>
      </c>
      <c r="D1163" s="4">
        <v>46315</v>
      </c>
      <c r="E1163" s="3" t="s">
        <v>612</v>
      </c>
      <c r="F1163" s="3" t="s">
        <v>730</v>
      </c>
    </row>
    <row r="1164" spans="1:6" x14ac:dyDescent="0.3">
      <c r="A1164" s="3" t="s">
        <v>1215</v>
      </c>
      <c r="B1164" s="3" t="s">
        <v>203</v>
      </c>
      <c r="C1164" s="3" t="str">
        <f t="shared" si="18"/>
        <v>4500140064130</v>
      </c>
      <c r="D1164" s="4">
        <v>46315</v>
      </c>
      <c r="E1164" s="3" t="s">
        <v>612</v>
      </c>
      <c r="F1164" s="3" t="s">
        <v>730</v>
      </c>
    </row>
    <row r="1165" spans="1:6" x14ac:dyDescent="0.3">
      <c r="A1165" s="3" t="s">
        <v>1215</v>
      </c>
      <c r="B1165" s="3" t="s">
        <v>376</v>
      </c>
      <c r="C1165" s="3" t="str">
        <f t="shared" si="18"/>
        <v>4500140064140</v>
      </c>
      <c r="D1165" s="4">
        <v>46315</v>
      </c>
      <c r="E1165" s="3" t="s">
        <v>612</v>
      </c>
      <c r="F1165" s="3" t="s">
        <v>730</v>
      </c>
    </row>
    <row r="1166" spans="1:6" x14ac:dyDescent="0.3">
      <c r="A1166" s="3" t="s">
        <v>1215</v>
      </c>
      <c r="B1166" s="3" t="s">
        <v>377</v>
      </c>
      <c r="C1166" s="3" t="str">
        <f t="shared" si="18"/>
        <v>4500140064150</v>
      </c>
      <c r="D1166" s="4">
        <v>46315</v>
      </c>
      <c r="E1166" s="3" t="s">
        <v>612</v>
      </c>
      <c r="F1166" s="3" t="s">
        <v>730</v>
      </c>
    </row>
    <row r="1167" spans="1:6" x14ac:dyDescent="0.3">
      <c r="A1167" s="3" t="s">
        <v>1215</v>
      </c>
      <c r="B1167" s="3" t="s">
        <v>378</v>
      </c>
      <c r="C1167" s="3" t="str">
        <f t="shared" si="18"/>
        <v>4500140064160</v>
      </c>
      <c r="D1167" s="4">
        <v>46315</v>
      </c>
      <c r="E1167" s="3" t="s">
        <v>612</v>
      </c>
      <c r="F1167" s="3" t="s">
        <v>730</v>
      </c>
    </row>
    <row r="1168" spans="1:6" x14ac:dyDescent="0.3">
      <c r="A1168" s="3" t="s">
        <v>1215</v>
      </c>
      <c r="B1168" s="3" t="s">
        <v>324</v>
      </c>
      <c r="C1168" s="3" t="str">
        <f t="shared" si="18"/>
        <v>4500140064170</v>
      </c>
      <c r="D1168" s="4">
        <v>46315</v>
      </c>
      <c r="E1168" s="3" t="s">
        <v>612</v>
      </c>
      <c r="F1168" s="3" t="s">
        <v>730</v>
      </c>
    </row>
    <row r="1169" spans="1:6" x14ac:dyDescent="0.3">
      <c r="A1169" s="3" t="s">
        <v>1215</v>
      </c>
      <c r="B1169" s="3" t="s">
        <v>325</v>
      </c>
      <c r="C1169" s="3" t="str">
        <f t="shared" si="18"/>
        <v>4500140064180</v>
      </c>
      <c r="D1169" s="4">
        <v>46315</v>
      </c>
      <c r="E1169" s="3" t="s">
        <v>612</v>
      </c>
      <c r="F1169" s="3" t="s">
        <v>730</v>
      </c>
    </row>
    <row r="1170" spans="1:6" x14ac:dyDescent="0.3">
      <c r="A1170" s="3" t="s">
        <v>1215</v>
      </c>
      <c r="B1170" s="3" t="s">
        <v>379</v>
      </c>
      <c r="C1170" s="3" t="str">
        <f t="shared" si="18"/>
        <v>4500140064190</v>
      </c>
      <c r="D1170" s="4">
        <v>46315</v>
      </c>
      <c r="E1170" s="3" t="s">
        <v>612</v>
      </c>
      <c r="F1170" s="3" t="s">
        <v>730</v>
      </c>
    </row>
    <row r="1171" spans="1:6" x14ac:dyDescent="0.3">
      <c r="A1171" s="3" t="s">
        <v>1215</v>
      </c>
      <c r="B1171" s="3" t="s">
        <v>380</v>
      </c>
      <c r="C1171" s="3" t="str">
        <f t="shared" si="18"/>
        <v>4500140064200</v>
      </c>
      <c r="D1171" s="4">
        <v>46315</v>
      </c>
      <c r="E1171" s="3" t="s">
        <v>612</v>
      </c>
      <c r="F1171" s="3" t="s">
        <v>730</v>
      </c>
    </row>
    <row r="1172" spans="1:6" x14ac:dyDescent="0.3">
      <c r="A1172" s="3" t="s">
        <v>1215</v>
      </c>
      <c r="B1172" s="3" t="s">
        <v>326</v>
      </c>
      <c r="C1172" s="3" t="str">
        <f t="shared" si="18"/>
        <v>4500140064210</v>
      </c>
      <c r="D1172" s="4">
        <v>46315</v>
      </c>
      <c r="E1172" s="3" t="s">
        <v>612</v>
      </c>
      <c r="F1172" s="3" t="s">
        <v>730</v>
      </c>
    </row>
    <row r="1173" spans="1:6" x14ac:dyDescent="0.3">
      <c r="A1173" s="3" t="s">
        <v>1215</v>
      </c>
      <c r="B1173" s="3" t="s">
        <v>413</v>
      </c>
      <c r="C1173" s="3" t="str">
        <f t="shared" si="18"/>
        <v>4500140064220</v>
      </c>
      <c r="D1173" s="4">
        <v>46315</v>
      </c>
      <c r="E1173" s="3" t="s">
        <v>612</v>
      </c>
      <c r="F1173" s="3" t="s">
        <v>730</v>
      </c>
    </row>
    <row r="1174" spans="1:6" x14ac:dyDescent="0.3">
      <c r="A1174" s="3" t="s">
        <v>1215</v>
      </c>
      <c r="B1174" s="3" t="s">
        <v>327</v>
      </c>
      <c r="C1174" s="3" t="str">
        <f t="shared" si="18"/>
        <v>4500140064230</v>
      </c>
      <c r="D1174" s="4">
        <v>46315</v>
      </c>
      <c r="E1174" s="3" t="s">
        <v>612</v>
      </c>
      <c r="F1174" s="3" t="s">
        <v>730</v>
      </c>
    </row>
    <row r="1175" spans="1:6" x14ac:dyDescent="0.3">
      <c r="A1175" s="3" t="s">
        <v>1215</v>
      </c>
      <c r="B1175" s="3" t="s">
        <v>328</v>
      </c>
      <c r="C1175" s="3" t="str">
        <f t="shared" si="18"/>
        <v>4500140064240</v>
      </c>
      <c r="D1175" s="4">
        <v>46315</v>
      </c>
      <c r="E1175" s="3" t="s">
        <v>612</v>
      </c>
      <c r="F1175" s="3" t="s">
        <v>730</v>
      </c>
    </row>
    <row r="1176" spans="1:6" x14ac:dyDescent="0.3">
      <c r="A1176" s="3" t="s">
        <v>1215</v>
      </c>
      <c r="B1176" s="3" t="s">
        <v>329</v>
      </c>
      <c r="C1176" s="3" t="str">
        <f t="shared" si="18"/>
        <v>4500140064250</v>
      </c>
      <c r="D1176" s="4">
        <v>46315</v>
      </c>
      <c r="E1176" s="3" t="s">
        <v>612</v>
      </c>
      <c r="F1176" s="3" t="s">
        <v>730</v>
      </c>
    </row>
    <row r="1177" spans="1:6" x14ac:dyDescent="0.3">
      <c r="A1177" s="3" t="s">
        <v>1215</v>
      </c>
      <c r="B1177" s="3" t="s">
        <v>330</v>
      </c>
      <c r="C1177" s="3" t="str">
        <f t="shared" si="18"/>
        <v>4500140064260</v>
      </c>
      <c r="D1177" s="4">
        <v>46315</v>
      </c>
      <c r="E1177" s="3" t="s">
        <v>612</v>
      </c>
      <c r="F1177" s="3" t="s">
        <v>730</v>
      </c>
    </row>
    <row r="1178" spans="1:6" x14ac:dyDescent="0.3">
      <c r="A1178" s="3" t="s">
        <v>1215</v>
      </c>
      <c r="B1178" s="3" t="s">
        <v>414</v>
      </c>
      <c r="C1178" s="3" t="str">
        <f t="shared" si="18"/>
        <v>4500140064270</v>
      </c>
      <c r="D1178" s="4">
        <v>46315</v>
      </c>
      <c r="E1178" s="3" t="s">
        <v>612</v>
      </c>
      <c r="F1178" s="3" t="s">
        <v>730</v>
      </c>
    </row>
    <row r="1179" spans="1:6" x14ac:dyDescent="0.3">
      <c r="A1179" s="3" t="s">
        <v>1215</v>
      </c>
      <c r="B1179" s="3" t="s">
        <v>415</v>
      </c>
      <c r="C1179" s="3" t="str">
        <f t="shared" si="18"/>
        <v>4500140064280</v>
      </c>
      <c r="D1179" s="4">
        <v>46315</v>
      </c>
      <c r="E1179" s="3" t="s">
        <v>612</v>
      </c>
      <c r="F1179" s="3" t="s">
        <v>730</v>
      </c>
    </row>
    <row r="1180" spans="1:6" x14ac:dyDescent="0.3">
      <c r="A1180" s="3" t="s">
        <v>1215</v>
      </c>
      <c r="B1180" s="3" t="s">
        <v>635</v>
      </c>
      <c r="C1180" s="3" t="str">
        <f t="shared" si="18"/>
        <v>4500140064300</v>
      </c>
      <c r="D1180" s="4">
        <v>46315</v>
      </c>
      <c r="E1180" s="3" t="s">
        <v>612</v>
      </c>
      <c r="F1180" s="3" t="s">
        <v>730</v>
      </c>
    </row>
    <row r="1181" spans="1:6" x14ac:dyDescent="0.3">
      <c r="A1181" s="3" t="s">
        <v>1197</v>
      </c>
      <c r="B1181" s="3" t="s">
        <v>33</v>
      </c>
      <c r="C1181" s="3" t="str">
        <f t="shared" si="18"/>
        <v>450014009210</v>
      </c>
      <c r="D1181" s="4">
        <v>46315</v>
      </c>
      <c r="E1181" s="3" t="s">
        <v>620</v>
      </c>
      <c r="F1181" s="3" t="s">
        <v>1167</v>
      </c>
    </row>
    <row r="1182" spans="1:6" x14ac:dyDescent="0.3">
      <c r="A1182" s="3" t="s">
        <v>1198</v>
      </c>
      <c r="B1182" s="3" t="s">
        <v>33</v>
      </c>
      <c r="C1182" s="3" t="str">
        <f t="shared" si="18"/>
        <v>450014009310</v>
      </c>
      <c r="D1182" s="4">
        <v>46315</v>
      </c>
      <c r="E1182" s="3" t="s">
        <v>620</v>
      </c>
      <c r="F1182" s="3" t="s">
        <v>744</v>
      </c>
    </row>
    <row r="1183" spans="1:6" x14ac:dyDescent="0.3">
      <c r="A1183" s="3" t="s">
        <v>1194</v>
      </c>
      <c r="B1183" s="3" t="s">
        <v>33</v>
      </c>
      <c r="C1183" s="3" t="str">
        <f t="shared" si="18"/>
        <v>450014015710</v>
      </c>
      <c r="D1183" s="4">
        <v>46314</v>
      </c>
      <c r="E1183" s="3" t="s">
        <v>642</v>
      </c>
      <c r="F1183" s="3" t="s">
        <v>718</v>
      </c>
    </row>
    <row r="1184" spans="1:6" x14ac:dyDescent="0.3">
      <c r="A1184" s="3" t="s">
        <v>1199</v>
      </c>
      <c r="B1184" s="3" t="s">
        <v>33</v>
      </c>
      <c r="C1184" s="3" t="str">
        <f t="shared" si="18"/>
        <v>450014020310</v>
      </c>
      <c r="D1184" s="4">
        <v>46315</v>
      </c>
      <c r="E1184" s="3" t="s">
        <v>619</v>
      </c>
      <c r="F1184" s="3" t="s">
        <v>713</v>
      </c>
    </row>
    <row r="1185" spans="1:6" x14ac:dyDescent="0.3">
      <c r="A1185" s="3" t="s">
        <v>1199</v>
      </c>
      <c r="B1185" s="3" t="s">
        <v>20</v>
      </c>
      <c r="C1185" s="3" t="str">
        <f t="shared" si="18"/>
        <v>450014020320</v>
      </c>
      <c r="D1185" s="4">
        <v>46315</v>
      </c>
      <c r="E1185" s="3" t="s">
        <v>619</v>
      </c>
      <c r="F1185" s="3" t="s">
        <v>713</v>
      </c>
    </row>
    <row r="1186" spans="1:6" x14ac:dyDescent="0.3">
      <c r="A1186" s="3" t="s">
        <v>1204</v>
      </c>
      <c r="B1186" s="3" t="s">
        <v>33</v>
      </c>
      <c r="C1186" s="3" t="str">
        <f t="shared" si="18"/>
        <v>450014024710</v>
      </c>
      <c r="D1186" s="4">
        <v>46309</v>
      </c>
      <c r="E1186" s="3" t="s">
        <v>621</v>
      </c>
      <c r="F1186" s="3" t="s">
        <v>1263</v>
      </c>
    </row>
    <row r="1187" spans="1:6" x14ac:dyDescent="0.3">
      <c r="A1187" s="3" t="s">
        <v>1204</v>
      </c>
      <c r="B1187" s="3" t="s">
        <v>20</v>
      </c>
      <c r="C1187" s="3" t="str">
        <f t="shared" si="18"/>
        <v>450014024720</v>
      </c>
      <c r="D1187" s="4">
        <v>46309</v>
      </c>
      <c r="E1187" s="3" t="s">
        <v>621</v>
      </c>
      <c r="F1187" s="3" t="s">
        <v>1263</v>
      </c>
    </row>
    <row r="1188" spans="1:6" x14ac:dyDescent="0.3">
      <c r="A1188" s="3" t="s">
        <v>1204</v>
      </c>
      <c r="B1188" s="3" t="s">
        <v>21</v>
      </c>
      <c r="C1188" s="3" t="str">
        <f t="shared" si="18"/>
        <v>450014024730</v>
      </c>
      <c r="D1188" s="4">
        <v>46309</v>
      </c>
      <c r="E1188" s="3" t="s">
        <v>621</v>
      </c>
      <c r="F1188" s="3" t="s">
        <v>1263</v>
      </c>
    </row>
    <row r="1189" spans="1:6" x14ac:dyDescent="0.3">
      <c r="A1189" s="3" t="s">
        <v>1231</v>
      </c>
      <c r="B1189" s="3" t="s">
        <v>33</v>
      </c>
      <c r="C1189" s="3" t="str">
        <f t="shared" si="18"/>
        <v>450014026210</v>
      </c>
      <c r="D1189" s="4">
        <v>46315</v>
      </c>
      <c r="E1189" s="3" t="s">
        <v>612</v>
      </c>
      <c r="F1189" s="3" t="s">
        <v>721</v>
      </c>
    </row>
    <row r="1190" spans="1:6" x14ac:dyDescent="0.3">
      <c r="A1190" s="3" t="s">
        <v>1224</v>
      </c>
      <c r="B1190" s="3" t="s">
        <v>20</v>
      </c>
      <c r="C1190" s="3" t="str">
        <f t="shared" si="18"/>
        <v>450014027320</v>
      </c>
      <c r="D1190" s="4">
        <v>46317</v>
      </c>
      <c r="E1190" s="3" t="s">
        <v>612</v>
      </c>
      <c r="F1190" s="3" t="s">
        <v>718</v>
      </c>
    </row>
    <row r="1191" spans="1:6" x14ac:dyDescent="0.3">
      <c r="A1191" s="3" t="s">
        <v>1209</v>
      </c>
      <c r="B1191" s="3" t="s">
        <v>33</v>
      </c>
      <c r="C1191" s="3" t="str">
        <f t="shared" si="18"/>
        <v>450014044410</v>
      </c>
      <c r="D1191" s="4">
        <v>46315</v>
      </c>
      <c r="E1191" s="3" t="s">
        <v>612</v>
      </c>
      <c r="F1191" s="3" t="s">
        <v>730</v>
      </c>
    </row>
    <row r="1192" spans="1:6" x14ac:dyDescent="0.3">
      <c r="A1192" s="3" t="s">
        <v>1209</v>
      </c>
      <c r="B1192" s="3" t="s">
        <v>20</v>
      </c>
      <c r="C1192" s="3" t="str">
        <f t="shared" si="18"/>
        <v>450014044420</v>
      </c>
      <c r="D1192" s="4">
        <v>46315</v>
      </c>
      <c r="E1192" s="3" t="s">
        <v>612</v>
      </c>
      <c r="F1192" s="3" t="s">
        <v>730</v>
      </c>
    </row>
    <row r="1193" spans="1:6" x14ac:dyDescent="0.3">
      <c r="A1193" s="3" t="s">
        <v>1209</v>
      </c>
      <c r="B1193" s="3" t="s">
        <v>21</v>
      </c>
      <c r="C1193" s="3" t="str">
        <f t="shared" si="18"/>
        <v>450014044430</v>
      </c>
      <c r="D1193" s="4">
        <v>46315</v>
      </c>
      <c r="E1193" s="3" t="s">
        <v>612</v>
      </c>
      <c r="F1193" s="3" t="s">
        <v>730</v>
      </c>
    </row>
    <row r="1194" spans="1:6" x14ac:dyDescent="0.3">
      <c r="A1194" s="3" t="s">
        <v>1209</v>
      </c>
      <c r="B1194" s="3" t="s">
        <v>25</v>
      </c>
      <c r="C1194" s="3" t="str">
        <f t="shared" si="18"/>
        <v>450014044440</v>
      </c>
      <c r="D1194" s="4">
        <v>46315</v>
      </c>
      <c r="E1194" s="3" t="s">
        <v>612</v>
      </c>
      <c r="F1194" s="3" t="s">
        <v>730</v>
      </c>
    </row>
    <row r="1195" spans="1:6" x14ac:dyDescent="0.3">
      <c r="A1195" s="3" t="s">
        <v>1209</v>
      </c>
      <c r="B1195" s="3" t="s">
        <v>22</v>
      </c>
      <c r="C1195" s="3" t="str">
        <f t="shared" si="18"/>
        <v>450014044450</v>
      </c>
      <c r="D1195" s="4">
        <v>46315</v>
      </c>
      <c r="E1195" s="3" t="s">
        <v>612</v>
      </c>
      <c r="F1195" s="3" t="s">
        <v>730</v>
      </c>
    </row>
    <row r="1196" spans="1:6" x14ac:dyDescent="0.3">
      <c r="A1196" s="3" t="s">
        <v>1206</v>
      </c>
      <c r="B1196" s="3" t="s">
        <v>33</v>
      </c>
      <c r="C1196" s="3" t="str">
        <f t="shared" si="18"/>
        <v>450014053210</v>
      </c>
      <c r="D1196" s="4">
        <v>46316</v>
      </c>
      <c r="E1196" s="3" t="s">
        <v>621</v>
      </c>
      <c r="F1196" s="3" t="s">
        <v>1005</v>
      </c>
    </row>
    <row r="1197" spans="1:6" x14ac:dyDescent="0.3">
      <c r="A1197" s="3" t="s">
        <v>1189</v>
      </c>
      <c r="B1197" s="3" t="s">
        <v>33</v>
      </c>
      <c r="C1197" s="3" t="str">
        <f t="shared" si="18"/>
        <v>450014054510</v>
      </c>
      <c r="D1197" s="4">
        <v>46311</v>
      </c>
      <c r="E1197" s="3" t="s">
        <v>612</v>
      </c>
      <c r="F1197" s="3" t="s">
        <v>852</v>
      </c>
    </row>
    <row r="1198" spans="1:6" x14ac:dyDescent="0.3">
      <c r="A1198" s="3" t="s">
        <v>1230</v>
      </c>
      <c r="B1198" s="3" t="s">
        <v>33</v>
      </c>
      <c r="C1198" s="3" t="str">
        <f t="shared" si="18"/>
        <v>450014056410</v>
      </c>
      <c r="D1198" s="4">
        <v>46311</v>
      </c>
      <c r="E1198" s="3" t="s">
        <v>614</v>
      </c>
      <c r="F1198" s="3" t="s">
        <v>711</v>
      </c>
    </row>
    <row r="1199" spans="1:6" x14ac:dyDescent="0.3">
      <c r="A1199" s="3" t="s">
        <v>1232</v>
      </c>
      <c r="B1199" s="3" t="s">
        <v>21</v>
      </c>
      <c r="C1199" s="3" t="str">
        <f t="shared" si="18"/>
        <v>450014058730</v>
      </c>
      <c r="D1199" s="4">
        <v>46315</v>
      </c>
      <c r="E1199" s="3" t="s">
        <v>612</v>
      </c>
      <c r="F1199" s="3" t="s">
        <v>711</v>
      </c>
    </row>
    <row r="1200" spans="1:6" x14ac:dyDescent="0.3">
      <c r="A1200" s="3" t="s">
        <v>1228</v>
      </c>
      <c r="B1200" s="3" t="s">
        <v>33</v>
      </c>
      <c r="C1200" s="3" t="str">
        <f t="shared" si="18"/>
        <v>450014062110</v>
      </c>
      <c r="D1200" s="4">
        <v>46310</v>
      </c>
      <c r="E1200" s="3" t="s">
        <v>621</v>
      </c>
      <c r="F1200" s="3" t="s">
        <v>1256</v>
      </c>
    </row>
    <row r="1201" spans="1:6" x14ac:dyDescent="0.3">
      <c r="A1201" s="3" t="s">
        <v>1228</v>
      </c>
      <c r="B1201" s="3" t="s">
        <v>20</v>
      </c>
      <c r="C1201" s="3" t="str">
        <f t="shared" si="18"/>
        <v>450014062120</v>
      </c>
      <c r="D1201" s="4">
        <v>46310</v>
      </c>
      <c r="E1201" s="3" t="s">
        <v>621</v>
      </c>
      <c r="F1201" s="3" t="s">
        <v>1256</v>
      </c>
    </row>
    <row r="1202" spans="1:6" x14ac:dyDescent="0.3">
      <c r="A1202" s="3" t="s">
        <v>1228</v>
      </c>
      <c r="B1202" s="3" t="s">
        <v>21</v>
      </c>
      <c r="C1202" s="3" t="str">
        <f t="shared" si="18"/>
        <v>450014062130</v>
      </c>
      <c r="D1202" s="4">
        <v>46310</v>
      </c>
      <c r="E1202" s="3" t="s">
        <v>621</v>
      </c>
      <c r="F1202" s="3" t="s">
        <v>1256</v>
      </c>
    </row>
    <row r="1203" spans="1:6" x14ac:dyDescent="0.3">
      <c r="A1203" s="3" t="s">
        <v>1228</v>
      </c>
      <c r="B1203" s="3" t="s">
        <v>25</v>
      </c>
      <c r="C1203" s="3" t="str">
        <f t="shared" si="18"/>
        <v>450014062140</v>
      </c>
      <c r="D1203" s="4">
        <v>46310</v>
      </c>
      <c r="E1203" s="3" t="s">
        <v>621</v>
      </c>
      <c r="F1203" s="3" t="s">
        <v>1256</v>
      </c>
    </row>
    <row r="1204" spans="1:6" x14ac:dyDescent="0.3">
      <c r="A1204" s="3" t="s">
        <v>1228</v>
      </c>
      <c r="B1204" s="3" t="s">
        <v>24</v>
      </c>
      <c r="C1204" s="3" t="str">
        <f t="shared" si="18"/>
        <v>450014062170</v>
      </c>
      <c r="D1204" s="4">
        <v>46310</v>
      </c>
      <c r="E1204" s="3" t="s">
        <v>621</v>
      </c>
      <c r="F1204" s="3" t="s">
        <v>1256</v>
      </c>
    </row>
    <row r="1205" spans="1:6" x14ac:dyDescent="0.3">
      <c r="A1205" s="3" t="s">
        <v>1228</v>
      </c>
      <c r="B1205" s="3" t="s">
        <v>321</v>
      </c>
      <c r="C1205" s="3" t="str">
        <f t="shared" si="18"/>
        <v>450014062180</v>
      </c>
      <c r="D1205" s="4">
        <v>46310</v>
      </c>
      <c r="E1205" s="3" t="s">
        <v>621</v>
      </c>
      <c r="F1205" s="3" t="s">
        <v>1256</v>
      </c>
    </row>
    <row r="1206" spans="1:6" x14ac:dyDescent="0.3">
      <c r="A1206" s="3" t="s">
        <v>1243</v>
      </c>
      <c r="B1206" s="3" t="s">
        <v>33</v>
      </c>
      <c r="C1206" s="3" t="str">
        <f t="shared" si="18"/>
        <v>450014063310</v>
      </c>
      <c r="D1206" s="4">
        <v>46313</v>
      </c>
      <c r="E1206" s="3" t="s">
        <v>1254</v>
      </c>
      <c r="F1206" s="3" t="s">
        <v>726</v>
      </c>
    </row>
    <row r="1207" spans="1:6" x14ac:dyDescent="0.3">
      <c r="A1207" s="3" t="s">
        <v>1220</v>
      </c>
      <c r="B1207" s="3" t="s">
        <v>33</v>
      </c>
      <c r="C1207" s="3" t="str">
        <f t="shared" si="18"/>
        <v>450014068010</v>
      </c>
      <c r="D1207" s="4">
        <v>46316</v>
      </c>
      <c r="E1207" s="3" t="s">
        <v>614</v>
      </c>
      <c r="F1207" s="3" t="s">
        <v>742</v>
      </c>
    </row>
    <row r="1208" spans="1:6" x14ac:dyDescent="0.3">
      <c r="A1208" s="3" t="s">
        <v>1223</v>
      </c>
      <c r="B1208" s="3" t="s">
        <v>33</v>
      </c>
      <c r="C1208" s="3" t="str">
        <f t="shared" si="18"/>
        <v>450014070610</v>
      </c>
      <c r="D1208" s="4">
        <v>46319</v>
      </c>
      <c r="E1208" s="3" t="s">
        <v>612</v>
      </c>
      <c r="F1208" s="3" t="s">
        <v>718</v>
      </c>
    </row>
    <row r="1209" spans="1:6" x14ac:dyDescent="0.3">
      <c r="A1209" s="3" t="s">
        <v>1218</v>
      </c>
      <c r="B1209" s="3" t="s">
        <v>33</v>
      </c>
      <c r="C1209" s="3" t="str">
        <f t="shared" si="18"/>
        <v>450014072210</v>
      </c>
      <c r="D1209" s="4">
        <v>46321</v>
      </c>
      <c r="E1209" s="3" t="s">
        <v>632</v>
      </c>
      <c r="F1209" s="3" t="s">
        <v>853</v>
      </c>
    </row>
    <row r="1210" spans="1:6" x14ac:dyDescent="0.3">
      <c r="A1210" s="3" t="s">
        <v>1196</v>
      </c>
      <c r="B1210" s="3" t="s">
        <v>33</v>
      </c>
      <c r="C1210" s="3" t="str">
        <f t="shared" si="18"/>
        <v>450014076410</v>
      </c>
      <c r="D1210" s="4">
        <v>46310</v>
      </c>
      <c r="E1210" s="3" t="s">
        <v>633</v>
      </c>
      <c r="F1210" s="3" t="s">
        <v>852</v>
      </c>
    </row>
    <row r="1211" spans="1:6" x14ac:dyDescent="0.3">
      <c r="A1211" s="3" t="s">
        <v>1235</v>
      </c>
      <c r="B1211" s="3" t="s">
        <v>33</v>
      </c>
      <c r="C1211" s="3" t="str">
        <f t="shared" si="18"/>
        <v>450014076710</v>
      </c>
      <c r="D1211" s="4">
        <v>46311</v>
      </c>
      <c r="E1211" s="3" t="s">
        <v>620</v>
      </c>
      <c r="F1211" s="3" t="s">
        <v>1264</v>
      </c>
    </row>
    <row r="1212" spans="1:6" x14ac:dyDescent="0.3">
      <c r="A1212" s="3" t="s">
        <v>1235</v>
      </c>
      <c r="B1212" s="3" t="s">
        <v>20</v>
      </c>
      <c r="C1212" s="3" t="str">
        <f t="shared" si="18"/>
        <v>450014076720</v>
      </c>
      <c r="D1212" s="4">
        <v>46311</v>
      </c>
      <c r="E1212" s="3" t="s">
        <v>620</v>
      </c>
      <c r="F1212" s="3" t="s">
        <v>1264</v>
      </c>
    </row>
    <row r="1213" spans="1:6" x14ac:dyDescent="0.3">
      <c r="A1213" s="3" t="s">
        <v>1235</v>
      </c>
      <c r="B1213" s="3" t="s">
        <v>21</v>
      </c>
      <c r="C1213" s="3" t="str">
        <f t="shared" si="18"/>
        <v>450014076730</v>
      </c>
      <c r="D1213" s="4">
        <v>46311</v>
      </c>
      <c r="E1213" s="3" t="s">
        <v>620</v>
      </c>
      <c r="F1213" s="3" t="s">
        <v>1264</v>
      </c>
    </row>
    <row r="1214" spans="1:6" x14ac:dyDescent="0.3">
      <c r="A1214" s="3" t="s">
        <v>1236</v>
      </c>
      <c r="B1214" s="3" t="s">
        <v>33</v>
      </c>
      <c r="C1214" s="3" t="str">
        <f t="shared" si="18"/>
        <v>450014083110</v>
      </c>
      <c r="D1214" s="4">
        <v>46328</v>
      </c>
      <c r="E1214" s="3" t="s">
        <v>614</v>
      </c>
      <c r="F1214" s="3" t="s">
        <v>711</v>
      </c>
    </row>
    <row r="1215" spans="1:6" x14ac:dyDescent="0.3">
      <c r="A1215" s="3" t="s">
        <v>1236</v>
      </c>
      <c r="B1215" s="3" t="s">
        <v>20</v>
      </c>
      <c r="C1215" s="3" t="str">
        <f t="shared" si="18"/>
        <v>450014083120</v>
      </c>
      <c r="D1215" s="4">
        <v>46328</v>
      </c>
      <c r="E1215" s="3" t="s">
        <v>614</v>
      </c>
      <c r="F1215" s="3" t="s">
        <v>711</v>
      </c>
    </row>
    <row r="1216" spans="1:6" x14ac:dyDescent="0.3">
      <c r="A1216" s="3" t="s">
        <v>1236</v>
      </c>
      <c r="B1216" s="3" t="s">
        <v>21</v>
      </c>
      <c r="C1216" s="3" t="str">
        <f t="shared" si="18"/>
        <v>450014083130</v>
      </c>
      <c r="D1216" s="4">
        <v>46328</v>
      </c>
      <c r="E1216" s="3" t="s">
        <v>614</v>
      </c>
      <c r="F1216" s="3" t="s">
        <v>711</v>
      </c>
    </row>
    <row r="1217" spans="1:6" x14ac:dyDescent="0.3">
      <c r="A1217" s="3" t="s">
        <v>1251</v>
      </c>
      <c r="B1217" s="3" t="s">
        <v>33</v>
      </c>
      <c r="C1217" s="3" t="str">
        <f t="shared" si="18"/>
        <v>450014089110</v>
      </c>
      <c r="D1217" s="4">
        <v>46329</v>
      </c>
      <c r="E1217" s="3" t="s">
        <v>614</v>
      </c>
      <c r="F1217" s="3" t="s">
        <v>711</v>
      </c>
    </row>
    <row r="1218" spans="1:6" x14ac:dyDescent="0.3">
      <c r="A1218" s="3" t="s">
        <v>1251</v>
      </c>
      <c r="B1218" s="3" t="s">
        <v>21</v>
      </c>
      <c r="C1218" s="3" t="str">
        <f t="shared" si="18"/>
        <v>450014089130</v>
      </c>
      <c r="D1218" s="4">
        <v>46329</v>
      </c>
      <c r="E1218" s="3" t="s">
        <v>614</v>
      </c>
      <c r="F1218" s="3" t="s">
        <v>711</v>
      </c>
    </row>
    <row r="1219" spans="1:6" x14ac:dyDescent="0.3">
      <c r="A1219" s="3" t="s">
        <v>1297</v>
      </c>
      <c r="B1219" s="3" t="s">
        <v>25</v>
      </c>
      <c r="C1219" s="3" t="str">
        <f t="shared" si="18"/>
        <v>450014099840</v>
      </c>
      <c r="D1219" s="4">
        <v>46356</v>
      </c>
      <c r="E1219" s="3" t="s">
        <v>612</v>
      </c>
      <c r="F1219" s="3" t="s">
        <v>730</v>
      </c>
    </row>
    <row r="1220" spans="1:6" x14ac:dyDescent="0.3">
      <c r="A1220" s="3" t="s">
        <v>1283</v>
      </c>
      <c r="B1220" s="3" t="s">
        <v>33</v>
      </c>
      <c r="C1220" s="3" t="str">
        <f t="shared" ref="C1220:C1259" si="19">_xlfn.CONCAT(A1220:B1220)</f>
        <v>450013493810</v>
      </c>
      <c r="D1220" s="4">
        <v>46320</v>
      </c>
      <c r="E1220" s="3" t="s">
        <v>612</v>
      </c>
      <c r="F1220" s="3" t="s">
        <v>731</v>
      </c>
    </row>
    <row r="1221" spans="1:6" x14ac:dyDescent="0.3">
      <c r="A1221" s="3" t="s">
        <v>1283</v>
      </c>
      <c r="B1221" s="3" t="s">
        <v>20</v>
      </c>
      <c r="C1221" s="3" t="str">
        <f t="shared" si="19"/>
        <v>450013493820</v>
      </c>
      <c r="D1221" s="4">
        <v>46255</v>
      </c>
      <c r="E1221" s="3" t="s">
        <v>612</v>
      </c>
      <c r="F1221" s="3" t="s">
        <v>731</v>
      </c>
    </row>
    <row r="1222" spans="1:6" x14ac:dyDescent="0.3">
      <c r="A1222" s="3" t="s">
        <v>1283</v>
      </c>
      <c r="B1222" s="3" t="s">
        <v>21</v>
      </c>
      <c r="C1222" s="3" t="str">
        <f t="shared" si="19"/>
        <v>450013493830</v>
      </c>
      <c r="D1222" s="4">
        <v>46275</v>
      </c>
      <c r="E1222" s="3" t="s">
        <v>612</v>
      </c>
      <c r="F1222" s="3" t="s">
        <v>731</v>
      </c>
    </row>
    <row r="1223" spans="1:6" x14ac:dyDescent="0.3">
      <c r="A1223" s="3" t="s">
        <v>1304</v>
      </c>
      <c r="B1223" s="3" t="s">
        <v>33</v>
      </c>
      <c r="C1223" s="3" t="str">
        <f t="shared" si="19"/>
        <v>450013539510</v>
      </c>
      <c r="D1223" s="4">
        <v>46315</v>
      </c>
      <c r="E1223" s="3" t="s">
        <v>612</v>
      </c>
      <c r="F1223" s="3" t="s">
        <v>848</v>
      </c>
    </row>
    <row r="1224" spans="1:6" x14ac:dyDescent="0.3">
      <c r="A1224" s="3" t="s">
        <v>1304</v>
      </c>
      <c r="B1224" s="3" t="s">
        <v>20</v>
      </c>
      <c r="C1224" s="3" t="str">
        <f t="shared" si="19"/>
        <v>450013539520</v>
      </c>
      <c r="D1224" s="4">
        <v>46290</v>
      </c>
      <c r="E1224" s="3" t="s">
        <v>612</v>
      </c>
      <c r="F1224" s="3" t="s">
        <v>848</v>
      </c>
    </row>
    <row r="1225" spans="1:6" x14ac:dyDescent="0.3">
      <c r="A1225" s="3" t="s">
        <v>1304</v>
      </c>
      <c r="B1225" s="3" t="s">
        <v>21</v>
      </c>
      <c r="C1225" s="3" t="str">
        <f t="shared" si="19"/>
        <v>450013539530</v>
      </c>
      <c r="D1225" s="4">
        <v>46290</v>
      </c>
      <c r="E1225" s="3" t="s">
        <v>612</v>
      </c>
      <c r="F1225" s="3" t="s">
        <v>848</v>
      </c>
    </row>
    <row r="1226" spans="1:6" x14ac:dyDescent="0.3">
      <c r="A1226" s="3" t="s">
        <v>1304</v>
      </c>
      <c r="B1226" s="3" t="s">
        <v>25</v>
      </c>
      <c r="C1226" s="3" t="str">
        <f t="shared" si="19"/>
        <v>450013539540</v>
      </c>
      <c r="D1226" s="4">
        <v>46290</v>
      </c>
      <c r="E1226" s="3" t="s">
        <v>612</v>
      </c>
      <c r="F1226" s="3" t="s">
        <v>848</v>
      </c>
    </row>
    <row r="1227" spans="1:6" x14ac:dyDescent="0.3">
      <c r="A1227" s="3" t="s">
        <v>1304</v>
      </c>
      <c r="B1227" s="3" t="s">
        <v>22</v>
      </c>
      <c r="C1227" s="3" t="str">
        <f t="shared" si="19"/>
        <v>450013539550</v>
      </c>
      <c r="D1227" s="4">
        <v>46290</v>
      </c>
      <c r="E1227" s="3" t="s">
        <v>612</v>
      </c>
      <c r="F1227" s="3" t="s">
        <v>848</v>
      </c>
    </row>
    <row r="1228" spans="1:6" x14ac:dyDescent="0.3">
      <c r="A1228" s="3" t="s">
        <v>1290</v>
      </c>
      <c r="B1228" s="3" t="s">
        <v>33</v>
      </c>
      <c r="C1228" s="3" t="str">
        <f t="shared" si="19"/>
        <v>450013875510</v>
      </c>
      <c r="D1228" s="4">
        <v>46288</v>
      </c>
      <c r="E1228" s="3" t="s">
        <v>612</v>
      </c>
      <c r="F1228" s="3" t="s">
        <v>718</v>
      </c>
    </row>
    <row r="1229" spans="1:6" x14ac:dyDescent="0.3">
      <c r="A1229" s="3" t="s">
        <v>1290</v>
      </c>
      <c r="B1229" s="3" t="s">
        <v>20</v>
      </c>
      <c r="C1229" s="3" t="str">
        <f t="shared" si="19"/>
        <v>450013875520</v>
      </c>
      <c r="D1229" s="4">
        <v>46288</v>
      </c>
      <c r="E1229" s="3" t="s">
        <v>612</v>
      </c>
      <c r="F1229" s="3" t="s">
        <v>718</v>
      </c>
    </row>
    <row r="1230" spans="1:6" x14ac:dyDescent="0.3">
      <c r="A1230" s="3" t="s">
        <v>1290</v>
      </c>
      <c r="B1230" s="3" t="s">
        <v>21</v>
      </c>
      <c r="C1230" s="3" t="str">
        <f t="shared" si="19"/>
        <v>450013875530</v>
      </c>
      <c r="D1230" s="4">
        <v>46307</v>
      </c>
      <c r="E1230" s="3" t="s">
        <v>612</v>
      </c>
      <c r="F1230" s="3" t="s">
        <v>718</v>
      </c>
    </row>
    <row r="1231" spans="1:6" x14ac:dyDescent="0.3">
      <c r="A1231" s="3" t="s">
        <v>1290</v>
      </c>
      <c r="B1231" s="3" t="s">
        <v>25</v>
      </c>
      <c r="C1231" s="3" t="str">
        <f t="shared" si="19"/>
        <v>450013875540</v>
      </c>
      <c r="D1231" s="4">
        <v>46288</v>
      </c>
      <c r="E1231" s="3" t="s">
        <v>612</v>
      </c>
      <c r="F1231" s="3" t="s">
        <v>718</v>
      </c>
    </row>
    <row r="1232" spans="1:6" x14ac:dyDescent="0.3">
      <c r="A1232" s="3" t="s">
        <v>1288</v>
      </c>
      <c r="B1232" s="3" t="s">
        <v>33</v>
      </c>
      <c r="C1232" s="3" t="str">
        <f t="shared" si="19"/>
        <v>450013937610</v>
      </c>
      <c r="D1232" s="4">
        <v>46310</v>
      </c>
      <c r="E1232" s="3" t="s">
        <v>612</v>
      </c>
      <c r="F1232" s="3" t="s">
        <v>718</v>
      </c>
    </row>
    <row r="1233" spans="1:6" x14ac:dyDescent="0.3">
      <c r="A1233" s="3" t="s">
        <v>1286</v>
      </c>
      <c r="B1233" s="3" t="s">
        <v>33</v>
      </c>
      <c r="C1233" s="3" t="str">
        <f t="shared" si="19"/>
        <v>450013947510</v>
      </c>
      <c r="D1233" s="4">
        <v>46313</v>
      </c>
      <c r="E1233" s="3" t="s">
        <v>612</v>
      </c>
      <c r="F1233" s="3" t="s">
        <v>718</v>
      </c>
    </row>
    <row r="1234" spans="1:6" x14ac:dyDescent="0.3">
      <c r="A1234" s="3" t="s">
        <v>1276</v>
      </c>
      <c r="B1234" s="3" t="s">
        <v>20</v>
      </c>
      <c r="C1234" s="3" t="str">
        <f t="shared" si="19"/>
        <v>450014026520</v>
      </c>
      <c r="D1234" s="4">
        <v>46307</v>
      </c>
      <c r="E1234" s="3" t="s">
        <v>614</v>
      </c>
      <c r="F1234" s="3" t="s">
        <v>730</v>
      </c>
    </row>
    <row r="1235" spans="1:6" x14ac:dyDescent="0.3">
      <c r="A1235" s="3" t="s">
        <v>1295</v>
      </c>
      <c r="B1235" s="3" t="s">
        <v>33</v>
      </c>
      <c r="C1235" s="3" t="str">
        <f t="shared" si="19"/>
        <v>450014051210</v>
      </c>
      <c r="D1235" s="4">
        <v>46317</v>
      </c>
      <c r="E1235" s="3" t="s">
        <v>642</v>
      </c>
      <c r="F1235" s="3" t="s">
        <v>718</v>
      </c>
    </row>
    <row r="1236" spans="1:6" x14ac:dyDescent="0.3">
      <c r="A1236" s="3" t="s">
        <v>1295</v>
      </c>
      <c r="B1236" s="3" t="s">
        <v>20</v>
      </c>
      <c r="C1236" s="3" t="str">
        <f t="shared" si="19"/>
        <v>450014051220</v>
      </c>
      <c r="D1236" s="4">
        <v>46317</v>
      </c>
      <c r="E1236" s="3" t="s">
        <v>642</v>
      </c>
      <c r="F1236" s="3" t="s">
        <v>718</v>
      </c>
    </row>
    <row r="1237" spans="1:6" x14ac:dyDescent="0.3">
      <c r="A1237" s="3" t="s">
        <v>1295</v>
      </c>
      <c r="B1237" s="3" t="s">
        <v>21</v>
      </c>
      <c r="C1237" s="3" t="str">
        <f t="shared" si="19"/>
        <v>450014051230</v>
      </c>
      <c r="D1237" s="4">
        <v>46317</v>
      </c>
      <c r="E1237" s="3" t="s">
        <v>642</v>
      </c>
      <c r="F1237" s="3" t="s">
        <v>718</v>
      </c>
    </row>
    <row r="1238" spans="1:6" x14ac:dyDescent="0.3">
      <c r="A1238" s="3" t="s">
        <v>1295</v>
      </c>
      <c r="B1238" s="3" t="s">
        <v>25</v>
      </c>
      <c r="C1238" s="3" t="str">
        <f t="shared" si="19"/>
        <v>450014051240</v>
      </c>
      <c r="D1238" s="4">
        <v>46317</v>
      </c>
      <c r="E1238" s="3" t="s">
        <v>642</v>
      </c>
      <c r="F1238" s="3" t="s">
        <v>718</v>
      </c>
    </row>
    <row r="1239" spans="1:6" x14ac:dyDescent="0.3">
      <c r="A1239" s="3" t="s">
        <v>1295</v>
      </c>
      <c r="B1239" s="3" t="s">
        <v>22</v>
      </c>
      <c r="C1239" s="3" t="str">
        <f t="shared" si="19"/>
        <v>450014051250</v>
      </c>
      <c r="D1239" s="4">
        <v>46317</v>
      </c>
      <c r="E1239" s="3" t="s">
        <v>642</v>
      </c>
      <c r="F1239" s="3" t="s">
        <v>718</v>
      </c>
    </row>
    <row r="1240" spans="1:6" x14ac:dyDescent="0.3">
      <c r="A1240" s="3" t="s">
        <v>1295</v>
      </c>
      <c r="B1240" s="3" t="s">
        <v>23</v>
      </c>
      <c r="C1240" s="3" t="str">
        <f t="shared" si="19"/>
        <v>450014051260</v>
      </c>
      <c r="D1240" s="4">
        <v>46317</v>
      </c>
      <c r="E1240" s="3" t="s">
        <v>642</v>
      </c>
      <c r="F1240" s="3" t="s">
        <v>718</v>
      </c>
    </row>
    <row r="1241" spans="1:6" x14ac:dyDescent="0.3">
      <c r="A1241" s="3" t="s">
        <v>1295</v>
      </c>
      <c r="B1241" s="3" t="s">
        <v>24</v>
      </c>
      <c r="C1241" s="3" t="str">
        <f t="shared" si="19"/>
        <v>450014051270</v>
      </c>
      <c r="D1241" s="4">
        <v>46317</v>
      </c>
      <c r="E1241" s="3" t="s">
        <v>642</v>
      </c>
      <c r="F1241" s="3" t="s">
        <v>718</v>
      </c>
    </row>
    <row r="1242" spans="1:6" x14ac:dyDescent="0.3">
      <c r="A1242" s="3" t="s">
        <v>1295</v>
      </c>
      <c r="B1242" s="3" t="s">
        <v>321</v>
      </c>
      <c r="C1242" s="3" t="str">
        <f t="shared" si="19"/>
        <v>450014051280</v>
      </c>
      <c r="D1242" s="4">
        <v>46317</v>
      </c>
      <c r="E1242" s="3" t="s">
        <v>642</v>
      </c>
      <c r="F1242" s="3" t="s">
        <v>718</v>
      </c>
    </row>
    <row r="1243" spans="1:6" x14ac:dyDescent="0.3">
      <c r="A1243" s="3" t="s">
        <v>1306</v>
      </c>
      <c r="B1243" s="3" t="s">
        <v>33</v>
      </c>
      <c r="C1243" s="3" t="str">
        <f t="shared" si="19"/>
        <v>450014052410</v>
      </c>
      <c r="D1243" s="4">
        <v>46320</v>
      </c>
      <c r="E1243" s="3" t="s">
        <v>624</v>
      </c>
      <c r="F1243" s="3" t="s">
        <v>777</v>
      </c>
    </row>
    <row r="1244" spans="1:6" x14ac:dyDescent="0.3">
      <c r="A1244" s="3" t="s">
        <v>1306</v>
      </c>
      <c r="B1244" s="3" t="s">
        <v>20</v>
      </c>
      <c r="C1244" s="3" t="str">
        <f t="shared" si="19"/>
        <v>450014052420</v>
      </c>
      <c r="D1244" s="4">
        <v>46320</v>
      </c>
      <c r="E1244" s="3" t="s">
        <v>624</v>
      </c>
      <c r="F1244" s="3" t="s">
        <v>777</v>
      </c>
    </row>
    <row r="1245" spans="1:6" x14ac:dyDescent="0.3">
      <c r="A1245" s="3" t="s">
        <v>1278</v>
      </c>
      <c r="B1245" s="3" t="s">
        <v>33</v>
      </c>
      <c r="C1245" s="3" t="str">
        <f t="shared" si="19"/>
        <v>450014056610</v>
      </c>
      <c r="D1245" s="4">
        <v>46320</v>
      </c>
      <c r="E1245" s="3" t="s">
        <v>614</v>
      </c>
      <c r="F1245" s="3" t="s">
        <v>730</v>
      </c>
    </row>
    <row r="1246" spans="1:6" x14ac:dyDescent="0.3">
      <c r="A1246" s="3" t="s">
        <v>1292</v>
      </c>
      <c r="B1246" s="3" t="s">
        <v>33</v>
      </c>
      <c r="C1246" s="3" t="str">
        <f t="shared" si="19"/>
        <v>450014087310</v>
      </c>
      <c r="D1246" s="4">
        <v>46339</v>
      </c>
      <c r="E1246" s="3" t="s">
        <v>612</v>
      </c>
      <c r="F1246" s="3" t="s">
        <v>730</v>
      </c>
    </row>
    <row r="1247" spans="1:6" x14ac:dyDescent="0.3">
      <c r="A1247" s="3" t="s">
        <v>1300</v>
      </c>
      <c r="B1247" s="3" t="s">
        <v>33</v>
      </c>
      <c r="C1247" s="3" t="str">
        <f t="shared" si="19"/>
        <v>450014090510</v>
      </c>
      <c r="D1247" s="4">
        <v>46310</v>
      </c>
      <c r="E1247" s="3" t="s">
        <v>611</v>
      </c>
      <c r="F1247" s="3" t="s">
        <v>1315</v>
      </c>
    </row>
    <row r="1248" spans="1:6" x14ac:dyDescent="0.3">
      <c r="A1248" s="3" t="s">
        <v>1300</v>
      </c>
      <c r="B1248" s="3" t="s">
        <v>20</v>
      </c>
      <c r="C1248" s="3" t="str">
        <f t="shared" si="19"/>
        <v>450014090520</v>
      </c>
      <c r="D1248" s="4">
        <v>46310</v>
      </c>
      <c r="E1248" s="3" t="s">
        <v>611</v>
      </c>
      <c r="F1248" s="3" t="s">
        <v>1315</v>
      </c>
    </row>
    <row r="1249" spans="1:6" x14ac:dyDescent="0.3">
      <c r="A1249" s="3" t="s">
        <v>1281</v>
      </c>
      <c r="B1249" s="3" t="s">
        <v>33</v>
      </c>
      <c r="C1249" s="3" t="str">
        <f t="shared" si="19"/>
        <v>450014092210</v>
      </c>
      <c r="D1249" s="4">
        <v>46310</v>
      </c>
      <c r="E1249" s="3" t="s">
        <v>618</v>
      </c>
      <c r="F1249" s="3" t="s">
        <v>1316</v>
      </c>
    </row>
    <row r="1250" spans="1:6" x14ac:dyDescent="0.3">
      <c r="A1250" s="3" t="s">
        <v>1273</v>
      </c>
      <c r="B1250" s="3" t="s">
        <v>33</v>
      </c>
      <c r="C1250" s="3" t="str">
        <f t="shared" si="19"/>
        <v>450014092510</v>
      </c>
      <c r="D1250" s="4">
        <v>46321</v>
      </c>
      <c r="E1250" s="3" t="s">
        <v>1141</v>
      </c>
      <c r="F1250" s="3" t="s">
        <v>729</v>
      </c>
    </row>
    <row r="1251" spans="1:6" x14ac:dyDescent="0.3">
      <c r="A1251" s="3" t="s">
        <v>1297</v>
      </c>
      <c r="B1251" s="3" t="s">
        <v>33</v>
      </c>
      <c r="C1251" s="3" t="str">
        <f t="shared" si="19"/>
        <v>450014099810</v>
      </c>
      <c r="D1251" s="4">
        <v>46329</v>
      </c>
      <c r="E1251" s="3" t="s">
        <v>612</v>
      </c>
      <c r="F1251" s="3" t="s">
        <v>730</v>
      </c>
    </row>
    <row r="1252" spans="1:6" x14ac:dyDescent="0.3">
      <c r="A1252" s="3" t="s">
        <v>1297</v>
      </c>
      <c r="B1252" s="3" t="s">
        <v>20</v>
      </c>
      <c r="C1252" s="3" t="str">
        <f t="shared" si="19"/>
        <v>450014099820</v>
      </c>
      <c r="D1252" s="4">
        <v>46329</v>
      </c>
      <c r="E1252" s="3" t="s">
        <v>612</v>
      </c>
      <c r="F1252" s="3" t="s">
        <v>730</v>
      </c>
    </row>
    <row r="1253" spans="1:6" x14ac:dyDescent="0.3">
      <c r="A1253" s="3" t="s">
        <v>1297</v>
      </c>
      <c r="B1253" s="3" t="s">
        <v>21</v>
      </c>
      <c r="C1253" s="3" t="str">
        <f t="shared" si="19"/>
        <v>450014099830</v>
      </c>
      <c r="D1253" s="4">
        <v>46329</v>
      </c>
      <c r="E1253" s="3" t="s">
        <v>612</v>
      </c>
      <c r="F1253" s="3" t="s">
        <v>730</v>
      </c>
    </row>
    <row r="1254" spans="1:6" x14ac:dyDescent="0.3">
      <c r="A1254" s="3" t="s">
        <v>1297</v>
      </c>
      <c r="B1254" s="3" t="s">
        <v>22</v>
      </c>
      <c r="C1254" s="3" t="str">
        <f t="shared" si="19"/>
        <v>450014099850</v>
      </c>
      <c r="D1254" s="4">
        <v>46329</v>
      </c>
      <c r="E1254" s="3" t="s">
        <v>612</v>
      </c>
      <c r="F1254" s="3" t="s">
        <v>730</v>
      </c>
    </row>
    <row r="1255" spans="1:6" x14ac:dyDescent="0.3">
      <c r="A1255" s="3" t="s">
        <v>1297</v>
      </c>
      <c r="B1255" s="3" t="s">
        <v>23</v>
      </c>
      <c r="C1255" s="3" t="str">
        <f t="shared" si="19"/>
        <v>450014099860</v>
      </c>
      <c r="D1255" s="4">
        <v>46329</v>
      </c>
      <c r="E1255" s="3" t="s">
        <v>612</v>
      </c>
      <c r="F1255" s="3" t="s">
        <v>730</v>
      </c>
    </row>
    <row r="1256" spans="1:6" x14ac:dyDescent="0.3">
      <c r="A1256" s="3" t="s">
        <v>1312</v>
      </c>
      <c r="B1256" s="3" t="s">
        <v>33</v>
      </c>
      <c r="C1256" s="3" t="str">
        <f t="shared" si="19"/>
        <v>450014104110</v>
      </c>
      <c r="D1256" s="4">
        <v>46325</v>
      </c>
      <c r="E1256" s="3" t="s">
        <v>988</v>
      </c>
      <c r="F1256" s="3" t="s">
        <v>1317</v>
      </c>
    </row>
    <row r="1257" spans="1:6" x14ac:dyDescent="0.3">
      <c r="A1257" s="3" t="s">
        <v>1314</v>
      </c>
      <c r="B1257" s="3" t="s">
        <v>33</v>
      </c>
      <c r="C1257" s="3" t="str">
        <f t="shared" si="19"/>
        <v>450014107110</v>
      </c>
      <c r="D1257" s="4">
        <v>46325</v>
      </c>
      <c r="E1257" s="3" t="s">
        <v>632</v>
      </c>
      <c r="F1257" s="3" t="s">
        <v>853</v>
      </c>
    </row>
    <row r="1258" spans="1:6" x14ac:dyDescent="0.3">
      <c r="A1258" s="3" t="s">
        <v>1302</v>
      </c>
      <c r="B1258" s="3" t="s">
        <v>33</v>
      </c>
      <c r="C1258" s="3" t="str">
        <f t="shared" si="19"/>
        <v>450014111210</v>
      </c>
      <c r="D1258" s="4">
        <v>46318</v>
      </c>
      <c r="E1258" s="3" t="s">
        <v>618</v>
      </c>
      <c r="F1258" s="3" t="s">
        <v>754</v>
      </c>
    </row>
    <row r="1259" spans="1:6" x14ac:dyDescent="0.3">
      <c r="A1259" s="3" t="s">
        <v>1309</v>
      </c>
      <c r="B1259" s="3" t="s">
        <v>33</v>
      </c>
      <c r="C1259" s="3" t="str">
        <f t="shared" si="19"/>
        <v>450014115710</v>
      </c>
      <c r="D1259" s="4">
        <v>46317</v>
      </c>
      <c r="E1259" s="3" t="s">
        <v>618</v>
      </c>
      <c r="F1259" s="3" t="s">
        <v>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Ezequiel Benitez</cp:lastModifiedBy>
  <cp:revision>1</cp:revision>
  <dcterms:modified xsi:type="dcterms:W3CDTF">2026-10-19T14:51:14Z</dcterms:modified>
  <cp:category/>
</cp:coreProperties>
</file>