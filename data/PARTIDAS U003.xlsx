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.benitez\Desktop\PARTIDAS ABIERTAS\"/>
    </mc:Choice>
  </mc:AlternateContent>
  <xr:revisionPtr revIDLastSave="0" documentId="13_ncr:1_{633AC65B-DFBD-4DEF-9193-1FD541E7209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1" r:id="rId1"/>
    <sheet name="Hoja2" sheetId="3" r:id="rId2"/>
    <sheet name="Hoja1" sheetId="2" r:id="rId3"/>
  </sheets>
  <definedNames>
    <definedName name="_xlnm._FilterDatabase" localSheetId="0" hidden="1">Data!$A$1:$T$215</definedName>
    <definedName name="_xlnm._FilterDatabase" localSheetId="1" hidden="1">Hoja2!$A$1:$D$334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3" i="3" l="1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356" i="3"/>
  <c r="C357" i="3"/>
  <c r="C358" i="3"/>
  <c r="C359" i="3"/>
  <c r="C360" i="3"/>
  <c r="C361" i="3"/>
  <c r="C362" i="3"/>
  <c r="C363" i="3"/>
  <c r="C364" i="3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2" i="3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P3" i="1"/>
  <c r="Q3" i="1" s="1" a="1"/>
  <c r="P4" i="1"/>
  <c r="Q4" i="1" s="1" a="1"/>
  <c r="P5" i="1"/>
  <c r="Q5" i="1" s="1" a="1"/>
  <c r="P6" i="1"/>
  <c r="Q6" i="1" s="1" a="1"/>
  <c r="P7" i="1"/>
  <c r="Q7" i="1" s="1" a="1"/>
  <c r="P8" i="1"/>
  <c r="Q8" i="1" s="1" a="1"/>
  <c r="P9" i="1"/>
  <c r="Q9" i="1" s="1" a="1"/>
  <c r="P10" i="1"/>
  <c r="Q10" i="1" s="1" a="1"/>
  <c r="P11" i="1"/>
  <c r="Q11" i="1" s="1" a="1"/>
  <c r="P12" i="1"/>
  <c r="Q12" i="1" s="1" a="1"/>
  <c r="P13" i="1"/>
  <c r="Q13" i="1" s="1" a="1"/>
  <c r="P14" i="1"/>
  <c r="Q14" i="1" s="1" a="1"/>
  <c r="P15" i="1"/>
  <c r="Q15" i="1" s="1" a="1"/>
  <c r="P16" i="1"/>
  <c r="Q16" i="1" s="1" a="1"/>
  <c r="P17" i="1"/>
  <c r="Q17" i="1" s="1" a="1"/>
  <c r="P18" i="1"/>
  <c r="Q18" i="1" s="1" a="1"/>
  <c r="P19" i="1"/>
  <c r="Q19" i="1" s="1" a="1"/>
  <c r="P20" i="1"/>
  <c r="Q20" i="1" s="1" a="1"/>
  <c r="P21" i="1"/>
  <c r="Q21" i="1" s="1" a="1"/>
  <c r="P22" i="1"/>
  <c r="Q22" i="1" s="1" a="1"/>
  <c r="P23" i="1"/>
  <c r="Q23" i="1" s="1" a="1"/>
  <c r="P24" i="1"/>
  <c r="Q24" i="1" s="1" a="1"/>
  <c r="P25" i="1"/>
  <c r="Q25" i="1" s="1" a="1"/>
  <c r="P26" i="1"/>
  <c r="Q26" i="1" s="1" a="1"/>
  <c r="P27" i="1"/>
  <c r="Q27" i="1" s="1" a="1"/>
  <c r="P28" i="1"/>
  <c r="Q28" i="1" s="1" a="1"/>
  <c r="P29" i="1"/>
  <c r="Q29" i="1" s="1" a="1"/>
  <c r="P30" i="1"/>
  <c r="Q30" i="1" s="1" a="1"/>
  <c r="P31" i="1"/>
  <c r="Q31" i="1" s="1" a="1"/>
  <c r="P32" i="1"/>
  <c r="Q32" i="1" s="1" a="1"/>
  <c r="P33" i="1"/>
  <c r="Q33" i="1" s="1" a="1"/>
  <c r="P34" i="1"/>
  <c r="Q34" i="1" s="1" a="1"/>
  <c r="P35" i="1"/>
  <c r="Q35" i="1" s="1" a="1"/>
  <c r="P36" i="1"/>
  <c r="Q36" i="1" s="1" a="1"/>
  <c r="P37" i="1"/>
  <c r="Q37" i="1" s="1" a="1"/>
  <c r="P38" i="1"/>
  <c r="Q38" i="1" s="1" a="1"/>
  <c r="P39" i="1"/>
  <c r="Q39" i="1" s="1" a="1"/>
  <c r="P40" i="1"/>
  <c r="Q40" i="1" s="1" a="1"/>
  <c r="P41" i="1"/>
  <c r="Q41" i="1" s="1" a="1"/>
  <c r="P42" i="1"/>
  <c r="Q42" i="1" s="1" a="1"/>
  <c r="P43" i="1"/>
  <c r="Q43" i="1" s="1" a="1"/>
  <c r="P44" i="1"/>
  <c r="Q44" i="1" s="1" a="1"/>
  <c r="P45" i="1"/>
  <c r="Q45" i="1" s="1" a="1"/>
  <c r="P46" i="1"/>
  <c r="Q46" i="1" s="1" a="1"/>
  <c r="P47" i="1"/>
  <c r="Q47" i="1" s="1" a="1"/>
  <c r="P48" i="1"/>
  <c r="Q48" i="1" s="1" a="1"/>
  <c r="P49" i="1"/>
  <c r="Q49" i="1" s="1" a="1"/>
  <c r="P50" i="1"/>
  <c r="Q50" i="1" s="1" a="1"/>
  <c r="P51" i="1"/>
  <c r="Q51" i="1" s="1" a="1"/>
  <c r="P52" i="1"/>
  <c r="Q52" i="1" s="1" a="1"/>
  <c r="P53" i="1"/>
  <c r="Q53" i="1" s="1" a="1"/>
  <c r="P54" i="1"/>
  <c r="Q54" i="1" s="1" a="1"/>
  <c r="P55" i="1"/>
  <c r="Q55" i="1" s="1" a="1"/>
  <c r="P56" i="1"/>
  <c r="Q56" i="1" s="1" a="1"/>
  <c r="P57" i="1"/>
  <c r="Q57" i="1" s="1" a="1"/>
  <c r="P58" i="1"/>
  <c r="Q58" i="1" s="1" a="1"/>
  <c r="P59" i="1"/>
  <c r="Q59" i="1" s="1" a="1"/>
  <c r="P60" i="1"/>
  <c r="Q60" i="1" s="1" a="1"/>
  <c r="P61" i="1"/>
  <c r="Q61" i="1" s="1" a="1"/>
  <c r="P62" i="1"/>
  <c r="Q62" i="1" s="1" a="1"/>
  <c r="P63" i="1"/>
  <c r="Q63" i="1" s="1" a="1"/>
  <c r="P64" i="1"/>
  <c r="Q64" i="1" s="1" a="1"/>
  <c r="P65" i="1"/>
  <c r="Q65" i="1" s="1" a="1"/>
  <c r="P66" i="1"/>
  <c r="Q66" i="1" s="1" a="1"/>
  <c r="P67" i="1"/>
  <c r="Q67" i="1" s="1" a="1"/>
  <c r="P68" i="1"/>
  <c r="Q68" i="1" s="1" a="1"/>
  <c r="P69" i="1"/>
  <c r="Q69" i="1" s="1" a="1"/>
  <c r="P70" i="1"/>
  <c r="Q70" i="1" s="1" a="1"/>
  <c r="P71" i="1"/>
  <c r="Q71" i="1" s="1" a="1"/>
  <c r="P72" i="1"/>
  <c r="Q72" i="1" s="1" a="1"/>
  <c r="P73" i="1"/>
  <c r="Q73" i="1" s="1" a="1"/>
  <c r="P74" i="1"/>
  <c r="Q74" i="1" s="1" a="1"/>
  <c r="P75" i="1"/>
  <c r="Q75" i="1" s="1" a="1"/>
  <c r="P76" i="1"/>
  <c r="Q76" i="1" s="1" a="1"/>
  <c r="P77" i="1"/>
  <c r="Q77" i="1" s="1" a="1"/>
  <c r="P78" i="1"/>
  <c r="Q78" i="1" s="1" a="1"/>
  <c r="P79" i="1"/>
  <c r="Q79" i="1" s="1" a="1"/>
  <c r="P80" i="1"/>
  <c r="Q80" i="1" s="1" a="1"/>
  <c r="P81" i="1"/>
  <c r="Q81" i="1" s="1" a="1"/>
  <c r="P82" i="1"/>
  <c r="Q82" i="1" s="1" a="1"/>
  <c r="P83" i="1"/>
  <c r="Q83" i="1" s="1" a="1"/>
  <c r="P84" i="1"/>
  <c r="Q84" i="1" s="1" a="1"/>
  <c r="P85" i="1"/>
  <c r="Q85" i="1" s="1" a="1"/>
  <c r="P86" i="1"/>
  <c r="Q86" i="1" s="1" a="1"/>
  <c r="P87" i="1"/>
  <c r="Q87" i="1" s="1" a="1"/>
  <c r="P88" i="1"/>
  <c r="Q88" i="1" s="1" a="1"/>
  <c r="P89" i="1"/>
  <c r="Q89" i="1" s="1" a="1"/>
  <c r="P90" i="1"/>
  <c r="Q90" i="1" s="1" a="1"/>
  <c r="P91" i="1"/>
  <c r="Q91" i="1" s="1" a="1"/>
  <c r="P92" i="1"/>
  <c r="Q92" i="1" s="1" a="1"/>
  <c r="P93" i="1"/>
  <c r="Q93" i="1" s="1" a="1"/>
  <c r="P94" i="1"/>
  <c r="Q94" i="1" s="1" a="1"/>
  <c r="P95" i="1"/>
  <c r="Q95" i="1" s="1" a="1"/>
  <c r="P96" i="1"/>
  <c r="Q96" i="1" s="1" a="1"/>
  <c r="P97" i="1"/>
  <c r="Q97" i="1" s="1" a="1"/>
  <c r="P98" i="1"/>
  <c r="Q98" i="1" s="1" a="1"/>
  <c r="P99" i="1"/>
  <c r="Q99" i="1" s="1" a="1"/>
  <c r="P100" i="1"/>
  <c r="Q100" i="1" s="1" a="1"/>
  <c r="P101" i="1"/>
  <c r="Q101" i="1" s="1" a="1"/>
  <c r="P102" i="1"/>
  <c r="Q102" i="1" s="1" a="1"/>
  <c r="P103" i="1"/>
  <c r="Q103" i="1" s="1" a="1"/>
  <c r="P104" i="1"/>
  <c r="Q104" i="1" s="1" a="1"/>
  <c r="P105" i="1"/>
  <c r="Q105" i="1" s="1" a="1"/>
  <c r="P106" i="1"/>
  <c r="Q106" i="1" s="1" a="1"/>
  <c r="P107" i="1"/>
  <c r="Q107" i="1" s="1" a="1"/>
  <c r="P108" i="1"/>
  <c r="Q108" i="1" s="1" a="1"/>
  <c r="P109" i="1"/>
  <c r="Q109" i="1" s="1" a="1"/>
  <c r="P110" i="1"/>
  <c r="Q110" i="1" s="1" a="1"/>
  <c r="P111" i="1"/>
  <c r="Q111" i="1" s="1" a="1"/>
  <c r="P112" i="1"/>
  <c r="Q112" i="1" s="1" a="1"/>
  <c r="P113" i="1"/>
  <c r="Q113" i="1" s="1" a="1"/>
  <c r="P114" i="1"/>
  <c r="Q114" i="1" s="1" a="1"/>
  <c r="P115" i="1"/>
  <c r="Q115" i="1" s="1" a="1"/>
  <c r="P116" i="1"/>
  <c r="Q116" i="1" s="1" a="1"/>
  <c r="P117" i="1"/>
  <c r="Q117" i="1" s="1" a="1"/>
  <c r="P118" i="1"/>
  <c r="Q118" i="1" s="1" a="1"/>
  <c r="P119" i="1"/>
  <c r="Q119" i="1" s="1" a="1"/>
  <c r="P120" i="1"/>
  <c r="Q120" i="1" s="1" a="1"/>
  <c r="P121" i="1"/>
  <c r="Q121" i="1" s="1" a="1"/>
  <c r="P122" i="1"/>
  <c r="Q122" i="1" s="1" a="1"/>
  <c r="P123" i="1"/>
  <c r="Q123" i="1" s="1" a="1"/>
  <c r="P124" i="1"/>
  <c r="Q124" i="1" s="1" a="1"/>
  <c r="P125" i="1"/>
  <c r="Q125" i="1" s="1" a="1"/>
  <c r="P126" i="1"/>
  <c r="Q126" i="1" s="1" a="1"/>
  <c r="P127" i="1"/>
  <c r="Q127" i="1" s="1" a="1"/>
  <c r="P128" i="1"/>
  <c r="Q128" i="1" s="1" a="1"/>
  <c r="P129" i="1"/>
  <c r="Q129" i="1" s="1" a="1"/>
  <c r="P130" i="1"/>
  <c r="Q130" i="1" s="1" a="1"/>
  <c r="P131" i="1"/>
  <c r="Q131" i="1" s="1" a="1"/>
  <c r="P132" i="1"/>
  <c r="Q132" i="1" s="1" a="1"/>
  <c r="P133" i="1"/>
  <c r="Q133" i="1" s="1" a="1"/>
  <c r="P134" i="1"/>
  <c r="Q134" i="1" s="1" a="1"/>
  <c r="P135" i="1"/>
  <c r="Q135" i="1" s="1" a="1"/>
  <c r="P136" i="1"/>
  <c r="Q136" i="1" s="1" a="1"/>
  <c r="P137" i="1"/>
  <c r="Q137" i="1" s="1" a="1"/>
  <c r="P138" i="1"/>
  <c r="Q138" i="1" s="1" a="1"/>
  <c r="P139" i="1"/>
  <c r="Q139" i="1" s="1" a="1"/>
  <c r="P140" i="1"/>
  <c r="Q140" i="1" s="1" a="1"/>
  <c r="P141" i="1"/>
  <c r="Q141" i="1" s="1" a="1"/>
  <c r="P142" i="1"/>
  <c r="Q142" i="1" s="1" a="1"/>
  <c r="P143" i="1"/>
  <c r="Q143" i="1" s="1" a="1"/>
  <c r="P144" i="1"/>
  <c r="Q144" i="1" s="1" a="1"/>
  <c r="P145" i="1"/>
  <c r="Q145" i="1" s="1" a="1"/>
  <c r="P146" i="1"/>
  <c r="Q146" i="1" s="1" a="1"/>
  <c r="P147" i="1"/>
  <c r="Q147" i="1" s="1" a="1"/>
  <c r="P148" i="1"/>
  <c r="Q148" i="1" s="1" a="1"/>
  <c r="P149" i="1"/>
  <c r="Q149" i="1" s="1" a="1"/>
  <c r="P150" i="1"/>
  <c r="Q150" i="1" s="1" a="1"/>
  <c r="P151" i="1"/>
  <c r="Q151" i="1" s="1" a="1"/>
  <c r="P152" i="1"/>
  <c r="Q152" i="1" s="1" a="1"/>
  <c r="P153" i="1"/>
  <c r="Q153" i="1" s="1" a="1"/>
  <c r="P154" i="1"/>
  <c r="Q154" i="1" s="1" a="1"/>
  <c r="P155" i="1"/>
  <c r="Q155" i="1" s="1" a="1"/>
  <c r="P156" i="1"/>
  <c r="Q156" i="1" s="1" a="1"/>
  <c r="P157" i="1"/>
  <c r="Q157" i="1" s="1" a="1"/>
  <c r="P158" i="1"/>
  <c r="Q158" i="1" s="1" a="1"/>
  <c r="P159" i="1"/>
  <c r="Q159" i="1" s="1" a="1"/>
  <c r="P160" i="1"/>
  <c r="Q160" i="1" s="1" a="1"/>
  <c r="P161" i="1"/>
  <c r="Q161" i="1" s="1" a="1"/>
  <c r="P162" i="1"/>
  <c r="Q162" i="1" s="1" a="1"/>
  <c r="P163" i="1"/>
  <c r="Q163" i="1" s="1" a="1"/>
  <c r="P164" i="1"/>
  <c r="Q164" i="1" s="1" a="1"/>
  <c r="P165" i="1"/>
  <c r="Q165" i="1" s="1" a="1"/>
  <c r="P166" i="1"/>
  <c r="Q166" i="1" s="1" a="1"/>
  <c r="P167" i="1"/>
  <c r="Q167" i="1" s="1" a="1"/>
  <c r="P168" i="1"/>
  <c r="Q168" i="1" s="1" a="1"/>
  <c r="P169" i="1"/>
  <c r="Q169" i="1" s="1" a="1"/>
  <c r="P170" i="1"/>
  <c r="Q170" i="1" s="1" a="1"/>
  <c r="P171" i="1"/>
  <c r="Q171" i="1" s="1" a="1"/>
  <c r="P172" i="1"/>
  <c r="Q172" i="1" s="1" a="1"/>
  <c r="P173" i="1"/>
  <c r="Q173" i="1" s="1" a="1"/>
  <c r="P174" i="1"/>
  <c r="Q174" i="1" s="1" a="1"/>
  <c r="P175" i="1"/>
  <c r="Q175" i="1" s="1" a="1"/>
  <c r="P176" i="1"/>
  <c r="Q176" i="1" s="1" a="1"/>
  <c r="P177" i="1"/>
  <c r="Q177" i="1" s="1" a="1"/>
  <c r="P178" i="1"/>
  <c r="Q178" i="1" s="1" a="1"/>
  <c r="P179" i="1"/>
  <c r="Q179" i="1" s="1" a="1"/>
  <c r="P180" i="1"/>
  <c r="Q180" i="1" s="1" a="1"/>
  <c r="P181" i="1"/>
  <c r="Q181" i="1" s="1" a="1"/>
  <c r="P182" i="1"/>
  <c r="Q182" i="1" s="1" a="1"/>
  <c r="P183" i="1"/>
  <c r="Q183" i="1" s="1" a="1"/>
  <c r="P184" i="1"/>
  <c r="Q184" i="1" s="1" a="1"/>
  <c r="P185" i="1"/>
  <c r="Q185" i="1" s="1" a="1"/>
  <c r="P186" i="1"/>
  <c r="Q186" i="1" s="1" a="1"/>
  <c r="P187" i="1"/>
  <c r="Q187" i="1" s="1" a="1"/>
  <c r="P188" i="1"/>
  <c r="Q188" i="1" s="1" a="1"/>
  <c r="P189" i="1"/>
  <c r="Q189" i="1" s="1" a="1"/>
  <c r="P190" i="1"/>
  <c r="Q190" i="1" s="1" a="1"/>
  <c r="P191" i="1"/>
  <c r="Q191" i="1" s="1" a="1"/>
  <c r="P192" i="1"/>
  <c r="Q192" i="1" s="1" a="1"/>
  <c r="P193" i="1"/>
  <c r="Q193" i="1" s="1" a="1"/>
  <c r="P194" i="1"/>
  <c r="Q194" i="1" s="1" a="1"/>
  <c r="P195" i="1"/>
  <c r="Q195" i="1" s="1" a="1"/>
  <c r="P196" i="1"/>
  <c r="Q196" i="1" s="1" a="1"/>
  <c r="P197" i="1"/>
  <c r="Q197" i="1" s="1" a="1"/>
  <c r="P198" i="1"/>
  <c r="Q198" i="1" s="1" a="1"/>
  <c r="P199" i="1"/>
  <c r="Q199" i="1" s="1" a="1"/>
  <c r="P200" i="1"/>
  <c r="Q200" i="1" s="1" a="1"/>
  <c r="P201" i="1"/>
  <c r="Q201" i="1" s="1" a="1"/>
  <c r="P202" i="1"/>
  <c r="Q202" i="1" s="1" a="1"/>
  <c r="P203" i="1"/>
  <c r="Q203" i="1" s="1" a="1"/>
  <c r="P204" i="1"/>
  <c r="Q204" i="1" s="1" a="1"/>
  <c r="P205" i="1"/>
  <c r="Q205" i="1" s="1" a="1"/>
  <c r="P206" i="1"/>
  <c r="Q206" i="1" s="1" a="1"/>
  <c r="P207" i="1"/>
  <c r="Q207" i="1" s="1" a="1"/>
  <c r="P208" i="1"/>
  <c r="Q208" i="1" s="1" a="1"/>
  <c r="P209" i="1"/>
  <c r="Q209" i="1" s="1" a="1"/>
  <c r="P210" i="1"/>
  <c r="Q210" i="1" s="1" a="1"/>
  <c r="P211" i="1"/>
  <c r="Q211" i="1" s="1" a="1"/>
  <c r="P212" i="1"/>
  <c r="Q212" i="1" s="1" a="1"/>
  <c r="P213" i="1"/>
  <c r="Q213" i="1" s="1" a="1"/>
  <c r="P214" i="1"/>
  <c r="Q214" i="1" s="1" a="1"/>
  <c r="P215" i="1"/>
  <c r="Q215" i="1" s="1" a="1"/>
  <c r="P2" i="1"/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" i="1"/>
  <c r="Q2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<sst xmlns="http://schemas.openxmlformats.org/spreadsheetml/2006/main" count="5809" uniqueCount="483">
  <si>
    <t>Icono part.abiertas/comp.</t>
  </si>
  <si>
    <t>Asignación</t>
  </si>
  <si>
    <t>Nº documento</t>
  </si>
  <si>
    <t>División</t>
  </si>
  <si>
    <t>Clase de documento</t>
  </si>
  <si>
    <t>Fecha de documento</t>
  </si>
  <si>
    <t>Clave contabiliz.</t>
  </si>
  <si>
    <t>Importe en moneda local</t>
  </si>
  <si>
    <t>Moneda local</t>
  </si>
  <si>
    <t>Indicador impuestos</t>
  </si>
  <si>
    <t>Doc.compensación</t>
  </si>
  <si>
    <t>Nombre</t>
  </si>
  <si>
    <t>Fe.contabilización</t>
  </si>
  <si>
    <t>Documento compras</t>
  </si>
  <si>
    <t>Posición</t>
  </si>
  <si>
    <t/>
  </si>
  <si>
    <t>GR</t>
  </si>
  <si>
    <t>86</t>
  </si>
  <si>
    <t>ARS</t>
  </si>
  <si>
    <t>C2</t>
  </si>
  <si>
    <t>HELING S.A.</t>
  </si>
  <si>
    <t>4500126363</t>
  </si>
  <si>
    <t>10</t>
  </si>
  <si>
    <t>1900000618</t>
  </si>
  <si>
    <t>C1</t>
  </si>
  <si>
    <t>4500127116</t>
  </si>
  <si>
    <t>4500114743</t>
  </si>
  <si>
    <t>320</t>
  </si>
  <si>
    <t>330</t>
  </si>
  <si>
    <t>5100000267</t>
  </si>
  <si>
    <t>RE</t>
  </si>
  <si>
    <t>5100000296</t>
  </si>
  <si>
    <t>40</t>
  </si>
  <si>
    <t>270</t>
  </si>
  <si>
    <t>5100000400</t>
  </si>
  <si>
    <t>ANTONIO B ATENOR E HIJOS S R L</t>
  </si>
  <si>
    <t>4500117831</t>
  </si>
  <si>
    <t>5100000461</t>
  </si>
  <si>
    <t>50</t>
  </si>
  <si>
    <t>30</t>
  </si>
  <si>
    <t>170</t>
  </si>
  <si>
    <t>480</t>
  </si>
  <si>
    <t>5100000636</t>
  </si>
  <si>
    <t>7000</t>
  </si>
  <si>
    <t>JACARANDA S.A.</t>
  </si>
  <si>
    <t>4500109514</t>
  </si>
  <si>
    <t>5100000828</t>
  </si>
  <si>
    <t>4500127295</t>
  </si>
  <si>
    <t>20</t>
  </si>
  <si>
    <t>5100001133</t>
  </si>
  <si>
    <t>96</t>
  </si>
  <si>
    <t>MARADONA PRADO ISABEL MARGARIT</t>
  </si>
  <si>
    <t>4500126954</t>
  </si>
  <si>
    <t>5100001148</t>
  </si>
  <si>
    <t>PRODUCTOS SERVICIOS Y DISTRIBUCIONE</t>
  </si>
  <si>
    <t>4500123262</t>
  </si>
  <si>
    <t>5100001289</t>
  </si>
  <si>
    <t>4500123036</t>
  </si>
  <si>
    <t>TRANSPORTE TMS S. A. S.</t>
  </si>
  <si>
    <t>4500128543</t>
  </si>
  <si>
    <t>5100001479</t>
  </si>
  <si>
    <t>4500137227</t>
  </si>
  <si>
    <t>5100001520</t>
  </si>
  <si>
    <t>4500137107</t>
  </si>
  <si>
    <t>SERVICIOS VIALES DE STA. FE SA</t>
  </si>
  <si>
    <t>4500129061</t>
  </si>
  <si>
    <t>60</t>
  </si>
  <si>
    <t>4500135587</t>
  </si>
  <si>
    <t>4500139175</t>
  </si>
  <si>
    <t>4500139598</t>
  </si>
  <si>
    <t>FLORES CARLOS FELIPE Y OTROS S H</t>
  </si>
  <si>
    <t>4500138464</t>
  </si>
  <si>
    <t>4500136353</t>
  </si>
  <si>
    <t>4500136455</t>
  </si>
  <si>
    <t>230</t>
  </si>
  <si>
    <t>GO CLEAN S.A.S.</t>
  </si>
  <si>
    <t>4500137799</t>
  </si>
  <si>
    <t>4500139325</t>
  </si>
  <si>
    <t>PROAR IMAGEN PROMOCIONAL SRL</t>
  </si>
  <si>
    <t>4500139670</t>
  </si>
  <si>
    <t>SALLAGO FEDERICO MIGUEL</t>
  </si>
  <si>
    <t>4500138147</t>
  </si>
  <si>
    <t>4500139011</t>
  </si>
  <si>
    <t>ARZE MIGUEL ANGEL</t>
  </si>
  <si>
    <t>4500139886</t>
  </si>
  <si>
    <t>70</t>
  </si>
  <si>
    <t>4500138691</t>
  </si>
  <si>
    <t>110</t>
  </si>
  <si>
    <t>120</t>
  </si>
  <si>
    <t>100</t>
  </si>
  <si>
    <t>90</t>
  </si>
  <si>
    <t>4500137922</t>
  </si>
  <si>
    <t>4500136943</t>
  </si>
  <si>
    <t>4500137130</t>
  </si>
  <si>
    <t>4500139004</t>
  </si>
  <si>
    <t>BLEXA S. A.</t>
  </si>
  <si>
    <t>4500135067</t>
  </si>
  <si>
    <t>4500137878</t>
  </si>
  <si>
    <t>4500137353</t>
  </si>
  <si>
    <t>4500139338</t>
  </si>
  <si>
    <t>4500139731</t>
  </si>
  <si>
    <t>WE</t>
  </si>
  <si>
    <t>4500112079</t>
  </si>
  <si>
    <t>4500113800</t>
  </si>
  <si>
    <t>5000000446</t>
  </si>
  <si>
    <t>BOLLINI S.A</t>
  </si>
  <si>
    <t>4500109841</t>
  </si>
  <si>
    <t>4500109709</t>
  </si>
  <si>
    <t>5000000641</t>
  </si>
  <si>
    <t>SALAS S.R.L</t>
  </si>
  <si>
    <t>4500121800</t>
  </si>
  <si>
    <t>5000000684</t>
  </si>
  <si>
    <t>HAULOTTE ARGENTINA S.A.</t>
  </si>
  <si>
    <t>4500110226</t>
  </si>
  <si>
    <t>5000000762</t>
  </si>
  <si>
    <t>5000000763</t>
  </si>
  <si>
    <t>4500114168</t>
  </si>
  <si>
    <t>5000001070</t>
  </si>
  <si>
    <t>FINNING ARGENTINA S.A.</t>
  </si>
  <si>
    <t>4500126872</t>
  </si>
  <si>
    <t>5000001120</t>
  </si>
  <si>
    <t>ZAMBRANA SAMUEL</t>
  </si>
  <si>
    <t>4500113920</t>
  </si>
  <si>
    <t>5000001126</t>
  </si>
  <si>
    <t>5000001132</t>
  </si>
  <si>
    <t>5000001174</t>
  </si>
  <si>
    <t>QUANTUM S.R.L.</t>
  </si>
  <si>
    <t>4500129674</t>
  </si>
  <si>
    <t>5000001231</t>
  </si>
  <si>
    <t>PLANTA REVESA SRL</t>
  </si>
  <si>
    <t>4500129754</t>
  </si>
  <si>
    <t>5000001272</t>
  </si>
  <si>
    <t>5000001301</t>
  </si>
  <si>
    <t>NSA ECO SRL</t>
  </si>
  <si>
    <t>4500131807</t>
  </si>
  <si>
    <t>5000001322</t>
  </si>
  <si>
    <t>4500131378</t>
  </si>
  <si>
    <t>4500130762</t>
  </si>
  <si>
    <t>IGARRETA MAQUINAS S.A.</t>
  </si>
  <si>
    <t>4500132138</t>
  </si>
  <si>
    <t>5000001443</t>
  </si>
  <si>
    <t>5000001452</t>
  </si>
  <si>
    <t>4500133814</t>
  </si>
  <si>
    <t>5000001456</t>
  </si>
  <si>
    <t>4500134022</t>
  </si>
  <si>
    <t>5000001460</t>
  </si>
  <si>
    <t>5000001466</t>
  </si>
  <si>
    <t>5000001490</t>
  </si>
  <si>
    <t>GASOL S.R.L.</t>
  </si>
  <si>
    <t>4500129890</t>
  </si>
  <si>
    <t>5000001492</t>
  </si>
  <si>
    <t>AUTOLUX SA</t>
  </si>
  <si>
    <t>4500133709</t>
  </si>
  <si>
    <t>5000001493</t>
  </si>
  <si>
    <t>4500128533</t>
  </si>
  <si>
    <t>TUKUY S.R.L.</t>
  </si>
  <si>
    <t>4500134631</t>
  </si>
  <si>
    <t>4500134256</t>
  </si>
  <si>
    <t>5000001565</t>
  </si>
  <si>
    <t>5000001568</t>
  </si>
  <si>
    <t>4500130750</t>
  </si>
  <si>
    <t>4500135119</t>
  </si>
  <si>
    <t>5000001581</t>
  </si>
  <si>
    <t>4500135669</t>
  </si>
  <si>
    <t>5000001587</t>
  </si>
  <si>
    <t>HERSAPEL SOCIEDAD DE RESPONSABILIDA</t>
  </si>
  <si>
    <t>4500136426</t>
  </si>
  <si>
    <t>5000001592</t>
  </si>
  <si>
    <t>4500136544</t>
  </si>
  <si>
    <t>80</t>
  </si>
  <si>
    <t>5000001609</t>
  </si>
  <si>
    <t>4500137046</t>
  </si>
  <si>
    <t>5000001611</t>
  </si>
  <si>
    <t>4500136896</t>
  </si>
  <si>
    <t>5000001625</t>
  </si>
  <si>
    <t>4500136625</t>
  </si>
  <si>
    <t>5000001649</t>
  </si>
  <si>
    <t>4500136542</t>
  </si>
  <si>
    <t>4500135495</t>
  </si>
  <si>
    <t>5000001656</t>
  </si>
  <si>
    <t>5000001660</t>
  </si>
  <si>
    <t>4500137888</t>
  </si>
  <si>
    <t>5000001662</t>
  </si>
  <si>
    <t>4500137886</t>
  </si>
  <si>
    <t>5000001682</t>
  </si>
  <si>
    <t>ESCANDINAVIA DEL PLATA SA</t>
  </si>
  <si>
    <t>4500137146</t>
  </si>
  <si>
    <t>4500138182</t>
  </si>
  <si>
    <t>4500135345</t>
  </si>
  <si>
    <t>5000001691</t>
  </si>
  <si>
    <t>4500138339</t>
  </si>
  <si>
    <t>4500138858</t>
  </si>
  <si>
    <t>4500138875</t>
  </si>
  <si>
    <t>130</t>
  </si>
  <si>
    <t>140</t>
  </si>
  <si>
    <t>150</t>
  </si>
  <si>
    <t>4500138865</t>
  </si>
  <si>
    <t>4500138869</t>
  </si>
  <si>
    <t>160</t>
  </si>
  <si>
    <t>4500138358</t>
  </si>
  <si>
    <t>4500139062</t>
  </si>
  <si>
    <t>5000001723</t>
  </si>
  <si>
    <t>4500139151</t>
  </si>
  <si>
    <t>5000001724</t>
  </si>
  <si>
    <t>4500138976</t>
  </si>
  <si>
    <t>4500139215</t>
  </si>
  <si>
    <t>4500139198</t>
  </si>
  <si>
    <t>4500139261</t>
  </si>
  <si>
    <t>4500139281</t>
  </si>
  <si>
    <t>4500139282</t>
  </si>
  <si>
    <t>5000001735</t>
  </si>
  <si>
    <t>4500139164</t>
  </si>
  <si>
    <t>5000001736</t>
  </si>
  <si>
    <t>4500139302</t>
  </si>
  <si>
    <t>4500137301</t>
  </si>
  <si>
    <t>5000001739</t>
  </si>
  <si>
    <t>4500139285</t>
  </si>
  <si>
    <t>5000001742</t>
  </si>
  <si>
    <t>4500138867</t>
  </si>
  <si>
    <t>4500139019</t>
  </si>
  <si>
    <t>4500139620</t>
  </si>
  <si>
    <t>4500139231</t>
  </si>
  <si>
    <t>5000001757</t>
  </si>
  <si>
    <t>5000001758</t>
  </si>
  <si>
    <t>4500139437</t>
  </si>
  <si>
    <t>5000001759</t>
  </si>
  <si>
    <t>4500139379</t>
  </si>
  <si>
    <t>5000001760</t>
  </si>
  <si>
    <t>4500139853</t>
  </si>
  <si>
    <t>5000001763</t>
  </si>
  <si>
    <t>4500139878</t>
  </si>
  <si>
    <t>4500139809</t>
  </si>
  <si>
    <t>5000001769</t>
  </si>
  <si>
    <t>JAWIT S.A.</t>
  </si>
  <si>
    <t>4500139245</t>
  </si>
  <si>
    <t>4500120184</t>
  </si>
  <si>
    <t>INTREC SAS</t>
  </si>
  <si>
    <t>4500139524</t>
  </si>
  <si>
    <t>4500139816</t>
  </si>
  <si>
    <t>5000001773</t>
  </si>
  <si>
    <t>LIBRERIA SAN PABLO S.R.L.</t>
  </si>
  <si>
    <t>4500140013</t>
  </si>
  <si>
    <t>5000001774</t>
  </si>
  <si>
    <t>4500140130</t>
  </si>
  <si>
    <t>4500139293</t>
  </si>
  <si>
    <t>5000001776</t>
  </si>
  <si>
    <t>4500140011</t>
  </si>
  <si>
    <t>4500137422</t>
  </si>
  <si>
    <t>4500134824</t>
  </si>
  <si>
    <t>4500139298</t>
  </si>
  <si>
    <t>5000001781</t>
  </si>
  <si>
    <t>4500139845</t>
  </si>
  <si>
    <t>CONCATENA</t>
  </si>
  <si>
    <t>Fecha de entrega</t>
  </si>
  <si>
    <t>Grupo de compras</t>
  </si>
  <si>
    <t>Proveedor/Centro suministrador</t>
  </si>
  <si>
    <t>C15</t>
  </si>
  <si>
    <t>1000000069 V.MASSON TRAP.CRUZ DEL SUR SA</t>
  </si>
  <si>
    <t>1000000104 TRANSPORTES LA SEVILLANITA SRL</t>
  </si>
  <si>
    <t>C25</t>
  </si>
  <si>
    <t>1000012097 TRANSPORTE TMS S. A. S.</t>
  </si>
  <si>
    <t>1000007510 LABTEC S. R. L.</t>
  </si>
  <si>
    <t>C01</t>
  </si>
  <si>
    <t>1000008967 JACARANDA S.A.</t>
  </si>
  <si>
    <t>1000012293 ZAMBRANA SAMUEL</t>
  </si>
  <si>
    <t>1000012132 PRODUCTOS SERVICIOS Y DISTRIBUCIONE</t>
  </si>
  <si>
    <t>390</t>
  </si>
  <si>
    <t>CGT</t>
  </si>
  <si>
    <t>1000001583 HELING S.A.</t>
  </si>
  <si>
    <t>C24</t>
  </si>
  <si>
    <t>1000012877 RASGIDO GASTON ANDRES</t>
  </si>
  <si>
    <t>1000009058 FLORES OSCAR ARIEL</t>
  </si>
  <si>
    <t>370</t>
  </si>
  <si>
    <t>1000013615 CAMPO BRAVO S. A. S.</t>
  </si>
  <si>
    <t>1000013466 INTREC SAS</t>
  </si>
  <si>
    <t>380</t>
  </si>
  <si>
    <t>C29</t>
  </si>
  <si>
    <t>1000007795 JAWIT S.A.</t>
  </si>
  <si>
    <t>1000000907 SERVICIOS VIALES DE STA. FE SA</t>
  </si>
  <si>
    <t>1000013513 ROLCAR SA</t>
  </si>
  <si>
    <t>1000007451 FLORES CARLOS FELIPE Y OTROS S H</t>
  </si>
  <si>
    <t>C27</t>
  </si>
  <si>
    <t>1000000295 BOLLINI S.A</t>
  </si>
  <si>
    <t>C03</t>
  </si>
  <si>
    <t>1000001123 HAULOTTE ARGENTINA S.A.</t>
  </si>
  <si>
    <t>C28</t>
  </si>
  <si>
    <t>1000007611 ANTONIO B ATENOR E HIJOS S R L</t>
  </si>
  <si>
    <t>1000007609 EXTINGNORT S.R.L.</t>
  </si>
  <si>
    <t>180</t>
  </si>
  <si>
    <t>190</t>
  </si>
  <si>
    <t>200</t>
  </si>
  <si>
    <t>210</t>
  </si>
  <si>
    <t>290</t>
  </si>
  <si>
    <t>300</t>
  </si>
  <si>
    <t>310</t>
  </si>
  <si>
    <t>340</t>
  </si>
  <si>
    <t>350</t>
  </si>
  <si>
    <t>360</t>
  </si>
  <si>
    <t>400</t>
  </si>
  <si>
    <t>410</t>
  </si>
  <si>
    <t>420</t>
  </si>
  <si>
    <t>430</t>
  </si>
  <si>
    <t>440</t>
  </si>
  <si>
    <t>450</t>
  </si>
  <si>
    <t>460</t>
  </si>
  <si>
    <t>470</t>
  </si>
  <si>
    <t>550</t>
  </si>
  <si>
    <t>560</t>
  </si>
  <si>
    <t>570</t>
  </si>
  <si>
    <t>1000010642 SALAS S.R.L</t>
  </si>
  <si>
    <t>1000000062 FINNING ARGENTINA S.A.</t>
  </si>
  <si>
    <t>1000001560 MARADONA PRADO ISABEL MARGARIT</t>
  </si>
  <si>
    <t>F13</t>
  </si>
  <si>
    <t>1000010146 QUANTUM S.R.L.</t>
  </si>
  <si>
    <t>1000008707 PLANTA REVESA SRL</t>
  </si>
  <si>
    <t>1000007890 GASOL S.R.L.</t>
  </si>
  <si>
    <t>F05</t>
  </si>
  <si>
    <t>1000009607 ELEVA MUNDO S.R.L.</t>
  </si>
  <si>
    <t>F04</t>
  </si>
  <si>
    <t>1000003790 NSA ECO SRL</t>
  </si>
  <si>
    <t>1000000012 IGARRETA MAQUINAS S.A.</t>
  </si>
  <si>
    <t>1000000566 AUTOLUX SA</t>
  </si>
  <si>
    <t>1000007607 TUKUY S.R.L.</t>
  </si>
  <si>
    <t>1000012974 BLEXA S. A.</t>
  </si>
  <si>
    <t>F03</t>
  </si>
  <si>
    <t>L01</t>
  </si>
  <si>
    <t>C43</t>
  </si>
  <si>
    <t>1000001550 OLIVARES ANTONIO ALBERTO</t>
  </si>
  <si>
    <t>1000007766 HERSAPEL SOCIEDAD DE RESPONSABILIDA</t>
  </si>
  <si>
    <t>220</t>
  </si>
  <si>
    <t>240</t>
  </si>
  <si>
    <t>1000012043 PROAR IMAGEN PROMOCIONAL SRL</t>
  </si>
  <si>
    <t>1000001035 SYS IMPORT S.R.L.</t>
  </si>
  <si>
    <t>F06</t>
  </si>
  <si>
    <t>1000000561 ESCANDINAVIA DEL PLATA SA</t>
  </si>
  <si>
    <t>1000000189 POBERAJ S.A.</t>
  </si>
  <si>
    <t>C17</t>
  </si>
  <si>
    <t>1000012333 GO CLEAN S.A.S.</t>
  </si>
  <si>
    <t>1000011519 SALLAGO FEDERICO MIGUEL</t>
  </si>
  <si>
    <t>1000010268 YEMA REPUESTOS SRL</t>
  </si>
  <si>
    <t>G04</t>
  </si>
  <si>
    <t>1000000190 FERNANDEZ INSUA S.A.</t>
  </si>
  <si>
    <t>G05</t>
  </si>
  <si>
    <t>1000001129 AGRONORTE S.R.L.</t>
  </si>
  <si>
    <t>1000007610 IMPLEMENTOS INDUSTRIALES S R L</t>
  </si>
  <si>
    <t>1000010215 ARZE MIGUEL ANGEL</t>
  </si>
  <si>
    <t>1000001691 LENOR SRL</t>
  </si>
  <si>
    <t>1000003040 LOPEZ DIESEL S.A.</t>
  </si>
  <si>
    <t>1000008805 SAKURA MOTORS S. A.</t>
  </si>
  <si>
    <t>1000010025 RAMOS MARIO SEBASTIAN</t>
  </si>
  <si>
    <t>C22</t>
  </si>
  <si>
    <t>1000000003 ARROYITO MAQUINARIAS S.R.L.</t>
  </si>
  <si>
    <t>1000012527 FAES DISTRIBUCIONES S.R.L.</t>
  </si>
  <si>
    <t>1000008136 LIBRERIA SAN PABLO S.R.L.</t>
  </si>
  <si>
    <t>NRO. OC</t>
  </si>
  <si>
    <t>POS. OC</t>
  </si>
  <si>
    <t>OPERADOR OC</t>
  </si>
  <si>
    <t>MMOHR</t>
  </si>
  <si>
    <t>JESPARZA</t>
  </si>
  <si>
    <t>EFUNES</t>
  </si>
  <si>
    <t>MPITTIA</t>
  </si>
  <si>
    <t>GJULIANI</t>
  </si>
  <si>
    <t>GDIAZ</t>
  </si>
  <si>
    <t>GLUNA</t>
  </si>
  <si>
    <t>WVENTURINI</t>
  </si>
  <si>
    <t>RPEREZ</t>
  </si>
  <si>
    <t>AZAPANA</t>
  </si>
  <si>
    <t>PRODRIGUEZ</t>
  </si>
  <si>
    <t>FBERARDO</t>
  </si>
  <si>
    <t>MFREIJOMIL</t>
  </si>
  <si>
    <t>JPUPULIN</t>
  </si>
  <si>
    <t>ALOPEZ</t>
  </si>
  <si>
    <t>4500140317</t>
  </si>
  <si>
    <t>5000001784</t>
  </si>
  <si>
    <t>HUGO SANCHEZ S.A.</t>
  </si>
  <si>
    <t>4500139093</t>
  </si>
  <si>
    <t>4500136623</t>
  </si>
  <si>
    <t>4500139575</t>
  </si>
  <si>
    <t>5000001787</t>
  </si>
  <si>
    <t>4500140360</t>
  </si>
  <si>
    <t>4500139873</t>
  </si>
  <si>
    <t>4500139814</t>
  </si>
  <si>
    <t>4500139581</t>
  </si>
  <si>
    <t>4500139471</t>
  </si>
  <si>
    <t>5000001792</t>
  </si>
  <si>
    <t>4500140423</t>
  </si>
  <si>
    <t>5000001793</t>
  </si>
  <si>
    <t>5000001796</t>
  </si>
  <si>
    <t>SPEED BUSINESS S. A.</t>
  </si>
  <si>
    <t>4500140462</t>
  </si>
  <si>
    <t>4500139136</t>
  </si>
  <si>
    <t>1000000077 HUGO SANCHEZ S.A.</t>
  </si>
  <si>
    <t>1000006932 GUSTAVO CANO NEUMATICOS S.A.</t>
  </si>
  <si>
    <t>1000000388 WURTH ARGENTINA S.A.</t>
  </si>
  <si>
    <t>C38</t>
  </si>
  <si>
    <t>1000006823 SPEED BUSINESS S. A.</t>
  </si>
  <si>
    <t>5100001614</t>
  </si>
  <si>
    <t>4500138923</t>
  </si>
  <si>
    <t>5100001616</t>
  </si>
  <si>
    <t>4500135250</t>
  </si>
  <si>
    <t>4500140652</t>
  </si>
  <si>
    <t>4500140430</t>
  </si>
  <si>
    <t>5000001805</t>
  </si>
  <si>
    <t>5000001806</t>
  </si>
  <si>
    <t>JUVEGUMER S. A. S.</t>
  </si>
  <si>
    <t>4500140245</t>
  </si>
  <si>
    <t>5000001807</t>
  </si>
  <si>
    <t>4500139803</t>
  </si>
  <si>
    <t>5000001808</t>
  </si>
  <si>
    <t>4500133109</t>
  </si>
  <si>
    <t>5000001812</t>
  </si>
  <si>
    <t>4500140385</t>
  </si>
  <si>
    <t>5000001813</t>
  </si>
  <si>
    <t>4500140392</t>
  </si>
  <si>
    <t>5000001814</t>
  </si>
  <si>
    <t>4500140383</t>
  </si>
  <si>
    <t>5000001815</t>
  </si>
  <si>
    <t>4500140509</t>
  </si>
  <si>
    <t>4500139808</t>
  </si>
  <si>
    <t>5000001817</t>
  </si>
  <si>
    <t>4500140414</t>
  </si>
  <si>
    <t>5000001818</t>
  </si>
  <si>
    <t>4500140642</t>
  </si>
  <si>
    <t>5000001819</t>
  </si>
  <si>
    <t>4500139736</t>
  </si>
  <si>
    <t>5000001820</t>
  </si>
  <si>
    <t>5000001822</t>
  </si>
  <si>
    <t>SORAIRE GUILLERMO FEDERICO</t>
  </si>
  <si>
    <t>4500127673</t>
  </si>
  <si>
    <t>4500140645</t>
  </si>
  <si>
    <t>AGV</t>
  </si>
  <si>
    <t>1000010140 JUVEGUMER S. A. S.</t>
  </si>
  <si>
    <t>1000012200 SORAIRE GUILLERMO FEDERICO</t>
  </si>
  <si>
    <t>1000003804 ALL DRILL S.A.</t>
  </si>
  <si>
    <t>1000008978 SOSA JOSE JAVIER</t>
  </si>
  <si>
    <t>1000008039 BARRIOS FROILAN</t>
  </si>
  <si>
    <t>4500140682</t>
  </si>
  <si>
    <t>5000001828</t>
  </si>
  <si>
    <t>4500140688</t>
  </si>
  <si>
    <t>4500140625</t>
  </si>
  <si>
    <t>5000001831</t>
  </si>
  <si>
    <t>4500140648</t>
  </si>
  <si>
    <t>5000001832</t>
  </si>
  <si>
    <t>4500140647</t>
  </si>
  <si>
    <t>5000001833</t>
  </si>
  <si>
    <t>4500140742</t>
  </si>
  <si>
    <t>5000001834</t>
  </si>
  <si>
    <t>DISTRIBUIDORA MAESTRO SRL</t>
  </si>
  <si>
    <t>4500140372</t>
  </si>
  <si>
    <t>4500140739</t>
  </si>
  <si>
    <t>4500140702</t>
  </si>
  <si>
    <t>5000001837</t>
  </si>
  <si>
    <t>GOMEZ ROCO Y CIA S R L</t>
  </si>
  <si>
    <t>4500140794</t>
  </si>
  <si>
    <t>5000001838</t>
  </si>
  <si>
    <t>4500139201</t>
  </si>
  <si>
    <t>4500140812</t>
  </si>
  <si>
    <t>1000011936 MORENO VARGAS LUCIANA GISEL</t>
  </si>
  <si>
    <t>1000007461 DISTRIBUIDORA MAESTRO SRL</t>
  </si>
  <si>
    <t>1000008360 GOMEZ ROCO Y CIA S R L</t>
  </si>
  <si>
    <t>LHANCEVICH</t>
  </si>
  <si>
    <t>5100001637</t>
  </si>
  <si>
    <t>JUAN ANTONIO GUZMAN E HIJOS SRL</t>
  </si>
  <si>
    <t>4500134628</t>
  </si>
  <si>
    <t>5000001841</t>
  </si>
  <si>
    <t>COPA JORGE ALEJANDRO</t>
  </si>
  <si>
    <t>4500141005</t>
  </si>
  <si>
    <t>5000001844</t>
  </si>
  <si>
    <t>4500141053</t>
  </si>
  <si>
    <t>5000001845</t>
  </si>
  <si>
    <t>4500140792</t>
  </si>
  <si>
    <t>5000001846</t>
  </si>
  <si>
    <t>5000001847</t>
  </si>
  <si>
    <t>4500141064</t>
  </si>
  <si>
    <t>5000001848</t>
  </si>
  <si>
    <t>4500140730</t>
  </si>
  <si>
    <t>5000001849</t>
  </si>
  <si>
    <t>4500140888</t>
  </si>
  <si>
    <t>5000001850</t>
  </si>
  <si>
    <t>IMPLEMENTOS INDUSTRIALES S R L</t>
  </si>
  <si>
    <t>4500140971</t>
  </si>
  <si>
    <t>1000013440 JUAN ANTONIO GUZMAN E HIJOS SRL</t>
  </si>
  <si>
    <t>1000012663 COPA JORGE ALEJANDRO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</si>
</sst>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 indent="2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4" fontId="1" fillId="0" borderId="0" xfId="0" quotePrefix="1" applyNumberFormat="1" applyFont="1" applyAlignment="1">
      <alignment vertical="top"/>
    </xf>
    <xf numFmtId="14" fontId="0" fillId="0" borderId="0" xfId="0" applyNumberFormat="1" applyAlignment="1">
      <alignment vertical="top"/>
    </xf>
    <xf numFmtId="3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133350</xdr:rowOff>
    </xdr:to>
    <xdr:pic>
      <xdr:nvPicPr>
        <xdr:cNvPr id="2" name="Picture@5C\QPendientes@" descr="@5C\QPendientes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133350</xdr:rowOff>
    </xdr:to>
    <xdr:pic>
      <xdr:nvPicPr>
        <xdr:cNvPr id="3" name="Picture@5C\QPendientes@" descr="@5C\QPendientes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133350</xdr:rowOff>
    </xdr:to>
    <xdr:pic>
      <xdr:nvPicPr>
        <xdr:cNvPr id="4" name="Picture@5C\QPendientes@" descr="@5C\QPendientes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133350</xdr:rowOff>
    </xdr:to>
    <xdr:pic>
      <xdr:nvPicPr>
        <xdr:cNvPr id="5" name="Picture@5C\QPendientes@" descr="@5C\QPendientes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133350</xdr:rowOff>
    </xdr:to>
    <xdr:pic>
      <xdr:nvPicPr>
        <xdr:cNvPr id="6" name="Picture@5C\QPendientes@" descr="@5C\QPendientes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133350</xdr:rowOff>
    </xdr:to>
    <xdr:pic>
      <xdr:nvPicPr>
        <xdr:cNvPr id="7" name="Picture@5C\QPendientes@" descr="@5C\QPendientes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133350</xdr:rowOff>
    </xdr:to>
    <xdr:pic>
      <xdr:nvPicPr>
        <xdr:cNvPr id="8" name="Picture@5C\QPendientes@" descr="@5C\QPendientes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133350</xdr:rowOff>
    </xdr:to>
    <xdr:pic>
      <xdr:nvPicPr>
        <xdr:cNvPr id="9" name="Picture@5C\QPendientes@" descr="@5C\QPendientes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133350</xdr:rowOff>
    </xdr:to>
    <xdr:pic>
      <xdr:nvPicPr>
        <xdr:cNvPr id="10" name="Picture@5C\QPendientes@" descr="@5C\QPendientes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133350</xdr:rowOff>
    </xdr:to>
    <xdr:pic>
      <xdr:nvPicPr>
        <xdr:cNvPr id="11" name="Picture@5C\QPendientes@" descr="@5C\QPendientes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133350</xdr:rowOff>
    </xdr:to>
    <xdr:pic>
      <xdr:nvPicPr>
        <xdr:cNvPr id="12" name="Picture@5C\QPendientes@" descr="@5C\QPendientes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133350</xdr:rowOff>
    </xdr:to>
    <xdr:pic>
      <xdr:nvPicPr>
        <xdr:cNvPr id="13" name="Picture@5C\QPendientes@" descr="@5C\QPendientes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133350</xdr:rowOff>
    </xdr:to>
    <xdr:pic>
      <xdr:nvPicPr>
        <xdr:cNvPr id="14" name="Picture@5C\QPendientes@" descr="@5C\QPendientes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133350</xdr:rowOff>
    </xdr:to>
    <xdr:pic>
      <xdr:nvPicPr>
        <xdr:cNvPr id="15" name="Picture@5C\QPendientes@" descr="@5C\QPendientes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133350</xdr:rowOff>
    </xdr:to>
    <xdr:pic>
      <xdr:nvPicPr>
        <xdr:cNvPr id="16" name="Picture@5C\QPendientes@" descr="@5C\QPendientes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171450</xdr:colOff>
      <xdr:row>16</xdr:row>
      <xdr:rowOff>133350</xdr:rowOff>
    </xdr:to>
    <xdr:pic>
      <xdr:nvPicPr>
        <xdr:cNvPr id="17" name="Picture@5C\QPendientes@" descr="@5C\QPendientes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</xdr:row>
      <xdr:rowOff>0</xdr:rowOff>
    </xdr:from>
    <xdr:to>
      <xdr:col>0</xdr:col>
      <xdr:colOff>171450</xdr:colOff>
      <xdr:row>17</xdr:row>
      <xdr:rowOff>133350</xdr:rowOff>
    </xdr:to>
    <xdr:pic>
      <xdr:nvPicPr>
        <xdr:cNvPr id="18" name="Picture@5C\QPendientes@" descr="@5C\QPendientes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</xdr:row>
      <xdr:rowOff>0</xdr:rowOff>
    </xdr:from>
    <xdr:to>
      <xdr:col>0</xdr:col>
      <xdr:colOff>171450</xdr:colOff>
      <xdr:row>18</xdr:row>
      <xdr:rowOff>133350</xdr:rowOff>
    </xdr:to>
    <xdr:pic>
      <xdr:nvPicPr>
        <xdr:cNvPr id="19" name="Picture@5C\QPendientes@" descr="@5C\QPendientes@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</xdr:row>
      <xdr:rowOff>0</xdr:rowOff>
    </xdr:from>
    <xdr:to>
      <xdr:col>0</xdr:col>
      <xdr:colOff>171450</xdr:colOff>
      <xdr:row>19</xdr:row>
      <xdr:rowOff>133350</xdr:rowOff>
    </xdr:to>
    <xdr:pic>
      <xdr:nvPicPr>
        <xdr:cNvPr id="20" name="Picture@5C\QPendientes@" descr="@5C\QPendientes@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</xdr:row>
      <xdr:rowOff>0</xdr:rowOff>
    </xdr:from>
    <xdr:to>
      <xdr:col>0</xdr:col>
      <xdr:colOff>171450</xdr:colOff>
      <xdr:row>20</xdr:row>
      <xdr:rowOff>133350</xdr:rowOff>
    </xdr:to>
    <xdr:pic>
      <xdr:nvPicPr>
        <xdr:cNvPr id="21" name="Picture@5C\QPendientes@" descr="@5C\QPendientes@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</xdr:row>
      <xdr:rowOff>0</xdr:rowOff>
    </xdr:from>
    <xdr:to>
      <xdr:col>0</xdr:col>
      <xdr:colOff>171450</xdr:colOff>
      <xdr:row>21</xdr:row>
      <xdr:rowOff>133350</xdr:rowOff>
    </xdr:to>
    <xdr:pic>
      <xdr:nvPicPr>
        <xdr:cNvPr id="22" name="Picture@5C\QPendientes@" descr="@5C\QPendientes@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171450</xdr:colOff>
      <xdr:row>22</xdr:row>
      <xdr:rowOff>133350</xdr:rowOff>
    </xdr:to>
    <xdr:pic>
      <xdr:nvPicPr>
        <xdr:cNvPr id="23" name="Picture@5C\QPendientes@" descr="@5C\QPendientes@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</xdr:row>
      <xdr:rowOff>0</xdr:rowOff>
    </xdr:from>
    <xdr:to>
      <xdr:col>0</xdr:col>
      <xdr:colOff>171450</xdr:colOff>
      <xdr:row>23</xdr:row>
      <xdr:rowOff>133350</xdr:rowOff>
    </xdr:to>
    <xdr:pic>
      <xdr:nvPicPr>
        <xdr:cNvPr id="24" name="Picture@5C\QPendientes@" descr="@5C\QPendientes@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</xdr:row>
      <xdr:rowOff>0</xdr:rowOff>
    </xdr:from>
    <xdr:to>
      <xdr:col>0</xdr:col>
      <xdr:colOff>171450</xdr:colOff>
      <xdr:row>24</xdr:row>
      <xdr:rowOff>133350</xdr:rowOff>
    </xdr:to>
    <xdr:pic>
      <xdr:nvPicPr>
        <xdr:cNvPr id="25" name="Picture@5C\QPendientes@" descr="@5C\QPendientes@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</xdr:row>
      <xdr:rowOff>0</xdr:rowOff>
    </xdr:from>
    <xdr:to>
      <xdr:col>0</xdr:col>
      <xdr:colOff>171450</xdr:colOff>
      <xdr:row>25</xdr:row>
      <xdr:rowOff>133350</xdr:rowOff>
    </xdr:to>
    <xdr:pic>
      <xdr:nvPicPr>
        <xdr:cNvPr id="26" name="Picture@5C\QPendientes@" descr="@5C\QPendientes@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</xdr:row>
      <xdr:rowOff>0</xdr:rowOff>
    </xdr:from>
    <xdr:to>
      <xdr:col>0</xdr:col>
      <xdr:colOff>171450</xdr:colOff>
      <xdr:row>26</xdr:row>
      <xdr:rowOff>133350</xdr:rowOff>
    </xdr:to>
    <xdr:pic>
      <xdr:nvPicPr>
        <xdr:cNvPr id="27" name="Picture@5C\QPendientes@" descr="@5C\QPendientes@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171450</xdr:colOff>
      <xdr:row>27</xdr:row>
      <xdr:rowOff>133350</xdr:rowOff>
    </xdr:to>
    <xdr:pic>
      <xdr:nvPicPr>
        <xdr:cNvPr id="28" name="Picture@5C\QPendientes@" descr="@5C\QPendientes@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133350</xdr:rowOff>
    </xdr:to>
    <xdr:pic>
      <xdr:nvPicPr>
        <xdr:cNvPr id="29" name="Picture@5C\QPendientes@" descr="@5C\QPendientes@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133350</xdr:rowOff>
    </xdr:to>
    <xdr:pic>
      <xdr:nvPicPr>
        <xdr:cNvPr id="30" name="Picture@5C\QPendientes@" descr="@5C\QPendientes@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</xdr:row>
      <xdr:rowOff>0</xdr:rowOff>
    </xdr:from>
    <xdr:to>
      <xdr:col>0</xdr:col>
      <xdr:colOff>171450</xdr:colOff>
      <xdr:row>30</xdr:row>
      <xdr:rowOff>133350</xdr:rowOff>
    </xdr:to>
    <xdr:pic>
      <xdr:nvPicPr>
        <xdr:cNvPr id="31" name="Picture@5C\QPendientes@" descr="@5C\QPendientes@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171450</xdr:colOff>
      <xdr:row>31</xdr:row>
      <xdr:rowOff>133350</xdr:rowOff>
    </xdr:to>
    <xdr:pic>
      <xdr:nvPicPr>
        <xdr:cNvPr id="32" name="Picture@5C\QPendientes@" descr="@5C\QPendientes@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</xdr:row>
      <xdr:rowOff>0</xdr:rowOff>
    </xdr:from>
    <xdr:to>
      <xdr:col>0</xdr:col>
      <xdr:colOff>171450</xdr:colOff>
      <xdr:row>32</xdr:row>
      <xdr:rowOff>133350</xdr:rowOff>
    </xdr:to>
    <xdr:pic>
      <xdr:nvPicPr>
        <xdr:cNvPr id="33" name="Picture@5C\QPendientes@" descr="@5C\QPendientes@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</xdr:row>
      <xdr:rowOff>0</xdr:rowOff>
    </xdr:from>
    <xdr:to>
      <xdr:col>0</xdr:col>
      <xdr:colOff>171450</xdr:colOff>
      <xdr:row>33</xdr:row>
      <xdr:rowOff>133350</xdr:rowOff>
    </xdr:to>
    <xdr:pic>
      <xdr:nvPicPr>
        <xdr:cNvPr id="34" name="Picture@5C\QPendientes@" descr="@5C\QPendientes@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</xdr:row>
      <xdr:rowOff>0</xdr:rowOff>
    </xdr:from>
    <xdr:to>
      <xdr:col>0</xdr:col>
      <xdr:colOff>171450</xdr:colOff>
      <xdr:row>34</xdr:row>
      <xdr:rowOff>133350</xdr:rowOff>
    </xdr:to>
    <xdr:pic>
      <xdr:nvPicPr>
        <xdr:cNvPr id="35" name="Picture@5C\QPendientes@" descr="@5C\QPendientes@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133350</xdr:rowOff>
    </xdr:to>
    <xdr:pic>
      <xdr:nvPicPr>
        <xdr:cNvPr id="36" name="Picture@5C\QPendientes@" descr="@5C\QPendientes@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133350</xdr:rowOff>
    </xdr:to>
    <xdr:pic>
      <xdr:nvPicPr>
        <xdr:cNvPr id="37" name="Picture@5C\QPendientes@" descr="@5C\QPendientes@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</xdr:row>
      <xdr:rowOff>0</xdr:rowOff>
    </xdr:from>
    <xdr:to>
      <xdr:col>0</xdr:col>
      <xdr:colOff>171450</xdr:colOff>
      <xdr:row>37</xdr:row>
      <xdr:rowOff>133350</xdr:rowOff>
    </xdr:to>
    <xdr:pic>
      <xdr:nvPicPr>
        <xdr:cNvPr id="38" name="Picture@5C\QPendientes@" descr="@5C\QPendientes@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171450</xdr:colOff>
      <xdr:row>38</xdr:row>
      <xdr:rowOff>133350</xdr:rowOff>
    </xdr:to>
    <xdr:pic>
      <xdr:nvPicPr>
        <xdr:cNvPr id="39" name="Picture@5C\QPendientes@" descr="@5C\QPendientes@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</xdr:row>
      <xdr:rowOff>0</xdr:rowOff>
    </xdr:from>
    <xdr:to>
      <xdr:col>0</xdr:col>
      <xdr:colOff>171450</xdr:colOff>
      <xdr:row>39</xdr:row>
      <xdr:rowOff>133350</xdr:rowOff>
    </xdr:to>
    <xdr:pic>
      <xdr:nvPicPr>
        <xdr:cNvPr id="40" name="Picture@5C\QPendientes@" descr="@5C\QPendientes@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</xdr:row>
      <xdr:rowOff>0</xdr:rowOff>
    </xdr:from>
    <xdr:to>
      <xdr:col>0</xdr:col>
      <xdr:colOff>171450</xdr:colOff>
      <xdr:row>40</xdr:row>
      <xdr:rowOff>133350</xdr:rowOff>
    </xdr:to>
    <xdr:pic>
      <xdr:nvPicPr>
        <xdr:cNvPr id="41" name="Picture@5C\QPendientes@" descr="@5C\QPendientes@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</xdr:row>
      <xdr:rowOff>0</xdr:rowOff>
    </xdr:from>
    <xdr:to>
      <xdr:col>0</xdr:col>
      <xdr:colOff>171450</xdr:colOff>
      <xdr:row>41</xdr:row>
      <xdr:rowOff>133350</xdr:rowOff>
    </xdr:to>
    <xdr:pic>
      <xdr:nvPicPr>
        <xdr:cNvPr id="42" name="Picture@5C\QPendientes@" descr="@5C\QPendientes@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</xdr:row>
      <xdr:rowOff>0</xdr:rowOff>
    </xdr:from>
    <xdr:to>
      <xdr:col>0</xdr:col>
      <xdr:colOff>171450</xdr:colOff>
      <xdr:row>42</xdr:row>
      <xdr:rowOff>133350</xdr:rowOff>
    </xdr:to>
    <xdr:pic>
      <xdr:nvPicPr>
        <xdr:cNvPr id="43" name="Picture@5C\QPendientes@" descr="@5C\QPendientes@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133350</xdr:rowOff>
    </xdr:to>
    <xdr:pic>
      <xdr:nvPicPr>
        <xdr:cNvPr id="44" name="Picture@5C\QPendientes@" descr="@5C\QPendientes@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</xdr:row>
      <xdr:rowOff>0</xdr:rowOff>
    </xdr:from>
    <xdr:to>
      <xdr:col>0</xdr:col>
      <xdr:colOff>171450</xdr:colOff>
      <xdr:row>44</xdr:row>
      <xdr:rowOff>133350</xdr:rowOff>
    </xdr:to>
    <xdr:pic>
      <xdr:nvPicPr>
        <xdr:cNvPr id="45" name="Picture@5C\QPendientes@" descr="@5C\QPendientes@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</xdr:row>
      <xdr:rowOff>0</xdr:rowOff>
    </xdr:from>
    <xdr:to>
      <xdr:col>0</xdr:col>
      <xdr:colOff>171450</xdr:colOff>
      <xdr:row>45</xdr:row>
      <xdr:rowOff>133350</xdr:rowOff>
    </xdr:to>
    <xdr:pic>
      <xdr:nvPicPr>
        <xdr:cNvPr id="46" name="Picture@5C\QPendientes@" descr="@5C\QPendientes@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</xdr:row>
      <xdr:rowOff>0</xdr:rowOff>
    </xdr:from>
    <xdr:to>
      <xdr:col>0</xdr:col>
      <xdr:colOff>171450</xdr:colOff>
      <xdr:row>46</xdr:row>
      <xdr:rowOff>133350</xdr:rowOff>
    </xdr:to>
    <xdr:pic>
      <xdr:nvPicPr>
        <xdr:cNvPr id="47" name="Picture@5C\QPendientes@" descr="@5C\QPendientes@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171450</xdr:colOff>
      <xdr:row>47</xdr:row>
      <xdr:rowOff>133350</xdr:rowOff>
    </xdr:to>
    <xdr:pic>
      <xdr:nvPicPr>
        <xdr:cNvPr id="48" name="Picture@5C\QPendientes@" descr="@5C\QPendientes@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</xdr:row>
      <xdr:rowOff>0</xdr:rowOff>
    </xdr:from>
    <xdr:to>
      <xdr:col>0</xdr:col>
      <xdr:colOff>171450</xdr:colOff>
      <xdr:row>48</xdr:row>
      <xdr:rowOff>133350</xdr:rowOff>
    </xdr:to>
    <xdr:pic>
      <xdr:nvPicPr>
        <xdr:cNvPr id="49" name="Picture@5C\QPendientes@" descr="@5C\QPendientes@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</xdr:row>
      <xdr:rowOff>0</xdr:rowOff>
    </xdr:from>
    <xdr:to>
      <xdr:col>0</xdr:col>
      <xdr:colOff>171450</xdr:colOff>
      <xdr:row>49</xdr:row>
      <xdr:rowOff>133350</xdr:rowOff>
    </xdr:to>
    <xdr:pic>
      <xdr:nvPicPr>
        <xdr:cNvPr id="50" name="Picture@5C\QPendientes@" descr="@5C\QPendientes@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</xdr:row>
      <xdr:rowOff>0</xdr:rowOff>
    </xdr:from>
    <xdr:to>
      <xdr:col>0</xdr:col>
      <xdr:colOff>171450</xdr:colOff>
      <xdr:row>50</xdr:row>
      <xdr:rowOff>133350</xdr:rowOff>
    </xdr:to>
    <xdr:pic>
      <xdr:nvPicPr>
        <xdr:cNvPr id="51" name="Picture@5C\QPendientes@" descr="@5C\QPendientes@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171450</xdr:colOff>
      <xdr:row>51</xdr:row>
      <xdr:rowOff>133350</xdr:rowOff>
    </xdr:to>
    <xdr:pic>
      <xdr:nvPicPr>
        <xdr:cNvPr id="52" name="Picture@5C\QPendientes@" descr="@5C\QPendientes@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</xdr:row>
      <xdr:rowOff>0</xdr:rowOff>
    </xdr:from>
    <xdr:to>
      <xdr:col>0</xdr:col>
      <xdr:colOff>171450</xdr:colOff>
      <xdr:row>52</xdr:row>
      <xdr:rowOff>133350</xdr:rowOff>
    </xdr:to>
    <xdr:pic>
      <xdr:nvPicPr>
        <xdr:cNvPr id="53" name="Picture@5C\QPendientes@" descr="@5C\QPendientes@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</xdr:row>
      <xdr:rowOff>0</xdr:rowOff>
    </xdr:from>
    <xdr:to>
      <xdr:col>0</xdr:col>
      <xdr:colOff>171450</xdr:colOff>
      <xdr:row>53</xdr:row>
      <xdr:rowOff>133350</xdr:rowOff>
    </xdr:to>
    <xdr:pic>
      <xdr:nvPicPr>
        <xdr:cNvPr id="54" name="Picture@5C\QPendientes@" descr="@5C\QPendientes@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</xdr:row>
      <xdr:rowOff>0</xdr:rowOff>
    </xdr:from>
    <xdr:to>
      <xdr:col>0</xdr:col>
      <xdr:colOff>171450</xdr:colOff>
      <xdr:row>54</xdr:row>
      <xdr:rowOff>133350</xdr:rowOff>
    </xdr:to>
    <xdr:pic>
      <xdr:nvPicPr>
        <xdr:cNvPr id="55" name="Picture@5C\QPendientes@" descr="@5C\QPendientes@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</xdr:row>
      <xdr:rowOff>0</xdr:rowOff>
    </xdr:from>
    <xdr:to>
      <xdr:col>0</xdr:col>
      <xdr:colOff>171450</xdr:colOff>
      <xdr:row>55</xdr:row>
      <xdr:rowOff>133350</xdr:rowOff>
    </xdr:to>
    <xdr:pic>
      <xdr:nvPicPr>
        <xdr:cNvPr id="56" name="Picture@5C\QPendientes@" descr="@5C\QPendientes@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</xdr:row>
      <xdr:rowOff>0</xdr:rowOff>
    </xdr:from>
    <xdr:to>
      <xdr:col>0</xdr:col>
      <xdr:colOff>171450</xdr:colOff>
      <xdr:row>56</xdr:row>
      <xdr:rowOff>133350</xdr:rowOff>
    </xdr:to>
    <xdr:pic>
      <xdr:nvPicPr>
        <xdr:cNvPr id="57" name="Picture@5C\QPendientes@" descr="@5C\QPendientes@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</xdr:row>
      <xdr:rowOff>0</xdr:rowOff>
    </xdr:from>
    <xdr:to>
      <xdr:col>0</xdr:col>
      <xdr:colOff>171450</xdr:colOff>
      <xdr:row>57</xdr:row>
      <xdr:rowOff>133350</xdr:rowOff>
    </xdr:to>
    <xdr:pic>
      <xdr:nvPicPr>
        <xdr:cNvPr id="58" name="Picture@5C\QPendientes@" descr="@5C\QPendientes@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</xdr:row>
      <xdr:rowOff>0</xdr:rowOff>
    </xdr:from>
    <xdr:to>
      <xdr:col>0</xdr:col>
      <xdr:colOff>171450</xdr:colOff>
      <xdr:row>58</xdr:row>
      <xdr:rowOff>133350</xdr:rowOff>
    </xdr:to>
    <xdr:pic>
      <xdr:nvPicPr>
        <xdr:cNvPr id="59" name="Picture@5C\QPendientes@" descr="@5C\QPendientes@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</xdr:row>
      <xdr:rowOff>0</xdr:rowOff>
    </xdr:from>
    <xdr:to>
      <xdr:col>0</xdr:col>
      <xdr:colOff>171450</xdr:colOff>
      <xdr:row>59</xdr:row>
      <xdr:rowOff>133350</xdr:rowOff>
    </xdr:to>
    <xdr:pic>
      <xdr:nvPicPr>
        <xdr:cNvPr id="60" name="Picture@5C\QPendientes@" descr="@5C\QPendientes@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</xdr:row>
      <xdr:rowOff>0</xdr:rowOff>
    </xdr:from>
    <xdr:to>
      <xdr:col>0</xdr:col>
      <xdr:colOff>171450</xdr:colOff>
      <xdr:row>60</xdr:row>
      <xdr:rowOff>133350</xdr:rowOff>
    </xdr:to>
    <xdr:pic>
      <xdr:nvPicPr>
        <xdr:cNvPr id="61" name="Picture@5C\QPendientes@" descr="@5C\QPendientes@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</xdr:row>
      <xdr:rowOff>0</xdr:rowOff>
    </xdr:from>
    <xdr:to>
      <xdr:col>0</xdr:col>
      <xdr:colOff>171450</xdr:colOff>
      <xdr:row>61</xdr:row>
      <xdr:rowOff>133350</xdr:rowOff>
    </xdr:to>
    <xdr:pic>
      <xdr:nvPicPr>
        <xdr:cNvPr id="62" name="Picture@5C\QPendientes@" descr="@5C\QPendientes@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</xdr:row>
      <xdr:rowOff>0</xdr:rowOff>
    </xdr:from>
    <xdr:to>
      <xdr:col>0</xdr:col>
      <xdr:colOff>171450</xdr:colOff>
      <xdr:row>62</xdr:row>
      <xdr:rowOff>133350</xdr:rowOff>
    </xdr:to>
    <xdr:pic>
      <xdr:nvPicPr>
        <xdr:cNvPr id="63" name="Picture@5C\QPendientes@" descr="@5C\QPendientes@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</xdr:row>
      <xdr:rowOff>0</xdr:rowOff>
    </xdr:from>
    <xdr:to>
      <xdr:col>0</xdr:col>
      <xdr:colOff>171450</xdr:colOff>
      <xdr:row>63</xdr:row>
      <xdr:rowOff>133350</xdr:rowOff>
    </xdr:to>
    <xdr:pic>
      <xdr:nvPicPr>
        <xdr:cNvPr id="64" name="Picture@5C\QPendientes@" descr="@5C\QPendientes@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</xdr:row>
      <xdr:rowOff>0</xdr:rowOff>
    </xdr:from>
    <xdr:to>
      <xdr:col>0</xdr:col>
      <xdr:colOff>171450</xdr:colOff>
      <xdr:row>64</xdr:row>
      <xdr:rowOff>133350</xdr:rowOff>
    </xdr:to>
    <xdr:pic>
      <xdr:nvPicPr>
        <xdr:cNvPr id="65" name="Picture@5C\QPendientes@" descr="@5C\QPendientes@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</xdr:row>
      <xdr:rowOff>0</xdr:rowOff>
    </xdr:from>
    <xdr:to>
      <xdr:col>0</xdr:col>
      <xdr:colOff>171450</xdr:colOff>
      <xdr:row>65</xdr:row>
      <xdr:rowOff>133350</xdr:rowOff>
    </xdr:to>
    <xdr:pic>
      <xdr:nvPicPr>
        <xdr:cNvPr id="66" name="Picture@5C\QPendientes@" descr="@5C\QPendientes@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</xdr:row>
      <xdr:rowOff>0</xdr:rowOff>
    </xdr:from>
    <xdr:to>
      <xdr:col>0</xdr:col>
      <xdr:colOff>171450</xdr:colOff>
      <xdr:row>66</xdr:row>
      <xdr:rowOff>133350</xdr:rowOff>
    </xdr:to>
    <xdr:pic>
      <xdr:nvPicPr>
        <xdr:cNvPr id="67" name="Picture@5C\QPendientes@" descr="@5C\QPendientes@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</xdr:row>
      <xdr:rowOff>0</xdr:rowOff>
    </xdr:from>
    <xdr:to>
      <xdr:col>0</xdr:col>
      <xdr:colOff>171450</xdr:colOff>
      <xdr:row>67</xdr:row>
      <xdr:rowOff>133350</xdr:rowOff>
    </xdr:to>
    <xdr:pic>
      <xdr:nvPicPr>
        <xdr:cNvPr id="68" name="Picture@5C\QPendientes@" descr="@5C\QPendientes@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</xdr:row>
      <xdr:rowOff>0</xdr:rowOff>
    </xdr:from>
    <xdr:to>
      <xdr:col>0</xdr:col>
      <xdr:colOff>171450</xdr:colOff>
      <xdr:row>68</xdr:row>
      <xdr:rowOff>133350</xdr:rowOff>
    </xdr:to>
    <xdr:pic>
      <xdr:nvPicPr>
        <xdr:cNvPr id="69" name="Picture@5C\QPendientes@" descr="@5C\QPendientes@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133350</xdr:rowOff>
    </xdr:to>
    <xdr:pic>
      <xdr:nvPicPr>
        <xdr:cNvPr id="70" name="Picture@5C\QPendientes@" descr="@5C\QPendientes@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</xdr:row>
      <xdr:rowOff>0</xdr:rowOff>
    </xdr:from>
    <xdr:to>
      <xdr:col>0</xdr:col>
      <xdr:colOff>171450</xdr:colOff>
      <xdr:row>70</xdr:row>
      <xdr:rowOff>133350</xdr:rowOff>
    </xdr:to>
    <xdr:pic>
      <xdr:nvPicPr>
        <xdr:cNvPr id="71" name="Picture@5C\QPendientes@" descr="@5C\QPendientes@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171450</xdr:colOff>
      <xdr:row>71</xdr:row>
      <xdr:rowOff>133350</xdr:rowOff>
    </xdr:to>
    <xdr:pic>
      <xdr:nvPicPr>
        <xdr:cNvPr id="72" name="Picture@5C\QPendientes@" descr="@5C\QPendientes@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</xdr:row>
      <xdr:rowOff>0</xdr:rowOff>
    </xdr:from>
    <xdr:to>
      <xdr:col>0</xdr:col>
      <xdr:colOff>171450</xdr:colOff>
      <xdr:row>72</xdr:row>
      <xdr:rowOff>133350</xdr:rowOff>
    </xdr:to>
    <xdr:pic>
      <xdr:nvPicPr>
        <xdr:cNvPr id="73" name="Picture@5C\QPendientes@" descr="@5C\QPendientes@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</xdr:row>
      <xdr:rowOff>0</xdr:rowOff>
    </xdr:from>
    <xdr:to>
      <xdr:col>0</xdr:col>
      <xdr:colOff>171450</xdr:colOff>
      <xdr:row>73</xdr:row>
      <xdr:rowOff>133350</xdr:rowOff>
    </xdr:to>
    <xdr:pic>
      <xdr:nvPicPr>
        <xdr:cNvPr id="74" name="Picture@5C\QPendientes@" descr="@5C\QPendientes@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</xdr:row>
      <xdr:rowOff>0</xdr:rowOff>
    </xdr:from>
    <xdr:to>
      <xdr:col>0</xdr:col>
      <xdr:colOff>171450</xdr:colOff>
      <xdr:row>74</xdr:row>
      <xdr:rowOff>133350</xdr:rowOff>
    </xdr:to>
    <xdr:pic>
      <xdr:nvPicPr>
        <xdr:cNvPr id="75" name="Picture@5C\QPendientes@" descr="@5C\QPendientes@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</xdr:row>
      <xdr:rowOff>0</xdr:rowOff>
    </xdr:from>
    <xdr:to>
      <xdr:col>0</xdr:col>
      <xdr:colOff>171450</xdr:colOff>
      <xdr:row>75</xdr:row>
      <xdr:rowOff>133350</xdr:rowOff>
    </xdr:to>
    <xdr:pic>
      <xdr:nvPicPr>
        <xdr:cNvPr id="76" name="Picture@5C\QPendientes@" descr="@5C\QPendientes@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</xdr:row>
      <xdr:rowOff>0</xdr:rowOff>
    </xdr:from>
    <xdr:to>
      <xdr:col>0</xdr:col>
      <xdr:colOff>171450</xdr:colOff>
      <xdr:row>76</xdr:row>
      <xdr:rowOff>133350</xdr:rowOff>
    </xdr:to>
    <xdr:pic>
      <xdr:nvPicPr>
        <xdr:cNvPr id="77" name="Picture@5C\QPendientes@" descr="@5C\QPendientes@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</xdr:row>
      <xdr:rowOff>0</xdr:rowOff>
    </xdr:from>
    <xdr:to>
      <xdr:col>0</xdr:col>
      <xdr:colOff>171450</xdr:colOff>
      <xdr:row>77</xdr:row>
      <xdr:rowOff>133350</xdr:rowOff>
    </xdr:to>
    <xdr:pic>
      <xdr:nvPicPr>
        <xdr:cNvPr id="78" name="Picture@5C\QPendientes@" descr="@5C\QPendientes@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</xdr:row>
      <xdr:rowOff>0</xdr:rowOff>
    </xdr:from>
    <xdr:to>
      <xdr:col>0</xdr:col>
      <xdr:colOff>171450</xdr:colOff>
      <xdr:row>78</xdr:row>
      <xdr:rowOff>133350</xdr:rowOff>
    </xdr:to>
    <xdr:pic>
      <xdr:nvPicPr>
        <xdr:cNvPr id="79" name="Picture@5C\QPendientes@" descr="@5C\QPendientes@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</xdr:row>
      <xdr:rowOff>0</xdr:rowOff>
    </xdr:from>
    <xdr:to>
      <xdr:col>0</xdr:col>
      <xdr:colOff>171450</xdr:colOff>
      <xdr:row>79</xdr:row>
      <xdr:rowOff>133350</xdr:rowOff>
    </xdr:to>
    <xdr:pic>
      <xdr:nvPicPr>
        <xdr:cNvPr id="80" name="Picture@5C\QPendientes@" descr="@5C\QPendientes@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</xdr:row>
      <xdr:rowOff>0</xdr:rowOff>
    </xdr:from>
    <xdr:to>
      <xdr:col>0</xdr:col>
      <xdr:colOff>171450</xdr:colOff>
      <xdr:row>80</xdr:row>
      <xdr:rowOff>133350</xdr:rowOff>
    </xdr:to>
    <xdr:pic>
      <xdr:nvPicPr>
        <xdr:cNvPr id="81" name="Picture@5C\QPendientes@" descr="@5C\QPendientes@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</xdr:row>
      <xdr:rowOff>0</xdr:rowOff>
    </xdr:from>
    <xdr:to>
      <xdr:col>0</xdr:col>
      <xdr:colOff>171450</xdr:colOff>
      <xdr:row>81</xdr:row>
      <xdr:rowOff>133350</xdr:rowOff>
    </xdr:to>
    <xdr:pic>
      <xdr:nvPicPr>
        <xdr:cNvPr id="82" name="Picture@5C\QPendientes@" descr="@5C\QPendientes@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</xdr:row>
      <xdr:rowOff>0</xdr:rowOff>
    </xdr:from>
    <xdr:to>
      <xdr:col>0</xdr:col>
      <xdr:colOff>171450</xdr:colOff>
      <xdr:row>82</xdr:row>
      <xdr:rowOff>133350</xdr:rowOff>
    </xdr:to>
    <xdr:pic>
      <xdr:nvPicPr>
        <xdr:cNvPr id="83" name="Picture@5C\QPendientes@" descr="@5C\QPendientes@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</xdr:row>
      <xdr:rowOff>0</xdr:rowOff>
    </xdr:from>
    <xdr:to>
      <xdr:col>0</xdr:col>
      <xdr:colOff>171450</xdr:colOff>
      <xdr:row>83</xdr:row>
      <xdr:rowOff>133350</xdr:rowOff>
    </xdr:to>
    <xdr:pic>
      <xdr:nvPicPr>
        <xdr:cNvPr id="84" name="Picture@5C\QPendientes@" descr="@5C\QPendientes@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</xdr:row>
      <xdr:rowOff>0</xdr:rowOff>
    </xdr:from>
    <xdr:to>
      <xdr:col>0</xdr:col>
      <xdr:colOff>171450</xdr:colOff>
      <xdr:row>84</xdr:row>
      <xdr:rowOff>133350</xdr:rowOff>
    </xdr:to>
    <xdr:pic>
      <xdr:nvPicPr>
        <xdr:cNvPr id="85" name="Picture@5C\QPendientes@" descr="@5C\QPendientes@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</xdr:row>
      <xdr:rowOff>0</xdr:rowOff>
    </xdr:from>
    <xdr:to>
      <xdr:col>0</xdr:col>
      <xdr:colOff>171450</xdr:colOff>
      <xdr:row>85</xdr:row>
      <xdr:rowOff>133350</xdr:rowOff>
    </xdr:to>
    <xdr:pic>
      <xdr:nvPicPr>
        <xdr:cNvPr id="86" name="Picture@5C\QPendientes@" descr="@5C\QPendientes@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</xdr:row>
      <xdr:rowOff>0</xdr:rowOff>
    </xdr:from>
    <xdr:to>
      <xdr:col>0</xdr:col>
      <xdr:colOff>171450</xdr:colOff>
      <xdr:row>86</xdr:row>
      <xdr:rowOff>133350</xdr:rowOff>
    </xdr:to>
    <xdr:pic>
      <xdr:nvPicPr>
        <xdr:cNvPr id="87" name="Picture@5C\QPendientes@" descr="@5C\QPendientes@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</xdr:row>
      <xdr:rowOff>0</xdr:rowOff>
    </xdr:from>
    <xdr:to>
      <xdr:col>0</xdr:col>
      <xdr:colOff>171450</xdr:colOff>
      <xdr:row>87</xdr:row>
      <xdr:rowOff>133350</xdr:rowOff>
    </xdr:to>
    <xdr:pic>
      <xdr:nvPicPr>
        <xdr:cNvPr id="88" name="Picture@5C\QPendientes@" descr="@5C\QPendientes@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</xdr:row>
      <xdr:rowOff>0</xdr:rowOff>
    </xdr:from>
    <xdr:to>
      <xdr:col>0</xdr:col>
      <xdr:colOff>171450</xdr:colOff>
      <xdr:row>88</xdr:row>
      <xdr:rowOff>133350</xdr:rowOff>
    </xdr:to>
    <xdr:pic>
      <xdr:nvPicPr>
        <xdr:cNvPr id="89" name="Picture@5C\QPendientes@" descr="@5C\QPendientes@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</xdr:row>
      <xdr:rowOff>0</xdr:rowOff>
    </xdr:from>
    <xdr:to>
      <xdr:col>0</xdr:col>
      <xdr:colOff>171450</xdr:colOff>
      <xdr:row>89</xdr:row>
      <xdr:rowOff>133350</xdr:rowOff>
    </xdr:to>
    <xdr:pic>
      <xdr:nvPicPr>
        <xdr:cNvPr id="90" name="Picture@5C\QPendientes@" descr="@5C\QPendientes@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</xdr:row>
      <xdr:rowOff>0</xdr:rowOff>
    </xdr:from>
    <xdr:to>
      <xdr:col>0</xdr:col>
      <xdr:colOff>171450</xdr:colOff>
      <xdr:row>90</xdr:row>
      <xdr:rowOff>133350</xdr:rowOff>
    </xdr:to>
    <xdr:pic>
      <xdr:nvPicPr>
        <xdr:cNvPr id="91" name="Picture@5C\QPendientes@" descr="@5C\QPendientes@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</xdr:row>
      <xdr:rowOff>0</xdr:rowOff>
    </xdr:from>
    <xdr:to>
      <xdr:col>0</xdr:col>
      <xdr:colOff>171450</xdr:colOff>
      <xdr:row>91</xdr:row>
      <xdr:rowOff>133350</xdr:rowOff>
    </xdr:to>
    <xdr:pic>
      <xdr:nvPicPr>
        <xdr:cNvPr id="92" name="Picture@5C\QPendientes@" descr="@5C\QPendientes@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</xdr:row>
      <xdr:rowOff>0</xdr:rowOff>
    </xdr:from>
    <xdr:to>
      <xdr:col>0</xdr:col>
      <xdr:colOff>171450</xdr:colOff>
      <xdr:row>92</xdr:row>
      <xdr:rowOff>133350</xdr:rowOff>
    </xdr:to>
    <xdr:pic>
      <xdr:nvPicPr>
        <xdr:cNvPr id="93" name="Picture@5C\QPendientes@" descr="@5C\QPendientes@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</xdr:row>
      <xdr:rowOff>0</xdr:rowOff>
    </xdr:from>
    <xdr:to>
      <xdr:col>0</xdr:col>
      <xdr:colOff>171450</xdr:colOff>
      <xdr:row>93</xdr:row>
      <xdr:rowOff>133350</xdr:rowOff>
    </xdr:to>
    <xdr:pic>
      <xdr:nvPicPr>
        <xdr:cNvPr id="94" name="Picture@5C\QPendientes@" descr="@5C\QPendientes@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</xdr:row>
      <xdr:rowOff>0</xdr:rowOff>
    </xdr:from>
    <xdr:to>
      <xdr:col>0</xdr:col>
      <xdr:colOff>171450</xdr:colOff>
      <xdr:row>94</xdr:row>
      <xdr:rowOff>133350</xdr:rowOff>
    </xdr:to>
    <xdr:pic>
      <xdr:nvPicPr>
        <xdr:cNvPr id="95" name="Picture@5C\QPendientes@" descr="@5C\QPendientes@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</xdr:row>
      <xdr:rowOff>0</xdr:rowOff>
    </xdr:from>
    <xdr:to>
      <xdr:col>0</xdr:col>
      <xdr:colOff>171450</xdr:colOff>
      <xdr:row>95</xdr:row>
      <xdr:rowOff>133350</xdr:rowOff>
    </xdr:to>
    <xdr:pic>
      <xdr:nvPicPr>
        <xdr:cNvPr id="96" name="Picture@5C\QPendientes@" descr="@5C\QPendientes@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</xdr:row>
      <xdr:rowOff>0</xdr:rowOff>
    </xdr:from>
    <xdr:to>
      <xdr:col>0</xdr:col>
      <xdr:colOff>171450</xdr:colOff>
      <xdr:row>96</xdr:row>
      <xdr:rowOff>133350</xdr:rowOff>
    </xdr:to>
    <xdr:pic>
      <xdr:nvPicPr>
        <xdr:cNvPr id="97" name="Picture@5C\QPendientes@" descr="@5C\QPendientes@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</xdr:row>
      <xdr:rowOff>0</xdr:rowOff>
    </xdr:from>
    <xdr:to>
      <xdr:col>0</xdr:col>
      <xdr:colOff>171450</xdr:colOff>
      <xdr:row>97</xdr:row>
      <xdr:rowOff>133350</xdr:rowOff>
    </xdr:to>
    <xdr:pic>
      <xdr:nvPicPr>
        <xdr:cNvPr id="98" name="Picture@5C\QPendientes@" descr="@5C\QPendientes@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</xdr:row>
      <xdr:rowOff>0</xdr:rowOff>
    </xdr:from>
    <xdr:to>
      <xdr:col>0</xdr:col>
      <xdr:colOff>171450</xdr:colOff>
      <xdr:row>98</xdr:row>
      <xdr:rowOff>133350</xdr:rowOff>
    </xdr:to>
    <xdr:pic>
      <xdr:nvPicPr>
        <xdr:cNvPr id="99" name="Picture@5C\QPendientes@" descr="@5C\QPendientes@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</xdr:row>
      <xdr:rowOff>0</xdr:rowOff>
    </xdr:from>
    <xdr:to>
      <xdr:col>0</xdr:col>
      <xdr:colOff>171450</xdr:colOff>
      <xdr:row>99</xdr:row>
      <xdr:rowOff>133350</xdr:rowOff>
    </xdr:to>
    <xdr:pic>
      <xdr:nvPicPr>
        <xdr:cNvPr id="100" name="Picture@5C\QPendientes@" descr="@5C\QPendientes@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</xdr:row>
      <xdr:rowOff>0</xdr:rowOff>
    </xdr:from>
    <xdr:to>
      <xdr:col>0</xdr:col>
      <xdr:colOff>171450</xdr:colOff>
      <xdr:row>100</xdr:row>
      <xdr:rowOff>133350</xdr:rowOff>
    </xdr:to>
    <xdr:pic>
      <xdr:nvPicPr>
        <xdr:cNvPr id="101" name="Picture@5C\QPendientes@" descr="@5C\QPendientes@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</xdr:row>
      <xdr:rowOff>0</xdr:rowOff>
    </xdr:from>
    <xdr:to>
      <xdr:col>0</xdr:col>
      <xdr:colOff>171450</xdr:colOff>
      <xdr:row>101</xdr:row>
      <xdr:rowOff>133350</xdr:rowOff>
    </xdr:to>
    <xdr:pic>
      <xdr:nvPicPr>
        <xdr:cNvPr id="102" name="Picture@5C\QPendientes@" descr="@5C\QPendientes@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</xdr:row>
      <xdr:rowOff>0</xdr:rowOff>
    </xdr:from>
    <xdr:to>
      <xdr:col>0</xdr:col>
      <xdr:colOff>171450</xdr:colOff>
      <xdr:row>102</xdr:row>
      <xdr:rowOff>133350</xdr:rowOff>
    </xdr:to>
    <xdr:pic>
      <xdr:nvPicPr>
        <xdr:cNvPr id="103" name="Picture@5C\QPendientes@" descr="@5C\QPendientes@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</xdr:row>
      <xdr:rowOff>0</xdr:rowOff>
    </xdr:from>
    <xdr:to>
      <xdr:col>0</xdr:col>
      <xdr:colOff>171450</xdr:colOff>
      <xdr:row>103</xdr:row>
      <xdr:rowOff>133350</xdr:rowOff>
    </xdr:to>
    <xdr:pic>
      <xdr:nvPicPr>
        <xdr:cNvPr id="104" name="Picture@5C\QPendientes@" descr="@5C\QPendientes@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</xdr:row>
      <xdr:rowOff>0</xdr:rowOff>
    </xdr:from>
    <xdr:to>
      <xdr:col>0</xdr:col>
      <xdr:colOff>171450</xdr:colOff>
      <xdr:row>104</xdr:row>
      <xdr:rowOff>133350</xdr:rowOff>
    </xdr:to>
    <xdr:pic>
      <xdr:nvPicPr>
        <xdr:cNvPr id="105" name="Picture@5C\QPendientes@" descr="@5C\QPendientes@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</xdr:row>
      <xdr:rowOff>0</xdr:rowOff>
    </xdr:from>
    <xdr:to>
      <xdr:col>0</xdr:col>
      <xdr:colOff>171450</xdr:colOff>
      <xdr:row>105</xdr:row>
      <xdr:rowOff>133350</xdr:rowOff>
    </xdr:to>
    <xdr:pic>
      <xdr:nvPicPr>
        <xdr:cNvPr id="106" name="Picture@5C\QPendientes@" descr="@5C\QPendientes@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</xdr:row>
      <xdr:rowOff>0</xdr:rowOff>
    </xdr:from>
    <xdr:to>
      <xdr:col>0</xdr:col>
      <xdr:colOff>171450</xdr:colOff>
      <xdr:row>106</xdr:row>
      <xdr:rowOff>133350</xdr:rowOff>
    </xdr:to>
    <xdr:pic>
      <xdr:nvPicPr>
        <xdr:cNvPr id="107" name="Picture@5C\QPendientes@" descr="@5C\QPendientes@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</xdr:row>
      <xdr:rowOff>0</xdr:rowOff>
    </xdr:from>
    <xdr:to>
      <xdr:col>0</xdr:col>
      <xdr:colOff>171450</xdr:colOff>
      <xdr:row>107</xdr:row>
      <xdr:rowOff>133350</xdr:rowOff>
    </xdr:to>
    <xdr:pic>
      <xdr:nvPicPr>
        <xdr:cNvPr id="108" name="Picture@5C\QPendientes@" descr="@5C\QPendientes@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</xdr:row>
      <xdr:rowOff>0</xdr:rowOff>
    </xdr:from>
    <xdr:to>
      <xdr:col>0</xdr:col>
      <xdr:colOff>171450</xdr:colOff>
      <xdr:row>108</xdr:row>
      <xdr:rowOff>133350</xdr:rowOff>
    </xdr:to>
    <xdr:pic>
      <xdr:nvPicPr>
        <xdr:cNvPr id="109" name="Picture@5C\QPendientes@" descr="@5C\QPendientes@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</xdr:row>
      <xdr:rowOff>0</xdr:rowOff>
    </xdr:from>
    <xdr:to>
      <xdr:col>0</xdr:col>
      <xdr:colOff>171450</xdr:colOff>
      <xdr:row>109</xdr:row>
      <xdr:rowOff>133350</xdr:rowOff>
    </xdr:to>
    <xdr:pic>
      <xdr:nvPicPr>
        <xdr:cNvPr id="110" name="Picture@5C\QPendientes@" descr="@5C\QPendientes@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</xdr:row>
      <xdr:rowOff>0</xdr:rowOff>
    </xdr:from>
    <xdr:to>
      <xdr:col>0</xdr:col>
      <xdr:colOff>171450</xdr:colOff>
      <xdr:row>110</xdr:row>
      <xdr:rowOff>133350</xdr:rowOff>
    </xdr:to>
    <xdr:pic>
      <xdr:nvPicPr>
        <xdr:cNvPr id="111" name="Picture@5C\QPendientes@" descr="@5C\QPendientes@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</xdr:row>
      <xdr:rowOff>0</xdr:rowOff>
    </xdr:from>
    <xdr:to>
      <xdr:col>0</xdr:col>
      <xdr:colOff>171450</xdr:colOff>
      <xdr:row>111</xdr:row>
      <xdr:rowOff>133350</xdr:rowOff>
    </xdr:to>
    <xdr:pic>
      <xdr:nvPicPr>
        <xdr:cNvPr id="112" name="Picture@5C\QPendientes@" descr="@5C\QPendientes@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</xdr:row>
      <xdr:rowOff>0</xdr:rowOff>
    </xdr:from>
    <xdr:to>
      <xdr:col>0</xdr:col>
      <xdr:colOff>171450</xdr:colOff>
      <xdr:row>112</xdr:row>
      <xdr:rowOff>133350</xdr:rowOff>
    </xdr:to>
    <xdr:pic>
      <xdr:nvPicPr>
        <xdr:cNvPr id="113" name="Picture@5C\QPendientes@" descr="@5C\QPendientes@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</xdr:row>
      <xdr:rowOff>0</xdr:rowOff>
    </xdr:from>
    <xdr:to>
      <xdr:col>0</xdr:col>
      <xdr:colOff>171450</xdr:colOff>
      <xdr:row>113</xdr:row>
      <xdr:rowOff>133350</xdr:rowOff>
    </xdr:to>
    <xdr:pic>
      <xdr:nvPicPr>
        <xdr:cNvPr id="114" name="Picture@5C\QPendientes@" descr="@5C\QPendientes@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</xdr:row>
      <xdr:rowOff>0</xdr:rowOff>
    </xdr:from>
    <xdr:to>
      <xdr:col>0</xdr:col>
      <xdr:colOff>171450</xdr:colOff>
      <xdr:row>114</xdr:row>
      <xdr:rowOff>133350</xdr:rowOff>
    </xdr:to>
    <xdr:pic>
      <xdr:nvPicPr>
        <xdr:cNvPr id="115" name="Picture@5C\QPendientes@" descr="@5C\QPendientes@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</xdr:row>
      <xdr:rowOff>0</xdr:rowOff>
    </xdr:from>
    <xdr:to>
      <xdr:col>0</xdr:col>
      <xdr:colOff>171450</xdr:colOff>
      <xdr:row>115</xdr:row>
      <xdr:rowOff>133350</xdr:rowOff>
    </xdr:to>
    <xdr:pic>
      <xdr:nvPicPr>
        <xdr:cNvPr id="116" name="Picture@5C\QPendientes@" descr="@5C\QPendientes@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</xdr:row>
      <xdr:rowOff>0</xdr:rowOff>
    </xdr:from>
    <xdr:to>
      <xdr:col>0</xdr:col>
      <xdr:colOff>171450</xdr:colOff>
      <xdr:row>116</xdr:row>
      <xdr:rowOff>133350</xdr:rowOff>
    </xdr:to>
    <xdr:pic>
      <xdr:nvPicPr>
        <xdr:cNvPr id="117" name="Picture@5C\QPendientes@" descr="@5C\QPendientes@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</xdr:row>
      <xdr:rowOff>0</xdr:rowOff>
    </xdr:from>
    <xdr:to>
      <xdr:col>0</xdr:col>
      <xdr:colOff>171450</xdr:colOff>
      <xdr:row>117</xdr:row>
      <xdr:rowOff>133350</xdr:rowOff>
    </xdr:to>
    <xdr:pic>
      <xdr:nvPicPr>
        <xdr:cNvPr id="118" name="Picture@5C\QPendientes@" descr="@5C\QPendientes@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</xdr:row>
      <xdr:rowOff>0</xdr:rowOff>
    </xdr:from>
    <xdr:to>
      <xdr:col>0</xdr:col>
      <xdr:colOff>171450</xdr:colOff>
      <xdr:row>118</xdr:row>
      <xdr:rowOff>133350</xdr:rowOff>
    </xdr:to>
    <xdr:pic>
      <xdr:nvPicPr>
        <xdr:cNvPr id="119" name="Picture@5C\QPendientes@" descr="@5C\QPendientes@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</xdr:row>
      <xdr:rowOff>0</xdr:rowOff>
    </xdr:from>
    <xdr:to>
      <xdr:col>0</xdr:col>
      <xdr:colOff>171450</xdr:colOff>
      <xdr:row>119</xdr:row>
      <xdr:rowOff>133350</xdr:rowOff>
    </xdr:to>
    <xdr:pic>
      <xdr:nvPicPr>
        <xdr:cNvPr id="120" name="Picture@5C\QPendientes@" descr="@5C\QPendientes@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</xdr:row>
      <xdr:rowOff>0</xdr:rowOff>
    </xdr:from>
    <xdr:to>
      <xdr:col>0</xdr:col>
      <xdr:colOff>171450</xdr:colOff>
      <xdr:row>120</xdr:row>
      <xdr:rowOff>133350</xdr:rowOff>
    </xdr:to>
    <xdr:pic>
      <xdr:nvPicPr>
        <xdr:cNvPr id="121" name="Picture@5C\QPendientes@" descr="@5C\QPendientes@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</xdr:row>
      <xdr:rowOff>0</xdr:rowOff>
    </xdr:from>
    <xdr:to>
      <xdr:col>0</xdr:col>
      <xdr:colOff>171450</xdr:colOff>
      <xdr:row>121</xdr:row>
      <xdr:rowOff>133350</xdr:rowOff>
    </xdr:to>
    <xdr:pic>
      <xdr:nvPicPr>
        <xdr:cNvPr id="122" name="Picture@5C\QPendientes@" descr="@5C\QPendientes@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</xdr:row>
      <xdr:rowOff>0</xdr:rowOff>
    </xdr:from>
    <xdr:to>
      <xdr:col>0</xdr:col>
      <xdr:colOff>171450</xdr:colOff>
      <xdr:row>122</xdr:row>
      <xdr:rowOff>133350</xdr:rowOff>
    </xdr:to>
    <xdr:pic>
      <xdr:nvPicPr>
        <xdr:cNvPr id="123" name="Picture@5C\QPendientes@" descr="@5C\QPendientes@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</xdr:row>
      <xdr:rowOff>0</xdr:rowOff>
    </xdr:from>
    <xdr:to>
      <xdr:col>0</xdr:col>
      <xdr:colOff>171450</xdr:colOff>
      <xdr:row>123</xdr:row>
      <xdr:rowOff>133350</xdr:rowOff>
    </xdr:to>
    <xdr:pic>
      <xdr:nvPicPr>
        <xdr:cNvPr id="124" name="Picture@5C\QPendientes@" descr="@5C\QPendientes@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</xdr:row>
      <xdr:rowOff>0</xdr:rowOff>
    </xdr:from>
    <xdr:to>
      <xdr:col>0</xdr:col>
      <xdr:colOff>171450</xdr:colOff>
      <xdr:row>124</xdr:row>
      <xdr:rowOff>133350</xdr:rowOff>
    </xdr:to>
    <xdr:pic>
      <xdr:nvPicPr>
        <xdr:cNvPr id="125" name="Picture@5C\QPendientes@" descr="@5C\QPendientes@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</xdr:row>
      <xdr:rowOff>0</xdr:rowOff>
    </xdr:from>
    <xdr:to>
      <xdr:col>0</xdr:col>
      <xdr:colOff>171450</xdr:colOff>
      <xdr:row>125</xdr:row>
      <xdr:rowOff>133350</xdr:rowOff>
    </xdr:to>
    <xdr:pic>
      <xdr:nvPicPr>
        <xdr:cNvPr id="126" name="Picture@5C\QPendientes@" descr="@5C\QPendientes@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</xdr:row>
      <xdr:rowOff>0</xdr:rowOff>
    </xdr:from>
    <xdr:to>
      <xdr:col>0</xdr:col>
      <xdr:colOff>171450</xdr:colOff>
      <xdr:row>126</xdr:row>
      <xdr:rowOff>133350</xdr:rowOff>
    </xdr:to>
    <xdr:pic>
      <xdr:nvPicPr>
        <xdr:cNvPr id="127" name="Picture@5C\QPendientes@" descr="@5C\QPendientes@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</xdr:row>
      <xdr:rowOff>0</xdr:rowOff>
    </xdr:from>
    <xdr:to>
      <xdr:col>0</xdr:col>
      <xdr:colOff>171450</xdr:colOff>
      <xdr:row>127</xdr:row>
      <xdr:rowOff>133350</xdr:rowOff>
    </xdr:to>
    <xdr:pic>
      <xdr:nvPicPr>
        <xdr:cNvPr id="128" name="Picture@5C\QPendientes@" descr="@5C\QPendientes@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</xdr:row>
      <xdr:rowOff>0</xdr:rowOff>
    </xdr:from>
    <xdr:to>
      <xdr:col>0</xdr:col>
      <xdr:colOff>171450</xdr:colOff>
      <xdr:row>128</xdr:row>
      <xdr:rowOff>133350</xdr:rowOff>
    </xdr:to>
    <xdr:pic>
      <xdr:nvPicPr>
        <xdr:cNvPr id="129" name="Picture@5C\QPendientes@" descr="@5C\QPendientes@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</xdr:row>
      <xdr:rowOff>0</xdr:rowOff>
    </xdr:from>
    <xdr:to>
      <xdr:col>0</xdr:col>
      <xdr:colOff>171450</xdr:colOff>
      <xdr:row>129</xdr:row>
      <xdr:rowOff>133350</xdr:rowOff>
    </xdr:to>
    <xdr:pic>
      <xdr:nvPicPr>
        <xdr:cNvPr id="130" name="Picture@5C\QPendientes@" descr="@5C\QPendientes@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</xdr:row>
      <xdr:rowOff>0</xdr:rowOff>
    </xdr:from>
    <xdr:to>
      <xdr:col>0</xdr:col>
      <xdr:colOff>171450</xdr:colOff>
      <xdr:row>130</xdr:row>
      <xdr:rowOff>133350</xdr:rowOff>
    </xdr:to>
    <xdr:pic>
      <xdr:nvPicPr>
        <xdr:cNvPr id="131" name="Picture@5C\QPendientes@" descr="@5C\QPendientes@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</xdr:row>
      <xdr:rowOff>0</xdr:rowOff>
    </xdr:from>
    <xdr:to>
      <xdr:col>0</xdr:col>
      <xdr:colOff>171450</xdr:colOff>
      <xdr:row>131</xdr:row>
      <xdr:rowOff>133350</xdr:rowOff>
    </xdr:to>
    <xdr:pic>
      <xdr:nvPicPr>
        <xdr:cNvPr id="132" name="Picture@5C\QPendientes@" descr="@5C\QPendientes@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</xdr:row>
      <xdr:rowOff>0</xdr:rowOff>
    </xdr:from>
    <xdr:to>
      <xdr:col>0</xdr:col>
      <xdr:colOff>171450</xdr:colOff>
      <xdr:row>132</xdr:row>
      <xdr:rowOff>133350</xdr:rowOff>
    </xdr:to>
    <xdr:pic>
      <xdr:nvPicPr>
        <xdr:cNvPr id="133" name="Picture@5C\QPendientes@" descr="@5C\QPendientes@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</xdr:row>
      <xdr:rowOff>0</xdr:rowOff>
    </xdr:from>
    <xdr:to>
      <xdr:col>0</xdr:col>
      <xdr:colOff>171450</xdr:colOff>
      <xdr:row>133</xdr:row>
      <xdr:rowOff>133350</xdr:rowOff>
    </xdr:to>
    <xdr:pic>
      <xdr:nvPicPr>
        <xdr:cNvPr id="134" name="Picture@5C\QPendientes@" descr="@5C\QPendientes@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</xdr:row>
      <xdr:rowOff>0</xdr:rowOff>
    </xdr:from>
    <xdr:to>
      <xdr:col>0</xdr:col>
      <xdr:colOff>171450</xdr:colOff>
      <xdr:row>134</xdr:row>
      <xdr:rowOff>133350</xdr:rowOff>
    </xdr:to>
    <xdr:pic>
      <xdr:nvPicPr>
        <xdr:cNvPr id="135" name="Picture@5C\QPendientes@" descr="@5C\QPendientes@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</xdr:row>
      <xdr:rowOff>0</xdr:rowOff>
    </xdr:from>
    <xdr:to>
      <xdr:col>0</xdr:col>
      <xdr:colOff>171450</xdr:colOff>
      <xdr:row>135</xdr:row>
      <xdr:rowOff>133350</xdr:rowOff>
    </xdr:to>
    <xdr:pic>
      <xdr:nvPicPr>
        <xdr:cNvPr id="136" name="Picture@5C\QPendientes@" descr="@5C\QPendientes@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</xdr:row>
      <xdr:rowOff>0</xdr:rowOff>
    </xdr:from>
    <xdr:to>
      <xdr:col>0</xdr:col>
      <xdr:colOff>171450</xdr:colOff>
      <xdr:row>136</xdr:row>
      <xdr:rowOff>133350</xdr:rowOff>
    </xdr:to>
    <xdr:pic>
      <xdr:nvPicPr>
        <xdr:cNvPr id="137" name="Picture@5C\QPendientes@" descr="@5C\QPendientes@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</xdr:row>
      <xdr:rowOff>0</xdr:rowOff>
    </xdr:from>
    <xdr:to>
      <xdr:col>0</xdr:col>
      <xdr:colOff>171450</xdr:colOff>
      <xdr:row>137</xdr:row>
      <xdr:rowOff>133350</xdr:rowOff>
    </xdr:to>
    <xdr:pic>
      <xdr:nvPicPr>
        <xdr:cNvPr id="138" name="Picture@5C\QPendientes@" descr="@5C\QPendientes@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</xdr:row>
      <xdr:rowOff>0</xdr:rowOff>
    </xdr:from>
    <xdr:to>
      <xdr:col>0</xdr:col>
      <xdr:colOff>171450</xdr:colOff>
      <xdr:row>138</xdr:row>
      <xdr:rowOff>133350</xdr:rowOff>
    </xdr:to>
    <xdr:pic>
      <xdr:nvPicPr>
        <xdr:cNvPr id="139" name="Picture@5C\QPendientes@" descr="@5C\QPendientes@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</xdr:row>
      <xdr:rowOff>0</xdr:rowOff>
    </xdr:from>
    <xdr:to>
      <xdr:col>0</xdr:col>
      <xdr:colOff>171450</xdr:colOff>
      <xdr:row>139</xdr:row>
      <xdr:rowOff>133350</xdr:rowOff>
    </xdr:to>
    <xdr:pic>
      <xdr:nvPicPr>
        <xdr:cNvPr id="140" name="Picture@5C\QPendientes@" descr="@5C\QPendientes@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</xdr:row>
      <xdr:rowOff>0</xdr:rowOff>
    </xdr:from>
    <xdr:to>
      <xdr:col>0</xdr:col>
      <xdr:colOff>171450</xdr:colOff>
      <xdr:row>140</xdr:row>
      <xdr:rowOff>133350</xdr:rowOff>
    </xdr:to>
    <xdr:pic>
      <xdr:nvPicPr>
        <xdr:cNvPr id="141" name="Picture@5C\QPendientes@" descr="@5C\QPendientes@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</xdr:row>
      <xdr:rowOff>0</xdr:rowOff>
    </xdr:from>
    <xdr:to>
      <xdr:col>0</xdr:col>
      <xdr:colOff>171450</xdr:colOff>
      <xdr:row>141</xdr:row>
      <xdr:rowOff>133350</xdr:rowOff>
    </xdr:to>
    <xdr:pic>
      <xdr:nvPicPr>
        <xdr:cNvPr id="142" name="Picture@5C\QPendientes@" descr="@5C\QPendientes@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</xdr:row>
      <xdr:rowOff>0</xdr:rowOff>
    </xdr:from>
    <xdr:to>
      <xdr:col>0</xdr:col>
      <xdr:colOff>171450</xdr:colOff>
      <xdr:row>142</xdr:row>
      <xdr:rowOff>133350</xdr:rowOff>
    </xdr:to>
    <xdr:pic>
      <xdr:nvPicPr>
        <xdr:cNvPr id="143" name="Picture@5C\QPendientes@" descr="@5C\QPendientes@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</xdr:row>
      <xdr:rowOff>0</xdr:rowOff>
    </xdr:from>
    <xdr:to>
      <xdr:col>0</xdr:col>
      <xdr:colOff>171450</xdr:colOff>
      <xdr:row>143</xdr:row>
      <xdr:rowOff>133350</xdr:rowOff>
    </xdr:to>
    <xdr:pic>
      <xdr:nvPicPr>
        <xdr:cNvPr id="144" name="Picture@5C\QPendientes@" descr="@5C\QPendientes@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</xdr:row>
      <xdr:rowOff>0</xdr:rowOff>
    </xdr:from>
    <xdr:to>
      <xdr:col>0</xdr:col>
      <xdr:colOff>171450</xdr:colOff>
      <xdr:row>144</xdr:row>
      <xdr:rowOff>133350</xdr:rowOff>
    </xdr:to>
    <xdr:pic>
      <xdr:nvPicPr>
        <xdr:cNvPr id="145" name="Picture@5C\QPendientes@" descr="@5C\QPendientes@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</xdr:row>
      <xdr:rowOff>0</xdr:rowOff>
    </xdr:from>
    <xdr:to>
      <xdr:col>0</xdr:col>
      <xdr:colOff>171450</xdr:colOff>
      <xdr:row>145</xdr:row>
      <xdr:rowOff>133350</xdr:rowOff>
    </xdr:to>
    <xdr:pic>
      <xdr:nvPicPr>
        <xdr:cNvPr id="146" name="Picture@5C\QPendientes@" descr="@5C\QPendientes@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</xdr:row>
      <xdr:rowOff>0</xdr:rowOff>
    </xdr:from>
    <xdr:to>
      <xdr:col>0</xdr:col>
      <xdr:colOff>171450</xdr:colOff>
      <xdr:row>146</xdr:row>
      <xdr:rowOff>133350</xdr:rowOff>
    </xdr:to>
    <xdr:pic>
      <xdr:nvPicPr>
        <xdr:cNvPr id="147" name="Picture@5C\QPendientes@" descr="@5C\QPendientes@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</xdr:row>
      <xdr:rowOff>0</xdr:rowOff>
    </xdr:from>
    <xdr:to>
      <xdr:col>0</xdr:col>
      <xdr:colOff>171450</xdr:colOff>
      <xdr:row>147</xdr:row>
      <xdr:rowOff>133350</xdr:rowOff>
    </xdr:to>
    <xdr:pic>
      <xdr:nvPicPr>
        <xdr:cNvPr id="148" name="Picture@5C\QPendientes@" descr="@5C\QPendientes@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</xdr:row>
      <xdr:rowOff>0</xdr:rowOff>
    </xdr:from>
    <xdr:to>
      <xdr:col>0</xdr:col>
      <xdr:colOff>171450</xdr:colOff>
      <xdr:row>148</xdr:row>
      <xdr:rowOff>133350</xdr:rowOff>
    </xdr:to>
    <xdr:pic>
      <xdr:nvPicPr>
        <xdr:cNvPr id="149" name="Picture@5C\QPendientes@" descr="@5C\QPendientes@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</xdr:row>
      <xdr:rowOff>0</xdr:rowOff>
    </xdr:from>
    <xdr:to>
      <xdr:col>0</xdr:col>
      <xdr:colOff>171450</xdr:colOff>
      <xdr:row>149</xdr:row>
      <xdr:rowOff>133350</xdr:rowOff>
    </xdr:to>
    <xdr:pic>
      <xdr:nvPicPr>
        <xdr:cNvPr id="150" name="Picture@5C\QPendientes@" descr="@5C\QPendientes@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</xdr:row>
      <xdr:rowOff>0</xdr:rowOff>
    </xdr:from>
    <xdr:to>
      <xdr:col>0</xdr:col>
      <xdr:colOff>171450</xdr:colOff>
      <xdr:row>150</xdr:row>
      <xdr:rowOff>133350</xdr:rowOff>
    </xdr:to>
    <xdr:pic>
      <xdr:nvPicPr>
        <xdr:cNvPr id="151" name="Picture@5C\QPendientes@" descr="@5C\QPendientes@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</xdr:row>
      <xdr:rowOff>0</xdr:rowOff>
    </xdr:from>
    <xdr:to>
      <xdr:col>0</xdr:col>
      <xdr:colOff>171450</xdr:colOff>
      <xdr:row>151</xdr:row>
      <xdr:rowOff>133350</xdr:rowOff>
    </xdr:to>
    <xdr:pic>
      <xdr:nvPicPr>
        <xdr:cNvPr id="152" name="Picture@5C\QPendientes@" descr="@5C\QPendientes@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</xdr:row>
      <xdr:rowOff>0</xdr:rowOff>
    </xdr:from>
    <xdr:to>
      <xdr:col>0</xdr:col>
      <xdr:colOff>171450</xdr:colOff>
      <xdr:row>152</xdr:row>
      <xdr:rowOff>133350</xdr:rowOff>
    </xdr:to>
    <xdr:pic>
      <xdr:nvPicPr>
        <xdr:cNvPr id="153" name="Picture@5C\QPendientes@" descr="@5C\QPendientes@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</xdr:row>
      <xdr:rowOff>0</xdr:rowOff>
    </xdr:from>
    <xdr:to>
      <xdr:col>0</xdr:col>
      <xdr:colOff>171450</xdr:colOff>
      <xdr:row>153</xdr:row>
      <xdr:rowOff>133350</xdr:rowOff>
    </xdr:to>
    <xdr:pic>
      <xdr:nvPicPr>
        <xdr:cNvPr id="154" name="Picture@5C\QPendientes@" descr="@5C\QPendientes@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</xdr:row>
      <xdr:rowOff>0</xdr:rowOff>
    </xdr:from>
    <xdr:to>
      <xdr:col>0</xdr:col>
      <xdr:colOff>171450</xdr:colOff>
      <xdr:row>154</xdr:row>
      <xdr:rowOff>133350</xdr:rowOff>
    </xdr:to>
    <xdr:pic>
      <xdr:nvPicPr>
        <xdr:cNvPr id="155" name="Picture@5C\QPendientes@" descr="@5C\QPendientes@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</xdr:row>
      <xdr:rowOff>0</xdr:rowOff>
    </xdr:from>
    <xdr:to>
      <xdr:col>0</xdr:col>
      <xdr:colOff>171450</xdr:colOff>
      <xdr:row>155</xdr:row>
      <xdr:rowOff>133350</xdr:rowOff>
    </xdr:to>
    <xdr:pic>
      <xdr:nvPicPr>
        <xdr:cNvPr id="156" name="Picture@5C\QPendientes@" descr="@5C\QPendientes@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</xdr:row>
      <xdr:rowOff>0</xdr:rowOff>
    </xdr:from>
    <xdr:to>
      <xdr:col>0</xdr:col>
      <xdr:colOff>171450</xdr:colOff>
      <xdr:row>156</xdr:row>
      <xdr:rowOff>133350</xdr:rowOff>
    </xdr:to>
    <xdr:pic>
      <xdr:nvPicPr>
        <xdr:cNvPr id="157" name="Picture@5C\QPendientes@" descr="@5C\QPendientes@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</xdr:row>
      <xdr:rowOff>0</xdr:rowOff>
    </xdr:from>
    <xdr:to>
      <xdr:col>0</xdr:col>
      <xdr:colOff>171450</xdr:colOff>
      <xdr:row>157</xdr:row>
      <xdr:rowOff>133350</xdr:rowOff>
    </xdr:to>
    <xdr:pic>
      <xdr:nvPicPr>
        <xdr:cNvPr id="158" name="Picture@5C\QPendientes@" descr="@5C\QPendientes@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</xdr:row>
      <xdr:rowOff>0</xdr:rowOff>
    </xdr:from>
    <xdr:to>
      <xdr:col>0</xdr:col>
      <xdr:colOff>171450</xdr:colOff>
      <xdr:row>158</xdr:row>
      <xdr:rowOff>133350</xdr:rowOff>
    </xdr:to>
    <xdr:pic>
      <xdr:nvPicPr>
        <xdr:cNvPr id="159" name="Picture@5C\QPendientes@" descr="@5C\QPendientes@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</xdr:row>
      <xdr:rowOff>0</xdr:rowOff>
    </xdr:from>
    <xdr:to>
      <xdr:col>0</xdr:col>
      <xdr:colOff>171450</xdr:colOff>
      <xdr:row>159</xdr:row>
      <xdr:rowOff>133350</xdr:rowOff>
    </xdr:to>
    <xdr:pic>
      <xdr:nvPicPr>
        <xdr:cNvPr id="160" name="Picture@5C\QPendientes@" descr="@5C\QPendientes@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</xdr:row>
      <xdr:rowOff>0</xdr:rowOff>
    </xdr:from>
    <xdr:to>
      <xdr:col>0</xdr:col>
      <xdr:colOff>171450</xdr:colOff>
      <xdr:row>160</xdr:row>
      <xdr:rowOff>133350</xdr:rowOff>
    </xdr:to>
    <xdr:pic>
      <xdr:nvPicPr>
        <xdr:cNvPr id="161" name="Picture@5C\QPendientes@" descr="@5C\QPendientes@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</xdr:row>
      <xdr:rowOff>0</xdr:rowOff>
    </xdr:from>
    <xdr:to>
      <xdr:col>0</xdr:col>
      <xdr:colOff>171450</xdr:colOff>
      <xdr:row>161</xdr:row>
      <xdr:rowOff>133350</xdr:rowOff>
    </xdr:to>
    <xdr:pic>
      <xdr:nvPicPr>
        <xdr:cNvPr id="162" name="Picture@5C\QPendientes@" descr="@5C\QPendientes@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</xdr:row>
      <xdr:rowOff>0</xdr:rowOff>
    </xdr:from>
    <xdr:to>
      <xdr:col>0</xdr:col>
      <xdr:colOff>171450</xdr:colOff>
      <xdr:row>162</xdr:row>
      <xdr:rowOff>133350</xdr:rowOff>
    </xdr:to>
    <xdr:pic>
      <xdr:nvPicPr>
        <xdr:cNvPr id="163" name="Picture@5C\QPendientes@" descr="@5C\QPendientes@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</xdr:row>
      <xdr:rowOff>0</xdr:rowOff>
    </xdr:from>
    <xdr:to>
      <xdr:col>0</xdr:col>
      <xdr:colOff>171450</xdr:colOff>
      <xdr:row>163</xdr:row>
      <xdr:rowOff>133350</xdr:rowOff>
    </xdr:to>
    <xdr:pic>
      <xdr:nvPicPr>
        <xdr:cNvPr id="164" name="Picture@5C\QPendientes@" descr="@5C\QPendientes@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</xdr:row>
      <xdr:rowOff>0</xdr:rowOff>
    </xdr:from>
    <xdr:to>
      <xdr:col>0</xdr:col>
      <xdr:colOff>171450</xdr:colOff>
      <xdr:row>164</xdr:row>
      <xdr:rowOff>133350</xdr:rowOff>
    </xdr:to>
    <xdr:pic>
      <xdr:nvPicPr>
        <xdr:cNvPr id="165" name="Picture@5C\QPendientes@" descr="@5C\QPendientes@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</xdr:row>
      <xdr:rowOff>0</xdr:rowOff>
    </xdr:from>
    <xdr:to>
      <xdr:col>0</xdr:col>
      <xdr:colOff>171450</xdr:colOff>
      <xdr:row>165</xdr:row>
      <xdr:rowOff>133350</xdr:rowOff>
    </xdr:to>
    <xdr:pic>
      <xdr:nvPicPr>
        <xdr:cNvPr id="166" name="Picture@5C\QPendientes@" descr="@5C\QPendientes@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</xdr:row>
      <xdr:rowOff>0</xdr:rowOff>
    </xdr:from>
    <xdr:to>
      <xdr:col>0</xdr:col>
      <xdr:colOff>171450</xdr:colOff>
      <xdr:row>166</xdr:row>
      <xdr:rowOff>133350</xdr:rowOff>
    </xdr:to>
    <xdr:pic>
      <xdr:nvPicPr>
        <xdr:cNvPr id="167" name="Picture@5C\QPendientes@" descr="@5C\QPendientes@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</xdr:row>
      <xdr:rowOff>0</xdr:rowOff>
    </xdr:from>
    <xdr:to>
      <xdr:col>0</xdr:col>
      <xdr:colOff>171450</xdr:colOff>
      <xdr:row>167</xdr:row>
      <xdr:rowOff>133350</xdr:rowOff>
    </xdr:to>
    <xdr:pic>
      <xdr:nvPicPr>
        <xdr:cNvPr id="168" name="Picture@5C\QPendientes@" descr="@5C\QPendientes@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</xdr:row>
      <xdr:rowOff>0</xdr:rowOff>
    </xdr:from>
    <xdr:to>
      <xdr:col>0</xdr:col>
      <xdr:colOff>171450</xdr:colOff>
      <xdr:row>168</xdr:row>
      <xdr:rowOff>133350</xdr:rowOff>
    </xdr:to>
    <xdr:pic>
      <xdr:nvPicPr>
        <xdr:cNvPr id="169" name="Picture@5C\QPendientes@" descr="@5C\QPendientes@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</xdr:row>
      <xdr:rowOff>0</xdr:rowOff>
    </xdr:from>
    <xdr:to>
      <xdr:col>0</xdr:col>
      <xdr:colOff>171450</xdr:colOff>
      <xdr:row>169</xdr:row>
      <xdr:rowOff>133350</xdr:rowOff>
    </xdr:to>
    <xdr:pic>
      <xdr:nvPicPr>
        <xdr:cNvPr id="170" name="Picture@5C\QPendientes@" descr="@5C\QPendientes@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</xdr:row>
      <xdr:rowOff>0</xdr:rowOff>
    </xdr:from>
    <xdr:to>
      <xdr:col>0</xdr:col>
      <xdr:colOff>171450</xdr:colOff>
      <xdr:row>170</xdr:row>
      <xdr:rowOff>133350</xdr:rowOff>
    </xdr:to>
    <xdr:pic>
      <xdr:nvPicPr>
        <xdr:cNvPr id="171" name="Picture@5C\QPendientes@" descr="@5C\QPendientes@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</xdr:row>
      <xdr:rowOff>0</xdr:rowOff>
    </xdr:from>
    <xdr:to>
      <xdr:col>0</xdr:col>
      <xdr:colOff>171450</xdr:colOff>
      <xdr:row>171</xdr:row>
      <xdr:rowOff>133350</xdr:rowOff>
    </xdr:to>
    <xdr:pic>
      <xdr:nvPicPr>
        <xdr:cNvPr id="172" name="Picture@5C\QPendientes@" descr="@5C\QPendientes@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</xdr:row>
      <xdr:rowOff>0</xdr:rowOff>
    </xdr:from>
    <xdr:to>
      <xdr:col>0</xdr:col>
      <xdr:colOff>171450</xdr:colOff>
      <xdr:row>172</xdr:row>
      <xdr:rowOff>133350</xdr:rowOff>
    </xdr:to>
    <xdr:pic>
      <xdr:nvPicPr>
        <xdr:cNvPr id="173" name="Picture@5C\QPendientes@" descr="@5C\QPendientes@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</xdr:row>
      <xdr:rowOff>0</xdr:rowOff>
    </xdr:from>
    <xdr:to>
      <xdr:col>0</xdr:col>
      <xdr:colOff>171450</xdr:colOff>
      <xdr:row>173</xdr:row>
      <xdr:rowOff>133350</xdr:rowOff>
    </xdr:to>
    <xdr:pic>
      <xdr:nvPicPr>
        <xdr:cNvPr id="174" name="Picture@5C\QPendientes@" descr="@5C\QPendientes@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</xdr:row>
      <xdr:rowOff>0</xdr:rowOff>
    </xdr:from>
    <xdr:to>
      <xdr:col>0</xdr:col>
      <xdr:colOff>171450</xdr:colOff>
      <xdr:row>174</xdr:row>
      <xdr:rowOff>133350</xdr:rowOff>
    </xdr:to>
    <xdr:pic>
      <xdr:nvPicPr>
        <xdr:cNvPr id="175" name="Picture@5C\QPendientes@" descr="@5C\QPendientes@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</xdr:row>
      <xdr:rowOff>0</xdr:rowOff>
    </xdr:from>
    <xdr:to>
      <xdr:col>0</xdr:col>
      <xdr:colOff>171450</xdr:colOff>
      <xdr:row>175</xdr:row>
      <xdr:rowOff>133350</xdr:rowOff>
    </xdr:to>
    <xdr:pic>
      <xdr:nvPicPr>
        <xdr:cNvPr id="176" name="Picture@5C\QPendientes@" descr="@5C\QPendientes@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</xdr:row>
      <xdr:rowOff>0</xdr:rowOff>
    </xdr:from>
    <xdr:to>
      <xdr:col>0</xdr:col>
      <xdr:colOff>171450</xdr:colOff>
      <xdr:row>176</xdr:row>
      <xdr:rowOff>133350</xdr:rowOff>
    </xdr:to>
    <xdr:pic>
      <xdr:nvPicPr>
        <xdr:cNvPr id="177" name="Picture@5C\QPendientes@" descr="@5C\QPendientes@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</xdr:row>
      <xdr:rowOff>0</xdr:rowOff>
    </xdr:from>
    <xdr:to>
      <xdr:col>0</xdr:col>
      <xdr:colOff>171450</xdr:colOff>
      <xdr:row>177</xdr:row>
      <xdr:rowOff>133350</xdr:rowOff>
    </xdr:to>
    <xdr:pic>
      <xdr:nvPicPr>
        <xdr:cNvPr id="178" name="Picture@5C\QPendientes@" descr="@5C\QPendientes@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</xdr:row>
      <xdr:rowOff>0</xdr:rowOff>
    </xdr:from>
    <xdr:to>
      <xdr:col>0</xdr:col>
      <xdr:colOff>171450</xdr:colOff>
      <xdr:row>178</xdr:row>
      <xdr:rowOff>133350</xdr:rowOff>
    </xdr:to>
    <xdr:pic>
      <xdr:nvPicPr>
        <xdr:cNvPr id="179" name="Picture@5C\QPendientes@" descr="@5C\QPendientes@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</xdr:row>
      <xdr:rowOff>0</xdr:rowOff>
    </xdr:from>
    <xdr:to>
      <xdr:col>0</xdr:col>
      <xdr:colOff>171450</xdr:colOff>
      <xdr:row>179</xdr:row>
      <xdr:rowOff>133350</xdr:rowOff>
    </xdr:to>
    <xdr:pic>
      <xdr:nvPicPr>
        <xdr:cNvPr id="180" name="Picture@5C\QPendientes@" descr="@5C\QPendientes@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</xdr:row>
      <xdr:rowOff>0</xdr:rowOff>
    </xdr:from>
    <xdr:to>
      <xdr:col>0</xdr:col>
      <xdr:colOff>171450</xdr:colOff>
      <xdr:row>180</xdr:row>
      <xdr:rowOff>133350</xdr:rowOff>
    </xdr:to>
    <xdr:pic>
      <xdr:nvPicPr>
        <xdr:cNvPr id="181" name="Picture@5C\QPendientes@" descr="@5C\QPendientes@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</xdr:row>
      <xdr:rowOff>0</xdr:rowOff>
    </xdr:from>
    <xdr:to>
      <xdr:col>0</xdr:col>
      <xdr:colOff>171450</xdr:colOff>
      <xdr:row>181</xdr:row>
      <xdr:rowOff>133350</xdr:rowOff>
    </xdr:to>
    <xdr:pic>
      <xdr:nvPicPr>
        <xdr:cNvPr id="182" name="Picture@5C\QPendientes@" descr="@5C\QPendientes@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</xdr:row>
      <xdr:rowOff>0</xdr:rowOff>
    </xdr:from>
    <xdr:to>
      <xdr:col>0</xdr:col>
      <xdr:colOff>171450</xdr:colOff>
      <xdr:row>182</xdr:row>
      <xdr:rowOff>133350</xdr:rowOff>
    </xdr:to>
    <xdr:pic>
      <xdr:nvPicPr>
        <xdr:cNvPr id="183" name="Picture@5C\QPendientes@" descr="@5C\QPendientes@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</xdr:row>
      <xdr:rowOff>0</xdr:rowOff>
    </xdr:from>
    <xdr:to>
      <xdr:col>0</xdr:col>
      <xdr:colOff>171450</xdr:colOff>
      <xdr:row>183</xdr:row>
      <xdr:rowOff>133350</xdr:rowOff>
    </xdr:to>
    <xdr:pic>
      <xdr:nvPicPr>
        <xdr:cNvPr id="184" name="Picture@5C\QPendientes@" descr="@5C\QPendientes@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</xdr:row>
      <xdr:rowOff>0</xdr:rowOff>
    </xdr:from>
    <xdr:to>
      <xdr:col>0</xdr:col>
      <xdr:colOff>171450</xdr:colOff>
      <xdr:row>184</xdr:row>
      <xdr:rowOff>133350</xdr:rowOff>
    </xdr:to>
    <xdr:pic>
      <xdr:nvPicPr>
        <xdr:cNvPr id="185" name="Picture@5C\QPendientes@" descr="@5C\QPendientes@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</xdr:row>
      <xdr:rowOff>0</xdr:rowOff>
    </xdr:from>
    <xdr:to>
      <xdr:col>0</xdr:col>
      <xdr:colOff>171450</xdr:colOff>
      <xdr:row>185</xdr:row>
      <xdr:rowOff>133350</xdr:rowOff>
    </xdr:to>
    <xdr:pic>
      <xdr:nvPicPr>
        <xdr:cNvPr id="186" name="Picture@5C\QPendientes@" descr="@5C\QPendientes@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</xdr:row>
      <xdr:rowOff>0</xdr:rowOff>
    </xdr:from>
    <xdr:to>
      <xdr:col>0</xdr:col>
      <xdr:colOff>171450</xdr:colOff>
      <xdr:row>186</xdr:row>
      <xdr:rowOff>133350</xdr:rowOff>
    </xdr:to>
    <xdr:pic>
      <xdr:nvPicPr>
        <xdr:cNvPr id="187" name="Picture@5C\QPendientes@" descr="@5C\QPendientes@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</xdr:row>
      <xdr:rowOff>0</xdr:rowOff>
    </xdr:from>
    <xdr:to>
      <xdr:col>0</xdr:col>
      <xdr:colOff>171450</xdr:colOff>
      <xdr:row>187</xdr:row>
      <xdr:rowOff>133350</xdr:rowOff>
    </xdr:to>
    <xdr:pic>
      <xdr:nvPicPr>
        <xdr:cNvPr id="188" name="Picture@5C\QPendientes@" descr="@5C\QPendientes@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</xdr:row>
      <xdr:rowOff>0</xdr:rowOff>
    </xdr:from>
    <xdr:to>
      <xdr:col>0</xdr:col>
      <xdr:colOff>171450</xdr:colOff>
      <xdr:row>188</xdr:row>
      <xdr:rowOff>133350</xdr:rowOff>
    </xdr:to>
    <xdr:pic>
      <xdr:nvPicPr>
        <xdr:cNvPr id="189" name="Picture@5C\QPendientes@" descr="@5C\QPendientes@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</xdr:row>
      <xdr:rowOff>0</xdr:rowOff>
    </xdr:from>
    <xdr:to>
      <xdr:col>0</xdr:col>
      <xdr:colOff>171450</xdr:colOff>
      <xdr:row>189</xdr:row>
      <xdr:rowOff>133350</xdr:rowOff>
    </xdr:to>
    <xdr:pic>
      <xdr:nvPicPr>
        <xdr:cNvPr id="190" name="Picture@5C\QPendientes@" descr="@5C\QPendientes@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</xdr:row>
      <xdr:rowOff>0</xdr:rowOff>
    </xdr:from>
    <xdr:to>
      <xdr:col>0</xdr:col>
      <xdr:colOff>171450</xdr:colOff>
      <xdr:row>190</xdr:row>
      <xdr:rowOff>133350</xdr:rowOff>
    </xdr:to>
    <xdr:pic>
      <xdr:nvPicPr>
        <xdr:cNvPr id="191" name="Picture@5C\QPendientes@" descr="@5C\QPendientes@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</xdr:row>
      <xdr:rowOff>0</xdr:rowOff>
    </xdr:from>
    <xdr:to>
      <xdr:col>0</xdr:col>
      <xdr:colOff>171450</xdr:colOff>
      <xdr:row>191</xdr:row>
      <xdr:rowOff>133350</xdr:rowOff>
    </xdr:to>
    <xdr:pic>
      <xdr:nvPicPr>
        <xdr:cNvPr id="192" name="Picture@5C\QPendientes@" descr="@5C\QPendientes@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</xdr:row>
      <xdr:rowOff>0</xdr:rowOff>
    </xdr:from>
    <xdr:to>
      <xdr:col>0</xdr:col>
      <xdr:colOff>171450</xdr:colOff>
      <xdr:row>192</xdr:row>
      <xdr:rowOff>133350</xdr:rowOff>
    </xdr:to>
    <xdr:pic>
      <xdr:nvPicPr>
        <xdr:cNvPr id="193" name="Picture@5C\QPendientes@" descr="@5C\QPendientes@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</xdr:row>
      <xdr:rowOff>0</xdr:rowOff>
    </xdr:from>
    <xdr:to>
      <xdr:col>0</xdr:col>
      <xdr:colOff>171450</xdr:colOff>
      <xdr:row>193</xdr:row>
      <xdr:rowOff>133350</xdr:rowOff>
    </xdr:to>
    <xdr:pic>
      <xdr:nvPicPr>
        <xdr:cNvPr id="194" name="Picture@5C\QPendientes@" descr="@5C\QPendientes@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</xdr:row>
      <xdr:rowOff>0</xdr:rowOff>
    </xdr:from>
    <xdr:to>
      <xdr:col>0</xdr:col>
      <xdr:colOff>171450</xdr:colOff>
      <xdr:row>194</xdr:row>
      <xdr:rowOff>133350</xdr:rowOff>
    </xdr:to>
    <xdr:pic>
      <xdr:nvPicPr>
        <xdr:cNvPr id="195" name="Picture@5C\QPendientes@" descr="@5C\QPendientes@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</xdr:row>
      <xdr:rowOff>0</xdr:rowOff>
    </xdr:from>
    <xdr:to>
      <xdr:col>0</xdr:col>
      <xdr:colOff>171450</xdr:colOff>
      <xdr:row>195</xdr:row>
      <xdr:rowOff>133350</xdr:rowOff>
    </xdr:to>
    <xdr:pic>
      <xdr:nvPicPr>
        <xdr:cNvPr id="196" name="Picture@5C\QPendientes@" descr="@5C\QPendientes@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</xdr:row>
      <xdr:rowOff>0</xdr:rowOff>
    </xdr:from>
    <xdr:to>
      <xdr:col>0</xdr:col>
      <xdr:colOff>171450</xdr:colOff>
      <xdr:row>196</xdr:row>
      <xdr:rowOff>133350</xdr:rowOff>
    </xdr:to>
    <xdr:pic>
      <xdr:nvPicPr>
        <xdr:cNvPr id="197" name="Picture@5C\QPendientes@" descr="@5C\QPendientes@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</xdr:row>
      <xdr:rowOff>0</xdr:rowOff>
    </xdr:from>
    <xdr:to>
      <xdr:col>0</xdr:col>
      <xdr:colOff>171450</xdr:colOff>
      <xdr:row>197</xdr:row>
      <xdr:rowOff>133350</xdr:rowOff>
    </xdr:to>
    <xdr:pic>
      <xdr:nvPicPr>
        <xdr:cNvPr id="198" name="Picture@5C\QPendientes@" descr="@5C\QPendientes@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</xdr:row>
      <xdr:rowOff>0</xdr:rowOff>
    </xdr:from>
    <xdr:to>
      <xdr:col>0</xdr:col>
      <xdr:colOff>171450</xdr:colOff>
      <xdr:row>198</xdr:row>
      <xdr:rowOff>133350</xdr:rowOff>
    </xdr:to>
    <xdr:pic>
      <xdr:nvPicPr>
        <xdr:cNvPr id="199" name="Picture@5C\QPendientes@" descr="@5C\QPendientes@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</xdr:row>
      <xdr:rowOff>0</xdr:rowOff>
    </xdr:from>
    <xdr:to>
      <xdr:col>0</xdr:col>
      <xdr:colOff>171450</xdr:colOff>
      <xdr:row>199</xdr:row>
      <xdr:rowOff>133350</xdr:rowOff>
    </xdr:to>
    <xdr:pic>
      <xdr:nvPicPr>
        <xdr:cNvPr id="200" name="Picture@5C\QPendientes@" descr="@5C\QPendientes@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</xdr:row>
      <xdr:rowOff>0</xdr:rowOff>
    </xdr:from>
    <xdr:to>
      <xdr:col>0</xdr:col>
      <xdr:colOff>171450</xdr:colOff>
      <xdr:row>200</xdr:row>
      <xdr:rowOff>133350</xdr:rowOff>
    </xdr:to>
    <xdr:pic>
      <xdr:nvPicPr>
        <xdr:cNvPr id="201" name="Picture@5C\QPendientes@" descr="@5C\QPendientes@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</xdr:row>
      <xdr:rowOff>0</xdr:rowOff>
    </xdr:from>
    <xdr:to>
      <xdr:col>0</xdr:col>
      <xdr:colOff>171450</xdr:colOff>
      <xdr:row>201</xdr:row>
      <xdr:rowOff>133350</xdr:rowOff>
    </xdr:to>
    <xdr:pic>
      <xdr:nvPicPr>
        <xdr:cNvPr id="202" name="Picture@5C\QPendientes@" descr="@5C\QPendientes@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</xdr:row>
      <xdr:rowOff>0</xdr:rowOff>
    </xdr:from>
    <xdr:to>
      <xdr:col>0</xdr:col>
      <xdr:colOff>171450</xdr:colOff>
      <xdr:row>202</xdr:row>
      <xdr:rowOff>133350</xdr:rowOff>
    </xdr:to>
    <xdr:pic>
      <xdr:nvPicPr>
        <xdr:cNvPr id="203" name="Picture@5C\QPendientes@" descr="@5C\QPendientes@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</xdr:row>
      <xdr:rowOff>0</xdr:rowOff>
    </xdr:from>
    <xdr:to>
      <xdr:col>0</xdr:col>
      <xdr:colOff>171450</xdr:colOff>
      <xdr:row>203</xdr:row>
      <xdr:rowOff>133350</xdr:rowOff>
    </xdr:to>
    <xdr:pic>
      <xdr:nvPicPr>
        <xdr:cNvPr id="204" name="Picture@5C\QPendientes@" descr="@5C\QPendientes@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</xdr:row>
      <xdr:rowOff>0</xdr:rowOff>
    </xdr:from>
    <xdr:to>
      <xdr:col>0</xdr:col>
      <xdr:colOff>171450</xdr:colOff>
      <xdr:row>204</xdr:row>
      <xdr:rowOff>133350</xdr:rowOff>
    </xdr:to>
    <xdr:pic>
      <xdr:nvPicPr>
        <xdr:cNvPr id="205" name="Picture@5C\QPendientes@" descr="@5C\QPendientes@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</xdr:row>
      <xdr:rowOff>0</xdr:rowOff>
    </xdr:from>
    <xdr:to>
      <xdr:col>0</xdr:col>
      <xdr:colOff>171450</xdr:colOff>
      <xdr:row>205</xdr:row>
      <xdr:rowOff>133350</xdr:rowOff>
    </xdr:to>
    <xdr:pic>
      <xdr:nvPicPr>
        <xdr:cNvPr id="206" name="Picture@5C\QPendientes@" descr="@5C\QPendientes@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</xdr:row>
      <xdr:rowOff>0</xdr:rowOff>
    </xdr:from>
    <xdr:to>
      <xdr:col>0</xdr:col>
      <xdr:colOff>171450</xdr:colOff>
      <xdr:row>206</xdr:row>
      <xdr:rowOff>133350</xdr:rowOff>
    </xdr:to>
    <xdr:pic>
      <xdr:nvPicPr>
        <xdr:cNvPr id="207" name="Picture@5C\QPendientes@" descr="@5C\QPendientes@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</xdr:row>
      <xdr:rowOff>0</xdr:rowOff>
    </xdr:from>
    <xdr:to>
      <xdr:col>0</xdr:col>
      <xdr:colOff>171450</xdr:colOff>
      <xdr:row>207</xdr:row>
      <xdr:rowOff>133350</xdr:rowOff>
    </xdr:to>
    <xdr:pic>
      <xdr:nvPicPr>
        <xdr:cNvPr id="208" name="Picture@5C\QPendientes@" descr="@5C\QPendientes@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</xdr:row>
      <xdr:rowOff>0</xdr:rowOff>
    </xdr:from>
    <xdr:to>
      <xdr:col>0</xdr:col>
      <xdr:colOff>171450</xdr:colOff>
      <xdr:row>208</xdr:row>
      <xdr:rowOff>133350</xdr:rowOff>
    </xdr:to>
    <xdr:pic>
      <xdr:nvPicPr>
        <xdr:cNvPr id="209" name="Picture@5C\QPendientes@" descr="@5C\QPendientes@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</xdr:row>
      <xdr:rowOff>0</xdr:rowOff>
    </xdr:from>
    <xdr:to>
      <xdr:col>0</xdr:col>
      <xdr:colOff>171450</xdr:colOff>
      <xdr:row>209</xdr:row>
      <xdr:rowOff>133350</xdr:rowOff>
    </xdr:to>
    <xdr:pic>
      <xdr:nvPicPr>
        <xdr:cNvPr id="210" name="Picture@5C\QPendientes@" descr="@5C\QPendientes@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</xdr:row>
      <xdr:rowOff>0</xdr:rowOff>
    </xdr:from>
    <xdr:to>
      <xdr:col>0</xdr:col>
      <xdr:colOff>171450</xdr:colOff>
      <xdr:row>210</xdr:row>
      <xdr:rowOff>133350</xdr:rowOff>
    </xdr:to>
    <xdr:pic>
      <xdr:nvPicPr>
        <xdr:cNvPr id="211" name="Picture@5C\QPendientes@" descr="@5C\QPendientes@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</xdr:row>
      <xdr:rowOff>0</xdr:rowOff>
    </xdr:from>
    <xdr:to>
      <xdr:col>0</xdr:col>
      <xdr:colOff>171450</xdr:colOff>
      <xdr:row>211</xdr:row>
      <xdr:rowOff>133350</xdr:rowOff>
    </xdr:to>
    <xdr:pic>
      <xdr:nvPicPr>
        <xdr:cNvPr id="212" name="Picture@5C\QPendientes@" descr="@5C\QPendientes@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</xdr:row>
      <xdr:rowOff>0</xdr:rowOff>
    </xdr:from>
    <xdr:to>
      <xdr:col>0</xdr:col>
      <xdr:colOff>171450</xdr:colOff>
      <xdr:row>212</xdr:row>
      <xdr:rowOff>133350</xdr:rowOff>
    </xdr:to>
    <xdr:pic>
      <xdr:nvPicPr>
        <xdr:cNvPr id="213" name="Picture@5C\QPendientes@" descr="@5C\QPendientes@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</xdr:row>
      <xdr:rowOff>0</xdr:rowOff>
    </xdr:from>
    <xdr:to>
      <xdr:col>0</xdr:col>
      <xdr:colOff>171450</xdr:colOff>
      <xdr:row>213</xdr:row>
      <xdr:rowOff>133350</xdr:rowOff>
    </xdr:to>
    <xdr:pic>
      <xdr:nvPicPr>
        <xdr:cNvPr id="214" name="Picture@5C\QPendientes@" descr="@5C\QPendientes@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</xdr:row>
      <xdr:rowOff>0</xdr:rowOff>
    </xdr:from>
    <xdr:to>
      <xdr:col>0</xdr:col>
      <xdr:colOff>171450</xdr:colOff>
      <xdr:row>214</xdr:row>
      <xdr:rowOff>133350</xdr:rowOff>
    </xdr:to>
    <xdr:pic>
      <xdr:nvPicPr>
        <xdr:cNvPr id="215" name="Picture@5C\QPendientes@" descr="@5C\QPendientes@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133350</xdr:rowOff>
    </xdr:to>
    <xdr:pic>
      <xdr:nvPicPr>
        <xdr:cNvPr id="340" name="Picture@5C\QPendientes@" descr="@5C\QPendientes@">
          <a:extLst>
            <a:ext uri="{FF2B5EF4-FFF2-40B4-BE49-F238E27FC236}">
              <a16:creationId xmlns:a16="http://schemas.microsoft.com/office/drawing/2014/main" id="{C3A0C898-31B7-4219-A6BA-204D090874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133350</xdr:rowOff>
    </xdr:to>
    <xdr:pic>
      <xdr:nvPicPr>
        <xdr:cNvPr id="341" name="Picture@5C\QPendientes@" descr="@5C\QPendientes@">
          <a:extLst>
            <a:ext uri="{FF2B5EF4-FFF2-40B4-BE49-F238E27FC236}">
              <a16:creationId xmlns:a16="http://schemas.microsoft.com/office/drawing/2014/main" id="{1259468B-F178-432F-BAFA-98CE4B6EC9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133350</xdr:rowOff>
    </xdr:to>
    <xdr:pic>
      <xdr:nvPicPr>
        <xdr:cNvPr id="342" name="Picture@5C\QPendientes@" descr="@5C\QPendientes@">
          <a:extLst>
            <a:ext uri="{FF2B5EF4-FFF2-40B4-BE49-F238E27FC236}">
              <a16:creationId xmlns:a16="http://schemas.microsoft.com/office/drawing/2014/main" id="{4A490CD1-6FD3-45B5-9405-53EA7B2CC4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133350</xdr:rowOff>
    </xdr:to>
    <xdr:pic>
      <xdr:nvPicPr>
        <xdr:cNvPr id="343" name="Picture@5C\QPendientes@" descr="@5C\QPendientes@">
          <a:extLst>
            <a:ext uri="{FF2B5EF4-FFF2-40B4-BE49-F238E27FC236}">
              <a16:creationId xmlns:a16="http://schemas.microsoft.com/office/drawing/2014/main" id="{CFBA980C-DFCC-43B1-ABA2-450A21DA36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133350</xdr:rowOff>
    </xdr:to>
    <xdr:pic>
      <xdr:nvPicPr>
        <xdr:cNvPr id="344" name="Picture@5C\QPendientes@" descr="@5C\QPendientes@">
          <a:extLst>
            <a:ext uri="{FF2B5EF4-FFF2-40B4-BE49-F238E27FC236}">
              <a16:creationId xmlns:a16="http://schemas.microsoft.com/office/drawing/2014/main" id="{C37CE38E-2F0F-4EC2-85FF-B1D259431A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133350</xdr:rowOff>
    </xdr:to>
    <xdr:pic>
      <xdr:nvPicPr>
        <xdr:cNvPr id="345" name="Picture@5C\QPendientes@" descr="@5C\QPendientes@">
          <a:extLst>
            <a:ext uri="{FF2B5EF4-FFF2-40B4-BE49-F238E27FC236}">
              <a16:creationId xmlns:a16="http://schemas.microsoft.com/office/drawing/2014/main" id="{F819AD8B-AB6B-41B1-981E-3EA8358233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133350</xdr:rowOff>
    </xdr:to>
    <xdr:pic>
      <xdr:nvPicPr>
        <xdr:cNvPr id="346" name="Picture@5C\QPendientes@" descr="@5C\QPendientes@">
          <a:extLst>
            <a:ext uri="{FF2B5EF4-FFF2-40B4-BE49-F238E27FC236}">
              <a16:creationId xmlns:a16="http://schemas.microsoft.com/office/drawing/2014/main" id="{29338152-EAD2-49E7-83A2-7BFE62695C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133350</xdr:rowOff>
    </xdr:to>
    <xdr:pic>
      <xdr:nvPicPr>
        <xdr:cNvPr id="347" name="Picture@5C\QPendientes@" descr="@5C\QPendientes@">
          <a:extLst>
            <a:ext uri="{FF2B5EF4-FFF2-40B4-BE49-F238E27FC236}">
              <a16:creationId xmlns:a16="http://schemas.microsoft.com/office/drawing/2014/main" id="{B692B054-0A32-4DC6-87C4-2766F147F6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133350</xdr:rowOff>
    </xdr:to>
    <xdr:pic>
      <xdr:nvPicPr>
        <xdr:cNvPr id="348" name="Picture@5C\QPendientes@" descr="@5C\QPendientes@">
          <a:extLst>
            <a:ext uri="{FF2B5EF4-FFF2-40B4-BE49-F238E27FC236}">
              <a16:creationId xmlns:a16="http://schemas.microsoft.com/office/drawing/2014/main" id="{66922778-51A4-4A0D-A465-9F585492B0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133350</xdr:rowOff>
    </xdr:to>
    <xdr:pic>
      <xdr:nvPicPr>
        <xdr:cNvPr id="349" name="Picture@5C\QPendientes@" descr="@5C\QPendientes@">
          <a:extLst>
            <a:ext uri="{FF2B5EF4-FFF2-40B4-BE49-F238E27FC236}">
              <a16:creationId xmlns:a16="http://schemas.microsoft.com/office/drawing/2014/main" id="{57E16B79-5219-49D2-AAFC-648E934A11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2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133350</xdr:rowOff>
    </xdr:to>
    <xdr:pic>
      <xdr:nvPicPr>
        <xdr:cNvPr id="350" name="Picture@5C\QPendientes@" descr="@5C\QPendientes@">
          <a:extLst>
            <a:ext uri="{FF2B5EF4-FFF2-40B4-BE49-F238E27FC236}">
              <a16:creationId xmlns:a16="http://schemas.microsoft.com/office/drawing/2014/main" id="{98565837-D7E3-4DE5-A4D6-78E911BB0F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1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133350</xdr:rowOff>
    </xdr:to>
    <xdr:pic>
      <xdr:nvPicPr>
        <xdr:cNvPr id="351" name="Picture@5C\QPendientes@" descr="@5C\QPendientes@">
          <a:extLst>
            <a:ext uri="{FF2B5EF4-FFF2-40B4-BE49-F238E27FC236}">
              <a16:creationId xmlns:a16="http://schemas.microsoft.com/office/drawing/2014/main" id="{9EF659CA-D1F3-4FE3-8360-9BE35E3C75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133350</xdr:rowOff>
    </xdr:to>
    <xdr:pic>
      <xdr:nvPicPr>
        <xdr:cNvPr id="352" name="Picture@5C\QPendientes@" descr="@5C\QPendientes@">
          <a:extLst>
            <a:ext uri="{FF2B5EF4-FFF2-40B4-BE49-F238E27FC236}">
              <a16:creationId xmlns:a16="http://schemas.microsoft.com/office/drawing/2014/main" id="{D23D03E2-E72F-4DA0-A278-D36E57A417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7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133350</xdr:rowOff>
    </xdr:to>
    <xdr:pic>
      <xdr:nvPicPr>
        <xdr:cNvPr id="353" name="Picture@5C\QPendientes@" descr="@5C\QPendientes@">
          <a:extLst>
            <a:ext uri="{FF2B5EF4-FFF2-40B4-BE49-F238E27FC236}">
              <a16:creationId xmlns:a16="http://schemas.microsoft.com/office/drawing/2014/main" id="{71416E38-CD65-47C2-92CA-77E4366692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6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133350</xdr:rowOff>
    </xdr:to>
    <xdr:pic>
      <xdr:nvPicPr>
        <xdr:cNvPr id="354" name="Picture@5C\QPendientes@" descr="@5C\QPendientes@">
          <a:extLst>
            <a:ext uri="{FF2B5EF4-FFF2-40B4-BE49-F238E27FC236}">
              <a16:creationId xmlns:a16="http://schemas.microsoft.com/office/drawing/2014/main" id="{0A3462C2-85DD-4656-BC0E-1E19C3440A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4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171450</xdr:colOff>
      <xdr:row>16</xdr:row>
      <xdr:rowOff>133350</xdr:rowOff>
    </xdr:to>
    <xdr:pic>
      <xdr:nvPicPr>
        <xdr:cNvPr id="355" name="Picture@5C\QPendientes@" descr="@5C\QPendientes@">
          <a:extLst>
            <a:ext uri="{FF2B5EF4-FFF2-40B4-BE49-F238E27FC236}">
              <a16:creationId xmlns:a16="http://schemas.microsoft.com/office/drawing/2014/main" id="{8B0C016D-C174-4A70-93B0-D7FECA73B0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2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</xdr:row>
      <xdr:rowOff>0</xdr:rowOff>
    </xdr:from>
    <xdr:to>
      <xdr:col>0</xdr:col>
      <xdr:colOff>171450</xdr:colOff>
      <xdr:row>17</xdr:row>
      <xdr:rowOff>133350</xdr:rowOff>
    </xdr:to>
    <xdr:pic>
      <xdr:nvPicPr>
        <xdr:cNvPr id="356" name="Picture@5C\QPendientes@" descr="@5C\QPendientes@">
          <a:extLst>
            <a:ext uri="{FF2B5EF4-FFF2-40B4-BE49-F238E27FC236}">
              <a16:creationId xmlns:a16="http://schemas.microsoft.com/office/drawing/2014/main" id="{E8796E65-F94A-459C-964D-703E3232EB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0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</xdr:row>
      <xdr:rowOff>0</xdr:rowOff>
    </xdr:from>
    <xdr:to>
      <xdr:col>0</xdr:col>
      <xdr:colOff>171450</xdr:colOff>
      <xdr:row>18</xdr:row>
      <xdr:rowOff>133350</xdr:rowOff>
    </xdr:to>
    <xdr:pic>
      <xdr:nvPicPr>
        <xdr:cNvPr id="357" name="Picture@5C\QPendientes@" descr="@5C\QPendientes@">
          <a:extLst>
            <a:ext uri="{FF2B5EF4-FFF2-40B4-BE49-F238E27FC236}">
              <a16:creationId xmlns:a16="http://schemas.microsoft.com/office/drawing/2014/main" id="{12B03A05-C0D9-41FF-9D84-9B2E5874E1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9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</xdr:row>
      <xdr:rowOff>0</xdr:rowOff>
    </xdr:from>
    <xdr:to>
      <xdr:col>0</xdr:col>
      <xdr:colOff>171450</xdr:colOff>
      <xdr:row>19</xdr:row>
      <xdr:rowOff>133350</xdr:rowOff>
    </xdr:to>
    <xdr:pic>
      <xdr:nvPicPr>
        <xdr:cNvPr id="358" name="Picture@5C\QPendientes@" descr="@5C\QPendientes@">
          <a:extLst>
            <a:ext uri="{FF2B5EF4-FFF2-40B4-BE49-F238E27FC236}">
              <a16:creationId xmlns:a16="http://schemas.microsoft.com/office/drawing/2014/main" id="{E5F3F9E7-C307-459E-B57D-C8CB57BF54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7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</xdr:row>
      <xdr:rowOff>0</xdr:rowOff>
    </xdr:from>
    <xdr:to>
      <xdr:col>0</xdr:col>
      <xdr:colOff>171450</xdr:colOff>
      <xdr:row>20</xdr:row>
      <xdr:rowOff>133350</xdr:rowOff>
    </xdr:to>
    <xdr:pic>
      <xdr:nvPicPr>
        <xdr:cNvPr id="359" name="Picture@5C\QPendientes@" descr="@5C\QPendientes@">
          <a:extLst>
            <a:ext uri="{FF2B5EF4-FFF2-40B4-BE49-F238E27FC236}">
              <a16:creationId xmlns:a16="http://schemas.microsoft.com/office/drawing/2014/main" id="{5E835D8E-9697-4D8A-BB88-A1CA893954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5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</xdr:row>
      <xdr:rowOff>0</xdr:rowOff>
    </xdr:from>
    <xdr:to>
      <xdr:col>0</xdr:col>
      <xdr:colOff>171450</xdr:colOff>
      <xdr:row>21</xdr:row>
      <xdr:rowOff>133350</xdr:rowOff>
    </xdr:to>
    <xdr:pic>
      <xdr:nvPicPr>
        <xdr:cNvPr id="360" name="Picture@5C\QPendientes@" descr="@5C\QPendientes@">
          <a:extLst>
            <a:ext uri="{FF2B5EF4-FFF2-40B4-BE49-F238E27FC236}">
              <a16:creationId xmlns:a16="http://schemas.microsoft.com/office/drawing/2014/main" id="{6FA2E84A-3B39-4EEB-88D7-A96441DFC2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4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171450</xdr:colOff>
      <xdr:row>22</xdr:row>
      <xdr:rowOff>133350</xdr:rowOff>
    </xdr:to>
    <xdr:pic>
      <xdr:nvPicPr>
        <xdr:cNvPr id="361" name="Picture@5C\QPendientes@" descr="@5C\QPendientes@">
          <a:extLst>
            <a:ext uri="{FF2B5EF4-FFF2-40B4-BE49-F238E27FC236}">
              <a16:creationId xmlns:a16="http://schemas.microsoft.com/office/drawing/2014/main" id="{7E66273F-19A0-4CF6-BE6F-E1F740565C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2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</xdr:row>
      <xdr:rowOff>0</xdr:rowOff>
    </xdr:from>
    <xdr:to>
      <xdr:col>0</xdr:col>
      <xdr:colOff>171450</xdr:colOff>
      <xdr:row>23</xdr:row>
      <xdr:rowOff>133350</xdr:rowOff>
    </xdr:to>
    <xdr:pic>
      <xdr:nvPicPr>
        <xdr:cNvPr id="362" name="Picture@5C\QPendientes@" descr="@5C\QPendientes@">
          <a:extLst>
            <a:ext uri="{FF2B5EF4-FFF2-40B4-BE49-F238E27FC236}">
              <a16:creationId xmlns:a16="http://schemas.microsoft.com/office/drawing/2014/main" id="{F605BEF9-EF56-432D-BA5F-05BB575D11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0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</xdr:row>
      <xdr:rowOff>0</xdr:rowOff>
    </xdr:from>
    <xdr:to>
      <xdr:col>0</xdr:col>
      <xdr:colOff>171450</xdr:colOff>
      <xdr:row>24</xdr:row>
      <xdr:rowOff>133350</xdr:rowOff>
    </xdr:to>
    <xdr:pic>
      <xdr:nvPicPr>
        <xdr:cNvPr id="363" name="Picture@5C\QPendientes@" descr="@5C\QPendientes@">
          <a:extLst>
            <a:ext uri="{FF2B5EF4-FFF2-40B4-BE49-F238E27FC236}">
              <a16:creationId xmlns:a16="http://schemas.microsoft.com/office/drawing/2014/main" id="{C177D612-4BEC-44C5-B292-A424821AA4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8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</xdr:row>
      <xdr:rowOff>0</xdr:rowOff>
    </xdr:from>
    <xdr:to>
      <xdr:col>0</xdr:col>
      <xdr:colOff>171450</xdr:colOff>
      <xdr:row>25</xdr:row>
      <xdr:rowOff>133350</xdr:rowOff>
    </xdr:to>
    <xdr:pic>
      <xdr:nvPicPr>
        <xdr:cNvPr id="364" name="Picture@5C\QPendientes@" descr="@5C\QPendientes@">
          <a:extLst>
            <a:ext uri="{FF2B5EF4-FFF2-40B4-BE49-F238E27FC236}">
              <a16:creationId xmlns:a16="http://schemas.microsoft.com/office/drawing/2014/main" id="{0F325825-B3E7-43F5-BEE1-6E82F724DF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7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</xdr:row>
      <xdr:rowOff>0</xdr:rowOff>
    </xdr:from>
    <xdr:to>
      <xdr:col>0</xdr:col>
      <xdr:colOff>171450</xdr:colOff>
      <xdr:row>26</xdr:row>
      <xdr:rowOff>133350</xdr:rowOff>
    </xdr:to>
    <xdr:pic>
      <xdr:nvPicPr>
        <xdr:cNvPr id="365" name="Picture@5C\QPendientes@" descr="@5C\QPendientes@">
          <a:extLst>
            <a:ext uri="{FF2B5EF4-FFF2-40B4-BE49-F238E27FC236}">
              <a16:creationId xmlns:a16="http://schemas.microsoft.com/office/drawing/2014/main" id="{8B24550D-E993-42F2-A706-DF03D6DC0E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5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171450</xdr:colOff>
      <xdr:row>27</xdr:row>
      <xdr:rowOff>133350</xdr:rowOff>
    </xdr:to>
    <xdr:pic>
      <xdr:nvPicPr>
        <xdr:cNvPr id="366" name="Picture@5C\QPendientes@" descr="@5C\QPendientes@">
          <a:extLst>
            <a:ext uri="{FF2B5EF4-FFF2-40B4-BE49-F238E27FC236}">
              <a16:creationId xmlns:a16="http://schemas.microsoft.com/office/drawing/2014/main" id="{182CBF7B-06C1-499B-A661-C2A80D330C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3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133350</xdr:rowOff>
    </xdr:to>
    <xdr:pic>
      <xdr:nvPicPr>
        <xdr:cNvPr id="367" name="Picture@5C\QPendientes@" descr="@5C\QPendientes@">
          <a:extLst>
            <a:ext uri="{FF2B5EF4-FFF2-40B4-BE49-F238E27FC236}">
              <a16:creationId xmlns:a16="http://schemas.microsoft.com/office/drawing/2014/main" id="{68455DE1-AED1-4B09-B711-4BC48E0A44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2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133350</xdr:rowOff>
    </xdr:to>
    <xdr:pic>
      <xdr:nvPicPr>
        <xdr:cNvPr id="368" name="Picture@5C\QPendientes@" descr="@5C\QPendientes@">
          <a:extLst>
            <a:ext uri="{FF2B5EF4-FFF2-40B4-BE49-F238E27FC236}">
              <a16:creationId xmlns:a16="http://schemas.microsoft.com/office/drawing/2014/main" id="{54E53CBC-1BC9-430D-94CE-D119D91D45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0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</xdr:row>
      <xdr:rowOff>0</xdr:rowOff>
    </xdr:from>
    <xdr:to>
      <xdr:col>0</xdr:col>
      <xdr:colOff>171450</xdr:colOff>
      <xdr:row>30</xdr:row>
      <xdr:rowOff>133350</xdr:rowOff>
    </xdr:to>
    <xdr:pic>
      <xdr:nvPicPr>
        <xdr:cNvPr id="369" name="Picture@5C\QPendientes@" descr="@5C\QPendientes@">
          <a:extLst>
            <a:ext uri="{FF2B5EF4-FFF2-40B4-BE49-F238E27FC236}">
              <a16:creationId xmlns:a16="http://schemas.microsoft.com/office/drawing/2014/main" id="{6DF03B0A-E06D-431A-B0C9-711046560B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8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171450</xdr:colOff>
      <xdr:row>31</xdr:row>
      <xdr:rowOff>133350</xdr:rowOff>
    </xdr:to>
    <xdr:pic>
      <xdr:nvPicPr>
        <xdr:cNvPr id="370" name="Picture@5C\QPendientes@" descr="@5C\QPendientes@">
          <a:extLst>
            <a:ext uri="{FF2B5EF4-FFF2-40B4-BE49-F238E27FC236}">
              <a16:creationId xmlns:a16="http://schemas.microsoft.com/office/drawing/2014/main" id="{43ECC325-2263-44F7-9CEF-DB6A134FBA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6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</xdr:row>
      <xdr:rowOff>0</xdr:rowOff>
    </xdr:from>
    <xdr:to>
      <xdr:col>0</xdr:col>
      <xdr:colOff>171450</xdr:colOff>
      <xdr:row>32</xdr:row>
      <xdr:rowOff>133350</xdr:rowOff>
    </xdr:to>
    <xdr:pic>
      <xdr:nvPicPr>
        <xdr:cNvPr id="371" name="Picture@5C\QPendientes@" descr="@5C\QPendientes@">
          <a:extLst>
            <a:ext uri="{FF2B5EF4-FFF2-40B4-BE49-F238E27FC236}">
              <a16:creationId xmlns:a16="http://schemas.microsoft.com/office/drawing/2014/main" id="{A875676E-6896-4C17-9191-C565223BD7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5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</xdr:row>
      <xdr:rowOff>0</xdr:rowOff>
    </xdr:from>
    <xdr:to>
      <xdr:col>0</xdr:col>
      <xdr:colOff>171450</xdr:colOff>
      <xdr:row>33</xdr:row>
      <xdr:rowOff>133350</xdr:rowOff>
    </xdr:to>
    <xdr:pic>
      <xdr:nvPicPr>
        <xdr:cNvPr id="372" name="Picture@5C\QPendientes@" descr="@5C\QPendientes@">
          <a:extLst>
            <a:ext uri="{FF2B5EF4-FFF2-40B4-BE49-F238E27FC236}">
              <a16:creationId xmlns:a16="http://schemas.microsoft.com/office/drawing/2014/main" id="{DBE7378E-BE52-4AC5-8DEE-E16E7D7D02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3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</xdr:row>
      <xdr:rowOff>0</xdr:rowOff>
    </xdr:from>
    <xdr:to>
      <xdr:col>0</xdr:col>
      <xdr:colOff>171450</xdr:colOff>
      <xdr:row>34</xdr:row>
      <xdr:rowOff>133350</xdr:rowOff>
    </xdr:to>
    <xdr:pic>
      <xdr:nvPicPr>
        <xdr:cNvPr id="373" name="Picture@5C\QPendientes@" descr="@5C\QPendientes@">
          <a:extLst>
            <a:ext uri="{FF2B5EF4-FFF2-40B4-BE49-F238E27FC236}">
              <a16:creationId xmlns:a16="http://schemas.microsoft.com/office/drawing/2014/main" id="{A4B684D9-B211-4725-93EB-6054ABB30F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1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133350</xdr:rowOff>
    </xdr:to>
    <xdr:pic>
      <xdr:nvPicPr>
        <xdr:cNvPr id="374" name="Picture@5C\QPendientes@" descr="@5C\QPendientes@">
          <a:extLst>
            <a:ext uri="{FF2B5EF4-FFF2-40B4-BE49-F238E27FC236}">
              <a16:creationId xmlns:a16="http://schemas.microsoft.com/office/drawing/2014/main" id="{D326BC7B-CDCD-4C39-8DC0-73E07F42E1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0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133350</xdr:rowOff>
    </xdr:to>
    <xdr:pic>
      <xdr:nvPicPr>
        <xdr:cNvPr id="375" name="Picture@5C\QPendientes@" descr="@5C\QPendientes@">
          <a:extLst>
            <a:ext uri="{FF2B5EF4-FFF2-40B4-BE49-F238E27FC236}">
              <a16:creationId xmlns:a16="http://schemas.microsoft.com/office/drawing/2014/main" id="{8E21B50E-C582-4ECB-89CC-37841666B7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8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</xdr:row>
      <xdr:rowOff>0</xdr:rowOff>
    </xdr:from>
    <xdr:to>
      <xdr:col>0</xdr:col>
      <xdr:colOff>171450</xdr:colOff>
      <xdr:row>37</xdr:row>
      <xdr:rowOff>133350</xdr:rowOff>
    </xdr:to>
    <xdr:pic>
      <xdr:nvPicPr>
        <xdr:cNvPr id="376" name="Picture@5C\QPendientes@" descr="@5C\QPendientes@">
          <a:extLst>
            <a:ext uri="{FF2B5EF4-FFF2-40B4-BE49-F238E27FC236}">
              <a16:creationId xmlns:a16="http://schemas.microsoft.com/office/drawing/2014/main" id="{A83A8787-9ECA-4731-AB26-8362B7E724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6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171450</xdr:colOff>
      <xdr:row>38</xdr:row>
      <xdr:rowOff>133350</xdr:rowOff>
    </xdr:to>
    <xdr:pic>
      <xdr:nvPicPr>
        <xdr:cNvPr id="377" name="Picture@5C\QPendientes@" descr="@5C\QPendientes@">
          <a:extLst>
            <a:ext uri="{FF2B5EF4-FFF2-40B4-BE49-F238E27FC236}">
              <a16:creationId xmlns:a16="http://schemas.microsoft.com/office/drawing/2014/main" id="{C0FCA4EB-AD1A-45A2-8AEB-B83F5FFFDF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4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</xdr:row>
      <xdr:rowOff>0</xdr:rowOff>
    </xdr:from>
    <xdr:to>
      <xdr:col>0</xdr:col>
      <xdr:colOff>171450</xdr:colOff>
      <xdr:row>39</xdr:row>
      <xdr:rowOff>133350</xdr:rowOff>
    </xdr:to>
    <xdr:pic>
      <xdr:nvPicPr>
        <xdr:cNvPr id="378" name="Picture@5C\QPendientes@" descr="@5C\QPendientes@">
          <a:extLst>
            <a:ext uri="{FF2B5EF4-FFF2-40B4-BE49-F238E27FC236}">
              <a16:creationId xmlns:a16="http://schemas.microsoft.com/office/drawing/2014/main" id="{6541B721-4203-450B-A39F-59BBCF5B7D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3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</xdr:row>
      <xdr:rowOff>0</xdr:rowOff>
    </xdr:from>
    <xdr:to>
      <xdr:col>0</xdr:col>
      <xdr:colOff>171450</xdr:colOff>
      <xdr:row>40</xdr:row>
      <xdr:rowOff>133350</xdr:rowOff>
    </xdr:to>
    <xdr:pic>
      <xdr:nvPicPr>
        <xdr:cNvPr id="379" name="Picture@5C\QPendientes@" descr="@5C\QPendientes@">
          <a:extLst>
            <a:ext uri="{FF2B5EF4-FFF2-40B4-BE49-F238E27FC236}">
              <a16:creationId xmlns:a16="http://schemas.microsoft.com/office/drawing/2014/main" id="{E42132EA-56F4-45BF-9AFB-2C2E99FCF1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1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</xdr:row>
      <xdr:rowOff>0</xdr:rowOff>
    </xdr:from>
    <xdr:to>
      <xdr:col>0</xdr:col>
      <xdr:colOff>171450</xdr:colOff>
      <xdr:row>41</xdr:row>
      <xdr:rowOff>133350</xdr:rowOff>
    </xdr:to>
    <xdr:pic>
      <xdr:nvPicPr>
        <xdr:cNvPr id="380" name="Picture@5C\QPendientes@" descr="@5C\QPendientes@">
          <a:extLst>
            <a:ext uri="{FF2B5EF4-FFF2-40B4-BE49-F238E27FC236}">
              <a16:creationId xmlns:a16="http://schemas.microsoft.com/office/drawing/2014/main" id="{78DD0D37-4C1E-4482-880E-61A9B6EBF9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9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</xdr:row>
      <xdr:rowOff>0</xdr:rowOff>
    </xdr:from>
    <xdr:to>
      <xdr:col>0</xdr:col>
      <xdr:colOff>171450</xdr:colOff>
      <xdr:row>42</xdr:row>
      <xdr:rowOff>133350</xdr:rowOff>
    </xdr:to>
    <xdr:pic>
      <xdr:nvPicPr>
        <xdr:cNvPr id="381" name="Picture@5C\QPendientes@" descr="@5C\QPendientes@">
          <a:extLst>
            <a:ext uri="{FF2B5EF4-FFF2-40B4-BE49-F238E27FC236}">
              <a16:creationId xmlns:a16="http://schemas.microsoft.com/office/drawing/2014/main" id="{33633749-D693-4D3D-8CA7-A534248E3D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8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133350</xdr:rowOff>
    </xdr:to>
    <xdr:pic>
      <xdr:nvPicPr>
        <xdr:cNvPr id="382" name="Picture@5C\QPendientes@" descr="@5C\QPendientes@">
          <a:extLst>
            <a:ext uri="{FF2B5EF4-FFF2-40B4-BE49-F238E27FC236}">
              <a16:creationId xmlns:a16="http://schemas.microsoft.com/office/drawing/2014/main" id="{6860B87F-BCFB-48AA-82FF-9F8DAC9319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6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</xdr:row>
      <xdr:rowOff>0</xdr:rowOff>
    </xdr:from>
    <xdr:to>
      <xdr:col>0</xdr:col>
      <xdr:colOff>171450</xdr:colOff>
      <xdr:row>44</xdr:row>
      <xdr:rowOff>133350</xdr:rowOff>
    </xdr:to>
    <xdr:pic>
      <xdr:nvPicPr>
        <xdr:cNvPr id="383" name="Picture@5C\QPendientes@" descr="@5C\QPendientes@">
          <a:extLst>
            <a:ext uri="{FF2B5EF4-FFF2-40B4-BE49-F238E27FC236}">
              <a16:creationId xmlns:a16="http://schemas.microsoft.com/office/drawing/2014/main" id="{3A7F98F7-E804-4294-8EA4-1902BE4DE9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4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</xdr:row>
      <xdr:rowOff>0</xdr:rowOff>
    </xdr:from>
    <xdr:to>
      <xdr:col>0</xdr:col>
      <xdr:colOff>171450</xdr:colOff>
      <xdr:row>45</xdr:row>
      <xdr:rowOff>133350</xdr:rowOff>
    </xdr:to>
    <xdr:pic>
      <xdr:nvPicPr>
        <xdr:cNvPr id="384" name="Picture@5C\QPendientes@" descr="@5C\QPendientes@">
          <a:extLst>
            <a:ext uri="{FF2B5EF4-FFF2-40B4-BE49-F238E27FC236}">
              <a16:creationId xmlns:a16="http://schemas.microsoft.com/office/drawing/2014/main" id="{4B766470-4E2C-4CDA-B583-6914E4A862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2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</xdr:row>
      <xdr:rowOff>0</xdr:rowOff>
    </xdr:from>
    <xdr:to>
      <xdr:col>0</xdr:col>
      <xdr:colOff>171450</xdr:colOff>
      <xdr:row>46</xdr:row>
      <xdr:rowOff>133350</xdr:rowOff>
    </xdr:to>
    <xdr:pic>
      <xdr:nvPicPr>
        <xdr:cNvPr id="385" name="Picture@5C\QPendientes@" descr="@5C\QPendientes@">
          <a:extLst>
            <a:ext uri="{FF2B5EF4-FFF2-40B4-BE49-F238E27FC236}">
              <a16:creationId xmlns:a16="http://schemas.microsoft.com/office/drawing/2014/main" id="{0D936113-E66B-4404-BC55-497AB8DB6C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1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171450</xdr:colOff>
      <xdr:row>47</xdr:row>
      <xdr:rowOff>133350</xdr:rowOff>
    </xdr:to>
    <xdr:pic>
      <xdr:nvPicPr>
        <xdr:cNvPr id="386" name="Picture@5C\QPendientes@" descr="@5C\QPendientes@">
          <a:extLst>
            <a:ext uri="{FF2B5EF4-FFF2-40B4-BE49-F238E27FC236}">
              <a16:creationId xmlns:a16="http://schemas.microsoft.com/office/drawing/2014/main" id="{BA618759-0DAE-4041-A929-F3A816FD3E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9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</xdr:row>
      <xdr:rowOff>0</xdr:rowOff>
    </xdr:from>
    <xdr:to>
      <xdr:col>0</xdr:col>
      <xdr:colOff>171450</xdr:colOff>
      <xdr:row>48</xdr:row>
      <xdr:rowOff>133350</xdr:rowOff>
    </xdr:to>
    <xdr:pic>
      <xdr:nvPicPr>
        <xdr:cNvPr id="387" name="Picture@5C\QPendientes@" descr="@5C\QPendientes@">
          <a:extLst>
            <a:ext uri="{FF2B5EF4-FFF2-40B4-BE49-F238E27FC236}">
              <a16:creationId xmlns:a16="http://schemas.microsoft.com/office/drawing/2014/main" id="{F12105FA-4C65-4B0B-A6EE-0BF5AD8CB0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7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</xdr:row>
      <xdr:rowOff>0</xdr:rowOff>
    </xdr:from>
    <xdr:to>
      <xdr:col>0</xdr:col>
      <xdr:colOff>171450</xdr:colOff>
      <xdr:row>49</xdr:row>
      <xdr:rowOff>133350</xdr:rowOff>
    </xdr:to>
    <xdr:pic>
      <xdr:nvPicPr>
        <xdr:cNvPr id="388" name="Picture@5C\QPendientes@" descr="@5C\QPendientes@">
          <a:extLst>
            <a:ext uri="{FF2B5EF4-FFF2-40B4-BE49-F238E27FC236}">
              <a16:creationId xmlns:a16="http://schemas.microsoft.com/office/drawing/2014/main" id="{7A08ED00-42A8-44F0-93F2-93C685B2C2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6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</xdr:row>
      <xdr:rowOff>0</xdr:rowOff>
    </xdr:from>
    <xdr:to>
      <xdr:col>0</xdr:col>
      <xdr:colOff>171450</xdr:colOff>
      <xdr:row>50</xdr:row>
      <xdr:rowOff>133350</xdr:rowOff>
    </xdr:to>
    <xdr:pic>
      <xdr:nvPicPr>
        <xdr:cNvPr id="389" name="Picture@5C\QPendientes@" descr="@5C\QPendientes@">
          <a:extLst>
            <a:ext uri="{FF2B5EF4-FFF2-40B4-BE49-F238E27FC236}">
              <a16:creationId xmlns:a16="http://schemas.microsoft.com/office/drawing/2014/main" id="{A240B484-3981-41BF-8B3C-8A6F36B73B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4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171450</xdr:colOff>
      <xdr:row>51</xdr:row>
      <xdr:rowOff>133350</xdr:rowOff>
    </xdr:to>
    <xdr:pic>
      <xdr:nvPicPr>
        <xdr:cNvPr id="390" name="Picture@5C\QPendientes@" descr="@5C\QPendientes@">
          <a:extLst>
            <a:ext uri="{FF2B5EF4-FFF2-40B4-BE49-F238E27FC236}">
              <a16:creationId xmlns:a16="http://schemas.microsoft.com/office/drawing/2014/main" id="{4DA27D12-F451-41CB-BF63-97C3E171EB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2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</xdr:row>
      <xdr:rowOff>0</xdr:rowOff>
    </xdr:from>
    <xdr:to>
      <xdr:col>0</xdr:col>
      <xdr:colOff>171450</xdr:colOff>
      <xdr:row>52</xdr:row>
      <xdr:rowOff>133350</xdr:rowOff>
    </xdr:to>
    <xdr:pic>
      <xdr:nvPicPr>
        <xdr:cNvPr id="391" name="Picture@5C\QPendientes@" descr="@5C\QPendientes@">
          <a:extLst>
            <a:ext uri="{FF2B5EF4-FFF2-40B4-BE49-F238E27FC236}">
              <a16:creationId xmlns:a16="http://schemas.microsoft.com/office/drawing/2014/main" id="{1B82D6A5-0632-4B72-AA8B-AA16068617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0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</xdr:row>
      <xdr:rowOff>0</xdr:rowOff>
    </xdr:from>
    <xdr:to>
      <xdr:col>0</xdr:col>
      <xdr:colOff>171450</xdr:colOff>
      <xdr:row>53</xdr:row>
      <xdr:rowOff>133350</xdr:rowOff>
    </xdr:to>
    <xdr:pic>
      <xdr:nvPicPr>
        <xdr:cNvPr id="392" name="Picture@5C\QPendientes@" descr="@5C\QPendientes@">
          <a:extLst>
            <a:ext uri="{FF2B5EF4-FFF2-40B4-BE49-F238E27FC236}">
              <a16:creationId xmlns:a16="http://schemas.microsoft.com/office/drawing/2014/main" id="{1CCF686E-7135-4953-B78A-3A75E4CCE3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9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</xdr:row>
      <xdr:rowOff>0</xdr:rowOff>
    </xdr:from>
    <xdr:to>
      <xdr:col>0</xdr:col>
      <xdr:colOff>171450</xdr:colOff>
      <xdr:row>54</xdr:row>
      <xdr:rowOff>133350</xdr:rowOff>
    </xdr:to>
    <xdr:pic>
      <xdr:nvPicPr>
        <xdr:cNvPr id="393" name="Picture@5C\QPendientes@" descr="@5C\QPendientes@">
          <a:extLst>
            <a:ext uri="{FF2B5EF4-FFF2-40B4-BE49-F238E27FC236}">
              <a16:creationId xmlns:a16="http://schemas.microsoft.com/office/drawing/2014/main" id="{4BC5B95C-C3C8-4724-9CD0-DE0F1B2E05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7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</xdr:row>
      <xdr:rowOff>0</xdr:rowOff>
    </xdr:from>
    <xdr:to>
      <xdr:col>0</xdr:col>
      <xdr:colOff>171450</xdr:colOff>
      <xdr:row>55</xdr:row>
      <xdr:rowOff>133350</xdr:rowOff>
    </xdr:to>
    <xdr:pic>
      <xdr:nvPicPr>
        <xdr:cNvPr id="394" name="Picture@5C\QPendientes@" descr="@5C\QPendientes@">
          <a:extLst>
            <a:ext uri="{FF2B5EF4-FFF2-40B4-BE49-F238E27FC236}">
              <a16:creationId xmlns:a16="http://schemas.microsoft.com/office/drawing/2014/main" id="{509E9E17-C8BF-4A65-BE60-453ABC99FE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5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</xdr:row>
      <xdr:rowOff>0</xdr:rowOff>
    </xdr:from>
    <xdr:to>
      <xdr:col>0</xdr:col>
      <xdr:colOff>171450</xdr:colOff>
      <xdr:row>56</xdr:row>
      <xdr:rowOff>133350</xdr:rowOff>
    </xdr:to>
    <xdr:pic>
      <xdr:nvPicPr>
        <xdr:cNvPr id="395" name="Picture@5C\QPendientes@" descr="@5C\QPendientes@">
          <a:extLst>
            <a:ext uri="{FF2B5EF4-FFF2-40B4-BE49-F238E27FC236}">
              <a16:creationId xmlns:a16="http://schemas.microsoft.com/office/drawing/2014/main" id="{30EF0308-5929-4FEB-890F-914E839C69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4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</xdr:row>
      <xdr:rowOff>0</xdr:rowOff>
    </xdr:from>
    <xdr:to>
      <xdr:col>0</xdr:col>
      <xdr:colOff>171450</xdr:colOff>
      <xdr:row>57</xdr:row>
      <xdr:rowOff>133350</xdr:rowOff>
    </xdr:to>
    <xdr:pic>
      <xdr:nvPicPr>
        <xdr:cNvPr id="396" name="Picture@5C\QPendientes@" descr="@5C\QPendientes@">
          <a:extLst>
            <a:ext uri="{FF2B5EF4-FFF2-40B4-BE49-F238E27FC236}">
              <a16:creationId xmlns:a16="http://schemas.microsoft.com/office/drawing/2014/main" id="{496F9AD4-7D74-4CC3-8E7E-2FB1B56B4E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2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</xdr:row>
      <xdr:rowOff>0</xdr:rowOff>
    </xdr:from>
    <xdr:to>
      <xdr:col>0</xdr:col>
      <xdr:colOff>171450</xdr:colOff>
      <xdr:row>58</xdr:row>
      <xdr:rowOff>133350</xdr:rowOff>
    </xdr:to>
    <xdr:pic>
      <xdr:nvPicPr>
        <xdr:cNvPr id="397" name="Picture@5C\QPendientes@" descr="@5C\QPendientes@">
          <a:extLst>
            <a:ext uri="{FF2B5EF4-FFF2-40B4-BE49-F238E27FC236}">
              <a16:creationId xmlns:a16="http://schemas.microsoft.com/office/drawing/2014/main" id="{904D94DF-43D0-4C42-99E3-DD6E2862A1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0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</xdr:row>
      <xdr:rowOff>0</xdr:rowOff>
    </xdr:from>
    <xdr:to>
      <xdr:col>0</xdr:col>
      <xdr:colOff>171450</xdr:colOff>
      <xdr:row>59</xdr:row>
      <xdr:rowOff>133350</xdr:rowOff>
    </xdr:to>
    <xdr:pic>
      <xdr:nvPicPr>
        <xdr:cNvPr id="398" name="Picture@5C\QPendientes@" descr="@5C\QPendientes@">
          <a:extLst>
            <a:ext uri="{FF2B5EF4-FFF2-40B4-BE49-F238E27FC236}">
              <a16:creationId xmlns:a16="http://schemas.microsoft.com/office/drawing/2014/main" id="{8197A5D6-F435-47CA-9840-30EEE573A8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78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</xdr:row>
      <xdr:rowOff>0</xdr:rowOff>
    </xdr:from>
    <xdr:to>
      <xdr:col>0</xdr:col>
      <xdr:colOff>171450</xdr:colOff>
      <xdr:row>60</xdr:row>
      <xdr:rowOff>133350</xdr:rowOff>
    </xdr:to>
    <xdr:pic>
      <xdr:nvPicPr>
        <xdr:cNvPr id="399" name="Picture@5C\QPendientes@" descr="@5C\QPendientes@">
          <a:extLst>
            <a:ext uri="{FF2B5EF4-FFF2-40B4-BE49-F238E27FC236}">
              <a16:creationId xmlns:a16="http://schemas.microsoft.com/office/drawing/2014/main" id="{9E1E0FED-1B1D-46CD-AE4A-9A0D815CD1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7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</xdr:row>
      <xdr:rowOff>0</xdr:rowOff>
    </xdr:from>
    <xdr:to>
      <xdr:col>0</xdr:col>
      <xdr:colOff>171450</xdr:colOff>
      <xdr:row>61</xdr:row>
      <xdr:rowOff>133350</xdr:rowOff>
    </xdr:to>
    <xdr:pic>
      <xdr:nvPicPr>
        <xdr:cNvPr id="400" name="Picture@5C\QPendientes@" descr="@5C\QPendientes@">
          <a:extLst>
            <a:ext uri="{FF2B5EF4-FFF2-40B4-BE49-F238E27FC236}">
              <a16:creationId xmlns:a16="http://schemas.microsoft.com/office/drawing/2014/main" id="{21F1E1BC-DC3F-45E2-8915-D62DDDD600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5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</xdr:row>
      <xdr:rowOff>0</xdr:rowOff>
    </xdr:from>
    <xdr:to>
      <xdr:col>0</xdr:col>
      <xdr:colOff>171450</xdr:colOff>
      <xdr:row>62</xdr:row>
      <xdr:rowOff>133350</xdr:rowOff>
    </xdr:to>
    <xdr:pic>
      <xdr:nvPicPr>
        <xdr:cNvPr id="401" name="Picture@5C\QPendientes@" descr="@5C\QPendientes@">
          <a:extLst>
            <a:ext uri="{FF2B5EF4-FFF2-40B4-BE49-F238E27FC236}">
              <a16:creationId xmlns:a16="http://schemas.microsoft.com/office/drawing/2014/main" id="{58061F23-9BF9-4ADC-8FBA-690D159B7D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3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</xdr:row>
      <xdr:rowOff>0</xdr:rowOff>
    </xdr:from>
    <xdr:to>
      <xdr:col>0</xdr:col>
      <xdr:colOff>171450</xdr:colOff>
      <xdr:row>63</xdr:row>
      <xdr:rowOff>133350</xdr:rowOff>
    </xdr:to>
    <xdr:pic>
      <xdr:nvPicPr>
        <xdr:cNvPr id="402" name="Picture@5C\QPendientes@" descr="@5C\QPendientes@">
          <a:extLst>
            <a:ext uri="{FF2B5EF4-FFF2-40B4-BE49-F238E27FC236}">
              <a16:creationId xmlns:a16="http://schemas.microsoft.com/office/drawing/2014/main" id="{08BD2313-C920-4CBB-A829-03699EB498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2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</xdr:row>
      <xdr:rowOff>0</xdr:rowOff>
    </xdr:from>
    <xdr:to>
      <xdr:col>0</xdr:col>
      <xdr:colOff>171450</xdr:colOff>
      <xdr:row>64</xdr:row>
      <xdr:rowOff>133350</xdr:rowOff>
    </xdr:to>
    <xdr:pic>
      <xdr:nvPicPr>
        <xdr:cNvPr id="403" name="Picture@5C\QPendientes@" descr="@5C\QPendientes@">
          <a:extLst>
            <a:ext uri="{FF2B5EF4-FFF2-40B4-BE49-F238E27FC236}">
              <a16:creationId xmlns:a16="http://schemas.microsoft.com/office/drawing/2014/main" id="{BF76E60E-8968-4330-AC4B-4F730A1AAD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0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</xdr:row>
      <xdr:rowOff>0</xdr:rowOff>
    </xdr:from>
    <xdr:to>
      <xdr:col>0</xdr:col>
      <xdr:colOff>171450</xdr:colOff>
      <xdr:row>65</xdr:row>
      <xdr:rowOff>133350</xdr:rowOff>
    </xdr:to>
    <xdr:pic>
      <xdr:nvPicPr>
        <xdr:cNvPr id="404" name="Picture@5C\QPendientes@" descr="@5C\QPendientes@">
          <a:extLst>
            <a:ext uri="{FF2B5EF4-FFF2-40B4-BE49-F238E27FC236}">
              <a16:creationId xmlns:a16="http://schemas.microsoft.com/office/drawing/2014/main" id="{508F4C13-239B-4997-BC3A-227E8B88B3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88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</xdr:row>
      <xdr:rowOff>0</xdr:rowOff>
    </xdr:from>
    <xdr:to>
      <xdr:col>0</xdr:col>
      <xdr:colOff>171450</xdr:colOff>
      <xdr:row>66</xdr:row>
      <xdr:rowOff>133350</xdr:rowOff>
    </xdr:to>
    <xdr:pic>
      <xdr:nvPicPr>
        <xdr:cNvPr id="405" name="Picture@5C\QPendientes@" descr="@5C\QPendientes@">
          <a:extLst>
            <a:ext uri="{FF2B5EF4-FFF2-40B4-BE49-F238E27FC236}">
              <a16:creationId xmlns:a16="http://schemas.microsoft.com/office/drawing/2014/main" id="{BC4532DB-44ED-4FE3-BF87-846BF46CEF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07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</xdr:row>
      <xdr:rowOff>0</xdr:rowOff>
    </xdr:from>
    <xdr:to>
      <xdr:col>0</xdr:col>
      <xdr:colOff>171450</xdr:colOff>
      <xdr:row>67</xdr:row>
      <xdr:rowOff>133350</xdr:rowOff>
    </xdr:to>
    <xdr:pic>
      <xdr:nvPicPr>
        <xdr:cNvPr id="406" name="Picture@5C\QPendientes@" descr="@5C\QPendientes@">
          <a:extLst>
            <a:ext uri="{FF2B5EF4-FFF2-40B4-BE49-F238E27FC236}">
              <a16:creationId xmlns:a16="http://schemas.microsoft.com/office/drawing/2014/main" id="{C7661E76-43E6-4809-AC08-98A97CBE68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25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</xdr:row>
      <xdr:rowOff>0</xdr:rowOff>
    </xdr:from>
    <xdr:to>
      <xdr:col>0</xdr:col>
      <xdr:colOff>171450</xdr:colOff>
      <xdr:row>68</xdr:row>
      <xdr:rowOff>133350</xdr:rowOff>
    </xdr:to>
    <xdr:pic>
      <xdr:nvPicPr>
        <xdr:cNvPr id="407" name="Picture@5C\QPendientes@" descr="@5C\QPendientes@">
          <a:extLst>
            <a:ext uri="{FF2B5EF4-FFF2-40B4-BE49-F238E27FC236}">
              <a16:creationId xmlns:a16="http://schemas.microsoft.com/office/drawing/2014/main" id="{E3946AFB-AEC5-4224-B8D4-915146AA8B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43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133350</xdr:rowOff>
    </xdr:to>
    <xdr:pic>
      <xdr:nvPicPr>
        <xdr:cNvPr id="408" name="Picture@5C\QPendientes@" descr="@5C\QPendientes@">
          <a:extLst>
            <a:ext uri="{FF2B5EF4-FFF2-40B4-BE49-F238E27FC236}">
              <a16:creationId xmlns:a16="http://schemas.microsoft.com/office/drawing/2014/main" id="{4D822C2C-F849-4B32-A2EB-807ED8FA63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1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</xdr:row>
      <xdr:rowOff>0</xdr:rowOff>
    </xdr:from>
    <xdr:to>
      <xdr:col>0</xdr:col>
      <xdr:colOff>171450</xdr:colOff>
      <xdr:row>70</xdr:row>
      <xdr:rowOff>133350</xdr:rowOff>
    </xdr:to>
    <xdr:pic>
      <xdr:nvPicPr>
        <xdr:cNvPr id="409" name="Picture@5C\QPendientes@" descr="@5C\QPendientes@">
          <a:extLst>
            <a:ext uri="{FF2B5EF4-FFF2-40B4-BE49-F238E27FC236}">
              <a16:creationId xmlns:a16="http://schemas.microsoft.com/office/drawing/2014/main" id="{71C4EDAE-1CAC-468A-AA4C-845F7815B9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0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171450</xdr:colOff>
      <xdr:row>71</xdr:row>
      <xdr:rowOff>133350</xdr:rowOff>
    </xdr:to>
    <xdr:pic>
      <xdr:nvPicPr>
        <xdr:cNvPr id="410" name="Picture@5C\QPendientes@" descr="@5C\QPendientes@">
          <a:extLst>
            <a:ext uri="{FF2B5EF4-FFF2-40B4-BE49-F238E27FC236}">
              <a16:creationId xmlns:a16="http://schemas.microsoft.com/office/drawing/2014/main" id="{38466DAC-2D35-476C-BB25-EDDA1FD6EB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98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</xdr:row>
      <xdr:rowOff>0</xdr:rowOff>
    </xdr:from>
    <xdr:to>
      <xdr:col>0</xdr:col>
      <xdr:colOff>171450</xdr:colOff>
      <xdr:row>72</xdr:row>
      <xdr:rowOff>133350</xdr:rowOff>
    </xdr:to>
    <xdr:pic>
      <xdr:nvPicPr>
        <xdr:cNvPr id="411" name="Picture@5C\QPendientes@" descr="@5C\QPendientes@">
          <a:extLst>
            <a:ext uri="{FF2B5EF4-FFF2-40B4-BE49-F238E27FC236}">
              <a16:creationId xmlns:a16="http://schemas.microsoft.com/office/drawing/2014/main" id="{3FC36D77-FEDF-47E0-8445-771E82604E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16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</xdr:row>
      <xdr:rowOff>0</xdr:rowOff>
    </xdr:from>
    <xdr:to>
      <xdr:col>0</xdr:col>
      <xdr:colOff>171450</xdr:colOff>
      <xdr:row>73</xdr:row>
      <xdr:rowOff>133350</xdr:rowOff>
    </xdr:to>
    <xdr:pic>
      <xdr:nvPicPr>
        <xdr:cNvPr id="412" name="Picture@5C\QPendientes@" descr="@5C\QPendientes@">
          <a:extLst>
            <a:ext uri="{FF2B5EF4-FFF2-40B4-BE49-F238E27FC236}">
              <a16:creationId xmlns:a16="http://schemas.microsoft.com/office/drawing/2014/main" id="{9CDA4C60-D8FE-470D-8958-309916EE00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35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</xdr:row>
      <xdr:rowOff>0</xdr:rowOff>
    </xdr:from>
    <xdr:to>
      <xdr:col>0</xdr:col>
      <xdr:colOff>171450</xdr:colOff>
      <xdr:row>74</xdr:row>
      <xdr:rowOff>133350</xdr:rowOff>
    </xdr:to>
    <xdr:pic>
      <xdr:nvPicPr>
        <xdr:cNvPr id="413" name="Picture@5C\QPendientes@" descr="@5C\QPendientes@">
          <a:extLst>
            <a:ext uri="{FF2B5EF4-FFF2-40B4-BE49-F238E27FC236}">
              <a16:creationId xmlns:a16="http://schemas.microsoft.com/office/drawing/2014/main" id="{8565E817-AE7B-4CE4-B599-71B9E61653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53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</xdr:row>
      <xdr:rowOff>0</xdr:rowOff>
    </xdr:from>
    <xdr:to>
      <xdr:col>0</xdr:col>
      <xdr:colOff>171450</xdr:colOff>
      <xdr:row>75</xdr:row>
      <xdr:rowOff>133350</xdr:rowOff>
    </xdr:to>
    <xdr:pic>
      <xdr:nvPicPr>
        <xdr:cNvPr id="414" name="Picture@5C\QPendientes@" descr="@5C\QPendientes@">
          <a:extLst>
            <a:ext uri="{FF2B5EF4-FFF2-40B4-BE49-F238E27FC236}">
              <a16:creationId xmlns:a16="http://schemas.microsoft.com/office/drawing/2014/main" id="{27B4AAB6-7780-43E9-87A3-90ADAA5978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71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</xdr:row>
      <xdr:rowOff>0</xdr:rowOff>
    </xdr:from>
    <xdr:to>
      <xdr:col>0</xdr:col>
      <xdr:colOff>171450</xdr:colOff>
      <xdr:row>76</xdr:row>
      <xdr:rowOff>133350</xdr:rowOff>
    </xdr:to>
    <xdr:pic>
      <xdr:nvPicPr>
        <xdr:cNvPr id="415" name="Picture@5C\QPendientes@" descr="@5C\QPendientes@">
          <a:extLst>
            <a:ext uri="{FF2B5EF4-FFF2-40B4-BE49-F238E27FC236}">
              <a16:creationId xmlns:a16="http://schemas.microsoft.com/office/drawing/2014/main" id="{6542BD0E-9BBA-4BD1-9851-834F2BD1A4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89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</xdr:row>
      <xdr:rowOff>0</xdr:rowOff>
    </xdr:from>
    <xdr:to>
      <xdr:col>0</xdr:col>
      <xdr:colOff>171450</xdr:colOff>
      <xdr:row>77</xdr:row>
      <xdr:rowOff>133350</xdr:rowOff>
    </xdr:to>
    <xdr:pic>
      <xdr:nvPicPr>
        <xdr:cNvPr id="416" name="Picture@5C\QPendientes@" descr="@5C\QPendientes@">
          <a:extLst>
            <a:ext uri="{FF2B5EF4-FFF2-40B4-BE49-F238E27FC236}">
              <a16:creationId xmlns:a16="http://schemas.microsoft.com/office/drawing/2014/main" id="{DDACF74B-D931-45A7-9699-CD11971B1C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08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</xdr:row>
      <xdr:rowOff>0</xdr:rowOff>
    </xdr:from>
    <xdr:to>
      <xdr:col>0</xdr:col>
      <xdr:colOff>171450</xdr:colOff>
      <xdr:row>78</xdr:row>
      <xdr:rowOff>133350</xdr:rowOff>
    </xdr:to>
    <xdr:pic>
      <xdr:nvPicPr>
        <xdr:cNvPr id="417" name="Picture@5C\QPendientes@" descr="@5C\QPendientes@">
          <a:extLst>
            <a:ext uri="{FF2B5EF4-FFF2-40B4-BE49-F238E27FC236}">
              <a16:creationId xmlns:a16="http://schemas.microsoft.com/office/drawing/2014/main" id="{70090FD7-5DEC-4283-AB61-DA72F3416B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26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</xdr:row>
      <xdr:rowOff>0</xdr:rowOff>
    </xdr:from>
    <xdr:to>
      <xdr:col>0</xdr:col>
      <xdr:colOff>171450</xdr:colOff>
      <xdr:row>79</xdr:row>
      <xdr:rowOff>133350</xdr:rowOff>
    </xdr:to>
    <xdr:pic>
      <xdr:nvPicPr>
        <xdr:cNvPr id="418" name="Picture@5C\QPendientes@" descr="@5C\QPendientes@">
          <a:extLst>
            <a:ext uri="{FF2B5EF4-FFF2-40B4-BE49-F238E27FC236}">
              <a16:creationId xmlns:a16="http://schemas.microsoft.com/office/drawing/2014/main" id="{EE546053-7220-482A-956C-181C40AB3C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44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</xdr:row>
      <xdr:rowOff>0</xdr:rowOff>
    </xdr:from>
    <xdr:to>
      <xdr:col>0</xdr:col>
      <xdr:colOff>171450</xdr:colOff>
      <xdr:row>80</xdr:row>
      <xdr:rowOff>133350</xdr:rowOff>
    </xdr:to>
    <xdr:pic>
      <xdr:nvPicPr>
        <xdr:cNvPr id="419" name="Picture@5C\QPendientes@" descr="@5C\QPendientes@">
          <a:extLst>
            <a:ext uri="{FF2B5EF4-FFF2-40B4-BE49-F238E27FC236}">
              <a16:creationId xmlns:a16="http://schemas.microsoft.com/office/drawing/2014/main" id="{EF807DCB-B0FC-4BEA-A712-CB2C688D0F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3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</xdr:row>
      <xdr:rowOff>0</xdr:rowOff>
    </xdr:from>
    <xdr:to>
      <xdr:col>0</xdr:col>
      <xdr:colOff>171450</xdr:colOff>
      <xdr:row>81</xdr:row>
      <xdr:rowOff>133350</xdr:rowOff>
    </xdr:to>
    <xdr:pic>
      <xdr:nvPicPr>
        <xdr:cNvPr id="420" name="Picture@5C\QPendientes@" descr="@5C\QPendientes@">
          <a:extLst>
            <a:ext uri="{FF2B5EF4-FFF2-40B4-BE49-F238E27FC236}">
              <a16:creationId xmlns:a16="http://schemas.microsoft.com/office/drawing/2014/main" id="{55CBA8D7-A4B8-40C7-B455-F4DF307511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81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</xdr:row>
      <xdr:rowOff>0</xdr:rowOff>
    </xdr:from>
    <xdr:to>
      <xdr:col>0</xdr:col>
      <xdr:colOff>171450</xdr:colOff>
      <xdr:row>82</xdr:row>
      <xdr:rowOff>133350</xdr:rowOff>
    </xdr:to>
    <xdr:pic>
      <xdr:nvPicPr>
        <xdr:cNvPr id="421" name="Picture@5C\QPendientes@" descr="@5C\QPendientes@">
          <a:extLst>
            <a:ext uri="{FF2B5EF4-FFF2-40B4-BE49-F238E27FC236}">
              <a16:creationId xmlns:a16="http://schemas.microsoft.com/office/drawing/2014/main" id="{76B63054-2A83-44A7-85BC-99E2F19446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99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</xdr:row>
      <xdr:rowOff>0</xdr:rowOff>
    </xdr:from>
    <xdr:to>
      <xdr:col>0</xdr:col>
      <xdr:colOff>171450</xdr:colOff>
      <xdr:row>83</xdr:row>
      <xdr:rowOff>133350</xdr:rowOff>
    </xdr:to>
    <xdr:pic>
      <xdr:nvPicPr>
        <xdr:cNvPr id="422" name="Picture@5C\QPendientes@" descr="@5C\QPendientes@">
          <a:extLst>
            <a:ext uri="{FF2B5EF4-FFF2-40B4-BE49-F238E27FC236}">
              <a16:creationId xmlns:a16="http://schemas.microsoft.com/office/drawing/2014/main" id="{7E38D599-54B7-4F2C-950A-CF6DD8E77F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17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</xdr:row>
      <xdr:rowOff>0</xdr:rowOff>
    </xdr:from>
    <xdr:to>
      <xdr:col>0</xdr:col>
      <xdr:colOff>171450</xdr:colOff>
      <xdr:row>84</xdr:row>
      <xdr:rowOff>133350</xdr:rowOff>
    </xdr:to>
    <xdr:pic>
      <xdr:nvPicPr>
        <xdr:cNvPr id="423" name="Picture@5C\QPendientes@" descr="@5C\QPendientes@">
          <a:extLst>
            <a:ext uri="{FF2B5EF4-FFF2-40B4-BE49-F238E27FC236}">
              <a16:creationId xmlns:a16="http://schemas.microsoft.com/office/drawing/2014/main" id="{903C9E06-1210-4C07-B00D-8EC148A8AD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36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</xdr:row>
      <xdr:rowOff>0</xdr:rowOff>
    </xdr:from>
    <xdr:to>
      <xdr:col>0</xdr:col>
      <xdr:colOff>171450</xdr:colOff>
      <xdr:row>85</xdr:row>
      <xdr:rowOff>133350</xdr:rowOff>
    </xdr:to>
    <xdr:pic>
      <xdr:nvPicPr>
        <xdr:cNvPr id="424" name="Picture@5C\QPendientes@" descr="@5C\QPendientes@">
          <a:extLst>
            <a:ext uri="{FF2B5EF4-FFF2-40B4-BE49-F238E27FC236}">
              <a16:creationId xmlns:a16="http://schemas.microsoft.com/office/drawing/2014/main" id="{4DEE17EA-2D17-403E-885B-9877268681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54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</xdr:row>
      <xdr:rowOff>0</xdr:rowOff>
    </xdr:from>
    <xdr:to>
      <xdr:col>0</xdr:col>
      <xdr:colOff>171450</xdr:colOff>
      <xdr:row>86</xdr:row>
      <xdr:rowOff>133350</xdr:rowOff>
    </xdr:to>
    <xdr:pic>
      <xdr:nvPicPr>
        <xdr:cNvPr id="425" name="Picture@5C\QPendientes@" descr="@5C\QPendientes@">
          <a:extLst>
            <a:ext uri="{FF2B5EF4-FFF2-40B4-BE49-F238E27FC236}">
              <a16:creationId xmlns:a16="http://schemas.microsoft.com/office/drawing/2014/main" id="{16493145-0188-4148-8947-A221E72D51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72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</xdr:row>
      <xdr:rowOff>0</xdr:rowOff>
    </xdr:from>
    <xdr:to>
      <xdr:col>0</xdr:col>
      <xdr:colOff>171450</xdr:colOff>
      <xdr:row>87</xdr:row>
      <xdr:rowOff>133350</xdr:rowOff>
    </xdr:to>
    <xdr:pic>
      <xdr:nvPicPr>
        <xdr:cNvPr id="426" name="Picture@5C\QPendientes@" descr="@5C\QPendientes@">
          <a:extLst>
            <a:ext uri="{FF2B5EF4-FFF2-40B4-BE49-F238E27FC236}">
              <a16:creationId xmlns:a16="http://schemas.microsoft.com/office/drawing/2014/main" id="{551662B0-BAA9-47F9-83A9-0692B38D56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91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</xdr:row>
      <xdr:rowOff>0</xdr:rowOff>
    </xdr:from>
    <xdr:to>
      <xdr:col>0</xdr:col>
      <xdr:colOff>171450</xdr:colOff>
      <xdr:row>88</xdr:row>
      <xdr:rowOff>133350</xdr:rowOff>
    </xdr:to>
    <xdr:pic>
      <xdr:nvPicPr>
        <xdr:cNvPr id="427" name="Picture@5C\QPendientes@" descr="@5C\QPendientes@">
          <a:extLst>
            <a:ext uri="{FF2B5EF4-FFF2-40B4-BE49-F238E27FC236}">
              <a16:creationId xmlns:a16="http://schemas.microsoft.com/office/drawing/2014/main" id="{49BD02B4-8C84-43DF-A4C9-AE1A8204E7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09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</xdr:row>
      <xdr:rowOff>0</xdr:rowOff>
    </xdr:from>
    <xdr:to>
      <xdr:col>0</xdr:col>
      <xdr:colOff>171450</xdr:colOff>
      <xdr:row>89</xdr:row>
      <xdr:rowOff>133350</xdr:rowOff>
    </xdr:to>
    <xdr:pic>
      <xdr:nvPicPr>
        <xdr:cNvPr id="428" name="Picture@5C\QPendientes@" descr="@5C\QPendientes@">
          <a:extLst>
            <a:ext uri="{FF2B5EF4-FFF2-40B4-BE49-F238E27FC236}">
              <a16:creationId xmlns:a16="http://schemas.microsoft.com/office/drawing/2014/main" id="{5C79009E-2D82-4CA7-9F8B-137849298D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27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</xdr:row>
      <xdr:rowOff>0</xdr:rowOff>
    </xdr:from>
    <xdr:to>
      <xdr:col>0</xdr:col>
      <xdr:colOff>171450</xdr:colOff>
      <xdr:row>90</xdr:row>
      <xdr:rowOff>133350</xdr:rowOff>
    </xdr:to>
    <xdr:pic>
      <xdr:nvPicPr>
        <xdr:cNvPr id="429" name="Picture@5C\QPendientes@" descr="@5C\QPendientes@">
          <a:extLst>
            <a:ext uri="{FF2B5EF4-FFF2-40B4-BE49-F238E27FC236}">
              <a16:creationId xmlns:a16="http://schemas.microsoft.com/office/drawing/2014/main" id="{F51D1231-3CAB-464C-9918-CF162C2B25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5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</xdr:row>
      <xdr:rowOff>0</xdr:rowOff>
    </xdr:from>
    <xdr:to>
      <xdr:col>0</xdr:col>
      <xdr:colOff>171450</xdr:colOff>
      <xdr:row>91</xdr:row>
      <xdr:rowOff>133350</xdr:rowOff>
    </xdr:to>
    <xdr:pic>
      <xdr:nvPicPr>
        <xdr:cNvPr id="430" name="Picture@5C\QPendientes@" descr="@5C\QPendientes@">
          <a:extLst>
            <a:ext uri="{FF2B5EF4-FFF2-40B4-BE49-F238E27FC236}">
              <a16:creationId xmlns:a16="http://schemas.microsoft.com/office/drawing/2014/main" id="{405ADE9D-78A4-40EA-B47F-D7F17E848B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64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</xdr:row>
      <xdr:rowOff>0</xdr:rowOff>
    </xdr:from>
    <xdr:to>
      <xdr:col>0</xdr:col>
      <xdr:colOff>171450</xdr:colOff>
      <xdr:row>92</xdr:row>
      <xdr:rowOff>133350</xdr:rowOff>
    </xdr:to>
    <xdr:pic>
      <xdr:nvPicPr>
        <xdr:cNvPr id="431" name="Picture@5C\QPendientes@" descr="@5C\QPendientes@">
          <a:extLst>
            <a:ext uri="{FF2B5EF4-FFF2-40B4-BE49-F238E27FC236}">
              <a16:creationId xmlns:a16="http://schemas.microsoft.com/office/drawing/2014/main" id="{798C7FD8-2DA0-49A1-8176-1AB29101A6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82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</xdr:row>
      <xdr:rowOff>0</xdr:rowOff>
    </xdr:from>
    <xdr:to>
      <xdr:col>0</xdr:col>
      <xdr:colOff>171450</xdr:colOff>
      <xdr:row>93</xdr:row>
      <xdr:rowOff>133350</xdr:rowOff>
    </xdr:to>
    <xdr:pic>
      <xdr:nvPicPr>
        <xdr:cNvPr id="432" name="Picture@5C\QPendientes@" descr="@5C\QPendientes@">
          <a:extLst>
            <a:ext uri="{FF2B5EF4-FFF2-40B4-BE49-F238E27FC236}">
              <a16:creationId xmlns:a16="http://schemas.microsoft.com/office/drawing/2014/main" id="{C3E36413-9578-4F90-8BCD-2B2A1D79CC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00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</xdr:row>
      <xdr:rowOff>0</xdr:rowOff>
    </xdr:from>
    <xdr:to>
      <xdr:col>0</xdr:col>
      <xdr:colOff>171450</xdr:colOff>
      <xdr:row>94</xdr:row>
      <xdr:rowOff>133350</xdr:rowOff>
    </xdr:to>
    <xdr:pic>
      <xdr:nvPicPr>
        <xdr:cNvPr id="433" name="Picture@5C\QPendientes@" descr="@5C\QPendientes@">
          <a:extLst>
            <a:ext uri="{FF2B5EF4-FFF2-40B4-BE49-F238E27FC236}">
              <a16:creationId xmlns:a16="http://schemas.microsoft.com/office/drawing/2014/main" id="{FB576431-FFDA-4235-8266-1923465B3C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19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</xdr:row>
      <xdr:rowOff>0</xdr:rowOff>
    </xdr:from>
    <xdr:to>
      <xdr:col>0</xdr:col>
      <xdr:colOff>171450</xdr:colOff>
      <xdr:row>95</xdr:row>
      <xdr:rowOff>133350</xdr:rowOff>
    </xdr:to>
    <xdr:pic>
      <xdr:nvPicPr>
        <xdr:cNvPr id="434" name="Picture@5C\QPendientes@" descr="@5C\QPendientes@">
          <a:extLst>
            <a:ext uri="{FF2B5EF4-FFF2-40B4-BE49-F238E27FC236}">
              <a16:creationId xmlns:a16="http://schemas.microsoft.com/office/drawing/2014/main" id="{D7FDCCAF-1E80-45BE-8E51-44181035AE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37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</xdr:row>
      <xdr:rowOff>0</xdr:rowOff>
    </xdr:from>
    <xdr:to>
      <xdr:col>0</xdr:col>
      <xdr:colOff>171450</xdr:colOff>
      <xdr:row>96</xdr:row>
      <xdr:rowOff>133350</xdr:rowOff>
    </xdr:to>
    <xdr:pic>
      <xdr:nvPicPr>
        <xdr:cNvPr id="435" name="Picture@5C\QPendientes@" descr="@5C\QPendientes@">
          <a:extLst>
            <a:ext uri="{FF2B5EF4-FFF2-40B4-BE49-F238E27FC236}">
              <a16:creationId xmlns:a16="http://schemas.microsoft.com/office/drawing/2014/main" id="{0DBD19A6-1BA6-49F8-9B4A-064E83FF90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55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</xdr:row>
      <xdr:rowOff>0</xdr:rowOff>
    </xdr:from>
    <xdr:to>
      <xdr:col>0</xdr:col>
      <xdr:colOff>171450</xdr:colOff>
      <xdr:row>97</xdr:row>
      <xdr:rowOff>133350</xdr:rowOff>
    </xdr:to>
    <xdr:pic>
      <xdr:nvPicPr>
        <xdr:cNvPr id="436" name="Picture@5C\QPendientes@" descr="@5C\QPendientes@">
          <a:extLst>
            <a:ext uri="{FF2B5EF4-FFF2-40B4-BE49-F238E27FC236}">
              <a16:creationId xmlns:a16="http://schemas.microsoft.com/office/drawing/2014/main" id="{5CED515D-207E-4855-AD9C-7F1E13BB33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73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</xdr:row>
      <xdr:rowOff>0</xdr:rowOff>
    </xdr:from>
    <xdr:to>
      <xdr:col>0</xdr:col>
      <xdr:colOff>171450</xdr:colOff>
      <xdr:row>98</xdr:row>
      <xdr:rowOff>133350</xdr:rowOff>
    </xdr:to>
    <xdr:pic>
      <xdr:nvPicPr>
        <xdr:cNvPr id="437" name="Picture@5C\QPendientes@" descr="@5C\QPendientes@">
          <a:extLst>
            <a:ext uri="{FF2B5EF4-FFF2-40B4-BE49-F238E27FC236}">
              <a16:creationId xmlns:a16="http://schemas.microsoft.com/office/drawing/2014/main" id="{E9D11D8C-D30D-407F-B035-0866ECCEAE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92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</xdr:row>
      <xdr:rowOff>0</xdr:rowOff>
    </xdr:from>
    <xdr:to>
      <xdr:col>0</xdr:col>
      <xdr:colOff>171450</xdr:colOff>
      <xdr:row>99</xdr:row>
      <xdr:rowOff>133350</xdr:rowOff>
    </xdr:to>
    <xdr:pic>
      <xdr:nvPicPr>
        <xdr:cNvPr id="438" name="Picture@5C\QPendientes@" descr="@5C\QPendientes@">
          <a:extLst>
            <a:ext uri="{FF2B5EF4-FFF2-40B4-BE49-F238E27FC236}">
              <a16:creationId xmlns:a16="http://schemas.microsoft.com/office/drawing/2014/main" id="{2F3454BB-1BE9-47E7-97B1-8A77225B46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10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</xdr:row>
      <xdr:rowOff>0</xdr:rowOff>
    </xdr:from>
    <xdr:to>
      <xdr:col>0</xdr:col>
      <xdr:colOff>171450</xdr:colOff>
      <xdr:row>100</xdr:row>
      <xdr:rowOff>133350</xdr:rowOff>
    </xdr:to>
    <xdr:pic>
      <xdr:nvPicPr>
        <xdr:cNvPr id="439" name="Picture@5C\QPendientes@" descr="@5C\QPendientes@">
          <a:extLst>
            <a:ext uri="{FF2B5EF4-FFF2-40B4-BE49-F238E27FC236}">
              <a16:creationId xmlns:a16="http://schemas.microsoft.com/office/drawing/2014/main" id="{2B81FE1B-3318-4939-9FFD-52CC6548A6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28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</xdr:row>
      <xdr:rowOff>0</xdr:rowOff>
    </xdr:from>
    <xdr:to>
      <xdr:col>0</xdr:col>
      <xdr:colOff>171450</xdr:colOff>
      <xdr:row>101</xdr:row>
      <xdr:rowOff>133350</xdr:rowOff>
    </xdr:to>
    <xdr:pic>
      <xdr:nvPicPr>
        <xdr:cNvPr id="440" name="Picture@5C\QPendientes@" descr="@5C\QPendientes@">
          <a:extLst>
            <a:ext uri="{FF2B5EF4-FFF2-40B4-BE49-F238E27FC236}">
              <a16:creationId xmlns:a16="http://schemas.microsoft.com/office/drawing/2014/main" id="{953E364F-B2AF-4ABD-931C-4D5F2CE316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47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</xdr:row>
      <xdr:rowOff>0</xdr:rowOff>
    </xdr:from>
    <xdr:to>
      <xdr:col>0</xdr:col>
      <xdr:colOff>171450</xdr:colOff>
      <xdr:row>102</xdr:row>
      <xdr:rowOff>133350</xdr:rowOff>
    </xdr:to>
    <xdr:pic>
      <xdr:nvPicPr>
        <xdr:cNvPr id="441" name="Picture@5C\QPendientes@" descr="@5C\QPendientes@">
          <a:extLst>
            <a:ext uri="{FF2B5EF4-FFF2-40B4-BE49-F238E27FC236}">
              <a16:creationId xmlns:a16="http://schemas.microsoft.com/office/drawing/2014/main" id="{F255A405-3AC4-48E6-ACFE-4F1202E40F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65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</xdr:row>
      <xdr:rowOff>0</xdr:rowOff>
    </xdr:from>
    <xdr:to>
      <xdr:col>0</xdr:col>
      <xdr:colOff>171450</xdr:colOff>
      <xdr:row>103</xdr:row>
      <xdr:rowOff>133350</xdr:rowOff>
    </xdr:to>
    <xdr:pic>
      <xdr:nvPicPr>
        <xdr:cNvPr id="442" name="Picture@5C\QPendientes@" descr="@5C\QPendientes@">
          <a:extLst>
            <a:ext uri="{FF2B5EF4-FFF2-40B4-BE49-F238E27FC236}">
              <a16:creationId xmlns:a16="http://schemas.microsoft.com/office/drawing/2014/main" id="{A334C7CF-EA84-422C-A114-EA433700EC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83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</xdr:row>
      <xdr:rowOff>0</xdr:rowOff>
    </xdr:from>
    <xdr:to>
      <xdr:col>0</xdr:col>
      <xdr:colOff>171450</xdr:colOff>
      <xdr:row>104</xdr:row>
      <xdr:rowOff>133350</xdr:rowOff>
    </xdr:to>
    <xdr:pic>
      <xdr:nvPicPr>
        <xdr:cNvPr id="443" name="Picture@5C\QPendientes@" descr="@5C\QPendientes@">
          <a:extLst>
            <a:ext uri="{FF2B5EF4-FFF2-40B4-BE49-F238E27FC236}">
              <a16:creationId xmlns:a16="http://schemas.microsoft.com/office/drawing/2014/main" id="{7C239ED3-87E5-4B2B-A7F8-6FA3B15EDE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01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</xdr:row>
      <xdr:rowOff>0</xdr:rowOff>
    </xdr:from>
    <xdr:to>
      <xdr:col>0</xdr:col>
      <xdr:colOff>171450</xdr:colOff>
      <xdr:row>105</xdr:row>
      <xdr:rowOff>133350</xdr:rowOff>
    </xdr:to>
    <xdr:pic>
      <xdr:nvPicPr>
        <xdr:cNvPr id="444" name="Picture@5C\QPendientes@" descr="@5C\QPendientes@">
          <a:extLst>
            <a:ext uri="{FF2B5EF4-FFF2-40B4-BE49-F238E27FC236}">
              <a16:creationId xmlns:a16="http://schemas.microsoft.com/office/drawing/2014/main" id="{A3615D80-932D-4BCD-BC17-84A93DF98B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20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</xdr:row>
      <xdr:rowOff>0</xdr:rowOff>
    </xdr:from>
    <xdr:to>
      <xdr:col>0</xdr:col>
      <xdr:colOff>171450</xdr:colOff>
      <xdr:row>106</xdr:row>
      <xdr:rowOff>133350</xdr:rowOff>
    </xdr:to>
    <xdr:pic>
      <xdr:nvPicPr>
        <xdr:cNvPr id="445" name="Picture@5C\QPendientes@" descr="@5C\QPendientes@">
          <a:extLst>
            <a:ext uri="{FF2B5EF4-FFF2-40B4-BE49-F238E27FC236}">
              <a16:creationId xmlns:a16="http://schemas.microsoft.com/office/drawing/2014/main" id="{6F4331D7-3988-45DA-AB78-2D51C898BA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38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</xdr:row>
      <xdr:rowOff>0</xdr:rowOff>
    </xdr:from>
    <xdr:to>
      <xdr:col>0</xdr:col>
      <xdr:colOff>171450</xdr:colOff>
      <xdr:row>107</xdr:row>
      <xdr:rowOff>133350</xdr:rowOff>
    </xdr:to>
    <xdr:pic>
      <xdr:nvPicPr>
        <xdr:cNvPr id="446" name="Picture@5C\QPendientes@" descr="@5C\QPendientes@">
          <a:extLst>
            <a:ext uri="{FF2B5EF4-FFF2-40B4-BE49-F238E27FC236}">
              <a16:creationId xmlns:a16="http://schemas.microsoft.com/office/drawing/2014/main" id="{8090CB1A-8363-4B02-9DD4-74F9A5C9CD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56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</xdr:row>
      <xdr:rowOff>0</xdr:rowOff>
    </xdr:from>
    <xdr:to>
      <xdr:col>0</xdr:col>
      <xdr:colOff>171450</xdr:colOff>
      <xdr:row>108</xdr:row>
      <xdr:rowOff>133350</xdr:rowOff>
    </xdr:to>
    <xdr:pic>
      <xdr:nvPicPr>
        <xdr:cNvPr id="447" name="Picture@5C\QPendientes@" descr="@5C\QPendientes@">
          <a:extLst>
            <a:ext uri="{FF2B5EF4-FFF2-40B4-BE49-F238E27FC236}">
              <a16:creationId xmlns:a16="http://schemas.microsoft.com/office/drawing/2014/main" id="{D50DBD87-204D-4B13-BE2D-6F42C869C4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75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</xdr:row>
      <xdr:rowOff>0</xdr:rowOff>
    </xdr:from>
    <xdr:to>
      <xdr:col>0</xdr:col>
      <xdr:colOff>171450</xdr:colOff>
      <xdr:row>109</xdr:row>
      <xdr:rowOff>133350</xdr:rowOff>
    </xdr:to>
    <xdr:pic>
      <xdr:nvPicPr>
        <xdr:cNvPr id="448" name="Picture@5C\QPendientes@" descr="@5C\QPendientes@">
          <a:extLst>
            <a:ext uri="{FF2B5EF4-FFF2-40B4-BE49-F238E27FC236}">
              <a16:creationId xmlns:a16="http://schemas.microsoft.com/office/drawing/2014/main" id="{F310A257-E12B-4CB6-8006-0716F661A4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93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</xdr:row>
      <xdr:rowOff>0</xdr:rowOff>
    </xdr:from>
    <xdr:to>
      <xdr:col>0</xdr:col>
      <xdr:colOff>171450</xdr:colOff>
      <xdr:row>110</xdr:row>
      <xdr:rowOff>133350</xdr:rowOff>
    </xdr:to>
    <xdr:pic>
      <xdr:nvPicPr>
        <xdr:cNvPr id="449" name="Picture@5C\QPendientes@" descr="@5C\QPendientes@">
          <a:extLst>
            <a:ext uri="{FF2B5EF4-FFF2-40B4-BE49-F238E27FC236}">
              <a16:creationId xmlns:a16="http://schemas.microsoft.com/office/drawing/2014/main" id="{16BA4D63-D3E5-4CBC-9F81-47C1EF3662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11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</xdr:row>
      <xdr:rowOff>0</xdr:rowOff>
    </xdr:from>
    <xdr:to>
      <xdr:col>0</xdr:col>
      <xdr:colOff>171450</xdr:colOff>
      <xdr:row>111</xdr:row>
      <xdr:rowOff>133350</xdr:rowOff>
    </xdr:to>
    <xdr:pic>
      <xdr:nvPicPr>
        <xdr:cNvPr id="450" name="Picture@5C\QPendientes@" descr="@5C\QPendientes@">
          <a:extLst>
            <a:ext uri="{FF2B5EF4-FFF2-40B4-BE49-F238E27FC236}">
              <a16:creationId xmlns:a16="http://schemas.microsoft.com/office/drawing/2014/main" id="{F1E9C0D7-E022-4CE4-BF22-7E2B52C98A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29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</xdr:row>
      <xdr:rowOff>0</xdr:rowOff>
    </xdr:from>
    <xdr:to>
      <xdr:col>0</xdr:col>
      <xdr:colOff>171450</xdr:colOff>
      <xdr:row>112</xdr:row>
      <xdr:rowOff>133350</xdr:rowOff>
    </xdr:to>
    <xdr:pic>
      <xdr:nvPicPr>
        <xdr:cNvPr id="451" name="Picture@5C\QPendientes@" descr="@5C\QPendientes@">
          <a:extLst>
            <a:ext uri="{FF2B5EF4-FFF2-40B4-BE49-F238E27FC236}">
              <a16:creationId xmlns:a16="http://schemas.microsoft.com/office/drawing/2014/main" id="{EE5A6839-F7BF-46A8-8A80-A91CBDA7AB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48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</xdr:row>
      <xdr:rowOff>0</xdr:rowOff>
    </xdr:from>
    <xdr:to>
      <xdr:col>0</xdr:col>
      <xdr:colOff>171450</xdr:colOff>
      <xdr:row>113</xdr:row>
      <xdr:rowOff>133350</xdr:rowOff>
    </xdr:to>
    <xdr:pic>
      <xdr:nvPicPr>
        <xdr:cNvPr id="452" name="Picture@5C\QPendientes@" descr="@5C\QPendientes@">
          <a:extLst>
            <a:ext uri="{FF2B5EF4-FFF2-40B4-BE49-F238E27FC236}">
              <a16:creationId xmlns:a16="http://schemas.microsoft.com/office/drawing/2014/main" id="{ECAF3BBF-1A9E-42B3-A7A5-7AD76285CA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66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</xdr:row>
      <xdr:rowOff>0</xdr:rowOff>
    </xdr:from>
    <xdr:to>
      <xdr:col>0</xdr:col>
      <xdr:colOff>171450</xdr:colOff>
      <xdr:row>114</xdr:row>
      <xdr:rowOff>133350</xdr:rowOff>
    </xdr:to>
    <xdr:pic>
      <xdr:nvPicPr>
        <xdr:cNvPr id="453" name="Picture@5C\QPendientes@" descr="@5C\QPendientes@">
          <a:extLst>
            <a:ext uri="{FF2B5EF4-FFF2-40B4-BE49-F238E27FC236}">
              <a16:creationId xmlns:a16="http://schemas.microsoft.com/office/drawing/2014/main" id="{EE578449-8C08-471A-BFE8-261BB9812C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84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</xdr:row>
      <xdr:rowOff>0</xdr:rowOff>
    </xdr:from>
    <xdr:to>
      <xdr:col>0</xdr:col>
      <xdr:colOff>171450</xdr:colOff>
      <xdr:row>115</xdr:row>
      <xdr:rowOff>133350</xdr:rowOff>
    </xdr:to>
    <xdr:pic>
      <xdr:nvPicPr>
        <xdr:cNvPr id="454" name="Picture@5C\QPendientes@" descr="@5C\QPendientes@">
          <a:extLst>
            <a:ext uri="{FF2B5EF4-FFF2-40B4-BE49-F238E27FC236}">
              <a16:creationId xmlns:a16="http://schemas.microsoft.com/office/drawing/2014/main" id="{7CE40E29-1C6F-4BAC-80C5-36D24BD34F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03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</xdr:row>
      <xdr:rowOff>0</xdr:rowOff>
    </xdr:from>
    <xdr:to>
      <xdr:col>0</xdr:col>
      <xdr:colOff>171450</xdr:colOff>
      <xdr:row>116</xdr:row>
      <xdr:rowOff>133350</xdr:rowOff>
    </xdr:to>
    <xdr:pic>
      <xdr:nvPicPr>
        <xdr:cNvPr id="455" name="Picture@5C\QPendientes@" descr="@5C\QPendientes@">
          <a:extLst>
            <a:ext uri="{FF2B5EF4-FFF2-40B4-BE49-F238E27FC236}">
              <a16:creationId xmlns:a16="http://schemas.microsoft.com/office/drawing/2014/main" id="{43219E20-A98A-4C4D-86A3-198FD331D8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21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</xdr:row>
      <xdr:rowOff>0</xdr:rowOff>
    </xdr:from>
    <xdr:to>
      <xdr:col>0</xdr:col>
      <xdr:colOff>171450</xdr:colOff>
      <xdr:row>117</xdr:row>
      <xdr:rowOff>133350</xdr:rowOff>
    </xdr:to>
    <xdr:pic>
      <xdr:nvPicPr>
        <xdr:cNvPr id="456" name="Picture@5C\QPendientes@" descr="@5C\QPendientes@">
          <a:extLst>
            <a:ext uri="{FF2B5EF4-FFF2-40B4-BE49-F238E27FC236}">
              <a16:creationId xmlns:a16="http://schemas.microsoft.com/office/drawing/2014/main" id="{F897E08B-F887-4792-AF80-25B17EC327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39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</xdr:row>
      <xdr:rowOff>0</xdr:rowOff>
    </xdr:from>
    <xdr:to>
      <xdr:col>0</xdr:col>
      <xdr:colOff>171450</xdr:colOff>
      <xdr:row>118</xdr:row>
      <xdr:rowOff>133350</xdr:rowOff>
    </xdr:to>
    <xdr:pic>
      <xdr:nvPicPr>
        <xdr:cNvPr id="457" name="Picture@5C\QPendientes@" descr="@5C\QPendientes@">
          <a:extLst>
            <a:ext uri="{FF2B5EF4-FFF2-40B4-BE49-F238E27FC236}">
              <a16:creationId xmlns:a16="http://schemas.microsoft.com/office/drawing/2014/main" id="{F269E9F0-A988-4258-8B24-888D8332BF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57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</xdr:row>
      <xdr:rowOff>0</xdr:rowOff>
    </xdr:from>
    <xdr:to>
      <xdr:col>0</xdr:col>
      <xdr:colOff>171450</xdr:colOff>
      <xdr:row>119</xdr:row>
      <xdr:rowOff>133350</xdr:rowOff>
    </xdr:to>
    <xdr:pic>
      <xdr:nvPicPr>
        <xdr:cNvPr id="458" name="Picture@5C\QPendientes@" descr="@5C\QPendientes@">
          <a:extLst>
            <a:ext uri="{FF2B5EF4-FFF2-40B4-BE49-F238E27FC236}">
              <a16:creationId xmlns:a16="http://schemas.microsoft.com/office/drawing/2014/main" id="{D3B1A794-AAD2-4A55-B4E3-09849BBF45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76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</xdr:row>
      <xdr:rowOff>0</xdr:rowOff>
    </xdr:from>
    <xdr:to>
      <xdr:col>0</xdr:col>
      <xdr:colOff>171450</xdr:colOff>
      <xdr:row>120</xdr:row>
      <xdr:rowOff>133350</xdr:rowOff>
    </xdr:to>
    <xdr:pic>
      <xdr:nvPicPr>
        <xdr:cNvPr id="459" name="Picture@5C\QPendientes@" descr="@5C\QPendientes@">
          <a:extLst>
            <a:ext uri="{FF2B5EF4-FFF2-40B4-BE49-F238E27FC236}">
              <a16:creationId xmlns:a16="http://schemas.microsoft.com/office/drawing/2014/main" id="{44B58F4F-631C-48ED-BA8D-ED482CB73B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4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</xdr:row>
      <xdr:rowOff>0</xdr:rowOff>
    </xdr:from>
    <xdr:to>
      <xdr:col>0</xdr:col>
      <xdr:colOff>171450</xdr:colOff>
      <xdr:row>121</xdr:row>
      <xdr:rowOff>133350</xdr:rowOff>
    </xdr:to>
    <xdr:pic>
      <xdr:nvPicPr>
        <xdr:cNvPr id="460" name="Picture@5C\QPendientes@" descr="@5C\QPendientes@">
          <a:extLst>
            <a:ext uri="{FF2B5EF4-FFF2-40B4-BE49-F238E27FC236}">
              <a16:creationId xmlns:a16="http://schemas.microsoft.com/office/drawing/2014/main" id="{7817F3EA-73E5-466B-A107-8B234D36EB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12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</xdr:row>
      <xdr:rowOff>0</xdr:rowOff>
    </xdr:from>
    <xdr:to>
      <xdr:col>0</xdr:col>
      <xdr:colOff>171450</xdr:colOff>
      <xdr:row>122</xdr:row>
      <xdr:rowOff>133350</xdr:rowOff>
    </xdr:to>
    <xdr:pic>
      <xdr:nvPicPr>
        <xdr:cNvPr id="461" name="Picture@5C\QPendientes@" descr="@5C\QPendientes@">
          <a:extLst>
            <a:ext uri="{FF2B5EF4-FFF2-40B4-BE49-F238E27FC236}">
              <a16:creationId xmlns:a16="http://schemas.microsoft.com/office/drawing/2014/main" id="{D0E52816-2932-47C8-AA55-DD62B4DB9F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31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</xdr:row>
      <xdr:rowOff>0</xdr:rowOff>
    </xdr:from>
    <xdr:to>
      <xdr:col>0</xdr:col>
      <xdr:colOff>171450</xdr:colOff>
      <xdr:row>123</xdr:row>
      <xdr:rowOff>133350</xdr:rowOff>
    </xdr:to>
    <xdr:pic>
      <xdr:nvPicPr>
        <xdr:cNvPr id="462" name="Picture@5C\QPendientes@" descr="@5C\QPendientes@">
          <a:extLst>
            <a:ext uri="{FF2B5EF4-FFF2-40B4-BE49-F238E27FC236}">
              <a16:creationId xmlns:a16="http://schemas.microsoft.com/office/drawing/2014/main" id="{BE24911C-D0C3-44FD-8AF6-03B81293DC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49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</xdr:row>
      <xdr:rowOff>0</xdr:rowOff>
    </xdr:from>
    <xdr:to>
      <xdr:col>0</xdr:col>
      <xdr:colOff>171450</xdr:colOff>
      <xdr:row>124</xdr:row>
      <xdr:rowOff>133350</xdr:rowOff>
    </xdr:to>
    <xdr:pic>
      <xdr:nvPicPr>
        <xdr:cNvPr id="463" name="Picture@5C\QPendientes@" descr="@5C\QPendientes@">
          <a:extLst>
            <a:ext uri="{FF2B5EF4-FFF2-40B4-BE49-F238E27FC236}">
              <a16:creationId xmlns:a16="http://schemas.microsoft.com/office/drawing/2014/main" id="{64FE4207-8BC3-4A8B-B940-C1C2BB4247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67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</xdr:row>
      <xdr:rowOff>0</xdr:rowOff>
    </xdr:from>
    <xdr:to>
      <xdr:col>0</xdr:col>
      <xdr:colOff>171450</xdr:colOff>
      <xdr:row>125</xdr:row>
      <xdr:rowOff>133350</xdr:rowOff>
    </xdr:to>
    <xdr:pic>
      <xdr:nvPicPr>
        <xdr:cNvPr id="464" name="Picture@5C\QPendientes@" descr="@5C\QPendientes@">
          <a:extLst>
            <a:ext uri="{FF2B5EF4-FFF2-40B4-BE49-F238E27FC236}">
              <a16:creationId xmlns:a16="http://schemas.microsoft.com/office/drawing/2014/main" id="{1BE63AE6-06E0-480C-93AE-EB145A5D94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86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</xdr:row>
      <xdr:rowOff>0</xdr:rowOff>
    </xdr:from>
    <xdr:to>
      <xdr:col>0</xdr:col>
      <xdr:colOff>171450</xdr:colOff>
      <xdr:row>126</xdr:row>
      <xdr:rowOff>133350</xdr:rowOff>
    </xdr:to>
    <xdr:pic>
      <xdr:nvPicPr>
        <xdr:cNvPr id="465" name="Picture@5C\QPendientes@" descr="@5C\QPendientes@">
          <a:extLst>
            <a:ext uri="{FF2B5EF4-FFF2-40B4-BE49-F238E27FC236}">
              <a16:creationId xmlns:a16="http://schemas.microsoft.com/office/drawing/2014/main" id="{41382CFC-10AA-4173-B875-33F9A4EFE2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04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</xdr:row>
      <xdr:rowOff>0</xdr:rowOff>
    </xdr:from>
    <xdr:to>
      <xdr:col>0</xdr:col>
      <xdr:colOff>171450</xdr:colOff>
      <xdr:row>127</xdr:row>
      <xdr:rowOff>133350</xdr:rowOff>
    </xdr:to>
    <xdr:pic>
      <xdr:nvPicPr>
        <xdr:cNvPr id="466" name="Picture@5C\QPendientes@" descr="@5C\QPendientes@">
          <a:extLst>
            <a:ext uri="{FF2B5EF4-FFF2-40B4-BE49-F238E27FC236}">
              <a16:creationId xmlns:a16="http://schemas.microsoft.com/office/drawing/2014/main" id="{0D338F64-12A8-4594-96F1-28018AE27A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22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</xdr:row>
      <xdr:rowOff>0</xdr:rowOff>
    </xdr:from>
    <xdr:to>
      <xdr:col>0</xdr:col>
      <xdr:colOff>171450</xdr:colOff>
      <xdr:row>128</xdr:row>
      <xdr:rowOff>133350</xdr:rowOff>
    </xdr:to>
    <xdr:pic>
      <xdr:nvPicPr>
        <xdr:cNvPr id="467" name="Picture@5C\QPendientes@" descr="@5C\QPendientes@">
          <a:extLst>
            <a:ext uri="{FF2B5EF4-FFF2-40B4-BE49-F238E27FC236}">
              <a16:creationId xmlns:a16="http://schemas.microsoft.com/office/drawing/2014/main" id="{B046A20B-DECC-48D3-8059-FCE5D5804F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40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</xdr:row>
      <xdr:rowOff>0</xdr:rowOff>
    </xdr:from>
    <xdr:to>
      <xdr:col>0</xdr:col>
      <xdr:colOff>171450</xdr:colOff>
      <xdr:row>129</xdr:row>
      <xdr:rowOff>133350</xdr:rowOff>
    </xdr:to>
    <xdr:pic>
      <xdr:nvPicPr>
        <xdr:cNvPr id="468" name="Picture@5C\QPendientes@" descr="@5C\QPendientes@">
          <a:extLst>
            <a:ext uri="{FF2B5EF4-FFF2-40B4-BE49-F238E27FC236}">
              <a16:creationId xmlns:a16="http://schemas.microsoft.com/office/drawing/2014/main" id="{35B784D8-3A5B-4EEB-B781-146B5BD166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59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</xdr:row>
      <xdr:rowOff>0</xdr:rowOff>
    </xdr:from>
    <xdr:to>
      <xdr:col>0</xdr:col>
      <xdr:colOff>171450</xdr:colOff>
      <xdr:row>130</xdr:row>
      <xdr:rowOff>133350</xdr:rowOff>
    </xdr:to>
    <xdr:pic>
      <xdr:nvPicPr>
        <xdr:cNvPr id="469" name="Picture@5C\QPendientes@" descr="@5C\QPendientes@">
          <a:extLst>
            <a:ext uri="{FF2B5EF4-FFF2-40B4-BE49-F238E27FC236}">
              <a16:creationId xmlns:a16="http://schemas.microsoft.com/office/drawing/2014/main" id="{1B452EBE-5967-451F-AE50-7FDF63CC1A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77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</xdr:row>
      <xdr:rowOff>0</xdr:rowOff>
    </xdr:from>
    <xdr:to>
      <xdr:col>0</xdr:col>
      <xdr:colOff>171450</xdr:colOff>
      <xdr:row>131</xdr:row>
      <xdr:rowOff>133350</xdr:rowOff>
    </xdr:to>
    <xdr:pic>
      <xdr:nvPicPr>
        <xdr:cNvPr id="470" name="Picture@5C\QPendientes@" descr="@5C\QPendientes@">
          <a:extLst>
            <a:ext uri="{FF2B5EF4-FFF2-40B4-BE49-F238E27FC236}">
              <a16:creationId xmlns:a16="http://schemas.microsoft.com/office/drawing/2014/main" id="{C7991E63-34CE-493B-9078-82E0A0C2BD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95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</xdr:row>
      <xdr:rowOff>0</xdr:rowOff>
    </xdr:from>
    <xdr:to>
      <xdr:col>0</xdr:col>
      <xdr:colOff>171450</xdr:colOff>
      <xdr:row>132</xdr:row>
      <xdr:rowOff>133350</xdr:rowOff>
    </xdr:to>
    <xdr:pic>
      <xdr:nvPicPr>
        <xdr:cNvPr id="471" name="Picture@5C\QPendientes@" descr="@5C\QPendientes@">
          <a:extLst>
            <a:ext uri="{FF2B5EF4-FFF2-40B4-BE49-F238E27FC236}">
              <a16:creationId xmlns:a16="http://schemas.microsoft.com/office/drawing/2014/main" id="{76D160BB-1D46-48C6-9C25-90E19BB982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14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</xdr:row>
      <xdr:rowOff>0</xdr:rowOff>
    </xdr:from>
    <xdr:to>
      <xdr:col>0</xdr:col>
      <xdr:colOff>171450</xdr:colOff>
      <xdr:row>133</xdr:row>
      <xdr:rowOff>133350</xdr:rowOff>
    </xdr:to>
    <xdr:pic>
      <xdr:nvPicPr>
        <xdr:cNvPr id="472" name="Picture@5C\QPendientes@" descr="@5C\QPendientes@">
          <a:extLst>
            <a:ext uri="{FF2B5EF4-FFF2-40B4-BE49-F238E27FC236}">
              <a16:creationId xmlns:a16="http://schemas.microsoft.com/office/drawing/2014/main" id="{61C822C4-4C18-44A7-806C-844D678D23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32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</xdr:row>
      <xdr:rowOff>0</xdr:rowOff>
    </xdr:from>
    <xdr:to>
      <xdr:col>0</xdr:col>
      <xdr:colOff>171450</xdr:colOff>
      <xdr:row>134</xdr:row>
      <xdr:rowOff>133350</xdr:rowOff>
    </xdr:to>
    <xdr:pic>
      <xdr:nvPicPr>
        <xdr:cNvPr id="473" name="Picture@5C\QPendientes@" descr="@5C\QPendientes@">
          <a:extLst>
            <a:ext uri="{FF2B5EF4-FFF2-40B4-BE49-F238E27FC236}">
              <a16:creationId xmlns:a16="http://schemas.microsoft.com/office/drawing/2014/main" id="{ED4F73DE-3AF6-4502-913F-C8DD4A1E17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50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</xdr:row>
      <xdr:rowOff>0</xdr:rowOff>
    </xdr:from>
    <xdr:to>
      <xdr:col>0</xdr:col>
      <xdr:colOff>171450</xdr:colOff>
      <xdr:row>135</xdr:row>
      <xdr:rowOff>133350</xdr:rowOff>
    </xdr:to>
    <xdr:pic>
      <xdr:nvPicPr>
        <xdr:cNvPr id="474" name="Picture@5C\QPendientes@" descr="@5C\QPendientes@">
          <a:extLst>
            <a:ext uri="{FF2B5EF4-FFF2-40B4-BE49-F238E27FC236}">
              <a16:creationId xmlns:a16="http://schemas.microsoft.com/office/drawing/2014/main" id="{2F38F680-D4FA-4384-B9A3-CF1A9BFEB7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68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</xdr:row>
      <xdr:rowOff>0</xdr:rowOff>
    </xdr:from>
    <xdr:to>
      <xdr:col>0</xdr:col>
      <xdr:colOff>171450</xdr:colOff>
      <xdr:row>136</xdr:row>
      <xdr:rowOff>133350</xdr:rowOff>
    </xdr:to>
    <xdr:pic>
      <xdr:nvPicPr>
        <xdr:cNvPr id="475" name="Picture@5C\QPendientes@" descr="@5C\QPendientes@">
          <a:extLst>
            <a:ext uri="{FF2B5EF4-FFF2-40B4-BE49-F238E27FC236}">
              <a16:creationId xmlns:a16="http://schemas.microsoft.com/office/drawing/2014/main" id="{040622CE-F1C0-4DB1-A6B8-0D3DD3FC21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87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</xdr:row>
      <xdr:rowOff>0</xdr:rowOff>
    </xdr:from>
    <xdr:to>
      <xdr:col>0</xdr:col>
      <xdr:colOff>171450</xdr:colOff>
      <xdr:row>137</xdr:row>
      <xdr:rowOff>133350</xdr:rowOff>
    </xdr:to>
    <xdr:pic>
      <xdr:nvPicPr>
        <xdr:cNvPr id="476" name="Picture@5C\QPendientes@" descr="@5C\QPendientes@">
          <a:extLst>
            <a:ext uri="{FF2B5EF4-FFF2-40B4-BE49-F238E27FC236}">
              <a16:creationId xmlns:a16="http://schemas.microsoft.com/office/drawing/2014/main" id="{359FC776-BE0B-41B3-B082-D2E8BBF3BC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05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</xdr:row>
      <xdr:rowOff>0</xdr:rowOff>
    </xdr:from>
    <xdr:to>
      <xdr:col>0</xdr:col>
      <xdr:colOff>171450</xdr:colOff>
      <xdr:row>138</xdr:row>
      <xdr:rowOff>133350</xdr:rowOff>
    </xdr:to>
    <xdr:pic>
      <xdr:nvPicPr>
        <xdr:cNvPr id="477" name="Picture@5C\QPendientes@" descr="@5C\QPendientes@">
          <a:extLst>
            <a:ext uri="{FF2B5EF4-FFF2-40B4-BE49-F238E27FC236}">
              <a16:creationId xmlns:a16="http://schemas.microsoft.com/office/drawing/2014/main" id="{A0DCF0DB-B4B9-4EEB-8F1A-34E1AD9157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23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</xdr:row>
      <xdr:rowOff>0</xdr:rowOff>
    </xdr:from>
    <xdr:to>
      <xdr:col>0</xdr:col>
      <xdr:colOff>171450</xdr:colOff>
      <xdr:row>139</xdr:row>
      <xdr:rowOff>133350</xdr:rowOff>
    </xdr:to>
    <xdr:pic>
      <xdr:nvPicPr>
        <xdr:cNvPr id="478" name="Picture@5C\QPendientes@" descr="@5C\QPendientes@">
          <a:extLst>
            <a:ext uri="{FF2B5EF4-FFF2-40B4-BE49-F238E27FC236}">
              <a16:creationId xmlns:a16="http://schemas.microsoft.com/office/drawing/2014/main" id="{C39D730E-F382-458B-9868-A5079EEA5A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42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</xdr:row>
      <xdr:rowOff>0</xdr:rowOff>
    </xdr:from>
    <xdr:to>
      <xdr:col>0</xdr:col>
      <xdr:colOff>171450</xdr:colOff>
      <xdr:row>140</xdr:row>
      <xdr:rowOff>133350</xdr:rowOff>
    </xdr:to>
    <xdr:pic>
      <xdr:nvPicPr>
        <xdr:cNvPr id="479" name="Picture@5C\QPendientes@" descr="@5C\QPendientes@">
          <a:extLst>
            <a:ext uri="{FF2B5EF4-FFF2-40B4-BE49-F238E27FC236}">
              <a16:creationId xmlns:a16="http://schemas.microsoft.com/office/drawing/2014/main" id="{1DD2E36D-4993-4B84-9A68-A862F41B58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60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</xdr:row>
      <xdr:rowOff>0</xdr:rowOff>
    </xdr:from>
    <xdr:to>
      <xdr:col>0</xdr:col>
      <xdr:colOff>171450</xdr:colOff>
      <xdr:row>141</xdr:row>
      <xdr:rowOff>133350</xdr:rowOff>
    </xdr:to>
    <xdr:pic>
      <xdr:nvPicPr>
        <xdr:cNvPr id="480" name="Picture@5C\QPendientes@" descr="@5C\QPendientes@">
          <a:extLst>
            <a:ext uri="{FF2B5EF4-FFF2-40B4-BE49-F238E27FC236}">
              <a16:creationId xmlns:a16="http://schemas.microsoft.com/office/drawing/2014/main" id="{93F217C0-A5F5-4FDF-A3F0-B7A9386819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78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</xdr:row>
      <xdr:rowOff>0</xdr:rowOff>
    </xdr:from>
    <xdr:to>
      <xdr:col>0</xdr:col>
      <xdr:colOff>171450</xdr:colOff>
      <xdr:row>142</xdr:row>
      <xdr:rowOff>133350</xdr:rowOff>
    </xdr:to>
    <xdr:pic>
      <xdr:nvPicPr>
        <xdr:cNvPr id="481" name="Picture@5C\QPendientes@" descr="@5C\QPendientes@">
          <a:extLst>
            <a:ext uri="{FF2B5EF4-FFF2-40B4-BE49-F238E27FC236}">
              <a16:creationId xmlns:a16="http://schemas.microsoft.com/office/drawing/2014/main" id="{FEAEC92C-5917-4CC1-AA87-838C79A931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96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</xdr:row>
      <xdr:rowOff>0</xdr:rowOff>
    </xdr:from>
    <xdr:to>
      <xdr:col>0</xdr:col>
      <xdr:colOff>171450</xdr:colOff>
      <xdr:row>143</xdr:row>
      <xdr:rowOff>133350</xdr:rowOff>
    </xdr:to>
    <xdr:pic>
      <xdr:nvPicPr>
        <xdr:cNvPr id="482" name="Picture@5C\QPendientes@" descr="@5C\QPendientes@">
          <a:extLst>
            <a:ext uri="{FF2B5EF4-FFF2-40B4-BE49-F238E27FC236}">
              <a16:creationId xmlns:a16="http://schemas.microsoft.com/office/drawing/2014/main" id="{7BF5D107-CCCE-4DCF-A23A-FFA0EF6E3C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15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</xdr:row>
      <xdr:rowOff>0</xdr:rowOff>
    </xdr:from>
    <xdr:to>
      <xdr:col>0</xdr:col>
      <xdr:colOff>171450</xdr:colOff>
      <xdr:row>144</xdr:row>
      <xdr:rowOff>133350</xdr:rowOff>
    </xdr:to>
    <xdr:pic>
      <xdr:nvPicPr>
        <xdr:cNvPr id="483" name="Picture@5C\QPendientes@" descr="@5C\QPendientes@">
          <a:extLst>
            <a:ext uri="{FF2B5EF4-FFF2-40B4-BE49-F238E27FC236}">
              <a16:creationId xmlns:a16="http://schemas.microsoft.com/office/drawing/2014/main" id="{BC820878-6653-4750-BB32-A163CF87DF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33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</xdr:row>
      <xdr:rowOff>0</xdr:rowOff>
    </xdr:from>
    <xdr:to>
      <xdr:col>0</xdr:col>
      <xdr:colOff>171450</xdr:colOff>
      <xdr:row>145</xdr:row>
      <xdr:rowOff>133350</xdr:rowOff>
    </xdr:to>
    <xdr:pic>
      <xdr:nvPicPr>
        <xdr:cNvPr id="484" name="Picture@5C\QPendientes@" descr="@5C\QPendientes@">
          <a:extLst>
            <a:ext uri="{FF2B5EF4-FFF2-40B4-BE49-F238E27FC236}">
              <a16:creationId xmlns:a16="http://schemas.microsoft.com/office/drawing/2014/main" id="{8C0B7126-BD1D-4DB1-996F-15C8E77399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51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</xdr:row>
      <xdr:rowOff>0</xdr:rowOff>
    </xdr:from>
    <xdr:to>
      <xdr:col>0</xdr:col>
      <xdr:colOff>171450</xdr:colOff>
      <xdr:row>146</xdr:row>
      <xdr:rowOff>133350</xdr:rowOff>
    </xdr:to>
    <xdr:pic>
      <xdr:nvPicPr>
        <xdr:cNvPr id="485" name="Picture@5C\QPendientes@" descr="@5C\QPendientes@">
          <a:extLst>
            <a:ext uri="{FF2B5EF4-FFF2-40B4-BE49-F238E27FC236}">
              <a16:creationId xmlns:a16="http://schemas.microsoft.com/office/drawing/2014/main" id="{035FDB6E-1929-486D-8D81-5C226111C7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70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</xdr:row>
      <xdr:rowOff>0</xdr:rowOff>
    </xdr:from>
    <xdr:to>
      <xdr:col>0</xdr:col>
      <xdr:colOff>171450</xdr:colOff>
      <xdr:row>147</xdr:row>
      <xdr:rowOff>133350</xdr:rowOff>
    </xdr:to>
    <xdr:pic>
      <xdr:nvPicPr>
        <xdr:cNvPr id="486" name="Picture@5C\QPendientes@" descr="@5C\QPendientes@">
          <a:extLst>
            <a:ext uri="{FF2B5EF4-FFF2-40B4-BE49-F238E27FC236}">
              <a16:creationId xmlns:a16="http://schemas.microsoft.com/office/drawing/2014/main" id="{00327573-CCD2-4D50-83CF-B1FB14C92A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88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</xdr:row>
      <xdr:rowOff>0</xdr:rowOff>
    </xdr:from>
    <xdr:to>
      <xdr:col>0</xdr:col>
      <xdr:colOff>171450</xdr:colOff>
      <xdr:row>148</xdr:row>
      <xdr:rowOff>133350</xdr:rowOff>
    </xdr:to>
    <xdr:pic>
      <xdr:nvPicPr>
        <xdr:cNvPr id="487" name="Picture@5C\QPendientes@" descr="@5C\QPendientes@">
          <a:extLst>
            <a:ext uri="{FF2B5EF4-FFF2-40B4-BE49-F238E27FC236}">
              <a16:creationId xmlns:a16="http://schemas.microsoft.com/office/drawing/2014/main" id="{E82DBD33-B535-4D6F-ACEC-C06940A1A1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06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</xdr:row>
      <xdr:rowOff>0</xdr:rowOff>
    </xdr:from>
    <xdr:to>
      <xdr:col>0</xdr:col>
      <xdr:colOff>171450</xdr:colOff>
      <xdr:row>149</xdr:row>
      <xdr:rowOff>133350</xdr:rowOff>
    </xdr:to>
    <xdr:pic>
      <xdr:nvPicPr>
        <xdr:cNvPr id="488" name="Picture@5C\QPendientes@" descr="@5C\QPendientes@">
          <a:extLst>
            <a:ext uri="{FF2B5EF4-FFF2-40B4-BE49-F238E27FC236}">
              <a16:creationId xmlns:a16="http://schemas.microsoft.com/office/drawing/2014/main" id="{FAD7604E-1536-4536-A6CB-EBEDA69CF8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24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</xdr:row>
      <xdr:rowOff>0</xdr:rowOff>
    </xdr:from>
    <xdr:to>
      <xdr:col>0</xdr:col>
      <xdr:colOff>171450</xdr:colOff>
      <xdr:row>150</xdr:row>
      <xdr:rowOff>133350</xdr:rowOff>
    </xdr:to>
    <xdr:pic>
      <xdr:nvPicPr>
        <xdr:cNvPr id="489" name="Picture@5C\QPendientes@" descr="@5C\QPendientes@">
          <a:extLst>
            <a:ext uri="{FF2B5EF4-FFF2-40B4-BE49-F238E27FC236}">
              <a16:creationId xmlns:a16="http://schemas.microsoft.com/office/drawing/2014/main" id="{27272560-18BD-451A-98D7-251B9491B3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43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</xdr:row>
      <xdr:rowOff>0</xdr:rowOff>
    </xdr:from>
    <xdr:to>
      <xdr:col>0</xdr:col>
      <xdr:colOff>171450</xdr:colOff>
      <xdr:row>151</xdr:row>
      <xdr:rowOff>133350</xdr:rowOff>
    </xdr:to>
    <xdr:pic>
      <xdr:nvPicPr>
        <xdr:cNvPr id="490" name="Picture@5C\QPendientes@" descr="@5C\QPendientes@">
          <a:extLst>
            <a:ext uri="{FF2B5EF4-FFF2-40B4-BE49-F238E27FC236}">
              <a16:creationId xmlns:a16="http://schemas.microsoft.com/office/drawing/2014/main" id="{1506422F-E505-4E3F-963B-EBD20EB61B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61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</xdr:row>
      <xdr:rowOff>0</xdr:rowOff>
    </xdr:from>
    <xdr:to>
      <xdr:col>0</xdr:col>
      <xdr:colOff>171450</xdr:colOff>
      <xdr:row>152</xdr:row>
      <xdr:rowOff>133350</xdr:rowOff>
    </xdr:to>
    <xdr:pic>
      <xdr:nvPicPr>
        <xdr:cNvPr id="491" name="Picture@5C\QPendientes@" descr="@5C\QPendientes@">
          <a:extLst>
            <a:ext uri="{FF2B5EF4-FFF2-40B4-BE49-F238E27FC236}">
              <a16:creationId xmlns:a16="http://schemas.microsoft.com/office/drawing/2014/main" id="{8805603A-6F36-402D-A3A2-0287B1870E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79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</xdr:row>
      <xdr:rowOff>0</xdr:rowOff>
    </xdr:from>
    <xdr:to>
      <xdr:col>0</xdr:col>
      <xdr:colOff>171450</xdr:colOff>
      <xdr:row>153</xdr:row>
      <xdr:rowOff>133350</xdr:rowOff>
    </xdr:to>
    <xdr:pic>
      <xdr:nvPicPr>
        <xdr:cNvPr id="492" name="Picture@5C\QPendientes@" descr="@5C\QPendientes@">
          <a:extLst>
            <a:ext uri="{FF2B5EF4-FFF2-40B4-BE49-F238E27FC236}">
              <a16:creationId xmlns:a16="http://schemas.microsoft.com/office/drawing/2014/main" id="{CA03E1EB-5DB6-4C2F-A89B-4C68FAD824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98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</xdr:row>
      <xdr:rowOff>0</xdr:rowOff>
    </xdr:from>
    <xdr:to>
      <xdr:col>0</xdr:col>
      <xdr:colOff>171450</xdr:colOff>
      <xdr:row>154</xdr:row>
      <xdr:rowOff>133350</xdr:rowOff>
    </xdr:to>
    <xdr:pic>
      <xdr:nvPicPr>
        <xdr:cNvPr id="493" name="Picture@5C\QPendientes@" descr="@5C\QPendientes@">
          <a:extLst>
            <a:ext uri="{FF2B5EF4-FFF2-40B4-BE49-F238E27FC236}">
              <a16:creationId xmlns:a16="http://schemas.microsoft.com/office/drawing/2014/main" id="{583C04B5-EC75-4BFE-AFE6-D1EF806A65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16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</xdr:row>
      <xdr:rowOff>0</xdr:rowOff>
    </xdr:from>
    <xdr:to>
      <xdr:col>0</xdr:col>
      <xdr:colOff>171450</xdr:colOff>
      <xdr:row>155</xdr:row>
      <xdr:rowOff>133350</xdr:rowOff>
    </xdr:to>
    <xdr:pic>
      <xdr:nvPicPr>
        <xdr:cNvPr id="494" name="Picture@5C\QPendientes@" descr="@5C\QPendientes@">
          <a:extLst>
            <a:ext uri="{FF2B5EF4-FFF2-40B4-BE49-F238E27FC236}">
              <a16:creationId xmlns:a16="http://schemas.microsoft.com/office/drawing/2014/main" id="{C137781B-52FC-475F-A56D-F4D850F7E8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34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</xdr:row>
      <xdr:rowOff>0</xdr:rowOff>
    </xdr:from>
    <xdr:to>
      <xdr:col>0</xdr:col>
      <xdr:colOff>171450</xdr:colOff>
      <xdr:row>156</xdr:row>
      <xdr:rowOff>133350</xdr:rowOff>
    </xdr:to>
    <xdr:pic>
      <xdr:nvPicPr>
        <xdr:cNvPr id="495" name="Picture@5C\QPendientes@" descr="@5C\QPendientes@">
          <a:extLst>
            <a:ext uri="{FF2B5EF4-FFF2-40B4-BE49-F238E27FC236}">
              <a16:creationId xmlns:a16="http://schemas.microsoft.com/office/drawing/2014/main" id="{15ED5D33-DC51-4745-A25F-EFBC4F7E5E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52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</xdr:row>
      <xdr:rowOff>0</xdr:rowOff>
    </xdr:from>
    <xdr:to>
      <xdr:col>0</xdr:col>
      <xdr:colOff>171450</xdr:colOff>
      <xdr:row>157</xdr:row>
      <xdr:rowOff>133350</xdr:rowOff>
    </xdr:to>
    <xdr:pic>
      <xdr:nvPicPr>
        <xdr:cNvPr id="496" name="Picture@5C\QPendientes@" descr="@5C\QPendientes@">
          <a:extLst>
            <a:ext uri="{FF2B5EF4-FFF2-40B4-BE49-F238E27FC236}">
              <a16:creationId xmlns:a16="http://schemas.microsoft.com/office/drawing/2014/main" id="{1D076369-E72E-4ACA-9E7B-975EC96EBE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71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</xdr:row>
      <xdr:rowOff>0</xdr:rowOff>
    </xdr:from>
    <xdr:to>
      <xdr:col>0</xdr:col>
      <xdr:colOff>171450</xdr:colOff>
      <xdr:row>158</xdr:row>
      <xdr:rowOff>133350</xdr:rowOff>
    </xdr:to>
    <xdr:pic>
      <xdr:nvPicPr>
        <xdr:cNvPr id="497" name="Picture@5C\QPendientes@" descr="@5C\QPendientes@">
          <a:extLst>
            <a:ext uri="{FF2B5EF4-FFF2-40B4-BE49-F238E27FC236}">
              <a16:creationId xmlns:a16="http://schemas.microsoft.com/office/drawing/2014/main" id="{E5F4E5A3-D7DF-417D-885B-4397D1CA3D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89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</xdr:row>
      <xdr:rowOff>0</xdr:rowOff>
    </xdr:from>
    <xdr:to>
      <xdr:col>0</xdr:col>
      <xdr:colOff>171450</xdr:colOff>
      <xdr:row>159</xdr:row>
      <xdr:rowOff>133350</xdr:rowOff>
    </xdr:to>
    <xdr:pic>
      <xdr:nvPicPr>
        <xdr:cNvPr id="498" name="Picture@5C\QPendientes@" descr="@5C\QPendientes@">
          <a:extLst>
            <a:ext uri="{FF2B5EF4-FFF2-40B4-BE49-F238E27FC236}">
              <a16:creationId xmlns:a16="http://schemas.microsoft.com/office/drawing/2014/main" id="{01D9F830-83F9-4AA9-BCAB-98A81222B9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07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</xdr:row>
      <xdr:rowOff>0</xdr:rowOff>
    </xdr:from>
    <xdr:to>
      <xdr:col>0</xdr:col>
      <xdr:colOff>171450</xdr:colOff>
      <xdr:row>160</xdr:row>
      <xdr:rowOff>133350</xdr:rowOff>
    </xdr:to>
    <xdr:pic>
      <xdr:nvPicPr>
        <xdr:cNvPr id="499" name="Picture@5C\QPendientes@" descr="@5C\QPendientes@">
          <a:extLst>
            <a:ext uri="{FF2B5EF4-FFF2-40B4-BE49-F238E27FC236}">
              <a16:creationId xmlns:a16="http://schemas.microsoft.com/office/drawing/2014/main" id="{0489D939-B97F-4DC4-9CDC-606615C022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26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</xdr:row>
      <xdr:rowOff>0</xdr:rowOff>
    </xdr:from>
    <xdr:to>
      <xdr:col>0</xdr:col>
      <xdr:colOff>171450</xdr:colOff>
      <xdr:row>161</xdr:row>
      <xdr:rowOff>133350</xdr:rowOff>
    </xdr:to>
    <xdr:pic>
      <xdr:nvPicPr>
        <xdr:cNvPr id="500" name="Picture@5C\QPendientes@" descr="@5C\QPendientes@">
          <a:extLst>
            <a:ext uri="{FF2B5EF4-FFF2-40B4-BE49-F238E27FC236}">
              <a16:creationId xmlns:a16="http://schemas.microsoft.com/office/drawing/2014/main" id="{95DBC2DC-C05F-4A7E-84E9-1801330044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44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</xdr:row>
      <xdr:rowOff>0</xdr:rowOff>
    </xdr:from>
    <xdr:to>
      <xdr:col>0</xdr:col>
      <xdr:colOff>171450</xdr:colOff>
      <xdr:row>162</xdr:row>
      <xdr:rowOff>133350</xdr:rowOff>
    </xdr:to>
    <xdr:pic>
      <xdr:nvPicPr>
        <xdr:cNvPr id="501" name="Picture@5C\QPendientes@" descr="@5C\QPendientes@">
          <a:extLst>
            <a:ext uri="{FF2B5EF4-FFF2-40B4-BE49-F238E27FC236}">
              <a16:creationId xmlns:a16="http://schemas.microsoft.com/office/drawing/2014/main" id="{285C6E56-EF76-41E2-B04E-937A33DC66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62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</xdr:row>
      <xdr:rowOff>0</xdr:rowOff>
    </xdr:from>
    <xdr:to>
      <xdr:col>0</xdr:col>
      <xdr:colOff>171450</xdr:colOff>
      <xdr:row>163</xdr:row>
      <xdr:rowOff>133350</xdr:rowOff>
    </xdr:to>
    <xdr:pic>
      <xdr:nvPicPr>
        <xdr:cNvPr id="502" name="Picture@5C\QPendientes@" descr="@5C\QPendientes@">
          <a:extLst>
            <a:ext uri="{FF2B5EF4-FFF2-40B4-BE49-F238E27FC236}">
              <a16:creationId xmlns:a16="http://schemas.microsoft.com/office/drawing/2014/main" id="{CA2247CE-1D9C-4296-8A17-2172420A04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80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</xdr:row>
      <xdr:rowOff>0</xdr:rowOff>
    </xdr:from>
    <xdr:to>
      <xdr:col>0</xdr:col>
      <xdr:colOff>171450</xdr:colOff>
      <xdr:row>164</xdr:row>
      <xdr:rowOff>133350</xdr:rowOff>
    </xdr:to>
    <xdr:pic>
      <xdr:nvPicPr>
        <xdr:cNvPr id="503" name="Picture@5C\QPendientes@" descr="@5C\QPendientes@">
          <a:extLst>
            <a:ext uri="{FF2B5EF4-FFF2-40B4-BE49-F238E27FC236}">
              <a16:creationId xmlns:a16="http://schemas.microsoft.com/office/drawing/2014/main" id="{5F175E4E-C85F-46D8-BC40-97F162E7B7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99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</xdr:row>
      <xdr:rowOff>0</xdr:rowOff>
    </xdr:from>
    <xdr:to>
      <xdr:col>0</xdr:col>
      <xdr:colOff>171450</xdr:colOff>
      <xdr:row>165</xdr:row>
      <xdr:rowOff>133350</xdr:rowOff>
    </xdr:to>
    <xdr:pic>
      <xdr:nvPicPr>
        <xdr:cNvPr id="504" name="Picture@5C\QPendientes@" descr="@5C\QPendientes@">
          <a:extLst>
            <a:ext uri="{FF2B5EF4-FFF2-40B4-BE49-F238E27FC236}">
              <a16:creationId xmlns:a16="http://schemas.microsoft.com/office/drawing/2014/main" id="{CEDD68EE-3183-44FF-907B-C0659D5CC6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17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</xdr:row>
      <xdr:rowOff>0</xdr:rowOff>
    </xdr:from>
    <xdr:to>
      <xdr:col>0</xdr:col>
      <xdr:colOff>171450</xdr:colOff>
      <xdr:row>166</xdr:row>
      <xdr:rowOff>133350</xdr:rowOff>
    </xdr:to>
    <xdr:pic>
      <xdr:nvPicPr>
        <xdr:cNvPr id="505" name="Picture@5C\QPendientes@" descr="@5C\QPendientes@">
          <a:extLst>
            <a:ext uri="{FF2B5EF4-FFF2-40B4-BE49-F238E27FC236}">
              <a16:creationId xmlns:a16="http://schemas.microsoft.com/office/drawing/2014/main" id="{AB746114-AA86-4F33-B7D8-B5F012F1B9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35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</xdr:row>
      <xdr:rowOff>0</xdr:rowOff>
    </xdr:from>
    <xdr:to>
      <xdr:col>0</xdr:col>
      <xdr:colOff>171450</xdr:colOff>
      <xdr:row>167</xdr:row>
      <xdr:rowOff>133350</xdr:rowOff>
    </xdr:to>
    <xdr:pic>
      <xdr:nvPicPr>
        <xdr:cNvPr id="506" name="Picture@5C\QPendientes@" descr="@5C\QPendientes@">
          <a:extLst>
            <a:ext uri="{FF2B5EF4-FFF2-40B4-BE49-F238E27FC236}">
              <a16:creationId xmlns:a16="http://schemas.microsoft.com/office/drawing/2014/main" id="{3DDBA1B3-20DD-4407-8E73-D80413D069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54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</xdr:row>
      <xdr:rowOff>0</xdr:rowOff>
    </xdr:from>
    <xdr:to>
      <xdr:col>0</xdr:col>
      <xdr:colOff>171450</xdr:colOff>
      <xdr:row>168</xdr:row>
      <xdr:rowOff>133350</xdr:rowOff>
    </xdr:to>
    <xdr:pic>
      <xdr:nvPicPr>
        <xdr:cNvPr id="507" name="Picture@5C\QPendientes@" descr="@5C\QPendientes@">
          <a:extLst>
            <a:ext uri="{FF2B5EF4-FFF2-40B4-BE49-F238E27FC236}">
              <a16:creationId xmlns:a16="http://schemas.microsoft.com/office/drawing/2014/main" id="{4DC0B8DF-6338-4AAC-AC63-8AFBCF80D6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72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</xdr:row>
      <xdr:rowOff>0</xdr:rowOff>
    </xdr:from>
    <xdr:to>
      <xdr:col>0</xdr:col>
      <xdr:colOff>171450</xdr:colOff>
      <xdr:row>169</xdr:row>
      <xdr:rowOff>133350</xdr:rowOff>
    </xdr:to>
    <xdr:pic>
      <xdr:nvPicPr>
        <xdr:cNvPr id="508" name="Picture@5C\QPendientes@" descr="@5C\QPendientes@">
          <a:extLst>
            <a:ext uri="{FF2B5EF4-FFF2-40B4-BE49-F238E27FC236}">
              <a16:creationId xmlns:a16="http://schemas.microsoft.com/office/drawing/2014/main" id="{58B36124-0B48-4D10-833B-0C04332B7B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90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</xdr:row>
      <xdr:rowOff>0</xdr:rowOff>
    </xdr:from>
    <xdr:to>
      <xdr:col>0</xdr:col>
      <xdr:colOff>171450</xdr:colOff>
      <xdr:row>170</xdr:row>
      <xdr:rowOff>133350</xdr:rowOff>
    </xdr:to>
    <xdr:pic>
      <xdr:nvPicPr>
        <xdr:cNvPr id="509" name="Picture@5C\QPendientes@" descr="@5C\QPendientes@">
          <a:extLst>
            <a:ext uri="{FF2B5EF4-FFF2-40B4-BE49-F238E27FC236}">
              <a16:creationId xmlns:a16="http://schemas.microsoft.com/office/drawing/2014/main" id="{141684FA-675A-4F04-9E81-57DF6034B0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08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</xdr:row>
      <xdr:rowOff>0</xdr:rowOff>
    </xdr:from>
    <xdr:to>
      <xdr:col>0</xdr:col>
      <xdr:colOff>171450</xdr:colOff>
      <xdr:row>171</xdr:row>
      <xdr:rowOff>133350</xdr:rowOff>
    </xdr:to>
    <xdr:pic>
      <xdr:nvPicPr>
        <xdr:cNvPr id="510" name="Picture@5C\QPendientes@" descr="@5C\QPendientes@">
          <a:extLst>
            <a:ext uri="{FF2B5EF4-FFF2-40B4-BE49-F238E27FC236}">
              <a16:creationId xmlns:a16="http://schemas.microsoft.com/office/drawing/2014/main" id="{63548D37-1320-4F14-875D-80824C9EE4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27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</xdr:row>
      <xdr:rowOff>0</xdr:rowOff>
    </xdr:from>
    <xdr:to>
      <xdr:col>0</xdr:col>
      <xdr:colOff>171450</xdr:colOff>
      <xdr:row>172</xdr:row>
      <xdr:rowOff>133350</xdr:rowOff>
    </xdr:to>
    <xdr:pic>
      <xdr:nvPicPr>
        <xdr:cNvPr id="511" name="Picture@5C\QPendientes@" descr="@5C\QPendientes@">
          <a:extLst>
            <a:ext uri="{FF2B5EF4-FFF2-40B4-BE49-F238E27FC236}">
              <a16:creationId xmlns:a16="http://schemas.microsoft.com/office/drawing/2014/main" id="{72D70FD1-4917-4A2A-87C0-BD6894F1A8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45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</xdr:row>
      <xdr:rowOff>0</xdr:rowOff>
    </xdr:from>
    <xdr:to>
      <xdr:col>0</xdr:col>
      <xdr:colOff>171450</xdr:colOff>
      <xdr:row>173</xdr:row>
      <xdr:rowOff>133350</xdr:rowOff>
    </xdr:to>
    <xdr:pic>
      <xdr:nvPicPr>
        <xdr:cNvPr id="512" name="Picture@5C\QPendientes@" descr="@5C\QPendientes@">
          <a:extLst>
            <a:ext uri="{FF2B5EF4-FFF2-40B4-BE49-F238E27FC236}">
              <a16:creationId xmlns:a16="http://schemas.microsoft.com/office/drawing/2014/main" id="{D4625DD9-42EA-4BC6-8D4E-2D08F3F6B4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63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</xdr:row>
      <xdr:rowOff>0</xdr:rowOff>
    </xdr:from>
    <xdr:to>
      <xdr:col>0</xdr:col>
      <xdr:colOff>171450</xdr:colOff>
      <xdr:row>174</xdr:row>
      <xdr:rowOff>133350</xdr:rowOff>
    </xdr:to>
    <xdr:pic>
      <xdr:nvPicPr>
        <xdr:cNvPr id="513" name="Picture@5C\QPendientes@" descr="@5C\QPendientes@">
          <a:extLst>
            <a:ext uri="{FF2B5EF4-FFF2-40B4-BE49-F238E27FC236}">
              <a16:creationId xmlns:a16="http://schemas.microsoft.com/office/drawing/2014/main" id="{19A303FA-5023-42B9-836A-7048C902CD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82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</xdr:row>
      <xdr:rowOff>0</xdr:rowOff>
    </xdr:from>
    <xdr:to>
      <xdr:col>0</xdr:col>
      <xdr:colOff>171450</xdr:colOff>
      <xdr:row>175</xdr:row>
      <xdr:rowOff>133350</xdr:rowOff>
    </xdr:to>
    <xdr:pic>
      <xdr:nvPicPr>
        <xdr:cNvPr id="514" name="Picture@5C\QPendientes@" descr="@5C\QPendientes@">
          <a:extLst>
            <a:ext uri="{FF2B5EF4-FFF2-40B4-BE49-F238E27FC236}">
              <a16:creationId xmlns:a16="http://schemas.microsoft.com/office/drawing/2014/main" id="{A94642B8-1627-4E1C-9A28-9822D2D9ED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00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</xdr:row>
      <xdr:rowOff>0</xdr:rowOff>
    </xdr:from>
    <xdr:to>
      <xdr:col>0</xdr:col>
      <xdr:colOff>171450</xdr:colOff>
      <xdr:row>176</xdr:row>
      <xdr:rowOff>133350</xdr:rowOff>
    </xdr:to>
    <xdr:pic>
      <xdr:nvPicPr>
        <xdr:cNvPr id="515" name="Picture@5C\QPendientes@" descr="@5C\QPendientes@">
          <a:extLst>
            <a:ext uri="{FF2B5EF4-FFF2-40B4-BE49-F238E27FC236}">
              <a16:creationId xmlns:a16="http://schemas.microsoft.com/office/drawing/2014/main" id="{04A985F2-714A-4823-B388-7A0956B5E3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18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</xdr:row>
      <xdr:rowOff>0</xdr:rowOff>
    </xdr:from>
    <xdr:to>
      <xdr:col>0</xdr:col>
      <xdr:colOff>171450</xdr:colOff>
      <xdr:row>177</xdr:row>
      <xdr:rowOff>133350</xdr:rowOff>
    </xdr:to>
    <xdr:pic>
      <xdr:nvPicPr>
        <xdr:cNvPr id="516" name="Picture@5C\QPendientes@" descr="@5C\QPendientes@">
          <a:extLst>
            <a:ext uri="{FF2B5EF4-FFF2-40B4-BE49-F238E27FC236}">
              <a16:creationId xmlns:a16="http://schemas.microsoft.com/office/drawing/2014/main" id="{8BE9925F-1745-40EA-B71B-4B026A6D47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36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</xdr:row>
      <xdr:rowOff>0</xdr:rowOff>
    </xdr:from>
    <xdr:to>
      <xdr:col>0</xdr:col>
      <xdr:colOff>171450</xdr:colOff>
      <xdr:row>178</xdr:row>
      <xdr:rowOff>133350</xdr:rowOff>
    </xdr:to>
    <xdr:pic>
      <xdr:nvPicPr>
        <xdr:cNvPr id="517" name="Picture@5C\QPendientes@" descr="@5C\QPendientes@">
          <a:extLst>
            <a:ext uri="{FF2B5EF4-FFF2-40B4-BE49-F238E27FC236}">
              <a16:creationId xmlns:a16="http://schemas.microsoft.com/office/drawing/2014/main" id="{3E35CE26-9879-4E75-B7D2-A74AEF8D5C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55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</xdr:row>
      <xdr:rowOff>0</xdr:rowOff>
    </xdr:from>
    <xdr:to>
      <xdr:col>0</xdr:col>
      <xdr:colOff>171450</xdr:colOff>
      <xdr:row>179</xdr:row>
      <xdr:rowOff>133350</xdr:rowOff>
    </xdr:to>
    <xdr:pic>
      <xdr:nvPicPr>
        <xdr:cNvPr id="518" name="Picture@5C\QPendientes@" descr="@5C\QPendientes@">
          <a:extLst>
            <a:ext uri="{FF2B5EF4-FFF2-40B4-BE49-F238E27FC236}">
              <a16:creationId xmlns:a16="http://schemas.microsoft.com/office/drawing/2014/main" id="{AEDA7BC3-F2FF-40DC-8C10-874CB47856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73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</xdr:row>
      <xdr:rowOff>0</xdr:rowOff>
    </xdr:from>
    <xdr:to>
      <xdr:col>0</xdr:col>
      <xdr:colOff>171450</xdr:colOff>
      <xdr:row>180</xdr:row>
      <xdr:rowOff>133350</xdr:rowOff>
    </xdr:to>
    <xdr:pic>
      <xdr:nvPicPr>
        <xdr:cNvPr id="519" name="Picture@5C\QPendientes@" descr="@5C\QPendientes@">
          <a:extLst>
            <a:ext uri="{FF2B5EF4-FFF2-40B4-BE49-F238E27FC236}">
              <a16:creationId xmlns:a16="http://schemas.microsoft.com/office/drawing/2014/main" id="{E7E5AD0D-9546-43C4-B533-E5B61FCBAA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91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</xdr:row>
      <xdr:rowOff>0</xdr:rowOff>
    </xdr:from>
    <xdr:to>
      <xdr:col>0</xdr:col>
      <xdr:colOff>171450</xdr:colOff>
      <xdr:row>181</xdr:row>
      <xdr:rowOff>133350</xdr:rowOff>
    </xdr:to>
    <xdr:pic>
      <xdr:nvPicPr>
        <xdr:cNvPr id="520" name="Picture@5C\QPendientes@" descr="@5C\QPendientes@">
          <a:extLst>
            <a:ext uri="{FF2B5EF4-FFF2-40B4-BE49-F238E27FC236}">
              <a16:creationId xmlns:a16="http://schemas.microsoft.com/office/drawing/2014/main" id="{64048857-70F0-4310-B7D4-1D6F5BC30D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10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</xdr:row>
      <xdr:rowOff>0</xdr:rowOff>
    </xdr:from>
    <xdr:to>
      <xdr:col>0</xdr:col>
      <xdr:colOff>171450</xdr:colOff>
      <xdr:row>182</xdr:row>
      <xdr:rowOff>133350</xdr:rowOff>
    </xdr:to>
    <xdr:pic>
      <xdr:nvPicPr>
        <xdr:cNvPr id="521" name="Picture@5C\QPendientes@" descr="@5C\QPendientes@">
          <a:extLst>
            <a:ext uri="{FF2B5EF4-FFF2-40B4-BE49-F238E27FC236}">
              <a16:creationId xmlns:a16="http://schemas.microsoft.com/office/drawing/2014/main" id="{9B7658F9-62DB-477F-B06B-6D45461B0C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28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</xdr:row>
      <xdr:rowOff>0</xdr:rowOff>
    </xdr:from>
    <xdr:to>
      <xdr:col>0</xdr:col>
      <xdr:colOff>171450</xdr:colOff>
      <xdr:row>183</xdr:row>
      <xdr:rowOff>133350</xdr:rowOff>
    </xdr:to>
    <xdr:pic>
      <xdr:nvPicPr>
        <xdr:cNvPr id="522" name="Picture@5C\QPendientes@" descr="@5C\QPendientes@">
          <a:extLst>
            <a:ext uri="{FF2B5EF4-FFF2-40B4-BE49-F238E27FC236}">
              <a16:creationId xmlns:a16="http://schemas.microsoft.com/office/drawing/2014/main" id="{52883B0B-53B7-4AC6-9614-11CDF3245A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46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</xdr:row>
      <xdr:rowOff>0</xdr:rowOff>
    </xdr:from>
    <xdr:to>
      <xdr:col>0</xdr:col>
      <xdr:colOff>171450</xdr:colOff>
      <xdr:row>184</xdr:row>
      <xdr:rowOff>133350</xdr:rowOff>
    </xdr:to>
    <xdr:pic>
      <xdr:nvPicPr>
        <xdr:cNvPr id="523" name="Picture@5C\QPendientes@" descr="@5C\QPendientes@">
          <a:extLst>
            <a:ext uri="{FF2B5EF4-FFF2-40B4-BE49-F238E27FC236}">
              <a16:creationId xmlns:a16="http://schemas.microsoft.com/office/drawing/2014/main" id="{798314E4-E533-4AE0-9D24-CF87C0404B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64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</xdr:row>
      <xdr:rowOff>0</xdr:rowOff>
    </xdr:from>
    <xdr:to>
      <xdr:col>0</xdr:col>
      <xdr:colOff>171450</xdr:colOff>
      <xdr:row>185</xdr:row>
      <xdr:rowOff>133350</xdr:rowOff>
    </xdr:to>
    <xdr:pic>
      <xdr:nvPicPr>
        <xdr:cNvPr id="524" name="Picture@5C\QPendientes@" descr="@5C\QPendientes@">
          <a:extLst>
            <a:ext uri="{FF2B5EF4-FFF2-40B4-BE49-F238E27FC236}">
              <a16:creationId xmlns:a16="http://schemas.microsoft.com/office/drawing/2014/main" id="{E0749F23-E5A6-40DE-89F8-B666A898B6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83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</xdr:row>
      <xdr:rowOff>0</xdr:rowOff>
    </xdr:from>
    <xdr:to>
      <xdr:col>0</xdr:col>
      <xdr:colOff>171450</xdr:colOff>
      <xdr:row>186</xdr:row>
      <xdr:rowOff>133350</xdr:rowOff>
    </xdr:to>
    <xdr:pic>
      <xdr:nvPicPr>
        <xdr:cNvPr id="525" name="Picture@5C\QPendientes@" descr="@5C\QPendientes@">
          <a:extLst>
            <a:ext uri="{FF2B5EF4-FFF2-40B4-BE49-F238E27FC236}">
              <a16:creationId xmlns:a16="http://schemas.microsoft.com/office/drawing/2014/main" id="{35889962-3657-427D-A2FE-4C430E3849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01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</xdr:row>
      <xdr:rowOff>0</xdr:rowOff>
    </xdr:from>
    <xdr:to>
      <xdr:col>0</xdr:col>
      <xdr:colOff>171450</xdr:colOff>
      <xdr:row>187</xdr:row>
      <xdr:rowOff>133350</xdr:rowOff>
    </xdr:to>
    <xdr:pic>
      <xdr:nvPicPr>
        <xdr:cNvPr id="526" name="Picture@5C\QPendientes@" descr="@5C\QPendientes@">
          <a:extLst>
            <a:ext uri="{FF2B5EF4-FFF2-40B4-BE49-F238E27FC236}">
              <a16:creationId xmlns:a16="http://schemas.microsoft.com/office/drawing/2014/main" id="{7F290FE3-7F10-4AF8-9232-404C1B76A1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19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</xdr:row>
      <xdr:rowOff>0</xdr:rowOff>
    </xdr:from>
    <xdr:to>
      <xdr:col>0</xdr:col>
      <xdr:colOff>171450</xdr:colOff>
      <xdr:row>188</xdr:row>
      <xdr:rowOff>133350</xdr:rowOff>
    </xdr:to>
    <xdr:pic>
      <xdr:nvPicPr>
        <xdr:cNvPr id="527" name="Picture@5C\QPendientes@" descr="@5C\QPendientes@">
          <a:extLst>
            <a:ext uri="{FF2B5EF4-FFF2-40B4-BE49-F238E27FC236}">
              <a16:creationId xmlns:a16="http://schemas.microsoft.com/office/drawing/2014/main" id="{223D39E2-E887-4F6C-B1AC-B80986BEB1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38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</xdr:row>
      <xdr:rowOff>0</xdr:rowOff>
    </xdr:from>
    <xdr:to>
      <xdr:col>0</xdr:col>
      <xdr:colOff>171450</xdr:colOff>
      <xdr:row>189</xdr:row>
      <xdr:rowOff>133350</xdr:rowOff>
    </xdr:to>
    <xdr:pic>
      <xdr:nvPicPr>
        <xdr:cNvPr id="528" name="Picture@5C\QPendientes@" descr="@5C\QPendientes@">
          <a:extLst>
            <a:ext uri="{FF2B5EF4-FFF2-40B4-BE49-F238E27FC236}">
              <a16:creationId xmlns:a16="http://schemas.microsoft.com/office/drawing/2014/main" id="{6902B0A1-8DCD-4D3F-A6C6-2C9F7FBA56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56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</xdr:row>
      <xdr:rowOff>0</xdr:rowOff>
    </xdr:from>
    <xdr:to>
      <xdr:col>0</xdr:col>
      <xdr:colOff>171450</xdr:colOff>
      <xdr:row>190</xdr:row>
      <xdr:rowOff>133350</xdr:rowOff>
    </xdr:to>
    <xdr:pic>
      <xdr:nvPicPr>
        <xdr:cNvPr id="529" name="Picture@5C\QPendientes@" descr="@5C\QPendientes@">
          <a:extLst>
            <a:ext uri="{FF2B5EF4-FFF2-40B4-BE49-F238E27FC236}">
              <a16:creationId xmlns:a16="http://schemas.microsoft.com/office/drawing/2014/main" id="{8E515429-8910-4649-A29A-0C0E5B5FCB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74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</xdr:row>
      <xdr:rowOff>0</xdr:rowOff>
    </xdr:from>
    <xdr:to>
      <xdr:col>0</xdr:col>
      <xdr:colOff>171450</xdr:colOff>
      <xdr:row>191</xdr:row>
      <xdr:rowOff>133350</xdr:rowOff>
    </xdr:to>
    <xdr:pic>
      <xdr:nvPicPr>
        <xdr:cNvPr id="530" name="Picture@5C\QPendientes@" descr="@5C\QPendientes@">
          <a:extLst>
            <a:ext uri="{FF2B5EF4-FFF2-40B4-BE49-F238E27FC236}">
              <a16:creationId xmlns:a16="http://schemas.microsoft.com/office/drawing/2014/main" id="{548EFC42-8C20-4407-B635-0DD9B565C5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93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</xdr:row>
      <xdr:rowOff>0</xdr:rowOff>
    </xdr:from>
    <xdr:to>
      <xdr:col>0</xdr:col>
      <xdr:colOff>171450</xdr:colOff>
      <xdr:row>192</xdr:row>
      <xdr:rowOff>133350</xdr:rowOff>
    </xdr:to>
    <xdr:pic>
      <xdr:nvPicPr>
        <xdr:cNvPr id="531" name="Picture@5C\QPendientes@" descr="@5C\QPendientes@">
          <a:extLst>
            <a:ext uri="{FF2B5EF4-FFF2-40B4-BE49-F238E27FC236}">
              <a16:creationId xmlns:a16="http://schemas.microsoft.com/office/drawing/2014/main" id="{11E33080-D03E-4AC8-9E73-9493EA37C4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11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</xdr:row>
      <xdr:rowOff>0</xdr:rowOff>
    </xdr:from>
    <xdr:to>
      <xdr:col>0</xdr:col>
      <xdr:colOff>171450</xdr:colOff>
      <xdr:row>193</xdr:row>
      <xdr:rowOff>133350</xdr:rowOff>
    </xdr:to>
    <xdr:pic>
      <xdr:nvPicPr>
        <xdr:cNvPr id="532" name="Picture@5C\QPendientes@" descr="@5C\QPendientes@">
          <a:extLst>
            <a:ext uri="{FF2B5EF4-FFF2-40B4-BE49-F238E27FC236}">
              <a16:creationId xmlns:a16="http://schemas.microsoft.com/office/drawing/2014/main" id="{86E84D6B-4E15-42FF-A484-BA2C3559B0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29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</xdr:row>
      <xdr:rowOff>0</xdr:rowOff>
    </xdr:from>
    <xdr:to>
      <xdr:col>0</xdr:col>
      <xdr:colOff>171450</xdr:colOff>
      <xdr:row>194</xdr:row>
      <xdr:rowOff>133350</xdr:rowOff>
    </xdr:to>
    <xdr:pic>
      <xdr:nvPicPr>
        <xdr:cNvPr id="533" name="Picture@5C\QPendientes@" descr="@5C\QPendientes@">
          <a:extLst>
            <a:ext uri="{FF2B5EF4-FFF2-40B4-BE49-F238E27FC236}">
              <a16:creationId xmlns:a16="http://schemas.microsoft.com/office/drawing/2014/main" id="{0BFA1152-2361-47F7-881D-78D3BCEA8A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47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</xdr:row>
      <xdr:rowOff>0</xdr:rowOff>
    </xdr:from>
    <xdr:to>
      <xdr:col>0</xdr:col>
      <xdr:colOff>171450</xdr:colOff>
      <xdr:row>195</xdr:row>
      <xdr:rowOff>133350</xdr:rowOff>
    </xdr:to>
    <xdr:pic>
      <xdr:nvPicPr>
        <xdr:cNvPr id="534" name="Picture@5C\QPendientes@" descr="@5C\QPendientes@">
          <a:extLst>
            <a:ext uri="{FF2B5EF4-FFF2-40B4-BE49-F238E27FC236}">
              <a16:creationId xmlns:a16="http://schemas.microsoft.com/office/drawing/2014/main" id="{53E3AE13-A393-40F9-AE40-3608BD1559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66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</xdr:row>
      <xdr:rowOff>0</xdr:rowOff>
    </xdr:from>
    <xdr:to>
      <xdr:col>0</xdr:col>
      <xdr:colOff>171450</xdr:colOff>
      <xdr:row>196</xdr:row>
      <xdr:rowOff>133350</xdr:rowOff>
    </xdr:to>
    <xdr:pic>
      <xdr:nvPicPr>
        <xdr:cNvPr id="535" name="Picture@5C\QPendientes@" descr="@5C\QPendientes@">
          <a:extLst>
            <a:ext uri="{FF2B5EF4-FFF2-40B4-BE49-F238E27FC236}">
              <a16:creationId xmlns:a16="http://schemas.microsoft.com/office/drawing/2014/main" id="{8C064579-702A-486A-8BD3-0900204F96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84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</xdr:row>
      <xdr:rowOff>0</xdr:rowOff>
    </xdr:from>
    <xdr:to>
      <xdr:col>0</xdr:col>
      <xdr:colOff>171450</xdr:colOff>
      <xdr:row>197</xdr:row>
      <xdr:rowOff>133350</xdr:rowOff>
    </xdr:to>
    <xdr:pic>
      <xdr:nvPicPr>
        <xdr:cNvPr id="536" name="Picture@5C\QPendientes@" descr="@5C\QPendientes@">
          <a:extLst>
            <a:ext uri="{FF2B5EF4-FFF2-40B4-BE49-F238E27FC236}">
              <a16:creationId xmlns:a16="http://schemas.microsoft.com/office/drawing/2014/main" id="{36787E80-BC6E-43D8-8177-0C7DB9C840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02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</xdr:row>
      <xdr:rowOff>0</xdr:rowOff>
    </xdr:from>
    <xdr:to>
      <xdr:col>0</xdr:col>
      <xdr:colOff>171450</xdr:colOff>
      <xdr:row>198</xdr:row>
      <xdr:rowOff>133350</xdr:rowOff>
    </xdr:to>
    <xdr:pic>
      <xdr:nvPicPr>
        <xdr:cNvPr id="537" name="Picture@5C\QPendientes@" descr="@5C\QPendientes@">
          <a:extLst>
            <a:ext uri="{FF2B5EF4-FFF2-40B4-BE49-F238E27FC236}">
              <a16:creationId xmlns:a16="http://schemas.microsoft.com/office/drawing/2014/main" id="{9A48541F-2203-4E0D-B95A-EE2A1D9962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21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</xdr:row>
      <xdr:rowOff>0</xdr:rowOff>
    </xdr:from>
    <xdr:to>
      <xdr:col>0</xdr:col>
      <xdr:colOff>171450</xdr:colOff>
      <xdr:row>199</xdr:row>
      <xdr:rowOff>133350</xdr:rowOff>
    </xdr:to>
    <xdr:pic>
      <xdr:nvPicPr>
        <xdr:cNvPr id="538" name="Picture@5C\QPendientes@" descr="@5C\QPendientes@">
          <a:extLst>
            <a:ext uri="{FF2B5EF4-FFF2-40B4-BE49-F238E27FC236}">
              <a16:creationId xmlns:a16="http://schemas.microsoft.com/office/drawing/2014/main" id="{7DA08D58-0B26-49AF-920E-B7E7D063C8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39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</xdr:row>
      <xdr:rowOff>0</xdr:rowOff>
    </xdr:from>
    <xdr:to>
      <xdr:col>0</xdr:col>
      <xdr:colOff>171450</xdr:colOff>
      <xdr:row>200</xdr:row>
      <xdr:rowOff>133350</xdr:rowOff>
    </xdr:to>
    <xdr:pic>
      <xdr:nvPicPr>
        <xdr:cNvPr id="539" name="Picture@5C\QPendientes@" descr="@5C\QPendientes@">
          <a:extLst>
            <a:ext uri="{FF2B5EF4-FFF2-40B4-BE49-F238E27FC236}">
              <a16:creationId xmlns:a16="http://schemas.microsoft.com/office/drawing/2014/main" id="{0C303ACE-DE1A-4CB0-9D62-14C42BF839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57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</xdr:row>
      <xdr:rowOff>0</xdr:rowOff>
    </xdr:from>
    <xdr:to>
      <xdr:col>0</xdr:col>
      <xdr:colOff>171450</xdr:colOff>
      <xdr:row>201</xdr:row>
      <xdr:rowOff>133350</xdr:rowOff>
    </xdr:to>
    <xdr:pic>
      <xdr:nvPicPr>
        <xdr:cNvPr id="540" name="Picture@5C\QPendientes@" descr="@5C\QPendientes@">
          <a:extLst>
            <a:ext uri="{FF2B5EF4-FFF2-40B4-BE49-F238E27FC236}">
              <a16:creationId xmlns:a16="http://schemas.microsoft.com/office/drawing/2014/main" id="{B1231CFB-5877-4BD2-A1D4-B79318E247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75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</xdr:row>
      <xdr:rowOff>0</xdr:rowOff>
    </xdr:from>
    <xdr:to>
      <xdr:col>0</xdr:col>
      <xdr:colOff>171450</xdr:colOff>
      <xdr:row>202</xdr:row>
      <xdr:rowOff>133350</xdr:rowOff>
    </xdr:to>
    <xdr:pic>
      <xdr:nvPicPr>
        <xdr:cNvPr id="541" name="Picture@5C\QPendientes@" descr="@5C\QPendientes@">
          <a:extLst>
            <a:ext uri="{FF2B5EF4-FFF2-40B4-BE49-F238E27FC236}">
              <a16:creationId xmlns:a16="http://schemas.microsoft.com/office/drawing/2014/main" id="{3F464393-67B3-4677-A1B9-DF1ED2B2AE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94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</xdr:row>
      <xdr:rowOff>0</xdr:rowOff>
    </xdr:from>
    <xdr:to>
      <xdr:col>0</xdr:col>
      <xdr:colOff>171450</xdr:colOff>
      <xdr:row>203</xdr:row>
      <xdr:rowOff>133350</xdr:rowOff>
    </xdr:to>
    <xdr:pic>
      <xdr:nvPicPr>
        <xdr:cNvPr id="542" name="Picture@5C\QPendientes@" descr="@5C\QPendientes@">
          <a:extLst>
            <a:ext uri="{FF2B5EF4-FFF2-40B4-BE49-F238E27FC236}">
              <a16:creationId xmlns:a16="http://schemas.microsoft.com/office/drawing/2014/main" id="{FC26C7B6-6F26-4862-9FC1-6A6D0B9E8C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12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</xdr:row>
      <xdr:rowOff>0</xdr:rowOff>
    </xdr:from>
    <xdr:to>
      <xdr:col>0</xdr:col>
      <xdr:colOff>171450</xdr:colOff>
      <xdr:row>204</xdr:row>
      <xdr:rowOff>133350</xdr:rowOff>
    </xdr:to>
    <xdr:pic>
      <xdr:nvPicPr>
        <xdr:cNvPr id="543" name="Picture@5C\QPendientes@" descr="@5C\QPendientes@">
          <a:extLst>
            <a:ext uri="{FF2B5EF4-FFF2-40B4-BE49-F238E27FC236}">
              <a16:creationId xmlns:a16="http://schemas.microsoft.com/office/drawing/2014/main" id="{5D6FD3B6-0BD4-45B0-9A26-5C42B965E7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30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</xdr:row>
      <xdr:rowOff>0</xdr:rowOff>
    </xdr:from>
    <xdr:to>
      <xdr:col>0</xdr:col>
      <xdr:colOff>171450</xdr:colOff>
      <xdr:row>205</xdr:row>
      <xdr:rowOff>133350</xdr:rowOff>
    </xdr:to>
    <xdr:pic>
      <xdr:nvPicPr>
        <xdr:cNvPr id="544" name="Picture@5C\QPendientes@" descr="@5C\QPendientes@">
          <a:extLst>
            <a:ext uri="{FF2B5EF4-FFF2-40B4-BE49-F238E27FC236}">
              <a16:creationId xmlns:a16="http://schemas.microsoft.com/office/drawing/2014/main" id="{E028ECC0-8932-4232-938D-2DE6DEE552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49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</xdr:row>
      <xdr:rowOff>0</xdr:rowOff>
    </xdr:from>
    <xdr:to>
      <xdr:col>0</xdr:col>
      <xdr:colOff>171450</xdr:colOff>
      <xdr:row>206</xdr:row>
      <xdr:rowOff>133350</xdr:rowOff>
    </xdr:to>
    <xdr:pic>
      <xdr:nvPicPr>
        <xdr:cNvPr id="545" name="Picture@5C\QPendientes@" descr="@5C\QPendientes@">
          <a:extLst>
            <a:ext uri="{FF2B5EF4-FFF2-40B4-BE49-F238E27FC236}">
              <a16:creationId xmlns:a16="http://schemas.microsoft.com/office/drawing/2014/main" id="{D97ECACF-B46E-428C-BF36-723135ED2C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67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</xdr:row>
      <xdr:rowOff>0</xdr:rowOff>
    </xdr:from>
    <xdr:to>
      <xdr:col>0</xdr:col>
      <xdr:colOff>171450</xdr:colOff>
      <xdr:row>207</xdr:row>
      <xdr:rowOff>133350</xdr:rowOff>
    </xdr:to>
    <xdr:pic>
      <xdr:nvPicPr>
        <xdr:cNvPr id="546" name="Picture@5C\QPendientes@" descr="@5C\QPendientes@">
          <a:extLst>
            <a:ext uri="{FF2B5EF4-FFF2-40B4-BE49-F238E27FC236}">
              <a16:creationId xmlns:a16="http://schemas.microsoft.com/office/drawing/2014/main" id="{D57B1B97-F9FE-4C7D-BE5D-8796A0726A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85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</xdr:row>
      <xdr:rowOff>0</xdr:rowOff>
    </xdr:from>
    <xdr:to>
      <xdr:col>0</xdr:col>
      <xdr:colOff>171450</xdr:colOff>
      <xdr:row>208</xdr:row>
      <xdr:rowOff>133350</xdr:rowOff>
    </xdr:to>
    <xdr:pic>
      <xdr:nvPicPr>
        <xdr:cNvPr id="547" name="Picture@5C\QPendientes@" descr="@5C\QPendientes@">
          <a:extLst>
            <a:ext uri="{FF2B5EF4-FFF2-40B4-BE49-F238E27FC236}">
              <a16:creationId xmlns:a16="http://schemas.microsoft.com/office/drawing/2014/main" id="{8D3DF242-1E92-4199-A08F-56C99BF5BC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03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</xdr:row>
      <xdr:rowOff>0</xdr:rowOff>
    </xdr:from>
    <xdr:to>
      <xdr:col>0</xdr:col>
      <xdr:colOff>171450</xdr:colOff>
      <xdr:row>209</xdr:row>
      <xdr:rowOff>133350</xdr:rowOff>
    </xdr:to>
    <xdr:pic>
      <xdr:nvPicPr>
        <xdr:cNvPr id="548" name="Picture@5C\QPendientes@" descr="@5C\QPendientes@">
          <a:extLst>
            <a:ext uri="{FF2B5EF4-FFF2-40B4-BE49-F238E27FC236}">
              <a16:creationId xmlns:a16="http://schemas.microsoft.com/office/drawing/2014/main" id="{32FD093C-0413-49E3-8C0F-C2D94705D0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22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</xdr:row>
      <xdr:rowOff>0</xdr:rowOff>
    </xdr:from>
    <xdr:to>
      <xdr:col>0</xdr:col>
      <xdr:colOff>171450</xdr:colOff>
      <xdr:row>210</xdr:row>
      <xdr:rowOff>133350</xdr:rowOff>
    </xdr:to>
    <xdr:pic>
      <xdr:nvPicPr>
        <xdr:cNvPr id="549" name="Picture@5C\QPendientes@" descr="@5C\QPendientes@">
          <a:extLst>
            <a:ext uri="{FF2B5EF4-FFF2-40B4-BE49-F238E27FC236}">
              <a16:creationId xmlns:a16="http://schemas.microsoft.com/office/drawing/2014/main" id="{FB83BE02-946F-45BC-B392-9F307BE059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40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</xdr:row>
      <xdr:rowOff>0</xdr:rowOff>
    </xdr:from>
    <xdr:to>
      <xdr:col>0</xdr:col>
      <xdr:colOff>171450</xdr:colOff>
      <xdr:row>211</xdr:row>
      <xdr:rowOff>133350</xdr:rowOff>
    </xdr:to>
    <xdr:pic>
      <xdr:nvPicPr>
        <xdr:cNvPr id="550" name="Picture@5C\QPendientes@" descr="@5C\QPendientes@">
          <a:extLst>
            <a:ext uri="{FF2B5EF4-FFF2-40B4-BE49-F238E27FC236}">
              <a16:creationId xmlns:a16="http://schemas.microsoft.com/office/drawing/2014/main" id="{4C1C4184-3885-495C-B2B4-1D1DA3C2A8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58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</xdr:row>
      <xdr:rowOff>0</xdr:rowOff>
    </xdr:from>
    <xdr:to>
      <xdr:col>0</xdr:col>
      <xdr:colOff>171450</xdr:colOff>
      <xdr:row>212</xdr:row>
      <xdr:rowOff>133350</xdr:rowOff>
    </xdr:to>
    <xdr:pic>
      <xdr:nvPicPr>
        <xdr:cNvPr id="551" name="Picture@5C\QPendientes@" descr="@5C\QPendientes@">
          <a:extLst>
            <a:ext uri="{FF2B5EF4-FFF2-40B4-BE49-F238E27FC236}">
              <a16:creationId xmlns:a16="http://schemas.microsoft.com/office/drawing/2014/main" id="{C59A41BA-3E71-4404-911D-B00620A910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77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</xdr:row>
      <xdr:rowOff>0</xdr:rowOff>
    </xdr:from>
    <xdr:to>
      <xdr:col>0</xdr:col>
      <xdr:colOff>171450</xdr:colOff>
      <xdr:row>213</xdr:row>
      <xdr:rowOff>133350</xdr:rowOff>
    </xdr:to>
    <xdr:pic>
      <xdr:nvPicPr>
        <xdr:cNvPr id="552" name="Picture@5C\QPendientes@" descr="@5C\QPendientes@">
          <a:extLst>
            <a:ext uri="{FF2B5EF4-FFF2-40B4-BE49-F238E27FC236}">
              <a16:creationId xmlns:a16="http://schemas.microsoft.com/office/drawing/2014/main" id="{F98F4AB1-605C-4FA2-A46F-BF8749D912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95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</xdr:row>
      <xdr:rowOff>0</xdr:rowOff>
    </xdr:from>
    <xdr:to>
      <xdr:col>0</xdr:col>
      <xdr:colOff>171450</xdr:colOff>
      <xdr:row>214</xdr:row>
      <xdr:rowOff>133350</xdr:rowOff>
    </xdr:to>
    <xdr:pic>
      <xdr:nvPicPr>
        <xdr:cNvPr id="553" name="Picture@5C\QPendientes@" descr="@5C\QPendientes@">
          <a:extLst>
            <a:ext uri="{FF2B5EF4-FFF2-40B4-BE49-F238E27FC236}">
              <a16:creationId xmlns:a16="http://schemas.microsoft.com/office/drawing/2014/main" id="{EC3F40AD-85A7-487F-8FA5-A3ADDF1F5A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13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133350</xdr:rowOff>
    </xdr:to>
    <xdr:pic>
      <xdr:nvPicPr>
        <xdr:cNvPr id="603" name="Picture@5C\QPendientes@" descr="@5C\QPendientes@">
          <a:extLst>
            <a:ext uri="{FF2B5EF4-FFF2-40B4-BE49-F238E27FC236}">
              <a16:creationId xmlns:a16="http://schemas.microsoft.com/office/drawing/2014/main" id="{51CCAC4D-2211-427B-81F4-E5DBE6C3A8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133350</xdr:rowOff>
    </xdr:to>
    <xdr:pic>
      <xdr:nvPicPr>
        <xdr:cNvPr id="604" name="Picture@5C\QPendientes@" descr="@5C\QPendientes@">
          <a:extLst>
            <a:ext uri="{FF2B5EF4-FFF2-40B4-BE49-F238E27FC236}">
              <a16:creationId xmlns:a16="http://schemas.microsoft.com/office/drawing/2014/main" id="{DC36AD7A-ED6E-48AB-9112-C262BE63EC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133350</xdr:rowOff>
    </xdr:to>
    <xdr:pic>
      <xdr:nvPicPr>
        <xdr:cNvPr id="605" name="Picture@5C\QPendientes@" descr="@5C\QPendientes@">
          <a:extLst>
            <a:ext uri="{FF2B5EF4-FFF2-40B4-BE49-F238E27FC236}">
              <a16:creationId xmlns:a16="http://schemas.microsoft.com/office/drawing/2014/main" id="{AA747685-A214-4BEE-8742-3FC28308D7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133350</xdr:rowOff>
    </xdr:to>
    <xdr:pic>
      <xdr:nvPicPr>
        <xdr:cNvPr id="606" name="Picture@5C\QPendientes@" descr="@5C\QPendientes@">
          <a:extLst>
            <a:ext uri="{FF2B5EF4-FFF2-40B4-BE49-F238E27FC236}">
              <a16:creationId xmlns:a16="http://schemas.microsoft.com/office/drawing/2014/main" id="{4213BBF1-3784-448A-A934-89D179A3DE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133350</xdr:rowOff>
    </xdr:to>
    <xdr:pic>
      <xdr:nvPicPr>
        <xdr:cNvPr id="607" name="Picture@5C\QPendientes@" descr="@5C\QPendientes@">
          <a:extLst>
            <a:ext uri="{FF2B5EF4-FFF2-40B4-BE49-F238E27FC236}">
              <a16:creationId xmlns:a16="http://schemas.microsoft.com/office/drawing/2014/main" id="{A90565CE-5B62-4247-9520-047EC9429D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133350</xdr:rowOff>
    </xdr:to>
    <xdr:pic>
      <xdr:nvPicPr>
        <xdr:cNvPr id="608" name="Picture@5C\QPendientes@" descr="@5C\QPendientes@">
          <a:extLst>
            <a:ext uri="{FF2B5EF4-FFF2-40B4-BE49-F238E27FC236}">
              <a16:creationId xmlns:a16="http://schemas.microsoft.com/office/drawing/2014/main" id="{E0F72E6F-90E3-43F3-B0A8-1640166A54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133350</xdr:rowOff>
    </xdr:to>
    <xdr:pic>
      <xdr:nvPicPr>
        <xdr:cNvPr id="609" name="Picture@5C\QPendientes@" descr="@5C\QPendientes@">
          <a:extLst>
            <a:ext uri="{FF2B5EF4-FFF2-40B4-BE49-F238E27FC236}">
              <a16:creationId xmlns:a16="http://schemas.microsoft.com/office/drawing/2014/main" id="{15679866-E642-44DD-890F-BDE0118044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133350</xdr:rowOff>
    </xdr:to>
    <xdr:pic>
      <xdr:nvPicPr>
        <xdr:cNvPr id="610" name="Picture@5C\QPendientes@" descr="@5C\QPendientes@">
          <a:extLst>
            <a:ext uri="{FF2B5EF4-FFF2-40B4-BE49-F238E27FC236}">
              <a16:creationId xmlns:a16="http://schemas.microsoft.com/office/drawing/2014/main" id="{DAF3DD6A-1B43-47B9-8095-84F1F0DB1B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133350</xdr:rowOff>
    </xdr:to>
    <xdr:pic>
      <xdr:nvPicPr>
        <xdr:cNvPr id="611" name="Picture@5C\QPendientes@" descr="@5C\QPendientes@">
          <a:extLst>
            <a:ext uri="{FF2B5EF4-FFF2-40B4-BE49-F238E27FC236}">
              <a16:creationId xmlns:a16="http://schemas.microsoft.com/office/drawing/2014/main" id="{2FF5284C-D705-4B57-9584-18B44CEA96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133350</xdr:rowOff>
    </xdr:to>
    <xdr:pic>
      <xdr:nvPicPr>
        <xdr:cNvPr id="612" name="Picture@5C\QPendientes@" descr="@5C\QPendientes@">
          <a:extLst>
            <a:ext uri="{FF2B5EF4-FFF2-40B4-BE49-F238E27FC236}">
              <a16:creationId xmlns:a16="http://schemas.microsoft.com/office/drawing/2014/main" id="{02B21F0B-2153-4989-A0CF-ADAEF69EC2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2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133350</xdr:rowOff>
    </xdr:to>
    <xdr:pic>
      <xdr:nvPicPr>
        <xdr:cNvPr id="613" name="Picture@5C\QPendientes@" descr="@5C\QPendientes@">
          <a:extLst>
            <a:ext uri="{FF2B5EF4-FFF2-40B4-BE49-F238E27FC236}">
              <a16:creationId xmlns:a16="http://schemas.microsoft.com/office/drawing/2014/main" id="{EB874C72-1191-4C33-A6E8-91130FCCCA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1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133350</xdr:rowOff>
    </xdr:to>
    <xdr:pic>
      <xdr:nvPicPr>
        <xdr:cNvPr id="614" name="Picture@5C\QPendientes@" descr="@5C\QPendientes@">
          <a:extLst>
            <a:ext uri="{FF2B5EF4-FFF2-40B4-BE49-F238E27FC236}">
              <a16:creationId xmlns:a16="http://schemas.microsoft.com/office/drawing/2014/main" id="{146D037B-FC76-4AE3-9381-837D57C58A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133350</xdr:rowOff>
    </xdr:to>
    <xdr:pic>
      <xdr:nvPicPr>
        <xdr:cNvPr id="615" name="Picture@5C\QPendientes@" descr="@5C\QPendientes@">
          <a:extLst>
            <a:ext uri="{FF2B5EF4-FFF2-40B4-BE49-F238E27FC236}">
              <a16:creationId xmlns:a16="http://schemas.microsoft.com/office/drawing/2014/main" id="{880C4C00-F81C-4874-BE20-328FA146F1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7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133350</xdr:rowOff>
    </xdr:to>
    <xdr:pic>
      <xdr:nvPicPr>
        <xdr:cNvPr id="616" name="Picture@5C\QPendientes@" descr="@5C\QPendientes@">
          <a:extLst>
            <a:ext uri="{FF2B5EF4-FFF2-40B4-BE49-F238E27FC236}">
              <a16:creationId xmlns:a16="http://schemas.microsoft.com/office/drawing/2014/main" id="{A7A56D2B-9A54-4214-BA1B-D6541CB822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6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133350</xdr:rowOff>
    </xdr:to>
    <xdr:pic>
      <xdr:nvPicPr>
        <xdr:cNvPr id="617" name="Picture@5C\QPendientes@" descr="@5C\QPendientes@">
          <a:extLst>
            <a:ext uri="{FF2B5EF4-FFF2-40B4-BE49-F238E27FC236}">
              <a16:creationId xmlns:a16="http://schemas.microsoft.com/office/drawing/2014/main" id="{8B52C453-8FAE-479C-A139-B1056AF952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4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171450</xdr:colOff>
      <xdr:row>16</xdr:row>
      <xdr:rowOff>133350</xdr:rowOff>
    </xdr:to>
    <xdr:pic>
      <xdr:nvPicPr>
        <xdr:cNvPr id="618" name="Picture@5C\QPendientes@" descr="@5C\QPendientes@">
          <a:extLst>
            <a:ext uri="{FF2B5EF4-FFF2-40B4-BE49-F238E27FC236}">
              <a16:creationId xmlns:a16="http://schemas.microsoft.com/office/drawing/2014/main" id="{CF421143-9B6B-4636-935D-7F36067D9A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2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</xdr:row>
      <xdr:rowOff>0</xdr:rowOff>
    </xdr:from>
    <xdr:to>
      <xdr:col>0</xdr:col>
      <xdr:colOff>171450</xdr:colOff>
      <xdr:row>17</xdr:row>
      <xdr:rowOff>133350</xdr:rowOff>
    </xdr:to>
    <xdr:pic>
      <xdr:nvPicPr>
        <xdr:cNvPr id="619" name="Picture@5C\QPendientes@" descr="@5C\QPendientes@">
          <a:extLst>
            <a:ext uri="{FF2B5EF4-FFF2-40B4-BE49-F238E27FC236}">
              <a16:creationId xmlns:a16="http://schemas.microsoft.com/office/drawing/2014/main" id="{33B4F9AD-76DE-4E58-A8F6-43FFDBD9A1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0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</xdr:row>
      <xdr:rowOff>0</xdr:rowOff>
    </xdr:from>
    <xdr:to>
      <xdr:col>0</xdr:col>
      <xdr:colOff>171450</xdr:colOff>
      <xdr:row>18</xdr:row>
      <xdr:rowOff>133350</xdr:rowOff>
    </xdr:to>
    <xdr:pic>
      <xdr:nvPicPr>
        <xdr:cNvPr id="620" name="Picture@5C\QPendientes@" descr="@5C\QPendientes@">
          <a:extLst>
            <a:ext uri="{FF2B5EF4-FFF2-40B4-BE49-F238E27FC236}">
              <a16:creationId xmlns:a16="http://schemas.microsoft.com/office/drawing/2014/main" id="{4E2BF045-1430-416F-A2F3-7D25A2AF6C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9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</xdr:row>
      <xdr:rowOff>0</xdr:rowOff>
    </xdr:from>
    <xdr:to>
      <xdr:col>0</xdr:col>
      <xdr:colOff>171450</xdr:colOff>
      <xdr:row>19</xdr:row>
      <xdr:rowOff>133350</xdr:rowOff>
    </xdr:to>
    <xdr:pic>
      <xdr:nvPicPr>
        <xdr:cNvPr id="621" name="Picture@5C\QPendientes@" descr="@5C\QPendientes@">
          <a:extLst>
            <a:ext uri="{FF2B5EF4-FFF2-40B4-BE49-F238E27FC236}">
              <a16:creationId xmlns:a16="http://schemas.microsoft.com/office/drawing/2014/main" id="{C615B4F9-C1E6-4C56-96A6-5C5DB52A86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7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</xdr:row>
      <xdr:rowOff>0</xdr:rowOff>
    </xdr:from>
    <xdr:to>
      <xdr:col>0</xdr:col>
      <xdr:colOff>171450</xdr:colOff>
      <xdr:row>20</xdr:row>
      <xdr:rowOff>133350</xdr:rowOff>
    </xdr:to>
    <xdr:pic>
      <xdr:nvPicPr>
        <xdr:cNvPr id="622" name="Picture@5C\QPendientes@" descr="@5C\QPendientes@">
          <a:extLst>
            <a:ext uri="{FF2B5EF4-FFF2-40B4-BE49-F238E27FC236}">
              <a16:creationId xmlns:a16="http://schemas.microsoft.com/office/drawing/2014/main" id="{F89706CB-C917-457E-8782-C21A011B10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5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</xdr:row>
      <xdr:rowOff>0</xdr:rowOff>
    </xdr:from>
    <xdr:to>
      <xdr:col>0</xdr:col>
      <xdr:colOff>171450</xdr:colOff>
      <xdr:row>21</xdr:row>
      <xdr:rowOff>133350</xdr:rowOff>
    </xdr:to>
    <xdr:pic>
      <xdr:nvPicPr>
        <xdr:cNvPr id="623" name="Picture@5C\QPendientes@" descr="@5C\QPendientes@">
          <a:extLst>
            <a:ext uri="{FF2B5EF4-FFF2-40B4-BE49-F238E27FC236}">
              <a16:creationId xmlns:a16="http://schemas.microsoft.com/office/drawing/2014/main" id="{6866D744-D287-4E8A-8288-FB22F4ACD6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4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171450</xdr:colOff>
      <xdr:row>22</xdr:row>
      <xdr:rowOff>133350</xdr:rowOff>
    </xdr:to>
    <xdr:pic>
      <xdr:nvPicPr>
        <xdr:cNvPr id="624" name="Picture@5C\QPendientes@" descr="@5C\QPendientes@">
          <a:extLst>
            <a:ext uri="{FF2B5EF4-FFF2-40B4-BE49-F238E27FC236}">
              <a16:creationId xmlns:a16="http://schemas.microsoft.com/office/drawing/2014/main" id="{74069885-0DBC-4E6E-B67A-308AE617ED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2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</xdr:row>
      <xdr:rowOff>0</xdr:rowOff>
    </xdr:from>
    <xdr:to>
      <xdr:col>0</xdr:col>
      <xdr:colOff>171450</xdr:colOff>
      <xdr:row>23</xdr:row>
      <xdr:rowOff>133350</xdr:rowOff>
    </xdr:to>
    <xdr:pic>
      <xdr:nvPicPr>
        <xdr:cNvPr id="625" name="Picture@5C\QPendientes@" descr="@5C\QPendientes@">
          <a:extLst>
            <a:ext uri="{FF2B5EF4-FFF2-40B4-BE49-F238E27FC236}">
              <a16:creationId xmlns:a16="http://schemas.microsoft.com/office/drawing/2014/main" id="{50522BA5-5303-4B78-ACA6-A5475ACA88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0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</xdr:row>
      <xdr:rowOff>0</xdr:rowOff>
    </xdr:from>
    <xdr:to>
      <xdr:col>0</xdr:col>
      <xdr:colOff>171450</xdr:colOff>
      <xdr:row>24</xdr:row>
      <xdr:rowOff>133350</xdr:rowOff>
    </xdr:to>
    <xdr:pic>
      <xdr:nvPicPr>
        <xdr:cNvPr id="626" name="Picture@5C\QPendientes@" descr="@5C\QPendientes@">
          <a:extLst>
            <a:ext uri="{FF2B5EF4-FFF2-40B4-BE49-F238E27FC236}">
              <a16:creationId xmlns:a16="http://schemas.microsoft.com/office/drawing/2014/main" id="{694F3ABD-B026-40C9-AE9D-5C84BCEE50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8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</xdr:row>
      <xdr:rowOff>0</xdr:rowOff>
    </xdr:from>
    <xdr:to>
      <xdr:col>0</xdr:col>
      <xdr:colOff>171450</xdr:colOff>
      <xdr:row>25</xdr:row>
      <xdr:rowOff>133350</xdr:rowOff>
    </xdr:to>
    <xdr:pic>
      <xdr:nvPicPr>
        <xdr:cNvPr id="627" name="Picture@5C\QPendientes@" descr="@5C\QPendientes@">
          <a:extLst>
            <a:ext uri="{FF2B5EF4-FFF2-40B4-BE49-F238E27FC236}">
              <a16:creationId xmlns:a16="http://schemas.microsoft.com/office/drawing/2014/main" id="{FA541818-773D-4F5F-BEA6-30C0991D24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7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</xdr:row>
      <xdr:rowOff>0</xdr:rowOff>
    </xdr:from>
    <xdr:to>
      <xdr:col>0</xdr:col>
      <xdr:colOff>171450</xdr:colOff>
      <xdr:row>26</xdr:row>
      <xdr:rowOff>133350</xdr:rowOff>
    </xdr:to>
    <xdr:pic>
      <xdr:nvPicPr>
        <xdr:cNvPr id="628" name="Picture@5C\QPendientes@" descr="@5C\QPendientes@">
          <a:extLst>
            <a:ext uri="{FF2B5EF4-FFF2-40B4-BE49-F238E27FC236}">
              <a16:creationId xmlns:a16="http://schemas.microsoft.com/office/drawing/2014/main" id="{7DF629A7-CA28-48BE-9C9D-8CCF77A8A9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5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171450</xdr:colOff>
      <xdr:row>27</xdr:row>
      <xdr:rowOff>133350</xdr:rowOff>
    </xdr:to>
    <xdr:pic>
      <xdr:nvPicPr>
        <xdr:cNvPr id="629" name="Picture@5C\QPendientes@" descr="@5C\QPendientes@">
          <a:extLst>
            <a:ext uri="{FF2B5EF4-FFF2-40B4-BE49-F238E27FC236}">
              <a16:creationId xmlns:a16="http://schemas.microsoft.com/office/drawing/2014/main" id="{30E9A73D-B52A-48AB-A794-B0FC30725E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3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133350</xdr:rowOff>
    </xdr:to>
    <xdr:pic>
      <xdr:nvPicPr>
        <xdr:cNvPr id="630" name="Picture@5C\QPendientes@" descr="@5C\QPendientes@">
          <a:extLst>
            <a:ext uri="{FF2B5EF4-FFF2-40B4-BE49-F238E27FC236}">
              <a16:creationId xmlns:a16="http://schemas.microsoft.com/office/drawing/2014/main" id="{B5E1C422-B1B9-44B2-B1B8-481C9B3452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2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133350</xdr:rowOff>
    </xdr:to>
    <xdr:pic>
      <xdr:nvPicPr>
        <xdr:cNvPr id="631" name="Picture@5C\QPendientes@" descr="@5C\QPendientes@">
          <a:extLst>
            <a:ext uri="{FF2B5EF4-FFF2-40B4-BE49-F238E27FC236}">
              <a16:creationId xmlns:a16="http://schemas.microsoft.com/office/drawing/2014/main" id="{2279AFC2-46CF-405C-A2E5-0283B680ED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0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</xdr:row>
      <xdr:rowOff>0</xdr:rowOff>
    </xdr:from>
    <xdr:to>
      <xdr:col>0</xdr:col>
      <xdr:colOff>171450</xdr:colOff>
      <xdr:row>30</xdr:row>
      <xdr:rowOff>133350</xdr:rowOff>
    </xdr:to>
    <xdr:pic>
      <xdr:nvPicPr>
        <xdr:cNvPr id="632" name="Picture@5C\QPendientes@" descr="@5C\QPendientes@">
          <a:extLst>
            <a:ext uri="{FF2B5EF4-FFF2-40B4-BE49-F238E27FC236}">
              <a16:creationId xmlns:a16="http://schemas.microsoft.com/office/drawing/2014/main" id="{DEFD5A46-95DF-419E-990F-481A85502F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8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171450</xdr:colOff>
      <xdr:row>31</xdr:row>
      <xdr:rowOff>133350</xdr:rowOff>
    </xdr:to>
    <xdr:pic>
      <xdr:nvPicPr>
        <xdr:cNvPr id="633" name="Picture@5C\QPendientes@" descr="@5C\QPendientes@">
          <a:extLst>
            <a:ext uri="{FF2B5EF4-FFF2-40B4-BE49-F238E27FC236}">
              <a16:creationId xmlns:a16="http://schemas.microsoft.com/office/drawing/2014/main" id="{1E67612C-673E-4426-BAC6-33BDFCF070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6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</xdr:row>
      <xdr:rowOff>0</xdr:rowOff>
    </xdr:from>
    <xdr:to>
      <xdr:col>0</xdr:col>
      <xdr:colOff>171450</xdr:colOff>
      <xdr:row>32</xdr:row>
      <xdr:rowOff>133350</xdr:rowOff>
    </xdr:to>
    <xdr:pic>
      <xdr:nvPicPr>
        <xdr:cNvPr id="634" name="Picture@5C\QPendientes@" descr="@5C\QPendientes@">
          <a:extLst>
            <a:ext uri="{FF2B5EF4-FFF2-40B4-BE49-F238E27FC236}">
              <a16:creationId xmlns:a16="http://schemas.microsoft.com/office/drawing/2014/main" id="{F939D62D-3AA2-4D3F-8231-1E44C9D984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5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</xdr:row>
      <xdr:rowOff>0</xdr:rowOff>
    </xdr:from>
    <xdr:to>
      <xdr:col>0</xdr:col>
      <xdr:colOff>171450</xdr:colOff>
      <xdr:row>33</xdr:row>
      <xdr:rowOff>133350</xdr:rowOff>
    </xdr:to>
    <xdr:pic>
      <xdr:nvPicPr>
        <xdr:cNvPr id="635" name="Picture@5C\QPendientes@" descr="@5C\QPendientes@">
          <a:extLst>
            <a:ext uri="{FF2B5EF4-FFF2-40B4-BE49-F238E27FC236}">
              <a16:creationId xmlns:a16="http://schemas.microsoft.com/office/drawing/2014/main" id="{23DCC314-7213-4F90-8402-61665B9D70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3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</xdr:row>
      <xdr:rowOff>0</xdr:rowOff>
    </xdr:from>
    <xdr:to>
      <xdr:col>0</xdr:col>
      <xdr:colOff>171450</xdr:colOff>
      <xdr:row>34</xdr:row>
      <xdr:rowOff>133350</xdr:rowOff>
    </xdr:to>
    <xdr:pic>
      <xdr:nvPicPr>
        <xdr:cNvPr id="636" name="Picture@5C\QPendientes@" descr="@5C\QPendientes@">
          <a:extLst>
            <a:ext uri="{FF2B5EF4-FFF2-40B4-BE49-F238E27FC236}">
              <a16:creationId xmlns:a16="http://schemas.microsoft.com/office/drawing/2014/main" id="{11C2F549-7827-4E3F-B31E-5773FD72EC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1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133350</xdr:rowOff>
    </xdr:to>
    <xdr:pic>
      <xdr:nvPicPr>
        <xdr:cNvPr id="637" name="Picture@5C\QPendientes@" descr="@5C\QPendientes@">
          <a:extLst>
            <a:ext uri="{FF2B5EF4-FFF2-40B4-BE49-F238E27FC236}">
              <a16:creationId xmlns:a16="http://schemas.microsoft.com/office/drawing/2014/main" id="{B7E4A989-1F98-4A01-949F-DC2D3A0F32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0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133350</xdr:rowOff>
    </xdr:to>
    <xdr:pic>
      <xdr:nvPicPr>
        <xdr:cNvPr id="638" name="Picture@5C\QPendientes@" descr="@5C\QPendientes@">
          <a:extLst>
            <a:ext uri="{FF2B5EF4-FFF2-40B4-BE49-F238E27FC236}">
              <a16:creationId xmlns:a16="http://schemas.microsoft.com/office/drawing/2014/main" id="{D0C98E95-FB7A-4C61-9B2A-9A184C5BFF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8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</xdr:row>
      <xdr:rowOff>0</xdr:rowOff>
    </xdr:from>
    <xdr:to>
      <xdr:col>0</xdr:col>
      <xdr:colOff>171450</xdr:colOff>
      <xdr:row>37</xdr:row>
      <xdr:rowOff>133350</xdr:rowOff>
    </xdr:to>
    <xdr:pic>
      <xdr:nvPicPr>
        <xdr:cNvPr id="639" name="Picture@5C\QPendientes@" descr="@5C\QPendientes@">
          <a:extLst>
            <a:ext uri="{FF2B5EF4-FFF2-40B4-BE49-F238E27FC236}">
              <a16:creationId xmlns:a16="http://schemas.microsoft.com/office/drawing/2014/main" id="{BA5B0B50-6C10-45B4-92C1-722AD3ABC1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6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171450</xdr:colOff>
      <xdr:row>38</xdr:row>
      <xdr:rowOff>133350</xdr:rowOff>
    </xdr:to>
    <xdr:pic>
      <xdr:nvPicPr>
        <xdr:cNvPr id="265" name="Picture@5C\QPendientes@" descr="@5C\QPendientes@">
          <a:extLst>
            <a:ext uri="{FF2B5EF4-FFF2-40B4-BE49-F238E27FC236}">
              <a16:creationId xmlns:a16="http://schemas.microsoft.com/office/drawing/2014/main" id="{B5157323-7723-4EC5-955F-CEA2C2DF91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4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</xdr:row>
      <xdr:rowOff>0</xdr:rowOff>
    </xdr:from>
    <xdr:to>
      <xdr:col>0</xdr:col>
      <xdr:colOff>171450</xdr:colOff>
      <xdr:row>39</xdr:row>
      <xdr:rowOff>133350</xdr:rowOff>
    </xdr:to>
    <xdr:pic>
      <xdr:nvPicPr>
        <xdr:cNvPr id="266" name="Picture@5C\QPendientes@" descr="@5C\QPendientes@">
          <a:extLst>
            <a:ext uri="{FF2B5EF4-FFF2-40B4-BE49-F238E27FC236}">
              <a16:creationId xmlns:a16="http://schemas.microsoft.com/office/drawing/2014/main" id="{C80EE0AD-3853-4F4D-A1E3-41066DDF8E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3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</xdr:row>
      <xdr:rowOff>0</xdr:rowOff>
    </xdr:from>
    <xdr:to>
      <xdr:col>0</xdr:col>
      <xdr:colOff>171450</xdr:colOff>
      <xdr:row>40</xdr:row>
      <xdr:rowOff>133350</xdr:rowOff>
    </xdr:to>
    <xdr:pic>
      <xdr:nvPicPr>
        <xdr:cNvPr id="267" name="Picture@5C\QPendientes@" descr="@5C\QPendientes@">
          <a:extLst>
            <a:ext uri="{FF2B5EF4-FFF2-40B4-BE49-F238E27FC236}">
              <a16:creationId xmlns:a16="http://schemas.microsoft.com/office/drawing/2014/main" id="{36D4F26B-125C-4913-93B5-4E8B296E8E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1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</xdr:row>
      <xdr:rowOff>0</xdr:rowOff>
    </xdr:from>
    <xdr:to>
      <xdr:col>0</xdr:col>
      <xdr:colOff>171450</xdr:colOff>
      <xdr:row>41</xdr:row>
      <xdr:rowOff>133350</xdr:rowOff>
    </xdr:to>
    <xdr:pic>
      <xdr:nvPicPr>
        <xdr:cNvPr id="268" name="Picture@5C\QPendientes@" descr="@5C\QPendientes@">
          <a:extLst>
            <a:ext uri="{FF2B5EF4-FFF2-40B4-BE49-F238E27FC236}">
              <a16:creationId xmlns:a16="http://schemas.microsoft.com/office/drawing/2014/main" id="{64CC9746-8C09-46EC-B796-8A70741E8B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9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</xdr:row>
      <xdr:rowOff>0</xdr:rowOff>
    </xdr:from>
    <xdr:to>
      <xdr:col>0</xdr:col>
      <xdr:colOff>171450</xdr:colOff>
      <xdr:row>42</xdr:row>
      <xdr:rowOff>133350</xdr:rowOff>
    </xdr:to>
    <xdr:pic>
      <xdr:nvPicPr>
        <xdr:cNvPr id="269" name="Picture@5C\QPendientes@" descr="@5C\QPendientes@">
          <a:extLst>
            <a:ext uri="{FF2B5EF4-FFF2-40B4-BE49-F238E27FC236}">
              <a16:creationId xmlns:a16="http://schemas.microsoft.com/office/drawing/2014/main" id="{1719995A-166E-4C4E-80D7-A8F83AE96F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8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133350</xdr:rowOff>
    </xdr:to>
    <xdr:pic>
      <xdr:nvPicPr>
        <xdr:cNvPr id="270" name="Picture@5C\QPendientes@" descr="@5C\QPendientes@">
          <a:extLst>
            <a:ext uri="{FF2B5EF4-FFF2-40B4-BE49-F238E27FC236}">
              <a16:creationId xmlns:a16="http://schemas.microsoft.com/office/drawing/2014/main" id="{907BA1B5-CB67-4127-80F5-3A17483133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6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</xdr:row>
      <xdr:rowOff>0</xdr:rowOff>
    </xdr:from>
    <xdr:to>
      <xdr:col>0</xdr:col>
      <xdr:colOff>171450</xdr:colOff>
      <xdr:row>44</xdr:row>
      <xdr:rowOff>133350</xdr:rowOff>
    </xdr:to>
    <xdr:pic>
      <xdr:nvPicPr>
        <xdr:cNvPr id="271" name="Picture@5C\QPendientes@" descr="@5C\QPendientes@">
          <a:extLst>
            <a:ext uri="{FF2B5EF4-FFF2-40B4-BE49-F238E27FC236}">
              <a16:creationId xmlns:a16="http://schemas.microsoft.com/office/drawing/2014/main" id="{338F0B21-B58D-4185-8ED0-EB5AF970DC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4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</xdr:row>
      <xdr:rowOff>0</xdr:rowOff>
    </xdr:from>
    <xdr:to>
      <xdr:col>0</xdr:col>
      <xdr:colOff>171450</xdr:colOff>
      <xdr:row>45</xdr:row>
      <xdr:rowOff>133350</xdr:rowOff>
    </xdr:to>
    <xdr:pic>
      <xdr:nvPicPr>
        <xdr:cNvPr id="272" name="Picture@5C\QPendientes@" descr="@5C\QPendientes@">
          <a:extLst>
            <a:ext uri="{FF2B5EF4-FFF2-40B4-BE49-F238E27FC236}">
              <a16:creationId xmlns:a16="http://schemas.microsoft.com/office/drawing/2014/main" id="{9A559BBB-BA2A-45D7-B292-1D0E0B6F5B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2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</xdr:row>
      <xdr:rowOff>0</xdr:rowOff>
    </xdr:from>
    <xdr:to>
      <xdr:col>0</xdr:col>
      <xdr:colOff>171450</xdr:colOff>
      <xdr:row>46</xdr:row>
      <xdr:rowOff>133350</xdr:rowOff>
    </xdr:to>
    <xdr:pic>
      <xdr:nvPicPr>
        <xdr:cNvPr id="273" name="Picture@5C\QPendientes@" descr="@5C\QPendientes@">
          <a:extLst>
            <a:ext uri="{FF2B5EF4-FFF2-40B4-BE49-F238E27FC236}">
              <a16:creationId xmlns:a16="http://schemas.microsoft.com/office/drawing/2014/main" id="{B786B004-CF65-43F7-A0BA-8915406E9A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1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171450</xdr:colOff>
      <xdr:row>47</xdr:row>
      <xdr:rowOff>133350</xdr:rowOff>
    </xdr:to>
    <xdr:pic>
      <xdr:nvPicPr>
        <xdr:cNvPr id="274" name="Picture@5C\QPendientes@" descr="@5C\QPendientes@">
          <a:extLst>
            <a:ext uri="{FF2B5EF4-FFF2-40B4-BE49-F238E27FC236}">
              <a16:creationId xmlns:a16="http://schemas.microsoft.com/office/drawing/2014/main" id="{3A9B60F7-D441-4391-9102-43C9F71F1A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9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</xdr:row>
      <xdr:rowOff>0</xdr:rowOff>
    </xdr:from>
    <xdr:to>
      <xdr:col>0</xdr:col>
      <xdr:colOff>171450</xdr:colOff>
      <xdr:row>48</xdr:row>
      <xdr:rowOff>133350</xdr:rowOff>
    </xdr:to>
    <xdr:pic>
      <xdr:nvPicPr>
        <xdr:cNvPr id="275" name="Picture@5C\QPendientes@" descr="@5C\QPendientes@">
          <a:extLst>
            <a:ext uri="{FF2B5EF4-FFF2-40B4-BE49-F238E27FC236}">
              <a16:creationId xmlns:a16="http://schemas.microsoft.com/office/drawing/2014/main" id="{BF410953-A831-4BE0-A065-8C29C6E5EE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7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</xdr:row>
      <xdr:rowOff>0</xdr:rowOff>
    </xdr:from>
    <xdr:to>
      <xdr:col>0</xdr:col>
      <xdr:colOff>171450</xdr:colOff>
      <xdr:row>49</xdr:row>
      <xdr:rowOff>133350</xdr:rowOff>
    </xdr:to>
    <xdr:pic>
      <xdr:nvPicPr>
        <xdr:cNvPr id="276" name="Picture@5C\QPendientes@" descr="@5C\QPendientes@">
          <a:extLst>
            <a:ext uri="{FF2B5EF4-FFF2-40B4-BE49-F238E27FC236}">
              <a16:creationId xmlns:a16="http://schemas.microsoft.com/office/drawing/2014/main" id="{6E38D783-FB53-4AA6-87F5-180885ADF2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6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</xdr:row>
      <xdr:rowOff>0</xdr:rowOff>
    </xdr:from>
    <xdr:to>
      <xdr:col>0</xdr:col>
      <xdr:colOff>171450</xdr:colOff>
      <xdr:row>50</xdr:row>
      <xdr:rowOff>133350</xdr:rowOff>
    </xdr:to>
    <xdr:pic>
      <xdr:nvPicPr>
        <xdr:cNvPr id="277" name="Picture@5C\QPendientes@" descr="@5C\QPendientes@">
          <a:extLst>
            <a:ext uri="{FF2B5EF4-FFF2-40B4-BE49-F238E27FC236}">
              <a16:creationId xmlns:a16="http://schemas.microsoft.com/office/drawing/2014/main" id="{0F4DCD32-0C1D-42F1-9D17-D5CBB4EF04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4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171450</xdr:colOff>
      <xdr:row>51</xdr:row>
      <xdr:rowOff>133350</xdr:rowOff>
    </xdr:to>
    <xdr:pic>
      <xdr:nvPicPr>
        <xdr:cNvPr id="278" name="Picture@5C\QPendientes@" descr="@5C\QPendientes@">
          <a:extLst>
            <a:ext uri="{FF2B5EF4-FFF2-40B4-BE49-F238E27FC236}">
              <a16:creationId xmlns:a16="http://schemas.microsoft.com/office/drawing/2014/main" id="{BD0FDD03-54F3-4870-A953-AA7C64F6AF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2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</xdr:row>
      <xdr:rowOff>0</xdr:rowOff>
    </xdr:from>
    <xdr:to>
      <xdr:col>0</xdr:col>
      <xdr:colOff>171450</xdr:colOff>
      <xdr:row>52</xdr:row>
      <xdr:rowOff>133350</xdr:rowOff>
    </xdr:to>
    <xdr:pic>
      <xdr:nvPicPr>
        <xdr:cNvPr id="279" name="Picture@5C\QPendientes@" descr="@5C\QPendientes@">
          <a:extLst>
            <a:ext uri="{FF2B5EF4-FFF2-40B4-BE49-F238E27FC236}">
              <a16:creationId xmlns:a16="http://schemas.microsoft.com/office/drawing/2014/main" id="{0FA9D23B-1B33-4FC4-9BC0-CBDC40906A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0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</xdr:row>
      <xdr:rowOff>0</xdr:rowOff>
    </xdr:from>
    <xdr:to>
      <xdr:col>0</xdr:col>
      <xdr:colOff>171450</xdr:colOff>
      <xdr:row>53</xdr:row>
      <xdr:rowOff>133350</xdr:rowOff>
    </xdr:to>
    <xdr:pic>
      <xdr:nvPicPr>
        <xdr:cNvPr id="280" name="Picture@5C\QPendientes@" descr="@5C\QPendientes@">
          <a:extLst>
            <a:ext uri="{FF2B5EF4-FFF2-40B4-BE49-F238E27FC236}">
              <a16:creationId xmlns:a16="http://schemas.microsoft.com/office/drawing/2014/main" id="{BDCE238E-8A2E-42DB-A9ED-22A1707F54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9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</xdr:row>
      <xdr:rowOff>0</xdr:rowOff>
    </xdr:from>
    <xdr:to>
      <xdr:col>0</xdr:col>
      <xdr:colOff>171450</xdr:colOff>
      <xdr:row>54</xdr:row>
      <xdr:rowOff>133350</xdr:rowOff>
    </xdr:to>
    <xdr:pic>
      <xdr:nvPicPr>
        <xdr:cNvPr id="281" name="Picture@5C\QPendientes@" descr="@5C\QPendientes@">
          <a:extLst>
            <a:ext uri="{FF2B5EF4-FFF2-40B4-BE49-F238E27FC236}">
              <a16:creationId xmlns:a16="http://schemas.microsoft.com/office/drawing/2014/main" id="{D3C5B2CA-54CB-4CE0-9261-44708C0251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7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</xdr:row>
      <xdr:rowOff>0</xdr:rowOff>
    </xdr:from>
    <xdr:to>
      <xdr:col>0</xdr:col>
      <xdr:colOff>171450</xdr:colOff>
      <xdr:row>55</xdr:row>
      <xdr:rowOff>133350</xdr:rowOff>
    </xdr:to>
    <xdr:pic>
      <xdr:nvPicPr>
        <xdr:cNvPr id="282" name="Picture@5C\QPendientes@" descr="@5C\QPendientes@">
          <a:extLst>
            <a:ext uri="{FF2B5EF4-FFF2-40B4-BE49-F238E27FC236}">
              <a16:creationId xmlns:a16="http://schemas.microsoft.com/office/drawing/2014/main" id="{B5AFD258-62E6-4482-B52F-65C2A0E889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5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</xdr:row>
      <xdr:rowOff>0</xdr:rowOff>
    </xdr:from>
    <xdr:to>
      <xdr:col>0</xdr:col>
      <xdr:colOff>171450</xdr:colOff>
      <xdr:row>56</xdr:row>
      <xdr:rowOff>133350</xdr:rowOff>
    </xdr:to>
    <xdr:pic>
      <xdr:nvPicPr>
        <xdr:cNvPr id="283" name="Picture@5C\QPendientes@" descr="@5C\QPendientes@">
          <a:extLst>
            <a:ext uri="{FF2B5EF4-FFF2-40B4-BE49-F238E27FC236}">
              <a16:creationId xmlns:a16="http://schemas.microsoft.com/office/drawing/2014/main" id="{0B6A6805-4A9F-4363-BE85-F99159D02E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4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</xdr:row>
      <xdr:rowOff>0</xdr:rowOff>
    </xdr:from>
    <xdr:to>
      <xdr:col>0</xdr:col>
      <xdr:colOff>171450</xdr:colOff>
      <xdr:row>57</xdr:row>
      <xdr:rowOff>133350</xdr:rowOff>
    </xdr:to>
    <xdr:pic>
      <xdr:nvPicPr>
        <xdr:cNvPr id="284" name="Picture@5C\QPendientes@" descr="@5C\QPendientes@">
          <a:extLst>
            <a:ext uri="{FF2B5EF4-FFF2-40B4-BE49-F238E27FC236}">
              <a16:creationId xmlns:a16="http://schemas.microsoft.com/office/drawing/2014/main" id="{65AB75E1-E596-4EBF-A0F8-9FC8B0CB8C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2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</xdr:row>
      <xdr:rowOff>0</xdr:rowOff>
    </xdr:from>
    <xdr:to>
      <xdr:col>0</xdr:col>
      <xdr:colOff>171450</xdr:colOff>
      <xdr:row>58</xdr:row>
      <xdr:rowOff>133350</xdr:rowOff>
    </xdr:to>
    <xdr:pic>
      <xdr:nvPicPr>
        <xdr:cNvPr id="285" name="Picture@5C\QPendientes@" descr="@5C\QPendientes@">
          <a:extLst>
            <a:ext uri="{FF2B5EF4-FFF2-40B4-BE49-F238E27FC236}">
              <a16:creationId xmlns:a16="http://schemas.microsoft.com/office/drawing/2014/main" id="{EE029620-8C7E-4BAF-9F6C-9B00E21E5B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0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</xdr:row>
      <xdr:rowOff>0</xdr:rowOff>
    </xdr:from>
    <xdr:to>
      <xdr:col>0</xdr:col>
      <xdr:colOff>171450</xdr:colOff>
      <xdr:row>59</xdr:row>
      <xdr:rowOff>133350</xdr:rowOff>
    </xdr:to>
    <xdr:pic>
      <xdr:nvPicPr>
        <xdr:cNvPr id="286" name="Picture@5C\QPendientes@" descr="@5C\QPendientes@">
          <a:extLst>
            <a:ext uri="{FF2B5EF4-FFF2-40B4-BE49-F238E27FC236}">
              <a16:creationId xmlns:a16="http://schemas.microsoft.com/office/drawing/2014/main" id="{BBF64509-D4FA-4882-94BD-1A30ABD5BE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78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</xdr:row>
      <xdr:rowOff>0</xdr:rowOff>
    </xdr:from>
    <xdr:to>
      <xdr:col>0</xdr:col>
      <xdr:colOff>171450</xdr:colOff>
      <xdr:row>60</xdr:row>
      <xdr:rowOff>133350</xdr:rowOff>
    </xdr:to>
    <xdr:pic>
      <xdr:nvPicPr>
        <xdr:cNvPr id="287" name="Picture@5C\QPendientes@" descr="@5C\QPendientes@">
          <a:extLst>
            <a:ext uri="{FF2B5EF4-FFF2-40B4-BE49-F238E27FC236}">
              <a16:creationId xmlns:a16="http://schemas.microsoft.com/office/drawing/2014/main" id="{3B3B3F22-DAEC-4DBC-961D-C8D3635CA4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7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</xdr:row>
      <xdr:rowOff>0</xdr:rowOff>
    </xdr:from>
    <xdr:to>
      <xdr:col>0</xdr:col>
      <xdr:colOff>171450</xdr:colOff>
      <xdr:row>61</xdr:row>
      <xdr:rowOff>133350</xdr:rowOff>
    </xdr:to>
    <xdr:pic>
      <xdr:nvPicPr>
        <xdr:cNvPr id="288" name="Picture@5C\QPendientes@" descr="@5C\QPendientes@">
          <a:extLst>
            <a:ext uri="{FF2B5EF4-FFF2-40B4-BE49-F238E27FC236}">
              <a16:creationId xmlns:a16="http://schemas.microsoft.com/office/drawing/2014/main" id="{804A993B-A9F8-4401-91E0-22A6FED702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5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</xdr:row>
      <xdr:rowOff>0</xdr:rowOff>
    </xdr:from>
    <xdr:to>
      <xdr:col>0</xdr:col>
      <xdr:colOff>171450</xdr:colOff>
      <xdr:row>62</xdr:row>
      <xdr:rowOff>133350</xdr:rowOff>
    </xdr:to>
    <xdr:pic>
      <xdr:nvPicPr>
        <xdr:cNvPr id="289" name="Picture@5C\QPendientes@" descr="@5C\QPendientes@">
          <a:extLst>
            <a:ext uri="{FF2B5EF4-FFF2-40B4-BE49-F238E27FC236}">
              <a16:creationId xmlns:a16="http://schemas.microsoft.com/office/drawing/2014/main" id="{55D3B6D1-9BD7-44FC-9FDC-05827F336E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3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</xdr:row>
      <xdr:rowOff>0</xdr:rowOff>
    </xdr:from>
    <xdr:to>
      <xdr:col>0</xdr:col>
      <xdr:colOff>171450</xdr:colOff>
      <xdr:row>63</xdr:row>
      <xdr:rowOff>133350</xdr:rowOff>
    </xdr:to>
    <xdr:pic>
      <xdr:nvPicPr>
        <xdr:cNvPr id="290" name="Picture@5C\QPendientes@" descr="@5C\QPendientes@">
          <a:extLst>
            <a:ext uri="{FF2B5EF4-FFF2-40B4-BE49-F238E27FC236}">
              <a16:creationId xmlns:a16="http://schemas.microsoft.com/office/drawing/2014/main" id="{F0420B09-5F4B-4074-9240-CDEA6684A9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2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</xdr:row>
      <xdr:rowOff>0</xdr:rowOff>
    </xdr:from>
    <xdr:to>
      <xdr:col>0</xdr:col>
      <xdr:colOff>171450</xdr:colOff>
      <xdr:row>64</xdr:row>
      <xdr:rowOff>133350</xdr:rowOff>
    </xdr:to>
    <xdr:pic>
      <xdr:nvPicPr>
        <xdr:cNvPr id="291" name="Picture@5C\QPendientes@" descr="@5C\QPendientes@">
          <a:extLst>
            <a:ext uri="{FF2B5EF4-FFF2-40B4-BE49-F238E27FC236}">
              <a16:creationId xmlns:a16="http://schemas.microsoft.com/office/drawing/2014/main" id="{D84618ED-CAA1-4B8E-A758-7796445AE0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0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</xdr:row>
      <xdr:rowOff>0</xdr:rowOff>
    </xdr:from>
    <xdr:to>
      <xdr:col>0</xdr:col>
      <xdr:colOff>171450</xdr:colOff>
      <xdr:row>65</xdr:row>
      <xdr:rowOff>133350</xdr:rowOff>
    </xdr:to>
    <xdr:pic>
      <xdr:nvPicPr>
        <xdr:cNvPr id="292" name="Picture@5C\QPendientes@" descr="@5C\QPendientes@">
          <a:extLst>
            <a:ext uri="{FF2B5EF4-FFF2-40B4-BE49-F238E27FC236}">
              <a16:creationId xmlns:a16="http://schemas.microsoft.com/office/drawing/2014/main" id="{27EA4083-9B24-4923-92E1-1835707D8B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88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</xdr:row>
      <xdr:rowOff>0</xdr:rowOff>
    </xdr:from>
    <xdr:to>
      <xdr:col>0</xdr:col>
      <xdr:colOff>171450</xdr:colOff>
      <xdr:row>66</xdr:row>
      <xdr:rowOff>133350</xdr:rowOff>
    </xdr:to>
    <xdr:pic>
      <xdr:nvPicPr>
        <xdr:cNvPr id="293" name="Picture@5C\QPendientes@" descr="@5C\QPendientes@">
          <a:extLst>
            <a:ext uri="{FF2B5EF4-FFF2-40B4-BE49-F238E27FC236}">
              <a16:creationId xmlns:a16="http://schemas.microsoft.com/office/drawing/2014/main" id="{02071278-D02C-4DE9-9E75-B2CC42A7B9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07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</xdr:row>
      <xdr:rowOff>0</xdr:rowOff>
    </xdr:from>
    <xdr:to>
      <xdr:col>0</xdr:col>
      <xdr:colOff>171450</xdr:colOff>
      <xdr:row>67</xdr:row>
      <xdr:rowOff>133350</xdr:rowOff>
    </xdr:to>
    <xdr:pic>
      <xdr:nvPicPr>
        <xdr:cNvPr id="294" name="Picture@5C\QPendientes@" descr="@5C\QPendientes@">
          <a:extLst>
            <a:ext uri="{FF2B5EF4-FFF2-40B4-BE49-F238E27FC236}">
              <a16:creationId xmlns:a16="http://schemas.microsoft.com/office/drawing/2014/main" id="{0DF91AF4-C72B-4627-902B-8024CF4A12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25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</xdr:row>
      <xdr:rowOff>0</xdr:rowOff>
    </xdr:from>
    <xdr:to>
      <xdr:col>0</xdr:col>
      <xdr:colOff>171450</xdr:colOff>
      <xdr:row>68</xdr:row>
      <xdr:rowOff>133350</xdr:rowOff>
    </xdr:to>
    <xdr:pic>
      <xdr:nvPicPr>
        <xdr:cNvPr id="295" name="Picture@5C\QPendientes@" descr="@5C\QPendientes@">
          <a:extLst>
            <a:ext uri="{FF2B5EF4-FFF2-40B4-BE49-F238E27FC236}">
              <a16:creationId xmlns:a16="http://schemas.microsoft.com/office/drawing/2014/main" id="{A14CE529-FE35-48D3-914A-581616FA2D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43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133350</xdr:rowOff>
    </xdr:to>
    <xdr:pic>
      <xdr:nvPicPr>
        <xdr:cNvPr id="296" name="Picture@5C\QPendientes@" descr="@5C\QPendientes@">
          <a:extLst>
            <a:ext uri="{FF2B5EF4-FFF2-40B4-BE49-F238E27FC236}">
              <a16:creationId xmlns:a16="http://schemas.microsoft.com/office/drawing/2014/main" id="{062CB36C-A0E0-4481-A2A6-DDB75A8E03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1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</xdr:row>
      <xdr:rowOff>0</xdr:rowOff>
    </xdr:from>
    <xdr:to>
      <xdr:col>0</xdr:col>
      <xdr:colOff>171450</xdr:colOff>
      <xdr:row>70</xdr:row>
      <xdr:rowOff>133350</xdr:rowOff>
    </xdr:to>
    <xdr:pic>
      <xdr:nvPicPr>
        <xdr:cNvPr id="297" name="Picture@5C\QPendientes@" descr="@5C\QPendientes@">
          <a:extLst>
            <a:ext uri="{FF2B5EF4-FFF2-40B4-BE49-F238E27FC236}">
              <a16:creationId xmlns:a16="http://schemas.microsoft.com/office/drawing/2014/main" id="{552AA8FD-5466-46F7-B34B-FF1615E964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0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171450</xdr:colOff>
      <xdr:row>71</xdr:row>
      <xdr:rowOff>133350</xdr:rowOff>
    </xdr:to>
    <xdr:pic>
      <xdr:nvPicPr>
        <xdr:cNvPr id="298" name="Picture@5C\QPendientes@" descr="@5C\QPendientes@">
          <a:extLst>
            <a:ext uri="{FF2B5EF4-FFF2-40B4-BE49-F238E27FC236}">
              <a16:creationId xmlns:a16="http://schemas.microsoft.com/office/drawing/2014/main" id="{AB646F7E-F270-46F8-868A-38DBC9E7FD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98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</xdr:row>
      <xdr:rowOff>0</xdr:rowOff>
    </xdr:from>
    <xdr:to>
      <xdr:col>0</xdr:col>
      <xdr:colOff>171450</xdr:colOff>
      <xdr:row>72</xdr:row>
      <xdr:rowOff>133350</xdr:rowOff>
    </xdr:to>
    <xdr:pic>
      <xdr:nvPicPr>
        <xdr:cNvPr id="299" name="Picture@5C\QPendientes@" descr="@5C\QPendientes@">
          <a:extLst>
            <a:ext uri="{FF2B5EF4-FFF2-40B4-BE49-F238E27FC236}">
              <a16:creationId xmlns:a16="http://schemas.microsoft.com/office/drawing/2014/main" id="{083ECBB6-E924-4A66-A160-9BB53E6AF3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16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</xdr:row>
      <xdr:rowOff>0</xdr:rowOff>
    </xdr:from>
    <xdr:to>
      <xdr:col>0</xdr:col>
      <xdr:colOff>171450</xdr:colOff>
      <xdr:row>73</xdr:row>
      <xdr:rowOff>133350</xdr:rowOff>
    </xdr:to>
    <xdr:pic>
      <xdr:nvPicPr>
        <xdr:cNvPr id="300" name="Picture@5C\QPendientes@" descr="@5C\QPendientes@">
          <a:extLst>
            <a:ext uri="{FF2B5EF4-FFF2-40B4-BE49-F238E27FC236}">
              <a16:creationId xmlns:a16="http://schemas.microsoft.com/office/drawing/2014/main" id="{A864C3D3-8180-4F77-BCC6-172E549CBD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35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</xdr:row>
      <xdr:rowOff>0</xdr:rowOff>
    </xdr:from>
    <xdr:to>
      <xdr:col>0</xdr:col>
      <xdr:colOff>171450</xdr:colOff>
      <xdr:row>74</xdr:row>
      <xdr:rowOff>133350</xdr:rowOff>
    </xdr:to>
    <xdr:pic>
      <xdr:nvPicPr>
        <xdr:cNvPr id="301" name="Picture@5C\QPendientes@" descr="@5C\QPendientes@">
          <a:extLst>
            <a:ext uri="{FF2B5EF4-FFF2-40B4-BE49-F238E27FC236}">
              <a16:creationId xmlns:a16="http://schemas.microsoft.com/office/drawing/2014/main" id="{BF3A7DB0-F9E6-4DEB-AD93-544B6BE74E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53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</xdr:row>
      <xdr:rowOff>0</xdr:rowOff>
    </xdr:from>
    <xdr:to>
      <xdr:col>0</xdr:col>
      <xdr:colOff>171450</xdr:colOff>
      <xdr:row>75</xdr:row>
      <xdr:rowOff>133350</xdr:rowOff>
    </xdr:to>
    <xdr:pic>
      <xdr:nvPicPr>
        <xdr:cNvPr id="302" name="Picture@5C\QPendientes@" descr="@5C\QPendientes@">
          <a:extLst>
            <a:ext uri="{FF2B5EF4-FFF2-40B4-BE49-F238E27FC236}">
              <a16:creationId xmlns:a16="http://schemas.microsoft.com/office/drawing/2014/main" id="{A0F1A7ED-B541-4D2A-B9F2-5C4FD630D8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71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</xdr:row>
      <xdr:rowOff>0</xdr:rowOff>
    </xdr:from>
    <xdr:to>
      <xdr:col>0</xdr:col>
      <xdr:colOff>171450</xdr:colOff>
      <xdr:row>76</xdr:row>
      <xdr:rowOff>133350</xdr:rowOff>
    </xdr:to>
    <xdr:pic>
      <xdr:nvPicPr>
        <xdr:cNvPr id="303" name="Picture@5C\QPendientes@" descr="@5C\QPendientes@">
          <a:extLst>
            <a:ext uri="{FF2B5EF4-FFF2-40B4-BE49-F238E27FC236}">
              <a16:creationId xmlns:a16="http://schemas.microsoft.com/office/drawing/2014/main" id="{BE487138-1174-4007-8E44-BCF65ED43B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89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</xdr:row>
      <xdr:rowOff>0</xdr:rowOff>
    </xdr:from>
    <xdr:to>
      <xdr:col>0</xdr:col>
      <xdr:colOff>171450</xdr:colOff>
      <xdr:row>77</xdr:row>
      <xdr:rowOff>133350</xdr:rowOff>
    </xdr:to>
    <xdr:pic>
      <xdr:nvPicPr>
        <xdr:cNvPr id="304" name="Picture@5C\QPendientes@" descr="@5C\QPendientes@">
          <a:extLst>
            <a:ext uri="{FF2B5EF4-FFF2-40B4-BE49-F238E27FC236}">
              <a16:creationId xmlns:a16="http://schemas.microsoft.com/office/drawing/2014/main" id="{DAF41022-7650-4A8A-AB7C-698E7D0C58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08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</xdr:row>
      <xdr:rowOff>0</xdr:rowOff>
    </xdr:from>
    <xdr:to>
      <xdr:col>0</xdr:col>
      <xdr:colOff>171450</xdr:colOff>
      <xdr:row>78</xdr:row>
      <xdr:rowOff>133350</xdr:rowOff>
    </xdr:to>
    <xdr:pic>
      <xdr:nvPicPr>
        <xdr:cNvPr id="305" name="Picture@5C\QPendientes@" descr="@5C\QPendientes@">
          <a:extLst>
            <a:ext uri="{FF2B5EF4-FFF2-40B4-BE49-F238E27FC236}">
              <a16:creationId xmlns:a16="http://schemas.microsoft.com/office/drawing/2014/main" id="{F75922B3-6953-4659-B23E-F82D560494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26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</xdr:row>
      <xdr:rowOff>0</xdr:rowOff>
    </xdr:from>
    <xdr:to>
      <xdr:col>0</xdr:col>
      <xdr:colOff>171450</xdr:colOff>
      <xdr:row>79</xdr:row>
      <xdr:rowOff>133350</xdr:rowOff>
    </xdr:to>
    <xdr:pic>
      <xdr:nvPicPr>
        <xdr:cNvPr id="306" name="Picture@5C\QPendientes@" descr="@5C\QPendientes@">
          <a:extLst>
            <a:ext uri="{FF2B5EF4-FFF2-40B4-BE49-F238E27FC236}">
              <a16:creationId xmlns:a16="http://schemas.microsoft.com/office/drawing/2014/main" id="{1BDC9E58-EA6C-4752-B90A-F70C1620A2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44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</xdr:row>
      <xdr:rowOff>0</xdr:rowOff>
    </xdr:from>
    <xdr:to>
      <xdr:col>0</xdr:col>
      <xdr:colOff>171450</xdr:colOff>
      <xdr:row>80</xdr:row>
      <xdr:rowOff>133350</xdr:rowOff>
    </xdr:to>
    <xdr:pic>
      <xdr:nvPicPr>
        <xdr:cNvPr id="307" name="Picture@5C\QPendientes@" descr="@5C\QPendientes@">
          <a:extLst>
            <a:ext uri="{FF2B5EF4-FFF2-40B4-BE49-F238E27FC236}">
              <a16:creationId xmlns:a16="http://schemas.microsoft.com/office/drawing/2014/main" id="{3A20A4A6-59FA-4E3F-A886-45AD10ECB0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3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</xdr:row>
      <xdr:rowOff>0</xdr:rowOff>
    </xdr:from>
    <xdr:to>
      <xdr:col>0</xdr:col>
      <xdr:colOff>171450</xdr:colOff>
      <xdr:row>81</xdr:row>
      <xdr:rowOff>133350</xdr:rowOff>
    </xdr:to>
    <xdr:pic>
      <xdr:nvPicPr>
        <xdr:cNvPr id="308" name="Picture@5C\QPendientes@" descr="@5C\QPendientes@">
          <a:extLst>
            <a:ext uri="{FF2B5EF4-FFF2-40B4-BE49-F238E27FC236}">
              <a16:creationId xmlns:a16="http://schemas.microsoft.com/office/drawing/2014/main" id="{2DCAE911-DA98-486A-8507-623EDDDC6E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81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</xdr:row>
      <xdr:rowOff>0</xdr:rowOff>
    </xdr:from>
    <xdr:to>
      <xdr:col>0</xdr:col>
      <xdr:colOff>171450</xdr:colOff>
      <xdr:row>82</xdr:row>
      <xdr:rowOff>133350</xdr:rowOff>
    </xdr:to>
    <xdr:pic>
      <xdr:nvPicPr>
        <xdr:cNvPr id="309" name="Picture@5C\QPendientes@" descr="@5C\QPendientes@">
          <a:extLst>
            <a:ext uri="{FF2B5EF4-FFF2-40B4-BE49-F238E27FC236}">
              <a16:creationId xmlns:a16="http://schemas.microsoft.com/office/drawing/2014/main" id="{24AED913-4EE8-4E7C-8AE4-3CFD78A063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99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</xdr:row>
      <xdr:rowOff>0</xdr:rowOff>
    </xdr:from>
    <xdr:to>
      <xdr:col>0</xdr:col>
      <xdr:colOff>171450</xdr:colOff>
      <xdr:row>83</xdr:row>
      <xdr:rowOff>133350</xdr:rowOff>
    </xdr:to>
    <xdr:pic>
      <xdr:nvPicPr>
        <xdr:cNvPr id="310" name="Picture@5C\QPendientes@" descr="@5C\QPendientes@">
          <a:extLst>
            <a:ext uri="{FF2B5EF4-FFF2-40B4-BE49-F238E27FC236}">
              <a16:creationId xmlns:a16="http://schemas.microsoft.com/office/drawing/2014/main" id="{5F1AEA77-8C49-4825-BF17-A6BEB6210E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17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</xdr:row>
      <xdr:rowOff>0</xdr:rowOff>
    </xdr:from>
    <xdr:to>
      <xdr:col>0</xdr:col>
      <xdr:colOff>171450</xdr:colOff>
      <xdr:row>84</xdr:row>
      <xdr:rowOff>133350</xdr:rowOff>
    </xdr:to>
    <xdr:pic>
      <xdr:nvPicPr>
        <xdr:cNvPr id="311" name="Picture@5C\QPendientes@" descr="@5C\QPendientes@">
          <a:extLst>
            <a:ext uri="{FF2B5EF4-FFF2-40B4-BE49-F238E27FC236}">
              <a16:creationId xmlns:a16="http://schemas.microsoft.com/office/drawing/2014/main" id="{CFE230C5-2F35-42F7-BC26-464D1AB943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36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</xdr:row>
      <xdr:rowOff>0</xdr:rowOff>
    </xdr:from>
    <xdr:to>
      <xdr:col>0</xdr:col>
      <xdr:colOff>171450</xdr:colOff>
      <xdr:row>85</xdr:row>
      <xdr:rowOff>133350</xdr:rowOff>
    </xdr:to>
    <xdr:pic>
      <xdr:nvPicPr>
        <xdr:cNvPr id="312" name="Picture@5C\QPendientes@" descr="@5C\QPendientes@">
          <a:extLst>
            <a:ext uri="{FF2B5EF4-FFF2-40B4-BE49-F238E27FC236}">
              <a16:creationId xmlns:a16="http://schemas.microsoft.com/office/drawing/2014/main" id="{92B599DB-0CAC-4A6B-A053-A2FC2F420F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54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</xdr:row>
      <xdr:rowOff>0</xdr:rowOff>
    </xdr:from>
    <xdr:to>
      <xdr:col>0</xdr:col>
      <xdr:colOff>171450</xdr:colOff>
      <xdr:row>86</xdr:row>
      <xdr:rowOff>133350</xdr:rowOff>
    </xdr:to>
    <xdr:pic>
      <xdr:nvPicPr>
        <xdr:cNvPr id="313" name="Picture@5C\QPendientes@" descr="@5C\QPendientes@">
          <a:extLst>
            <a:ext uri="{FF2B5EF4-FFF2-40B4-BE49-F238E27FC236}">
              <a16:creationId xmlns:a16="http://schemas.microsoft.com/office/drawing/2014/main" id="{D29D904D-23CF-4B31-9B06-1CD715B535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72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</xdr:row>
      <xdr:rowOff>0</xdr:rowOff>
    </xdr:from>
    <xdr:to>
      <xdr:col>0</xdr:col>
      <xdr:colOff>171450</xdr:colOff>
      <xdr:row>87</xdr:row>
      <xdr:rowOff>133350</xdr:rowOff>
    </xdr:to>
    <xdr:pic>
      <xdr:nvPicPr>
        <xdr:cNvPr id="314" name="Picture@5C\QPendientes@" descr="@5C\QPendientes@">
          <a:extLst>
            <a:ext uri="{FF2B5EF4-FFF2-40B4-BE49-F238E27FC236}">
              <a16:creationId xmlns:a16="http://schemas.microsoft.com/office/drawing/2014/main" id="{1DE3BE21-F5B2-444F-9145-972ADA3A0A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91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</xdr:row>
      <xdr:rowOff>0</xdr:rowOff>
    </xdr:from>
    <xdr:to>
      <xdr:col>0</xdr:col>
      <xdr:colOff>171450</xdr:colOff>
      <xdr:row>88</xdr:row>
      <xdr:rowOff>133350</xdr:rowOff>
    </xdr:to>
    <xdr:pic>
      <xdr:nvPicPr>
        <xdr:cNvPr id="315" name="Picture@5C\QPendientes@" descr="@5C\QPendientes@">
          <a:extLst>
            <a:ext uri="{FF2B5EF4-FFF2-40B4-BE49-F238E27FC236}">
              <a16:creationId xmlns:a16="http://schemas.microsoft.com/office/drawing/2014/main" id="{08E0D9EA-5917-430E-86D9-0183CD1556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09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</xdr:row>
      <xdr:rowOff>0</xdr:rowOff>
    </xdr:from>
    <xdr:to>
      <xdr:col>0</xdr:col>
      <xdr:colOff>171450</xdr:colOff>
      <xdr:row>89</xdr:row>
      <xdr:rowOff>133350</xdr:rowOff>
    </xdr:to>
    <xdr:pic>
      <xdr:nvPicPr>
        <xdr:cNvPr id="316" name="Picture@5C\QPendientes@" descr="@5C\QPendientes@">
          <a:extLst>
            <a:ext uri="{FF2B5EF4-FFF2-40B4-BE49-F238E27FC236}">
              <a16:creationId xmlns:a16="http://schemas.microsoft.com/office/drawing/2014/main" id="{DF173183-6079-4628-8E3A-50AAB6D7F5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27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</xdr:row>
      <xdr:rowOff>0</xdr:rowOff>
    </xdr:from>
    <xdr:to>
      <xdr:col>0</xdr:col>
      <xdr:colOff>171450</xdr:colOff>
      <xdr:row>90</xdr:row>
      <xdr:rowOff>133350</xdr:rowOff>
    </xdr:to>
    <xdr:pic>
      <xdr:nvPicPr>
        <xdr:cNvPr id="317" name="Picture@5C\QPendientes@" descr="@5C\QPendientes@">
          <a:extLst>
            <a:ext uri="{FF2B5EF4-FFF2-40B4-BE49-F238E27FC236}">
              <a16:creationId xmlns:a16="http://schemas.microsoft.com/office/drawing/2014/main" id="{8E053124-0704-4A3E-832E-86D7CFECD4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5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</xdr:row>
      <xdr:rowOff>0</xdr:rowOff>
    </xdr:from>
    <xdr:to>
      <xdr:col>0</xdr:col>
      <xdr:colOff>171450</xdr:colOff>
      <xdr:row>91</xdr:row>
      <xdr:rowOff>133350</xdr:rowOff>
    </xdr:to>
    <xdr:pic>
      <xdr:nvPicPr>
        <xdr:cNvPr id="318" name="Picture@5C\QPendientes@" descr="@5C\QPendientes@">
          <a:extLst>
            <a:ext uri="{FF2B5EF4-FFF2-40B4-BE49-F238E27FC236}">
              <a16:creationId xmlns:a16="http://schemas.microsoft.com/office/drawing/2014/main" id="{E5226F7E-FCD5-4586-B1BA-91D51A2890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64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</xdr:row>
      <xdr:rowOff>0</xdr:rowOff>
    </xdr:from>
    <xdr:to>
      <xdr:col>0</xdr:col>
      <xdr:colOff>171450</xdr:colOff>
      <xdr:row>92</xdr:row>
      <xdr:rowOff>133350</xdr:rowOff>
    </xdr:to>
    <xdr:pic>
      <xdr:nvPicPr>
        <xdr:cNvPr id="319" name="Picture@5C\QPendientes@" descr="@5C\QPendientes@">
          <a:extLst>
            <a:ext uri="{FF2B5EF4-FFF2-40B4-BE49-F238E27FC236}">
              <a16:creationId xmlns:a16="http://schemas.microsoft.com/office/drawing/2014/main" id="{D9E48A36-588D-4A67-869A-E1DFA8883E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82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</xdr:row>
      <xdr:rowOff>0</xdr:rowOff>
    </xdr:from>
    <xdr:to>
      <xdr:col>0</xdr:col>
      <xdr:colOff>171450</xdr:colOff>
      <xdr:row>93</xdr:row>
      <xdr:rowOff>133350</xdr:rowOff>
    </xdr:to>
    <xdr:pic>
      <xdr:nvPicPr>
        <xdr:cNvPr id="320" name="Picture@5C\QPendientes@" descr="@5C\QPendientes@">
          <a:extLst>
            <a:ext uri="{FF2B5EF4-FFF2-40B4-BE49-F238E27FC236}">
              <a16:creationId xmlns:a16="http://schemas.microsoft.com/office/drawing/2014/main" id="{375F5312-7A7F-46E0-B1D9-014590F8B6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00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</xdr:row>
      <xdr:rowOff>0</xdr:rowOff>
    </xdr:from>
    <xdr:to>
      <xdr:col>0</xdr:col>
      <xdr:colOff>171450</xdr:colOff>
      <xdr:row>94</xdr:row>
      <xdr:rowOff>133350</xdr:rowOff>
    </xdr:to>
    <xdr:pic>
      <xdr:nvPicPr>
        <xdr:cNvPr id="321" name="Picture@5C\QPendientes@" descr="@5C\QPendientes@">
          <a:extLst>
            <a:ext uri="{FF2B5EF4-FFF2-40B4-BE49-F238E27FC236}">
              <a16:creationId xmlns:a16="http://schemas.microsoft.com/office/drawing/2014/main" id="{4C16F89E-8C41-411D-BA73-00C54341E2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19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</xdr:row>
      <xdr:rowOff>0</xdr:rowOff>
    </xdr:from>
    <xdr:to>
      <xdr:col>0</xdr:col>
      <xdr:colOff>171450</xdr:colOff>
      <xdr:row>95</xdr:row>
      <xdr:rowOff>133350</xdr:rowOff>
    </xdr:to>
    <xdr:pic>
      <xdr:nvPicPr>
        <xdr:cNvPr id="322" name="Picture@5C\QPendientes@" descr="@5C\QPendientes@">
          <a:extLst>
            <a:ext uri="{FF2B5EF4-FFF2-40B4-BE49-F238E27FC236}">
              <a16:creationId xmlns:a16="http://schemas.microsoft.com/office/drawing/2014/main" id="{F40B418B-AD06-4C4F-B372-B8EFAF3F5D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37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</xdr:row>
      <xdr:rowOff>0</xdr:rowOff>
    </xdr:from>
    <xdr:to>
      <xdr:col>0</xdr:col>
      <xdr:colOff>171450</xdr:colOff>
      <xdr:row>96</xdr:row>
      <xdr:rowOff>133350</xdr:rowOff>
    </xdr:to>
    <xdr:pic>
      <xdr:nvPicPr>
        <xdr:cNvPr id="323" name="Picture@5C\QPendientes@" descr="@5C\QPendientes@">
          <a:extLst>
            <a:ext uri="{FF2B5EF4-FFF2-40B4-BE49-F238E27FC236}">
              <a16:creationId xmlns:a16="http://schemas.microsoft.com/office/drawing/2014/main" id="{B030AD73-A7DA-430D-AD45-9BE85FE21B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55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</xdr:row>
      <xdr:rowOff>0</xdr:rowOff>
    </xdr:from>
    <xdr:to>
      <xdr:col>0</xdr:col>
      <xdr:colOff>171450</xdr:colOff>
      <xdr:row>97</xdr:row>
      <xdr:rowOff>133350</xdr:rowOff>
    </xdr:to>
    <xdr:pic>
      <xdr:nvPicPr>
        <xdr:cNvPr id="324" name="Picture@5C\QPendientes@" descr="@5C\QPendientes@">
          <a:extLst>
            <a:ext uri="{FF2B5EF4-FFF2-40B4-BE49-F238E27FC236}">
              <a16:creationId xmlns:a16="http://schemas.microsoft.com/office/drawing/2014/main" id="{675FF8ED-14A5-46F1-892C-E9CFF886E4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73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</xdr:row>
      <xdr:rowOff>0</xdr:rowOff>
    </xdr:from>
    <xdr:to>
      <xdr:col>0</xdr:col>
      <xdr:colOff>171450</xdr:colOff>
      <xdr:row>98</xdr:row>
      <xdr:rowOff>133350</xdr:rowOff>
    </xdr:to>
    <xdr:pic>
      <xdr:nvPicPr>
        <xdr:cNvPr id="325" name="Picture@5C\QPendientes@" descr="@5C\QPendientes@">
          <a:extLst>
            <a:ext uri="{FF2B5EF4-FFF2-40B4-BE49-F238E27FC236}">
              <a16:creationId xmlns:a16="http://schemas.microsoft.com/office/drawing/2014/main" id="{EC5A33AD-5529-4A18-A9EC-3EF467B985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92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</xdr:row>
      <xdr:rowOff>0</xdr:rowOff>
    </xdr:from>
    <xdr:to>
      <xdr:col>0</xdr:col>
      <xdr:colOff>171450</xdr:colOff>
      <xdr:row>99</xdr:row>
      <xdr:rowOff>133350</xdr:rowOff>
    </xdr:to>
    <xdr:pic>
      <xdr:nvPicPr>
        <xdr:cNvPr id="326" name="Picture@5C\QPendientes@" descr="@5C\QPendientes@">
          <a:extLst>
            <a:ext uri="{FF2B5EF4-FFF2-40B4-BE49-F238E27FC236}">
              <a16:creationId xmlns:a16="http://schemas.microsoft.com/office/drawing/2014/main" id="{1001FE9E-7191-469E-81CD-506F988671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10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</xdr:row>
      <xdr:rowOff>0</xdr:rowOff>
    </xdr:from>
    <xdr:to>
      <xdr:col>0</xdr:col>
      <xdr:colOff>171450</xdr:colOff>
      <xdr:row>100</xdr:row>
      <xdr:rowOff>133350</xdr:rowOff>
    </xdr:to>
    <xdr:pic>
      <xdr:nvPicPr>
        <xdr:cNvPr id="327" name="Picture@5C\QPendientes@" descr="@5C\QPendientes@">
          <a:extLst>
            <a:ext uri="{FF2B5EF4-FFF2-40B4-BE49-F238E27FC236}">
              <a16:creationId xmlns:a16="http://schemas.microsoft.com/office/drawing/2014/main" id="{BB76435A-59B6-45DB-9183-AC7A80196D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28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</xdr:row>
      <xdr:rowOff>0</xdr:rowOff>
    </xdr:from>
    <xdr:to>
      <xdr:col>0</xdr:col>
      <xdr:colOff>171450</xdr:colOff>
      <xdr:row>101</xdr:row>
      <xdr:rowOff>133350</xdr:rowOff>
    </xdr:to>
    <xdr:pic>
      <xdr:nvPicPr>
        <xdr:cNvPr id="328" name="Picture@5C\QPendientes@" descr="@5C\QPendientes@">
          <a:extLst>
            <a:ext uri="{FF2B5EF4-FFF2-40B4-BE49-F238E27FC236}">
              <a16:creationId xmlns:a16="http://schemas.microsoft.com/office/drawing/2014/main" id="{9E4FE4CB-90F1-48CC-9C53-D7FB424D16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47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</xdr:row>
      <xdr:rowOff>0</xdr:rowOff>
    </xdr:from>
    <xdr:to>
      <xdr:col>0</xdr:col>
      <xdr:colOff>171450</xdr:colOff>
      <xdr:row>102</xdr:row>
      <xdr:rowOff>133350</xdr:rowOff>
    </xdr:to>
    <xdr:pic>
      <xdr:nvPicPr>
        <xdr:cNvPr id="329" name="Picture@5C\QPendientes@" descr="@5C\QPendientes@">
          <a:extLst>
            <a:ext uri="{FF2B5EF4-FFF2-40B4-BE49-F238E27FC236}">
              <a16:creationId xmlns:a16="http://schemas.microsoft.com/office/drawing/2014/main" id="{C5319443-7B2C-4944-9085-117C96D82C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65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</xdr:row>
      <xdr:rowOff>0</xdr:rowOff>
    </xdr:from>
    <xdr:to>
      <xdr:col>0</xdr:col>
      <xdr:colOff>171450</xdr:colOff>
      <xdr:row>103</xdr:row>
      <xdr:rowOff>133350</xdr:rowOff>
    </xdr:to>
    <xdr:pic>
      <xdr:nvPicPr>
        <xdr:cNvPr id="330" name="Picture@5C\QPendientes@" descr="@5C\QPendientes@">
          <a:extLst>
            <a:ext uri="{FF2B5EF4-FFF2-40B4-BE49-F238E27FC236}">
              <a16:creationId xmlns:a16="http://schemas.microsoft.com/office/drawing/2014/main" id="{A3E35FD9-DB87-4451-A2BF-5E36957176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83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</xdr:row>
      <xdr:rowOff>0</xdr:rowOff>
    </xdr:from>
    <xdr:to>
      <xdr:col>0</xdr:col>
      <xdr:colOff>171450</xdr:colOff>
      <xdr:row>104</xdr:row>
      <xdr:rowOff>133350</xdr:rowOff>
    </xdr:to>
    <xdr:pic>
      <xdr:nvPicPr>
        <xdr:cNvPr id="331" name="Picture@5C\QPendientes@" descr="@5C\QPendientes@">
          <a:extLst>
            <a:ext uri="{FF2B5EF4-FFF2-40B4-BE49-F238E27FC236}">
              <a16:creationId xmlns:a16="http://schemas.microsoft.com/office/drawing/2014/main" id="{CF805F08-1F94-4500-9CC2-48DBF15C26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01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</xdr:row>
      <xdr:rowOff>0</xdr:rowOff>
    </xdr:from>
    <xdr:to>
      <xdr:col>0</xdr:col>
      <xdr:colOff>171450</xdr:colOff>
      <xdr:row>105</xdr:row>
      <xdr:rowOff>133350</xdr:rowOff>
    </xdr:to>
    <xdr:pic>
      <xdr:nvPicPr>
        <xdr:cNvPr id="332" name="Picture@5C\QPendientes@" descr="@5C\QPendientes@">
          <a:extLst>
            <a:ext uri="{FF2B5EF4-FFF2-40B4-BE49-F238E27FC236}">
              <a16:creationId xmlns:a16="http://schemas.microsoft.com/office/drawing/2014/main" id="{F70A9D87-3D7D-4DAD-9F7B-D4278BAE31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20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</xdr:row>
      <xdr:rowOff>0</xdr:rowOff>
    </xdr:from>
    <xdr:to>
      <xdr:col>0</xdr:col>
      <xdr:colOff>171450</xdr:colOff>
      <xdr:row>106</xdr:row>
      <xdr:rowOff>133350</xdr:rowOff>
    </xdr:to>
    <xdr:pic>
      <xdr:nvPicPr>
        <xdr:cNvPr id="333" name="Picture@5C\QPendientes@" descr="@5C\QPendientes@">
          <a:extLst>
            <a:ext uri="{FF2B5EF4-FFF2-40B4-BE49-F238E27FC236}">
              <a16:creationId xmlns:a16="http://schemas.microsoft.com/office/drawing/2014/main" id="{53B1644E-1A12-4A66-8D6A-FDB3BF1B59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38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</xdr:row>
      <xdr:rowOff>0</xdr:rowOff>
    </xdr:from>
    <xdr:to>
      <xdr:col>0</xdr:col>
      <xdr:colOff>171450</xdr:colOff>
      <xdr:row>107</xdr:row>
      <xdr:rowOff>133350</xdr:rowOff>
    </xdr:to>
    <xdr:pic>
      <xdr:nvPicPr>
        <xdr:cNvPr id="334" name="Picture@5C\QPendientes@" descr="@5C\QPendientes@">
          <a:extLst>
            <a:ext uri="{FF2B5EF4-FFF2-40B4-BE49-F238E27FC236}">
              <a16:creationId xmlns:a16="http://schemas.microsoft.com/office/drawing/2014/main" id="{F3AE0E69-5CF7-4046-B7B5-40DFD637AD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56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</xdr:row>
      <xdr:rowOff>0</xdr:rowOff>
    </xdr:from>
    <xdr:to>
      <xdr:col>0</xdr:col>
      <xdr:colOff>171450</xdr:colOff>
      <xdr:row>108</xdr:row>
      <xdr:rowOff>133350</xdr:rowOff>
    </xdr:to>
    <xdr:pic>
      <xdr:nvPicPr>
        <xdr:cNvPr id="335" name="Picture@5C\QPendientes@" descr="@5C\QPendientes@">
          <a:extLst>
            <a:ext uri="{FF2B5EF4-FFF2-40B4-BE49-F238E27FC236}">
              <a16:creationId xmlns:a16="http://schemas.microsoft.com/office/drawing/2014/main" id="{A9765F2C-3970-449F-84BC-2420FFF368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75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</xdr:row>
      <xdr:rowOff>0</xdr:rowOff>
    </xdr:from>
    <xdr:to>
      <xdr:col>0</xdr:col>
      <xdr:colOff>171450</xdr:colOff>
      <xdr:row>109</xdr:row>
      <xdr:rowOff>133350</xdr:rowOff>
    </xdr:to>
    <xdr:pic>
      <xdr:nvPicPr>
        <xdr:cNvPr id="336" name="Picture@5C\QPendientes@" descr="@5C\QPendientes@">
          <a:extLst>
            <a:ext uri="{FF2B5EF4-FFF2-40B4-BE49-F238E27FC236}">
              <a16:creationId xmlns:a16="http://schemas.microsoft.com/office/drawing/2014/main" id="{731B356F-5B03-4FB4-B5D0-39D3DE31B8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93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</xdr:row>
      <xdr:rowOff>0</xdr:rowOff>
    </xdr:from>
    <xdr:to>
      <xdr:col>0</xdr:col>
      <xdr:colOff>171450</xdr:colOff>
      <xdr:row>110</xdr:row>
      <xdr:rowOff>133350</xdr:rowOff>
    </xdr:to>
    <xdr:pic>
      <xdr:nvPicPr>
        <xdr:cNvPr id="337" name="Picture@5C\QPendientes@" descr="@5C\QPendientes@">
          <a:extLst>
            <a:ext uri="{FF2B5EF4-FFF2-40B4-BE49-F238E27FC236}">
              <a16:creationId xmlns:a16="http://schemas.microsoft.com/office/drawing/2014/main" id="{86777E41-5FCE-46D4-9E2D-026D493C88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11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</xdr:row>
      <xdr:rowOff>0</xdr:rowOff>
    </xdr:from>
    <xdr:to>
      <xdr:col>0</xdr:col>
      <xdr:colOff>171450</xdr:colOff>
      <xdr:row>111</xdr:row>
      <xdr:rowOff>133350</xdr:rowOff>
    </xdr:to>
    <xdr:pic>
      <xdr:nvPicPr>
        <xdr:cNvPr id="338" name="Picture@5C\QPendientes@" descr="@5C\QPendientes@">
          <a:extLst>
            <a:ext uri="{FF2B5EF4-FFF2-40B4-BE49-F238E27FC236}">
              <a16:creationId xmlns:a16="http://schemas.microsoft.com/office/drawing/2014/main" id="{46F98B37-109B-4403-B6B6-DE6D13267C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29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</xdr:row>
      <xdr:rowOff>0</xdr:rowOff>
    </xdr:from>
    <xdr:to>
      <xdr:col>0</xdr:col>
      <xdr:colOff>171450</xdr:colOff>
      <xdr:row>112</xdr:row>
      <xdr:rowOff>133350</xdr:rowOff>
    </xdr:to>
    <xdr:pic>
      <xdr:nvPicPr>
        <xdr:cNvPr id="339" name="Picture@5C\QPendientes@" descr="@5C\QPendientes@">
          <a:extLst>
            <a:ext uri="{FF2B5EF4-FFF2-40B4-BE49-F238E27FC236}">
              <a16:creationId xmlns:a16="http://schemas.microsoft.com/office/drawing/2014/main" id="{3B0CF727-76A9-4A2B-AD94-19120F9396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48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</xdr:row>
      <xdr:rowOff>0</xdr:rowOff>
    </xdr:from>
    <xdr:to>
      <xdr:col>0</xdr:col>
      <xdr:colOff>171450</xdr:colOff>
      <xdr:row>113</xdr:row>
      <xdr:rowOff>133350</xdr:rowOff>
    </xdr:to>
    <xdr:pic>
      <xdr:nvPicPr>
        <xdr:cNvPr id="640" name="Picture@5C\QPendientes@" descr="@5C\QPendientes@">
          <a:extLst>
            <a:ext uri="{FF2B5EF4-FFF2-40B4-BE49-F238E27FC236}">
              <a16:creationId xmlns:a16="http://schemas.microsoft.com/office/drawing/2014/main" id="{C7FC536E-AA11-43D9-9680-290FA02127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66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</xdr:row>
      <xdr:rowOff>0</xdr:rowOff>
    </xdr:from>
    <xdr:to>
      <xdr:col>0</xdr:col>
      <xdr:colOff>171450</xdr:colOff>
      <xdr:row>114</xdr:row>
      <xdr:rowOff>133350</xdr:rowOff>
    </xdr:to>
    <xdr:pic>
      <xdr:nvPicPr>
        <xdr:cNvPr id="641" name="Picture@5C\QPendientes@" descr="@5C\QPendientes@">
          <a:extLst>
            <a:ext uri="{FF2B5EF4-FFF2-40B4-BE49-F238E27FC236}">
              <a16:creationId xmlns:a16="http://schemas.microsoft.com/office/drawing/2014/main" id="{26584A01-4C2D-4240-8FF3-944984E240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84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</xdr:row>
      <xdr:rowOff>0</xdr:rowOff>
    </xdr:from>
    <xdr:to>
      <xdr:col>0</xdr:col>
      <xdr:colOff>171450</xdr:colOff>
      <xdr:row>115</xdr:row>
      <xdr:rowOff>133350</xdr:rowOff>
    </xdr:to>
    <xdr:pic>
      <xdr:nvPicPr>
        <xdr:cNvPr id="642" name="Picture@5C\QPendientes@" descr="@5C\QPendientes@">
          <a:extLst>
            <a:ext uri="{FF2B5EF4-FFF2-40B4-BE49-F238E27FC236}">
              <a16:creationId xmlns:a16="http://schemas.microsoft.com/office/drawing/2014/main" id="{056689C9-680A-4B14-B660-6972F80885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03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</xdr:row>
      <xdr:rowOff>0</xdr:rowOff>
    </xdr:from>
    <xdr:to>
      <xdr:col>0</xdr:col>
      <xdr:colOff>171450</xdr:colOff>
      <xdr:row>116</xdr:row>
      <xdr:rowOff>133350</xdr:rowOff>
    </xdr:to>
    <xdr:pic>
      <xdr:nvPicPr>
        <xdr:cNvPr id="643" name="Picture@5C\QPendientes@" descr="@5C\QPendientes@">
          <a:extLst>
            <a:ext uri="{FF2B5EF4-FFF2-40B4-BE49-F238E27FC236}">
              <a16:creationId xmlns:a16="http://schemas.microsoft.com/office/drawing/2014/main" id="{7F3EF140-0D33-406B-98E0-A3CCE29237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21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</xdr:row>
      <xdr:rowOff>0</xdr:rowOff>
    </xdr:from>
    <xdr:to>
      <xdr:col>0</xdr:col>
      <xdr:colOff>171450</xdr:colOff>
      <xdr:row>117</xdr:row>
      <xdr:rowOff>133350</xdr:rowOff>
    </xdr:to>
    <xdr:pic>
      <xdr:nvPicPr>
        <xdr:cNvPr id="644" name="Picture@5C\QPendientes@" descr="@5C\QPendientes@">
          <a:extLst>
            <a:ext uri="{FF2B5EF4-FFF2-40B4-BE49-F238E27FC236}">
              <a16:creationId xmlns:a16="http://schemas.microsoft.com/office/drawing/2014/main" id="{02EF84BB-09B0-478D-940B-95DA69769C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39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</xdr:row>
      <xdr:rowOff>0</xdr:rowOff>
    </xdr:from>
    <xdr:to>
      <xdr:col>0</xdr:col>
      <xdr:colOff>171450</xdr:colOff>
      <xdr:row>118</xdr:row>
      <xdr:rowOff>133350</xdr:rowOff>
    </xdr:to>
    <xdr:pic>
      <xdr:nvPicPr>
        <xdr:cNvPr id="645" name="Picture@5C\QPendientes@" descr="@5C\QPendientes@">
          <a:extLst>
            <a:ext uri="{FF2B5EF4-FFF2-40B4-BE49-F238E27FC236}">
              <a16:creationId xmlns:a16="http://schemas.microsoft.com/office/drawing/2014/main" id="{2BC4BF52-26F0-4437-9FD5-E8C84C9229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57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</xdr:row>
      <xdr:rowOff>0</xdr:rowOff>
    </xdr:from>
    <xdr:to>
      <xdr:col>0</xdr:col>
      <xdr:colOff>171450</xdr:colOff>
      <xdr:row>119</xdr:row>
      <xdr:rowOff>133350</xdr:rowOff>
    </xdr:to>
    <xdr:pic>
      <xdr:nvPicPr>
        <xdr:cNvPr id="646" name="Picture@5C\QPendientes@" descr="@5C\QPendientes@">
          <a:extLst>
            <a:ext uri="{FF2B5EF4-FFF2-40B4-BE49-F238E27FC236}">
              <a16:creationId xmlns:a16="http://schemas.microsoft.com/office/drawing/2014/main" id="{B4B3E881-13A5-437A-90F8-000BB95F98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76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</xdr:row>
      <xdr:rowOff>0</xdr:rowOff>
    </xdr:from>
    <xdr:to>
      <xdr:col>0</xdr:col>
      <xdr:colOff>171450</xdr:colOff>
      <xdr:row>120</xdr:row>
      <xdr:rowOff>133350</xdr:rowOff>
    </xdr:to>
    <xdr:pic>
      <xdr:nvPicPr>
        <xdr:cNvPr id="647" name="Picture@5C\QPendientes@" descr="@5C\QPendientes@">
          <a:extLst>
            <a:ext uri="{FF2B5EF4-FFF2-40B4-BE49-F238E27FC236}">
              <a16:creationId xmlns:a16="http://schemas.microsoft.com/office/drawing/2014/main" id="{67DD0462-E166-4F78-8363-A87AC6BEA3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4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</xdr:row>
      <xdr:rowOff>0</xdr:rowOff>
    </xdr:from>
    <xdr:to>
      <xdr:col>0</xdr:col>
      <xdr:colOff>171450</xdr:colOff>
      <xdr:row>121</xdr:row>
      <xdr:rowOff>133350</xdr:rowOff>
    </xdr:to>
    <xdr:pic>
      <xdr:nvPicPr>
        <xdr:cNvPr id="648" name="Picture@5C\QPendientes@" descr="@5C\QPendientes@">
          <a:extLst>
            <a:ext uri="{FF2B5EF4-FFF2-40B4-BE49-F238E27FC236}">
              <a16:creationId xmlns:a16="http://schemas.microsoft.com/office/drawing/2014/main" id="{4A991E34-8D99-4ABE-922D-EF68F26C02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12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</xdr:row>
      <xdr:rowOff>0</xdr:rowOff>
    </xdr:from>
    <xdr:to>
      <xdr:col>0</xdr:col>
      <xdr:colOff>171450</xdr:colOff>
      <xdr:row>122</xdr:row>
      <xdr:rowOff>133350</xdr:rowOff>
    </xdr:to>
    <xdr:pic>
      <xdr:nvPicPr>
        <xdr:cNvPr id="649" name="Picture@5C\QPendientes@" descr="@5C\QPendientes@">
          <a:extLst>
            <a:ext uri="{FF2B5EF4-FFF2-40B4-BE49-F238E27FC236}">
              <a16:creationId xmlns:a16="http://schemas.microsoft.com/office/drawing/2014/main" id="{F5BFA8D4-0B16-42E3-AB1C-CC4959B509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31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</xdr:row>
      <xdr:rowOff>0</xdr:rowOff>
    </xdr:from>
    <xdr:to>
      <xdr:col>0</xdr:col>
      <xdr:colOff>171450</xdr:colOff>
      <xdr:row>123</xdr:row>
      <xdr:rowOff>133350</xdr:rowOff>
    </xdr:to>
    <xdr:pic>
      <xdr:nvPicPr>
        <xdr:cNvPr id="650" name="Picture@5C\QPendientes@" descr="@5C\QPendientes@">
          <a:extLst>
            <a:ext uri="{FF2B5EF4-FFF2-40B4-BE49-F238E27FC236}">
              <a16:creationId xmlns:a16="http://schemas.microsoft.com/office/drawing/2014/main" id="{9ECB92D9-A59E-4E04-A998-290DFDAA7E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49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</xdr:row>
      <xdr:rowOff>0</xdr:rowOff>
    </xdr:from>
    <xdr:to>
      <xdr:col>0</xdr:col>
      <xdr:colOff>171450</xdr:colOff>
      <xdr:row>124</xdr:row>
      <xdr:rowOff>133350</xdr:rowOff>
    </xdr:to>
    <xdr:pic>
      <xdr:nvPicPr>
        <xdr:cNvPr id="651" name="Picture@5C\QPendientes@" descr="@5C\QPendientes@">
          <a:extLst>
            <a:ext uri="{FF2B5EF4-FFF2-40B4-BE49-F238E27FC236}">
              <a16:creationId xmlns:a16="http://schemas.microsoft.com/office/drawing/2014/main" id="{0185343A-BBD8-4806-A419-0E74F19863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67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</xdr:row>
      <xdr:rowOff>0</xdr:rowOff>
    </xdr:from>
    <xdr:to>
      <xdr:col>0</xdr:col>
      <xdr:colOff>171450</xdr:colOff>
      <xdr:row>125</xdr:row>
      <xdr:rowOff>133350</xdr:rowOff>
    </xdr:to>
    <xdr:pic>
      <xdr:nvPicPr>
        <xdr:cNvPr id="652" name="Picture@5C\QPendientes@" descr="@5C\QPendientes@">
          <a:extLst>
            <a:ext uri="{FF2B5EF4-FFF2-40B4-BE49-F238E27FC236}">
              <a16:creationId xmlns:a16="http://schemas.microsoft.com/office/drawing/2014/main" id="{9B5DE51F-8BA1-4652-BF90-760D00C57D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86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</xdr:row>
      <xdr:rowOff>0</xdr:rowOff>
    </xdr:from>
    <xdr:to>
      <xdr:col>0</xdr:col>
      <xdr:colOff>171450</xdr:colOff>
      <xdr:row>126</xdr:row>
      <xdr:rowOff>133350</xdr:rowOff>
    </xdr:to>
    <xdr:pic>
      <xdr:nvPicPr>
        <xdr:cNvPr id="653" name="Picture@5C\QPendientes@" descr="@5C\QPendientes@">
          <a:extLst>
            <a:ext uri="{FF2B5EF4-FFF2-40B4-BE49-F238E27FC236}">
              <a16:creationId xmlns:a16="http://schemas.microsoft.com/office/drawing/2014/main" id="{E2AB36B6-7996-4168-9932-5F6D2BA935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04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</xdr:row>
      <xdr:rowOff>0</xdr:rowOff>
    </xdr:from>
    <xdr:to>
      <xdr:col>0</xdr:col>
      <xdr:colOff>171450</xdr:colOff>
      <xdr:row>127</xdr:row>
      <xdr:rowOff>133350</xdr:rowOff>
    </xdr:to>
    <xdr:pic>
      <xdr:nvPicPr>
        <xdr:cNvPr id="654" name="Picture@5C\QPendientes@" descr="@5C\QPendientes@">
          <a:extLst>
            <a:ext uri="{FF2B5EF4-FFF2-40B4-BE49-F238E27FC236}">
              <a16:creationId xmlns:a16="http://schemas.microsoft.com/office/drawing/2014/main" id="{86DA8F4E-5411-4D69-B096-847690745A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22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</xdr:row>
      <xdr:rowOff>0</xdr:rowOff>
    </xdr:from>
    <xdr:to>
      <xdr:col>0</xdr:col>
      <xdr:colOff>171450</xdr:colOff>
      <xdr:row>128</xdr:row>
      <xdr:rowOff>133350</xdr:rowOff>
    </xdr:to>
    <xdr:pic>
      <xdr:nvPicPr>
        <xdr:cNvPr id="655" name="Picture@5C\QPendientes@" descr="@5C\QPendientes@">
          <a:extLst>
            <a:ext uri="{FF2B5EF4-FFF2-40B4-BE49-F238E27FC236}">
              <a16:creationId xmlns:a16="http://schemas.microsoft.com/office/drawing/2014/main" id="{D29201E3-9985-40B5-B48D-6BF9B1D593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40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</xdr:row>
      <xdr:rowOff>0</xdr:rowOff>
    </xdr:from>
    <xdr:to>
      <xdr:col>0</xdr:col>
      <xdr:colOff>171450</xdr:colOff>
      <xdr:row>129</xdr:row>
      <xdr:rowOff>133350</xdr:rowOff>
    </xdr:to>
    <xdr:pic>
      <xdr:nvPicPr>
        <xdr:cNvPr id="656" name="Picture@5C\QPendientes@" descr="@5C\QPendientes@">
          <a:extLst>
            <a:ext uri="{FF2B5EF4-FFF2-40B4-BE49-F238E27FC236}">
              <a16:creationId xmlns:a16="http://schemas.microsoft.com/office/drawing/2014/main" id="{1B535AD1-9458-4B00-BBA4-0E0F2F7774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59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</xdr:row>
      <xdr:rowOff>0</xdr:rowOff>
    </xdr:from>
    <xdr:to>
      <xdr:col>0</xdr:col>
      <xdr:colOff>171450</xdr:colOff>
      <xdr:row>130</xdr:row>
      <xdr:rowOff>133350</xdr:rowOff>
    </xdr:to>
    <xdr:pic>
      <xdr:nvPicPr>
        <xdr:cNvPr id="657" name="Picture@5C\QPendientes@" descr="@5C\QPendientes@">
          <a:extLst>
            <a:ext uri="{FF2B5EF4-FFF2-40B4-BE49-F238E27FC236}">
              <a16:creationId xmlns:a16="http://schemas.microsoft.com/office/drawing/2014/main" id="{99B553D5-92BC-4041-8BFF-7931C1BEE4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77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</xdr:row>
      <xdr:rowOff>0</xdr:rowOff>
    </xdr:from>
    <xdr:to>
      <xdr:col>0</xdr:col>
      <xdr:colOff>171450</xdr:colOff>
      <xdr:row>131</xdr:row>
      <xdr:rowOff>133350</xdr:rowOff>
    </xdr:to>
    <xdr:pic>
      <xdr:nvPicPr>
        <xdr:cNvPr id="658" name="Picture@5C\QPendientes@" descr="@5C\QPendientes@">
          <a:extLst>
            <a:ext uri="{FF2B5EF4-FFF2-40B4-BE49-F238E27FC236}">
              <a16:creationId xmlns:a16="http://schemas.microsoft.com/office/drawing/2014/main" id="{1993551B-D66B-4E6D-8476-17C16E7F26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95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</xdr:row>
      <xdr:rowOff>0</xdr:rowOff>
    </xdr:from>
    <xdr:to>
      <xdr:col>0</xdr:col>
      <xdr:colOff>171450</xdr:colOff>
      <xdr:row>132</xdr:row>
      <xdr:rowOff>133350</xdr:rowOff>
    </xdr:to>
    <xdr:pic>
      <xdr:nvPicPr>
        <xdr:cNvPr id="659" name="Picture@5C\QPendientes@" descr="@5C\QPendientes@">
          <a:extLst>
            <a:ext uri="{FF2B5EF4-FFF2-40B4-BE49-F238E27FC236}">
              <a16:creationId xmlns:a16="http://schemas.microsoft.com/office/drawing/2014/main" id="{77E37857-C37F-4662-AB83-278F2949DB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14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</xdr:row>
      <xdr:rowOff>0</xdr:rowOff>
    </xdr:from>
    <xdr:to>
      <xdr:col>0</xdr:col>
      <xdr:colOff>171450</xdr:colOff>
      <xdr:row>133</xdr:row>
      <xdr:rowOff>133350</xdr:rowOff>
    </xdr:to>
    <xdr:pic>
      <xdr:nvPicPr>
        <xdr:cNvPr id="660" name="Picture@5C\QPendientes@" descr="@5C\QPendientes@">
          <a:extLst>
            <a:ext uri="{FF2B5EF4-FFF2-40B4-BE49-F238E27FC236}">
              <a16:creationId xmlns:a16="http://schemas.microsoft.com/office/drawing/2014/main" id="{355797D8-6A51-49FB-BC22-19C7392885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32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</xdr:row>
      <xdr:rowOff>0</xdr:rowOff>
    </xdr:from>
    <xdr:to>
      <xdr:col>0</xdr:col>
      <xdr:colOff>171450</xdr:colOff>
      <xdr:row>134</xdr:row>
      <xdr:rowOff>133350</xdr:rowOff>
    </xdr:to>
    <xdr:pic>
      <xdr:nvPicPr>
        <xdr:cNvPr id="661" name="Picture@5C\QPendientes@" descr="@5C\QPendientes@">
          <a:extLst>
            <a:ext uri="{FF2B5EF4-FFF2-40B4-BE49-F238E27FC236}">
              <a16:creationId xmlns:a16="http://schemas.microsoft.com/office/drawing/2014/main" id="{5B08374B-5E35-48F0-AE42-91B2B1181C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50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</xdr:row>
      <xdr:rowOff>0</xdr:rowOff>
    </xdr:from>
    <xdr:to>
      <xdr:col>0</xdr:col>
      <xdr:colOff>171450</xdr:colOff>
      <xdr:row>135</xdr:row>
      <xdr:rowOff>133350</xdr:rowOff>
    </xdr:to>
    <xdr:pic>
      <xdr:nvPicPr>
        <xdr:cNvPr id="662" name="Picture@5C\QPendientes@" descr="@5C\QPendientes@">
          <a:extLst>
            <a:ext uri="{FF2B5EF4-FFF2-40B4-BE49-F238E27FC236}">
              <a16:creationId xmlns:a16="http://schemas.microsoft.com/office/drawing/2014/main" id="{32CA326B-0EA6-4D34-A12C-E69E81A8C5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68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</xdr:row>
      <xdr:rowOff>0</xdr:rowOff>
    </xdr:from>
    <xdr:to>
      <xdr:col>0</xdr:col>
      <xdr:colOff>171450</xdr:colOff>
      <xdr:row>136</xdr:row>
      <xdr:rowOff>133350</xdr:rowOff>
    </xdr:to>
    <xdr:pic>
      <xdr:nvPicPr>
        <xdr:cNvPr id="663" name="Picture@5C\QPendientes@" descr="@5C\QPendientes@">
          <a:extLst>
            <a:ext uri="{FF2B5EF4-FFF2-40B4-BE49-F238E27FC236}">
              <a16:creationId xmlns:a16="http://schemas.microsoft.com/office/drawing/2014/main" id="{AD605239-1261-4FF3-816D-3DE2FE2B52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87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</xdr:row>
      <xdr:rowOff>0</xdr:rowOff>
    </xdr:from>
    <xdr:to>
      <xdr:col>0</xdr:col>
      <xdr:colOff>171450</xdr:colOff>
      <xdr:row>137</xdr:row>
      <xdr:rowOff>133350</xdr:rowOff>
    </xdr:to>
    <xdr:pic>
      <xdr:nvPicPr>
        <xdr:cNvPr id="664" name="Picture@5C\QPendientes@" descr="@5C\QPendientes@">
          <a:extLst>
            <a:ext uri="{FF2B5EF4-FFF2-40B4-BE49-F238E27FC236}">
              <a16:creationId xmlns:a16="http://schemas.microsoft.com/office/drawing/2014/main" id="{489FF6B6-CD60-4235-B095-5B500D2270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05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</xdr:row>
      <xdr:rowOff>0</xdr:rowOff>
    </xdr:from>
    <xdr:to>
      <xdr:col>0</xdr:col>
      <xdr:colOff>171450</xdr:colOff>
      <xdr:row>138</xdr:row>
      <xdr:rowOff>133350</xdr:rowOff>
    </xdr:to>
    <xdr:pic>
      <xdr:nvPicPr>
        <xdr:cNvPr id="665" name="Picture@5C\QPendientes@" descr="@5C\QPendientes@">
          <a:extLst>
            <a:ext uri="{FF2B5EF4-FFF2-40B4-BE49-F238E27FC236}">
              <a16:creationId xmlns:a16="http://schemas.microsoft.com/office/drawing/2014/main" id="{9CCA5D6E-92EB-4B0F-B5E6-69A1E610AD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23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</xdr:row>
      <xdr:rowOff>0</xdr:rowOff>
    </xdr:from>
    <xdr:to>
      <xdr:col>0</xdr:col>
      <xdr:colOff>171450</xdr:colOff>
      <xdr:row>139</xdr:row>
      <xdr:rowOff>133350</xdr:rowOff>
    </xdr:to>
    <xdr:pic>
      <xdr:nvPicPr>
        <xdr:cNvPr id="666" name="Picture@5C\QPendientes@" descr="@5C\QPendientes@">
          <a:extLst>
            <a:ext uri="{FF2B5EF4-FFF2-40B4-BE49-F238E27FC236}">
              <a16:creationId xmlns:a16="http://schemas.microsoft.com/office/drawing/2014/main" id="{E8D79D67-75EB-4DF1-A5B2-8E00409FA3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42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</xdr:row>
      <xdr:rowOff>0</xdr:rowOff>
    </xdr:from>
    <xdr:to>
      <xdr:col>0</xdr:col>
      <xdr:colOff>171450</xdr:colOff>
      <xdr:row>140</xdr:row>
      <xdr:rowOff>133350</xdr:rowOff>
    </xdr:to>
    <xdr:pic>
      <xdr:nvPicPr>
        <xdr:cNvPr id="667" name="Picture@5C\QPendientes@" descr="@5C\QPendientes@">
          <a:extLst>
            <a:ext uri="{FF2B5EF4-FFF2-40B4-BE49-F238E27FC236}">
              <a16:creationId xmlns:a16="http://schemas.microsoft.com/office/drawing/2014/main" id="{6CFE61F6-0145-4624-AB02-637310CBD5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60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</xdr:row>
      <xdr:rowOff>0</xdr:rowOff>
    </xdr:from>
    <xdr:to>
      <xdr:col>0</xdr:col>
      <xdr:colOff>171450</xdr:colOff>
      <xdr:row>141</xdr:row>
      <xdr:rowOff>133350</xdr:rowOff>
    </xdr:to>
    <xdr:pic>
      <xdr:nvPicPr>
        <xdr:cNvPr id="668" name="Picture@5C\QPendientes@" descr="@5C\QPendientes@">
          <a:extLst>
            <a:ext uri="{FF2B5EF4-FFF2-40B4-BE49-F238E27FC236}">
              <a16:creationId xmlns:a16="http://schemas.microsoft.com/office/drawing/2014/main" id="{C2609F66-2CED-4C0A-9F89-D5A5DB96A2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78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</xdr:row>
      <xdr:rowOff>0</xdr:rowOff>
    </xdr:from>
    <xdr:to>
      <xdr:col>0</xdr:col>
      <xdr:colOff>171450</xdr:colOff>
      <xdr:row>142</xdr:row>
      <xdr:rowOff>133350</xdr:rowOff>
    </xdr:to>
    <xdr:pic>
      <xdr:nvPicPr>
        <xdr:cNvPr id="669" name="Picture@5C\QPendientes@" descr="@5C\QPendientes@">
          <a:extLst>
            <a:ext uri="{FF2B5EF4-FFF2-40B4-BE49-F238E27FC236}">
              <a16:creationId xmlns:a16="http://schemas.microsoft.com/office/drawing/2014/main" id="{563EB355-D6A9-4D91-BD0C-E14AB744C0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96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</xdr:row>
      <xdr:rowOff>0</xdr:rowOff>
    </xdr:from>
    <xdr:to>
      <xdr:col>0</xdr:col>
      <xdr:colOff>171450</xdr:colOff>
      <xdr:row>143</xdr:row>
      <xdr:rowOff>133350</xdr:rowOff>
    </xdr:to>
    <xdr:pic>
      <xdr:nvPicPr>
        <xdr:cNvPr id="670" name="Picture@5C\QPendientes@" descr="@5C\QPendientes@">
          <a:extLst>
            <a:ext uri="{FF2B5EF4-FFF2-40B4-BE49-F238E27FC236}">
              <a16:creationId xmlns:a16="http://schemas.microsoft.com/office/drawing/2014/main" id="{79545F5F-D1F9-4468-90DE-4F5D448AEF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15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</xdr:row>
      <xdr:rowOff>0</xdr:rowOff>
    </xdr:from>
    <xdr:to>
      <xdr:col>0</xdr:col>
      <xdr:colOff>171450</xdr:colOff>
      <xdr:row>144</xdr:row>
      <xdr:rowOff>133350</xdr:rowOff>
    </xdr:to>
    <xdr:pic>
      <xdr:nvPicPr>
        <xdr:cNvPr id="671" name="Picture@5C\QPendientes@" descr="@5C\QPendientes@">
          <a:extLst>
            <a:ext uri="{FF2B5EF4-FFF2-40B4-BE49-F238E27FC236}">
              <a16:creationId xmlns:a16="http://schemas.microsoft.com/office/drawing/2014/main" id="{6354A44B-A97E-4053-B1A0-BFCE621980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33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</xdr:row>
      <xdr:rowOff>0</xdr:rowOff>
    </xdr:from>
    <xdr:to>
      <xdr:col>0</xdr:col>
      <xdr:colOff>171450</xdr:colOff>
      <xdr:row>145</xdr:row>
      <xdr:rowOff>133350</xdr:rowOff>
    </xdr:to>
    <xdr:pic>
      <xdr:nvPicPr>
        <xdr:cNvPr id="672" name="Picture@5C\QPendientes@" descr="@5C\QPendientes@">
          <a:extLst>
            <a:ext uri="{FF2B5EF4-FFF2-40B4-BE49-F238E27FC236}">
              <a16:creationId xmlns:a16="http://schemas.microsoft.com/office/drawing/2014/main" id="{A3C00F10-672F-4411-A85E-40D869B1E5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51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</xdr:row>
      <xdr:rowOff>0</xdr:rowOff>
    </xdr:from>
    <xdr:to>
      <xdr:col>0</xdr:col>
      <xdr:colOff>171450</xdr:colOff>
      <xdr:row>146</xdr:row>
      <xdr:rowOff>133350</xdr:rowOff>
    </xdr:to>
    <xdr:pic>
      <xdr:nvPicPr>
        <xdr:cNvPr id="673" name="Picture@5C\QPendientes@" descr="@5C\QPendientes@">
          <a:extLst>
            <a:ext uri="{FF2B5EF4-FFF2-40B4-BE49-F238E27FC236}">
              <a16:creationId xmlns:a16="http://schemas.microsoft.com/office/drawing/2014/main" id="{CACEE579-49C4-44F2-AC3B-1801CB6132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70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</xdr:row>
      <xdr:rowOff>0</xdr:rowOff>
    </xdr:from>
    <xdr:to>
      <xdr:col>0</xdr:col>
      <xdr:colOff>171450</xdr:colOff>
      <xdr:row>147</xdr:row>
      <xdr:rowOff>133350</xdr:rowOff>
    </xdr:to>
    <xdr:pic>
      <xdr:nvPicPr>
        <xdr:cNvPr id="674" name="Picture@5C\QPendientes@" descr="@5C\QPendientes@">
          <a:extLst>
            <a:ext uri="{FF2B5EF4-FFF2-40B4-BE49-F238E27FC236}">
              <a16:creationId xmlns:a16="http://schemas.microsoft.com/office/drawing/2014/main" id="{822578CD-9594-47DE-9C55-CD7C861E3B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88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</xdr:row>
      <xdr:rowOff>0</xdr:rowOff>
    </xdr:from>
    <xdr:to>
      <xdr:col>0</xdr:col>
      <xdr:colOff>171450</xdr:colOff>
      <xdr:row>148</xdr:row>
      <xdr:rowOff>133350</xdr:rowOff>
    </xdr:to>
    <xdr:pic>
      <xdr:nvPicPr>
        <xdr:cNvPr id="675" name="Picture@5C\QPendientes@" descr="@5C\QPendientes@">
          <a:extLst>
            <a:ext uri="{FF2B5EF4-FFF2-40B4-BE49-F238E27FC236}">
              <a16:creationId xmlns:a16="http://schemas.microsoft.com/office/drawing/2014/main" id="{25540C43-480A-4ACC-A396-A0695ED3FA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06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</xdr:row>
      <xdr:rowOff>0</xdr:rowOff>
    </xdr:from>
    <xdr:to>
      <xdr:col>0</xdr:col>
      <xdr:colOff>171450</xdr:colOff>
      <xdr:row>149</xdr:row>
      <xdr:rowOff>133350</xdr:rowOff>
    </xdr:to>
    <xdr:pic>
      <xdr:nvPicPr>
        <xdr:cNvPr id="676" name="Picture@5C\QPendientes@" descr="@5C\QPendientes@">
          <a:extLst>
            <a:ext uri="{FF2B5EF4-FFF2-40B4-BE49-F238E27FC236}">
              <a16:creationId xmlns:a16="http://schemas.microsoft.com/office/drawing/2014/main" id="{7BD28BE8-C124-4839-A59D-52AA90CBBA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24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</xdr:row>
      <xdr:rowOff>0</xdr:rowOff>
    </xdr:from>
    <xdr:to>
      <xdr:col>0</xdr:col>
      <xdr:colOff>171450</xdr:colOff>
      <xdr:row>150</xdr:row>
      <xdr:rowOff>133350</xdr:rowOff>
    </xdr:to>
    <xdr:pic>
      <xdr:nvPicPr>
        <xdr:cNvPr id="677" name="Picture@5C\QPendientes@" descr="@5C\QPendientes@">
          <a:extLst>
            <a:ext uri="{FF2B5EF4-FFF2-40B4-BE49-F238E27FC236}">
              <a16:creationId xmlns:a16="http://schemas.microsoft.com/office/drawing/2014/main" id="{5327AACB-371B-4AAC-9C8C-E64052F129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43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</xdr:row>
      <xdr:rowOff>0</xdr:rowOff>
    </xdr:from>
    <xdr:to>
      <xdr:col>0</xdr:col>
      <xdr:colOff>171450</xdr:colOff>
      <xdr:row>151</xdr:row>
      <xdr:rowOff>133350</xdr:rowOff>
    </xdr:to>
    <xdr:pic>
      <xdr:nvPicPr>
        <xdr:cNvPr id="678" name="Picture@5C\QPendientes@" descr="@5C\QPendientes@">
          <a:extLst>
            <a:ext uri="{FF2B5EF4-FFF2-40B4-BE49-F238E27FC236}">
              <a16:creationId xmlns:a16="http://schemas.microsoft.com/office/drawing/2014/main" id="{F4B9242D-1A9B-4E25-82A4-67439BF5DE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61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</xdr:row>
      <xdr:rowOff>0</xdr:rowOff>
    </xdr:from>
    <xdr:to>
      <xdr:col>0</xdr:col>
      <xdr:colOff>171450</xdr:colOff>
      <xdr:row>152</xdr:row>
      <xdr:rowOff>133350</xdr:rowOff>
    </xdr:to>
    <xdr:pic>
      <xdr:nvPicPr>
        <xdr:cNvPr id="679" name="Picture@5C\QPendientes@" descr="@5C\QPendientes@">
          <a:extLst>
            <a:ext uri="{FF2B5EF4-FFF2-40B4-BE49-F238E27FC236}">
              <a16:creationId xmlns:a16="http://schemas.microsoft.com/office/drawing/2014/main" id="{62D16418-6EAE-48E9-9E19-0ADD77AFF6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79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</xdr:row>
      <xdr:rowOff>0</xdr:rowOff>
    </xdr:from>
    <xdr:to>
      <xdr:col>0</xdr:col>
      <xdr:colOff>171450</xdr:colOff>
      <xdr:row>153</xdr:row>
      <xdr:rowOff>133350</xdr:rowOff>
    </xdr:to>
    <xdr:pic>
      <xdr:nvPicPr>
        <xdr:cNvPr id="680" name="Picture@5C\QPendientes@" descr="@5C\QPendientes@">
          <a:extLst>
            <a:ext uri="{FF2B5EF4-FFF2-40B4-BE49-F238E27FC236}">
              <a16:creationId xmlns:a16="http://schemas.microsoft.com/office/drawing/2014/main" id="{E4645EC0-B7FE-4A1F-B617-7CA72A5272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98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</xdr:row>
      <xdr:rowOff>0</xdr:rowOff>
    </xdr:from>
    <xdr:to>
      <xdr:col>0</xdr:col>
      <xdr:colOff>171450</xdr:colOff>
      <xdr:row>154</xdr:row>
      <xdr:rowOff>133350</xdr:rowOff>
    </xdr:to>
    <xdr:pic>
      <xdr:nvPicPr>
        <xdr:cNvPr id="681" name="Picture@5C\QPendientes@" descr="@5C\QPendientes@">
          <a:extLst>
            <a:ext uri="{FF2B5EF4-FFF2-40B4-BE49-F238E27FC236}">
              <a16:creationId xmlns:a16="http://schemas.microsoft.com/office/drawing/2014/main" id="{3A2B6096-9606-4E1D-8C72-C73871788B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16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</xdr:row>
      <xdr:rowOff>0</xdr:rowOff>
    </xdr:from>
    <xdr:to>
      <xdr:col>0</xdr:col>
      <xdr:colOff>171450</xdr:colOff>
      <xdr:row>155</xdr:row>
      <xdr:rowOff>133350</xdr:rowOff>
    </xdr:to>
    <xdr:pic>
      <xdr:nvPicPr>
        <xdr:cNvPr id="682" name="Picture@5C\QPendientes@" descr="@5C\QPendientes@">
          <a:extLst>
            <a:ext uri="{FF2B5EF4-FFF2-40B4-BE49-F238E27FC236}">
              <a16:creationId xmlns:a16="http://schemas.microsoft.com/office/drawing/2014/main" id="{0AE834EC-B139-4FA2-8979-DB97519BB1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34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</xdr:row>
      <xdr:rowOff>0</xdr:rowOff>
    </xdr:from>
    <xdr:to>
      <xdr:col>0</xdr:col>
      <xdr:colOff>171450</xdr:colOff>
      <xdr:row>156</xdr:row>
      <xdr:rowOff>133350</xdr:rowOff>
    </xdr:to>
    <xdr:pic>
      <xdr:nvPicPr>
        <xdr:cNvPr id="683" name="Picture@5C\QPendientes@" descr="@5C\QPendientes@">
          <a:extLst>
            <a:ext uri="{FF2B5EF4-FFF2-40B4-BE49-F238E27FC236}">
              <a16:creationId xmlns:a16="http://schemas.microsoft.com/office/drawing/2014/main" id="{D0CCC9C6-07B3-47C8-87EB-D8A633B382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52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</xdr:row>
      <xdr:rowOff>0</xdr:rowOff>
    </xdr:from>
    <xdr:to>
      <xdr:col>0</xdr:col>
      <xdr:colOff>171450</xdr:colOff>
      <xdr:row>157</xdr:row>
      <xdr:rowOff>133350</xdr:rowOff>
    </xdr:to>
    <xdr:pic>
      <xdr:nvPicPr>
        <xdr:cNvPr id="684" name="Picture@5C\QPendientes@" descr="@5C\QPendientes@">
          <a:extLst>
            <a:ext uri="{FF2B5EF4-FFF2-40B4-BE49-F238E27FC236}">
              <a16:creationId xmlns:a16="http://schemas.microsoft.com/office/drawing/2014/main" id="{978688B6-D3B4-43EB-B10F-01098A7689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71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</xdr:row>
      <xdr:rowOff>0</xdr:rowOff>
    </xdr:from>
    <xdr:to>
      <xdr:col>0</xdr:col>
      <xdr:colOff>171450</xdr:colOff>
      <xdr:row>158</xdr:row>
      <xdr:rowOff>133350</xdr:rowOff>
    </xdr:to>
    <xdr:pic>
      <xdr:nvPicPr>
        <xdr:cNvPr id="685" name="Picture@5C\QPendientes@" descr="@5C\QPendientes@">
          <a:extLst>
            <a:ext uri="{FF2B5EF4-FFF2-40B4-BE49-F238E27FC236}">
              <a16:creationId xmlns:a16="http://schemas.microsoft.com/office/drawing/2014/main" id="{D4929FB0-976C-4B4C-8477-AA9A8B6544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89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</xdr:row>
      <xdr:rowOff>0</xdr:rowOff>
    </xdr:from>
    <xdr:to>
      <xdr:col>0</xdr:col>
      <xdr:colOff>171450</xdr:colOff>
      <xdr:row>159</xdr:row>
      <xdr:rowOff>133350</xdr:rowOff>
    </xdr:to>
    <xdr:pic>
      <xdr:nvPicPr>
        <xdr:cNvPr id="686" name="Picture@5C\QPendientes@" descr="@5C\QPendientes@">
          <a:extLst>
            <a:ext uri="{FF2B5EF4-FFF2-40B4-BE49-F238E27FC236}">
              <a16:creationId xmlns:a16="http://schemas.microsoft.com/office/drawing/2014/main" id="{ACF106F7-0818-45BD-ACBA-EE34F78125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07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</xdr:row>
      <xdr:rowOff>0</xdr:rowOff>
    </xdr:from>
    <xdr:to>
      <xdr:col>0</xdr:col>
      <xdr:colOff>171450</xdr:colOff>
      <xdr:row>160</xdr:row>
      <xdr:rowOff>133350</xdr:rowOff>
    </xdr:to>
    <xdr:pic>
      <xdr:nvPicPr>
        <xdr:cNvPr id="687" name="Picture@5C\QPendientes@" descr="@5C\QPendientes@">
          <a:extLst>
            <a:ext uri="{FF2B5EF4-FFF2-40B4-BE49-F238E27FC236}">
              <a16:creationId xmlns:a16="http://schemas.microsoft.com/office/drawing/2014/main" id="{C8B03A3A-2B6C-4CDD-A918-84EB31D7A9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26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</xdr:row>
      <xdr:rowOff>0</xdr:rowOff>
    </xdr:from>
    <xdr:to>
      <xdr:col>0</xdr:col>
      <xdr:colOff>171450</xdr:colOff>
      <xdr:row>161</xdr:row>
      <xdr:rowOff>133350</xdr:rowOff>
    </xdr:to>
    <xdr:pic>
      <xdr:nvPicPr>
        <xdr:cNvPr id="688" name="Picture@5C\QPendientes@" descr="@5C\QPendientes@">
          <a:extLst>
            <a:ext uri="{FF2B5EF4-FFF2-40B4-BE49-F238E27FC236}">
              <a16:creationId xmlns:a16="http://schemas.microsoft.com/office/drawing/2014/main" id="{EFE4F421-2AE7-43BD-8988-C335D13B2A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44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</xdr:row>
      <xdr:rowOff>0</xdr:rowOff>
    </xdr:from>
    <xdr:to>
      <xdr:col>0</xdr:col>
      <xdr:colOff>171450</xdr:colOff>
      <xdr:row>162</xdr:row>
      <xdr:rowOff>133350</xdr:rowOff>
    </xdr:to>
    <xdr:pic>
      <xdr:nvPicPr>
        <xdr:cNvPr id="689" name="Picture@5C\QPendientes@" descr="@5C\QPendientes@">
          <a:extLst>
            <a:ext uri="{FF2B5EF4-FFF2-40B4-BE49-F238E27FC236}">
              <a16:creationId xmlns:a16="http://schemas.microsoft.com/office/drawing/2014/main" id="{7E8C4BB2-5349-4F64-93F5-C736248E15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62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</xdr:row>
      <xdr:rowOff>0</xdr:rowOff>
    </xdr:from>
    <xdr:to>
      <xdr:col>0</xdr:col>
      <xdr:colOff>171450</xdr:colOff>
      <xdr:row>163</xdr:row>
      <xdr:rowOff>133350</xdr:rowOff>
    </xdr:to>
    <xdr:pic>
      <xdr:nvPicPr>
        <xdr:cNvPr id="690" name="Picture@5C\QPendientes@" descr="@5C\QPendientes@">
          <a:extLst>
            <a:ext uri="{FF2B5EF4-FFF2-40B4-BE49-F238E27FC236}">
              <a16:creationId xmlns:a16="http://schemas.microsoft.com/office/drawing/2014/main" id="{13F958EB-629E-4186-A4AD-5EE7B262A1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80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</xdr:row>
      <xdr:rowOff>0</xdr:rowOff>
    </xdr:from>
    <xdr:to>
      <xdr:col>0</xdr:col>
      <xdr:colOff>171450</xdr:colOff>
      <xdr:row>164</xdr:row>
      <xdr:rowOff>133350</xdr:rowOff>
    </xdr:to>
    <xdr:pic>
      <xdr:nvPicPr>
        <xdr:cNvPr id="691" name="Picture@5C\QPendientes@" descr="@5C\QPendientes@">
          <a:extLst>
            <a:ext uri="{FF2B5EF4-FFF2-40B4-BE49-F238E27FC236}">
              <a16:creationId xmlns:a16="http://schemas.microsoft.com/office/drawing/2014/main" id="{671BF7AE-D876-430D-AAB4-DD830BB178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99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</xdr:row>
      <xdr:rowOff>0</xdr:rowOff>
    </xdr:from>
    <xdr:to>
      <xdr:col>0</xdr:col>
      <xdr:colOff>171450</xdr:colOff>
      <xdr:row>165</xdr:row>
      <xdr:rowOff>133350</xdr:rowOff>
    </xdr:to>
    <xdr:pic>
      <xdr:nvPicPr>
        <xdr:cNvPr id="692" name="Picture@5C\QPendientes@" descr="@5C\QPendientes@">
          <a:extLst>
            <a:ext uri="{FF2B5EF4-FFF2-40B4-BE49-F238E27FC236}">
              <a16:creationId xmlns:a16="http://schemas.microsoft.com/office/drawing/2014/main" id="{6988E1EA-7984-431E-80F3-8F5A7E63DD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17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</xdr:row>
      <xdr:rowOff>0</xdr:rowOff>
    </xdr:from>
    <xdr:to>
      <xdr:col>0</xdr:col>
      <xdr:colOff>171450</xdr:colOff>
      <xdr:row>166</xdr:row>
      <xdr:rowOff>133350</xdr:rowOff>
    </xdr:to>
    <xdr:pic>
      <xdr:nvPicPr>
        <xdr:cNvPr id="693" name="Picture@5C\QPendientes@" descr="@5C\QPendientes@">
          <a:extLst>
            <a:ext uri="{FF2B5EF4-FFF2-40B4-BE49-F238E27FC236}">
              <a16:creationId xmlns:a16="http://schemas.microsoft.com/office/drawing/2014/main" id="{AD192FE6-991F-47AA-A0B9-F4CBE0D987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35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</xdr:row>
      <xdr:rowOff>0</xdr:rowOff>
    </xdr:from>
    <xdr:to>
      <xdr:col>0</xdr:col>
      <xdr:colOff>171450</xdr:colOff>
      <xdr:row>167</xdr:row>
      <xdr:rowOff>133350</xdr:rowOff>
    </xdr:to>
    <xdr:pic>
      <xdr:nvPicPr>
        <xdr:cNvPr id="694" name="Picture@5C\QPendientes@" descr="@5C\QPendientes@">
          <a:extLst>
            <a:ext uri="{FF2B5EF4-FFF2-40B4-BE49-F238E27FC236}">
              <a16:creationId xmlns:a16="http://schemas.microsoft.com/office/drawing/2014/main" id="{C5D45DF1-B245-4DFF-BF3B-2DBB705E56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54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</xdr:row>
      <xdr:rowOff>0</xdr:rowOff>
    </xdr:from>
    <xdr:to>
      <xdr:col>0</xdr:col>
      <xdr:colOff>171450</xdr:colOff>
      <xdr:row>168</xdr:row>
      <xdr:rowOff>133350</xdr:rowOff>
    </xdr:to>
    <xdr:pic>
      <xdr:nvPicPr>
        <xdr:cNvPr id="695" name="Picture@5C\QPendientes@" descr="@5C\QPendientes@">
          <a:extLst>
            <a:ext uri="{FF2B5EF4-FFF2-40B4-BE49-F238E27FC236}">
              <a16:creationId xmlns:a16="http://schemas.microsoft.com/office/drawing/2014/main" id="{4BEDC11B-E170-4014-B10C-2A54D2EDD8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72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</xdr:row>
      <xdr:rowOff>0</xdr:rowOff>
    </xdr:from>
    <xdr:to>
      <xdr:col>0</xdr:col>
      <xdr:colOff>171450</xdr:colOff>
      <xdr:row>169</xdr:row>
      <xdr:rowOff>133350</xdr:rowOff>
    </xdr:to>
    <xdr:pic>
      <xdr:nvPicPr>
        <xdr:cNvPr id="696" name="Picture@5C\QPendientes@" descr="@5C\QPendientes@">
          <a:extLst>
            <a:ext uri="{FF2B5EF4-FFF2-40B4-BE49-F238E27FC236}">
              <a16:creationId xmlns:a16="http://schemas.microsoft.com/office/drawing/2014/main" id="{E00595D0-031D-4E87-ACC3-DA43AC5156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90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</xdr:row>
      <xdr:rowOff>0</xdr:rowOff>
    </xdr:from>
    <xdr:to>
      <xdr:col>0</xdr:col>
      <xdr:colOff>171450</xdr:colOff>
      <xdr:row>170</xdr:row>
      <xdr:rowOff>133350</xdr:rowOff>
    </xdr:to>
    <xdr:pic>
      <xdr:nvPicPr>
        <xdr:cNvPr id="697" name="Picture@5C\QPendientes@" descr="@5C\QPendientes@">
          <a:extLst>
            <a:ext uri="{FF2B5EF4-FFF2-40B4-BE49-F238E27FC236}">
              <a16:creationId xmlns:a16="http://schemas.microsoft.com/office/drawing/2014/main" id="{3EB1AB44-A9C3-4BE0-B141-37CEC17D66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08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</xdr:row>
      <xdr:rowOff>0</xdr:rowOff>
    </xdr:from>
    <xdr:to>
      <xdr:col>0</xdr:col>
      <xdr:colOff>171450</xdr:colOff>
      <xdr:row>171</xdr:row>
      <xdr:rowOff>133350</xdr:rowOff>
    </xdr:to>
    <xdr:pic>
      <xdr:nvPicPr>
        <xdr:cNvPr id="698" name="Picture@5C\QPendientes@" descr="@5C\QPendientes@">
          <a:extLst>
            <a:ext uri="{FF2B5EF4-FFF2-40B4-BE49-F238E27FC236}">
              <a16:creationId xmlns:a16="http://schemas.microsoft.com/office/drawing/2014/main" id="{15CE2B19-E9C4-41DF-BEC3-A597A8430B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27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</xdr:row>
      <xdr:rowOff>0</xdr:rowOff>
    </xdr:from>
    <xdr:to>
      <xdr:col>0</xdr:col>
      <xdr:colOff>171450</xdr:colOff>
      <xdr:row>172</xdr:row>
      <xdr:rowOff>133350</xdr:rowOff>
    </xdr:to>
    <xdr:pic>
      <xdr:nvPicPr>
        <xdr:cNvPr id="699" name="Picture@5C\QPendientes@" descr="@5C\QPendientes@">
          <a:extLst>
            <a:ext uri="{FF2B5EF4-FFF2-40B4-BE49-F238E27FC236}">
              <a16:creationId xmlns:a16="http://schemas.microsoft.com/office/drawing/2014/main" id="{63FB03FA-4530-4D9A-9794-0E12ADF84E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45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</xdr:row>
      <xdr:rowOff>0</xdr:rowOff>
    </xdr:from>
    <xdr:to>
      <xdr:col>0</xdr:col>
      <xdr:colOff>171450</xdr:colOff>
      <xdr:row>173</xdr:row>
      <xdr:rowOff>133350</xdr:rowOff>
    </xdr:to>
    <xdr:pic>
      <xdr:nvPicPr>
        <xdr:cNvPr id="700" name="Picture@5C\QPendientes@" descr="@5C\QPendientes@">
          <a:extLst>
            <a:ext uri="{FF2B5EF4-FFF2-40B4-BE49-F238E27FC236}">
              <a16:creationId xmlns:a16="http://schemas.microsoft.com/office/drawing/2014/main" id="{46BD1E6F-D740-4EFE-ABDA-864D36DD70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63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</xdr:row>
      <xdr:rowOff>0</xdr:rowOff>
    </xdr:from>
    <xdr:to>
      <xdr:col>0</xdr:col>
      <xdr:colOff>171450</xdr:colOff>
      <xdr:row>174</xdr:row>
      <xdr:rowOff>133350</xdr:rowOff>
    </xdr:to>
    <xdr:pic>
      <xdr:nvPicPr>
        <xdr:cNvPr id="701" name="Picture@5C\QPendientes@" descr="@5C\QPendientes@">
          <a:extLst>
            <a:ext uri="{FF2B5EF4-FFF2-40B4-BE49-F238E27FC236}">
              <a16:creationId xmlns:a16="http://schemas.microsoft.com/office/drawing/2014/main" id="{DA831123-F66A-4CAA-B3BD-CF8C4970EA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82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</xdr:row>
      <xdr:rowOff>0</xdr:rowOff>
    </xdr:from>
    <xdr:to>
      <xdr:col>0</xdr:col>
      <xdr:colOff>171450</xdr:colOff>
      <xdr:row>175</xdr:row>
      <xdr:rowOff>133350</xdr:rowOff>
    </xdr:to>
    <xdr:pic>
      <xdr:nvPicPr>
        <xdr:cNvPr id="702" name="Picture@5C\QPendientes@" descr="@5C\QPendientes@">
          <a:extLst>
            <a:ext uri="{FF2B5EF4-FFF2-40B4-BE49-F238E27FC236}">
              <a16:creationId xmlns:a16="http://schemas.microsoft.com/office/drawing/2014/main" id="{B45C3714-7951-41A1-B063-18F6D977C8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00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</xdr:row>
      <xdr:rowOff>0</xdr:rowOff>
    </xdr:from>
    <xdr:to>
      <xdr:col>0</xdr:col>
      <xdr:colOff>171450</xdr:colOff>
      <xdr:row>176</xdr:row>
      <xdr:rowOff>133350</xdr:rowOff>
    </xdr:to>
    <xdr:pic>
      <xdr:nvPicPr>
        <xdr:cNvPr id="703" name="Picture@5C\QPendientes@" descr="@5C\QPendientes@">
          <a:extLst>
            <a:ext uri="{FF2B5EF4-FFF2-40B4-BE49-F238E27FC236}">
              <a16:creationId xmlns:a16="http://schemas.microsoft.com/office/drawing/2014/main" id="{A5514356-010B-4DAF-9B3E-5F05F8E9AF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18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</xdr:row>
      <xdr:rowOff>0</xdr:rowOff>
    </xdr:from>
    <xdr:to>
      <xdr:col>0</xdr:col>
      <xdr:colOff>171450</xdr:colOff>
      <xdr:row>177</xdr:row>
      <xdr:rowOff>133350</xdr:rowOff>
    </xdr:to>
    <xdr:pic>
      <xdr:nvPicPr>
        <xdr:cNvPr id="704" name="Picture@5C\QPendientes@" descr="@5C\QPendientes@">
          <a:extLst>
            <a:ext uri="{FF2B5EF4-FFF2-40B4-BE49-F238E27FC236}">
              <a16:creationId xmlns:a16="http://schemas.microsoft.com/office/drawing/2014/main" id="{A4B85615-E40C-44B8-9F56-998F973383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36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</xdr:row>
      <xdr:rowOff>0</xdr:rowOff>
    </xdr:from>
    <xdr:to>
      <xdr:col>0</xdr:col>
      <xdr:colOff>171450</xdr:colOff>
      <xdr:row>178</xdr:row>
      <xdr:rowOff>133350</xdr:rowOff>
    </xdr:to>
    <xdr:pic>
      <xdr:nvPicPr>
        <xdr:cNvPr id="705" name="Picture@5C\QPendientes@" descr="@5C\QPendientes@">
          <a:extLst>
            <a:ext uri="{FF2B5EF4-FFF2-40B4-BE49-F238E27FC236}">
              <a16:creationId xmlns:a16="http://schemas.microsoft.com/office/drawing/2014/main" id="{70EC1B86-7961-4071-8E20-4900D4AB1A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55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</xdr:row>
      <xdr:rowOff>0</xdr:rowOff>
    </xdr:from>
    <xdr:to>
      <xdr:col>0</xdr:col>
      <xdr:colOff>171450</xdr:colOff>
      <xdr:row>179</xdr:row>
      <xdr:rowOff>133350</xdr:rowOff>
    </xdr:to>
    <xdr:pic>
      <xdr:nvPicPr>
        <xdr:cNvPr id="706" name="Picture@5C\QPendientes@" descr="@5C\QPendientes@">
          <a:extLst>
            <a:ext uri="{FF2B5EF4-FFF2-40B4-BE49-F238E27FC236}">
              <a16:creationId xmlns:a16="http://schemas.microsoft.com/office/drawing/2014/main" id="{BBA3B2C0-AD21-4C20-BABE-8D5720D394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73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</xdr:row>
      <xdr:rowOff>0</xdr:rowOff>
    </xdr:from>
    <xdr:to>
      <xdr:col>0</xdr:col>
      <xdr:colOff>171450</xdr:colOff>
      <xdr:row>180</xdr:row>
      <xdr:rowOff>133350</xdr:rowOff>
    </xdr:to>
    <xdr:pic>
      <xdr:nvPicPr>
        <xdr:cNvPr id="707" name="Picture@5C\QPendientes@" descr="@5C\QPendientes@">
          <a:extLst>
            <a:ext uri="{FF2B5EF4-FFF2-40B4-BE49-F238E27FC236}">
              <a16:creationId xmlns:a16="http://schemas.microsoft.com/office/drawing/2014/main" id="{7A39D28E-C9C3-45C5-87CB-3EEC604161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91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</xdr:row>
      <xdr:rowOff>0</xdr:rowOff>
    </xdr:from>
    <xdr:to>
      <xdr:col>0</xdr:col>
      <xdr:colOff>171450</xdr:colOff>
      <xdr:row>181</xdr:row>
      <xdr:rowOff>133350</xdr:rowOff>
    </xdr:to>
    <xdr:pic>
      <xdr:nvPicPr>
        <xdr:cNvPr id="708" name="Picture@5C\QPendientes@" descr="@5C\QPendientes@">
          <a:extLst>
            <a:ext uri="{FF2B5EF4-FFF2-40B4-BE49-F238E27FC236}">
              <a16:creationId xmlns:a16="http://schemas.microsoft.com/office/drawing/2014/main" id="{15227190-2218-4C32-A942-255F705755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10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</xdr:row>
      <xdr:rowOff>0</xdr:rowOff>
    </xdr:from>
    <xdr:to>
      <xdr:col>0</xdr:col>
      <xdr:colOff>171450</xdr:colOff>
      <xdr:row>182</xdr:row>
      <xdr:rowOff>133350</xdr:rowOff>
    </xdr:to>
    <xdr:pic>
      <xdr:nvPicPr>
        <xdr:cNvPr id="709" name="Picture@5C\QPendientes@" descr="@5C\QPendientes@">
          <a:extLst>
            <a:ext uri="{FF2B5EF4-FFF2-40B4-BE49-F238E27FC236}">
              <a16:creationId xmlns:a16="http://schemas.microsoft.com/office/drawing/2014/main" id="{C820E45D-D8FF-4051-89EB-F97F19FDD9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28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</xdr:row>
      <xdr:rowOff>0</xdr:rowOff>
    </xdr:from>
    <xdr:to>
      <xdr:col>0</xdr:col>
      <xdr:colOff>171450</xdr:colOff>
      <xdr:row>183</xdr:row>
      <xdr:rowOff>133350</xdr:rowOff>
    </xdr:to>
    <xdr:pic>
      <xdr:nvPicPr>
        <xdr:cNvPr id="710" name="Picture@5C\QPendientes@" descr="@5C\QPendientes@">
          <a:extLst>
            <a:ext uri="{FF2B5EF4-FFF2-40B4-BE49-F238E27FC236}">
              <a16:creationId xmlns:a16="http://schemas.microsoft.com/office/drawing/2014/main" id="{E1227D0E-3831-44A6-BBC7-510FB2F508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46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</xdr:row>
      <xdr:rowOff>0</xdr:rowOff>
    </xdr:from>
    <xdr:to>
      <xdr:col>0</xdr:col>
      <xdr:colOff>171450</xdr:colOff>
      <xdr:row>184</xdr:row>
      <xdr:rowOff>133350</xdr:rowOff>
    </xdr:to>
    <xdr:pic>
      <xdr:nvPicPr>
        <xdr:cNvPr id="711" name="Picture@5C\QPendientes@" descr="@5C\QPendientes@">
          <a:extLst>
            <a:ext uri="{FF2B5EF4-FFF2-40B4-BE49-F238E27FC236}">
              <a16:creationId xmlns:a16="http://schemas.microsoft.com/office/drawing/2014/main" id="{15523F2E-43AC-4E66-BFDA-F579EA6912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64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</xdr:row>
      <xdr:rowOff>0</xdr:rowOff>
    </xdr:from>
    <xdr:to>
      <xdr:col>0</xdr:col>
      <xdr:colOff>171450</xdr:colOff>
      <xdr:row>185</xdr:row>
      <xdr:rowOff>133350</xdr:rowOff>
    </xdr:to>
    <xdr:pic>
      <xdr:nvPicPr>
        <xdr:cNvPr id="712" name="Picture@5C\QPendientes@" descr="@5C\QPendientes@">
          <a:extLst>
            <a:ext uri="{FF2B5EF4-FFF2-40B4-BE49-F238E27FC236}">
              <a16:creationId xmlns:a16="http://schemas.microsoft.com/office/drawing/2014/main" id="{651132A4-A058-427C-8285-9D52556061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83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</xdr:row>
      <xdr:rowOff>0</xdr:rowOff>
    </xdr:from>
    <xdr:to>
      <xdr:col>0</xdr:col>
      <xdr:colOff>171450</xdr:colOff>
      <xdr:row>186</xdr:row>
      <xdr:rowOff>133350</xdr:rowOff>
    </xdr:to>
    <xdr:pic>
      <xdr:nvPicPr>
        <xdr:cNvPr id="713" name="Picture@5C\QPendientes@" descr="@5C\QPendientes@">
          <a:extLst>
            <a:ext uri="{FF2B5EF4-FFF2-40B4-BE49-F238E27FC236}">
              <a16:creationId xmlns:a16="http://schemas.microsoft.com/office/drawing/2014/main" id="{CC182E9A-83D8-4FFF-A0BC-E108B24DF7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01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</xdr:row>
      <xdr:rowOff>0</xdr:rowOff>
    </xdr:from>
    <xdr:to>
      <xdr:col>0</xdr:col>
      <xdr:colOff>171450</xdr:colOff>
      <xdr:row>187</xdr:row>
      <xdr:rowOff>133350</xdr:rowOff>
    </xdr:to>
    <xdr:pic>
      <xdr:nvPicPr>
        <xdr:cNvPr id="714" name="Picture@5C\QPendientes@" descr="@5C\QPendientes@">
          <a:extLst>
            <a:ext uri="{FF2B5EF4-FFF2-40B4-BE49-F238E27FC236}">
              <a16:creationId xmlns:a16="http://schemas.microsoft.com/office/drawing/2014/main" id="{1CADB222-F709-42A8-98A8-B9CE15C5FA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19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</xdr:row>
      <xdr:rowOff>0</xdr:rowOff>
    </xdr:from>
    <xdr:to>
      <xdr:col>0</xdr:col>
      <xdr:colOff>171450</xdr:colOff>
      <xdr:row>188</xdr:row>
      <xdr:rowOff>133350</xdr:rowOff>
    </xdr:to>
    <xdr:pic>
      <xdr:nvPicPr>
        <xdr:cNvPr id="715" name="Picture@5C\QPendientes@" descr="@5C\QPendientes@">
          <a:extLst>
            <a:ext uri="{FF2B5EF4-FFF2-40B4-BE49-F238E27FC236}">
              <a16:creationId xmlns:a16="http://schemas.microsoft.com/office/drawing/2014/main" id="{8D6EE192-E72B-4181-8186-B018AD03D7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38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</xdr:row>
      <xdr:rowOff>0</xdr:rowOff>
    </xdr:from>
    <xdr:to>
      <xdr:col>0</xdr:col>
      <xdr:colOff>171450</xdr:colOff>
      <xdr:row>189</xdr:row>
      <xdr:rowOff>133350</xdr:rowOff>
    </xdr:to>
    <xdr:pic>
      <xdr:nvPicPr>
        <xdr:cNvPr id="716" name="Picture@5C\QPendientes@" descr="@5C\QPendientes@">
          <a:extLst>
            <a:ext uri="{FF2B5EF4-FFF2-40B4-BE49-F238E27FC236}">
              <a16:creationId xmlns:a16="http://schemas.microsoft.com/office/drawing/2014/main" id="{9602CA01-97BD-435A-9046-093A7577F7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56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</xdr:row>
      <xdr:rowOff>0</xdr:rowOff>
    </xdr:from>
    <xdr:to>
      <xdr:col>0</xdr:col>
      <xdr:colOff>171450</xdr:colOff>
      <xdr:row>190</xdr:row>
      <xdr:rowOff>133350</xdr:rowOff>
    </xdr:to>
    <xdr:pic>
      <xdr:nvPicPr>
        <xdr:cNvPr id="717" name="Picture@5C\QPendientes@" descr="@5C\QPendientes@">
          <a:extLst>
            <a:ext uri="{FF2B5EF4-FFF2-40B4-BE49-F238E27FC236}">
              <a16:creationId xmlns:a16="http://schemas.microsoft.com/office/drawing/2014/main" id="{309C7521-6B19-46B0-8A8B-3E72F85EE8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74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</xdr:row>
      <xdr:rowOff>0</xdr:rowOff>
    </xdr:from>
    <xdr:to>
      <xdr:col>0</xdr:col>
      <xdr:colOff>171450</xdr:colOff>
      <xdr:row>191</xdr:row>
      <xdr:rowOff>133350</xdr:rowOff>
    </xdr:to>
    <xdr:pic>
      <xdr:nvPicPr>
        <xdr:cNvPr id="718" name="Picture@5C\QPendientes@" descr="@5C\QPendientes@">
          <a:extLst>
            <a:ext uri="{FF2B5EF4-FFF2-40B4-BE49-F238E27FC236}">
              <a16:creationId xmlns:a16="http://schemas.microsoft.com/office/drawing/2014/main" id="{29FEE056-43C1-4EFD-9FA4-55C67BCEB4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93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</xdr:row>
      <xdr:rowOff>0</xdr:rowOff>
    </xdr:from>
    <xdr:to>
      <xdr:col>0</xdr:col>
      <xdr:colOff>171450</xdr:colOff>
      <xdr:row>192</xdr:row>
      <xdr:rowOff>133350</xdr:rowOff>
    </xdr:to>
    <xdr:pic>
      <xdr:nvPicPr>
        <xdr:cNvPr id="719" name="Picture@5C\QPendientes@" descr="@5C\QPendientes@">
          <a:extLst>
            <a:ext uri="{FF2B5EF4-FFF2-40B4-BE49-F238E27FC236}">
              <a16:creationId xmlns:a16="http://schemas.microsoft.com/office/drawing/2014/main" id="{8358EE7B-5E14-44EE-BC35-F60ED3C601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11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</xdr:row>
      <xdr:rowOff>0</xdr:rowOff>
    </xdr:from>
    <xdr:to>
      <xdr:col>0</xdr:col>
      <xdr:colOff>171450</xdr:colOff>
      <xdr:row>193</xdr:row>
      <xdr:rowOff>133350</xdr:rowOff>
    </xdr:to>
    <xdr:pic>
      <xdr:nvPicPr>
        <xdr:cNvPr id="720" name="Picture@5C\QPendientes@" descr="@5C\QPendientes@">
          <a:extLst>
            <a:ext uri="{FF2B5EF4-FFF2-40B4-BE49-F238E27FC236}">
              <a16:creationId xmlns:a16="http://schemas.microsoft.com/office/drawing/2014/main" id="{5E9D50F0-BDFB-4E3B-84AE-EF9F0DCC86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29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</xdr:row>
      <xdr:rowOff>0</xdr:rowOff>
    </xdr:from>
    <xdr:to>
      <xdr:col>0</xdr:col>
      <xdr:colOff>171450</xdr:colOff>
      <xdr:row>194</xdr:row>
      <xdr:rowOff>133350</xdr:rowOff>
    </xdr:to>
    <xdr:pic>
      <xdr:nvPicPr>
        <xdr:cNvPr id="721" name="Picture@5C\QPendientes@" descr="@5C\QPendientes@">
          <a:extLst>
            <a:ext uri="{FF2B5EF4-FFF2-40B4-BE49-F238E27FC236}">
              <a16:creationId xmlns:a16="http://schemas.microsoft.com/office/drawing/2014/main" id="{A631F422-D801-4548-BEDA-18E8E185DE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47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</xdr:row>
      <xdr:rowOff>0</xdr:rowOff>
    </xdr:from>
    <xdr:to>
      <xdr:col>0</xdr:col>
      <xdr:colOff>171450</xdr:colOff>
      <xdr:row>195</xdr:row>
      <xdr:rowOff>133350</xdr:rowOff>
    </xdr:to>
    <xdr:pic>
      <xdr:nvPicPr>
        <xdr:cNvPr id="722" name="Picture@5C\QPendientes@" descr="@5C\QPendientes@">
          <a:extLst>
            <a:ext uri="{FF2B5EF4-FFF2-40B4-BE49-F238E27FC236}">
              <a16:creationId xmlns:a16="http://schemas.microsoft.com/office/drawing/2014/main" id="{1E9803D5-C91F-49AB-8FEB-3A1810609E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66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</xdr:row>
      <xdr:rowOff>0</xdr:rowOff>
    </xdr:from>
    <xdr:to>
      <xdr:col>0</xdr:col>
      <xdr:colOff>171450</xdr:colOff>
      <xdr:row>196</xdr:row>
      <xdr:rowOff>133350</xdr:rowOff>
    </xdr:to>
    <xdr:pic>
      <xdr:nvPicPr>
        <xdr:cNvPr id="723" name="Picture@5C\QPendientes@" descr="@5C\QPendientes@">
          <a:extLst>
            <a:ext uri="{FF2B5EF4-FFF2-40B4-BE49-F238E27FC236}">
              <a16:creationId xmlns:a16="http://schemas.microsoft.com/office/drawing/2014/main" id="{0F6E816C-C600-44D7-9712-66B6987BAC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84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</xdr:row>
      <xdr:rowOff>0</xdr:rowOff>
    </xdr:from>
    <xdr:to>
      <xdr:col>0</xdr:col>
      <xdr:colOff>171450</xdr:colOff>
      <xdr:row>197</xdr:row>
      <xdr:rowOff>133350</xdr:rowOff>
    </xdr:to>
    <xdr:pic>
      <xdr:nvPicPr>
        <xdr:cNvPr id="724" name="Picture@5C\QPendientes@" descr="@5C\QPendientes@">
          <a:extLst>
            <a:ext uri="{FF2B5EF4-FFF2-40B4-BE49-F238E27FC236}">
              <a16:creationId xmlns:a16="http://schemas.microsoft.com/office/drawing/2014/main" id="{216B2972-7860-4F8D-9FFF-A2A31988F4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02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</xdr:row>
      <xdr:rowOff>0</xdr:rowOff>
    </xdr:from>
    <xdr:to>
      <xdr:col>0</xdr:col>
      <xdr:colOff>171450</xdr:colOff>
      <xdr:row>198</xdr:row>
      <xdr:rowOff>133350</xdr:rowOff>
    </xdr:to>
    <xdr:pic>
      <xdr:nvPicPr>
        <xdr:cNvPr id="725" name="Picture@5C\QPendientes@" descr="@5C\QPendientes@">
          <a:extLst>
            <a:ext uri="{FF2B5EF4-FFF2-40B4-BE49-F238E27FC236}">
              <a16:creationId xmlns:a16="http://schemas.microsoft.com/office/drawing/2014/main" id="{0371AA48-6E9A-4267-BD21-102D2F25C9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21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</xdr:row>
      <xdr:rowOff>0</xdr:rowOff>
    </xdr:from>
    <xdr:to>
      <xdr:col>0</xdr:col>
      <xdr:colOff>171450</xdr:colOff>
      <xdr:row>199</xdr:row>
      <xdr:rowOff>133350</xdr:rowOff>
    </xdr:to>
    <xdr:pic>
      <xdr:nvPicPr>
        <xdr:cNvPr id="726" name="Picture@5C\QPendientes@" descr="@5C\QPendientes@">
          <a:extLst>
            <a:ext uri="{FF2B5EF4-FFF2-40B4-BE49-F238E27FC236}">
              <a16:creationId xmlns:a16="http://schemas.microsoft.com/office/drawing/2014/main" id="{49306645-ACD4-41A0-8797-9CAF60A049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39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</xdr:row>
      <xdr:rowOff>0</xdr:rowOff>
    </xdr:from>
    <xdr:to>
      <xdr:col>0</xdr:col>
      <xdr:colOff>171450</xdr:colOff>
      <xdr:row>200</xdr:row>
      <xdr:rowOff>133350</xdr:rowOff>
    </xdr:to>
    <xdr:pic>
      <xdr:nvPicPr>
        <xdr:cNvPr id="727" name="Picture@5C\QPendientes@" descr="@5C\QPendientes@">
          <a:extLst>
            <a:ext uri="{FF2B5EF4-FFF2-40B4-BE49-F238E27FC236}">
              <a16:creationId xmlns:a16="http://schemas.microsoft.com/office/drawing/2014/main" id="{5D0D495B-AC72-41F9-8833-52C7309456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57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</xdr:row>
      <xdr:rowOff>0</xdr:rowOff>
    </xdr:from>
    <xdr:to>
      <xdr:col>0</xdr:col>
      <xdr:colOff>171450</xdr:colOff>
      <xdr:row>201</xdr:row>
      <xdr:rowOff>133350</xdr:rowOff>
    </xdr:to>
    <xdr:pic>
      <xdr:nvPicPr>
        <xdr:cNvPr id="728" name="Picture@5C\QPendientes@" descr="@5C\QPendientes@">
          <a:extLst>
            <a:ext uri="{FF2B5EF4-FFF2-40B4-BE49-F238E27FC236}">
              <a16:creationId xmlns:a16="http://schemas.microsoft.com/office/drawing/2014/main" id="{F876ADC0-AB68-4468-8109-600A2060CF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75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</xdr:row>
      <xdr:rowOff>0</xdr:rowOff>
    </xdr:from>
    <xdr:to>
      <xdr:col>0</xdr:col>
      <xdr:colOff>171450</xdr:colOff>
      <xdr:row>202</xdr:row>
      <xdr:rowOff>133350</xdr:rowOff>
    </xdr:to>
    <xdr:pic>
      <xdr:nvPicPr>
        <xdr:cNvPr id="729" name="Picture@5C\QPendientes@" descr="@5C\QPendientes@">
          <a:extLst>
            <a:ext uri="{FF2B5EF4-FFF2-40B4-BE49-F238E27FC236}">
              <a16:creationId xmlns:a16="http://schemas.microsoft.com/office/drawing/2014/main" id="{10638E80-A965-4E40-A9F0-9D8602CDB6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94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</xdr:row>
      <xdr:rowOff>0</xdr:rowOff>
    </xdr:from>
    <xdr:to>
      <xdr:col>0</xdr:col>
      <xdr:colOff>171450</xdr:colOff>
      <xdr:row>203</xdr:row>
      <xdr:rowOff>133350</xdr:rowOff>
    </xdr:to>
    <xdr:pic>
      <xdr:nvPicPr>
        <xdr:cNvPr id="730" name="Picture@5C\QPendientes@" descr="@5C\QPendientes@">
          <a:extLst>
            <a:ext uri="{FF2B5EF4-FFF2-40B4-BE49-F238E27FC236}">
              <a16:creationId xmlns:a16="http://schemas.microsoft.com/office/drawing/2014/main" id="{D34A2663-41E2-4BA5-A3FE-E12081664E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12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</xdr:row>
      <xdr:rowOff>0</xdr:rowOff>
    </xdr:from>
    <xdr:to>
      <xdr:col>0</xdr:col>
      <xdr:colOff>171450</xdr:colOff>
      <xdr:row>204</xdr:row>
      <xdr:rowOff>133350</xdr:rowOff>
    </xdr:to>
    <xdr:pic>
      <xdr:nvPicPr>
        <xdr:cNvPr id="731" name="Picture@5C\QPendientes@" descr="@5C\QPendientes@">
          <a:extLst>
            <a:ext uri="{FF2B5EF4-FFF2-40B4-BE49-F238E27FC236}">
              <a16:creationId xmlns:a16="http://schemas.microsoft.com/office/drawing/2014/main" id="{1D845BC7-72C6-4B33-AD30-C51328D565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30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</xdr:row>
      <xdr:rowOff>0</xdr:rowOff>
    </xdr:from>
    <xdr:to>
      <xdr:col>0</xdr:col>
      <xdr:colOff>171450</xdr:colOff>
      <xdr:row>205</xdr:row>
      <xdr:rowOff>133350</xdr:rowOff>
    </xdr:to>
    <xdr:pic>
      <xdr:nvPicPr>
        <xdr:cNvPr id="732" name="Picture@5C\QPendientes@" descr="@5C\QPendientes@">
          <a:extLst>
            <a:ext uri="{FF2B5EF4-FFF2-40B4-BE49-F238E27FC236}">
              <a16:creationId xmlns:a16="http://schemas.microsoft.com/office/drawing/2014/main" id="{246D7D22-5137-45FA-9C07-949003469B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49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</xdr:row>
      <xdr:rowOff>0</xdr:rowOff>
    </xdr:from>
    <xdr:to>
      <xdr:col>0</xdr:col>
      <xdr:colOff>171450</xdr:colOff>
      <xdr:row>206</xdr:row>
      <xdr:rowOff>133350</xdr:rowOff>
    </xdr:to>
    <xdr:pic>
      <xdr:nvPicPr>
        <xdr:cNvPr id="733" name="Picture@5C\QPendientes@" descr="@5C\QPendientes@">
          <a:extLst>
            <a:ext uri="{FF2B5EF4-FFF2-40B4-BE49-F238E27FC236}">
              <a16:creationId xmlns:a16="http://schemas.microsoft.com/office/drawing/2014/main" id="{62F905B4-7962-4D87-B694-B87EFC2792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67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</xdr:row>
      <xdr:rowOff>0</xdr:rowOff>
    </xdr:from>
    <xdr:to>
      <xdr:col>0</xdr:col>
      <xdr:colOff>171450</xdr:colOff>
      <xdr:row>207</xdr:row>
      <xdr:rowOff>133350</xdr:rowOff>
    </xdr:to>
    <xdr:pic>
      <xdr:nvPicPr>
        <xdr:cNvPr id="734" name="Picture@5C\QPendientes@" descr="@5C\QPendientes@">
          <a:extLst>
            <a:ext uri="{FF2B5EF4-FFF2-40B4-BE49-F238E27FC236}">
              <a16:creationId xmlns:a16="http://schemas.microsoft.com/office/drawing/2014/main" id="{63731BA5-C05C-4BCF-B610-AB1C7646D5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85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</xdr:row>
      <xdr:rowOff>0</xdr:rowOff>
    </xdr:from>
    <xdr:to>
      <xdr:col>0</xdr:col>
      <xdr:colOff>171450</xdr:colOff>
      <xdr:row>208</xdr:row>
      <xdr:rowOff>133350</xdr:rowOff>
    </xdr:to>
    <xdr:pic>
      <xdr:nvPicPr>
        <xdr:cNvPr id="735" name="Picture@5C\QPendientes@" descr="@5C\QPendientes@">
          <a:extLst>
            <a:ext uri="{FF2B5EF4-FFF2-40B4-BE49-F238E27FC236}">
              <a16:creationId xmlns:a16="http://schemas.microsoft.com/office/drawing/2014/main" id="{BD52ED55-6B0F-49C7-A868-B7B247EBBE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03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</xdr:row>
      <xdr:rowOff>0</xdr:rowOff>
    </xdr:from>
    <xdr:to>
      <xdr:col>0</xdr:col>
      <xdr:colOff>171450</xdr:colOff>
      <xdr:row>209</xdr:row>
      <xdr:rowOff>133350</xdr:rowOff>
    </xdr:to>
    <xdr:pic>
      <xdr:nvPicPr>
        <xdr:cNvPr id="736" name="Picture@5C\QPendientes@" descr="@5C\QPendientes@">
          <a:extLst>
            <a:ext uri="{FF2B5EF4-FFF2-40B4-BE49-F238E27FC236}">
              <a16:creationId xmlns:a16="http://schemas.microsoft.com/office/drawing/2014/main" id="{8BAADB84-E32A-4D75-A47D-7144C72924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22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</xdr:row>
      <xdr:rowOff>0</xdr:rowOff>
    </xdr:from>
    <xdr:to>
      <xdr:col>0</xdr:col>
      <xdr:colOff>171450</xdr:colOff>
      <xdr:row>210</xdr:row>
      <xdr:rowOff>133350</xdr:rowOff>
    </xdr:to>
    <xdr:pic>
      <xdr:nvPicPr>
        <xdr:cNvPr id="737" name="Picture@5C\QPendientes@" descr="@5C\QPendientes@">
          <a:extLst>
            <a:ext uri="{FF2B5EF4-FFF2-40B4-BE49-F238E27FC236}">
              <a16:creationId xmlns:a16="http://schemas.microsoft.com/office/drawing/2014/main" id="{FEC78E7F-AAAE-4130-BC59-DAF9A5D7E0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40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</xdr:row>
      <xdr:rowOff>0</xdr:rowOff>
    </xdr:from>
    <xdr:to>
      <xdr:col>0</xdr:col>
      <xdr:colOff>171450</xdr:colOff>
      <xdr:row>211</xdr:row>
      <xdr:rowOff>133350</xdr:rowOff>
    </xdr:to>
    <xdr:pic>
      <xdr:nvPicPr>
        <xdr:cNvPr id="738" name="Picture@5C\QPendientes@" descr="@5C\QPendientes@">
          <a:extLst>
            <a:ext uri="{FF2B5EF4-FFF2-40B4-BE49-F238E27FC236}">
              <a16:creationId xmlns:a16="http://schemas.microsoft.com/office/drawing/2014/main" id="{AD8461FF-083E-44EA-94DA-99A9A040E2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58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</xdr:row>
      <xdr:rowOff>0</xdr:rowOff>
    </xdr:from>
    <xdr:to>
      <xdr:col>0</xdr:col>
      <xdr:colOff>171450</xdr:colOff>
      <xdr:row>212</xdr:row>
      <xdr:rowOff>133350</xdr:rowOff>
    </xdr:to>
    <xdr:pic>
      <xdr:nvPicPr>
        <xdr:cNvPr id="739" name="Picture@5C\QPendientes@" descr="@5C\QPendientes@">
          <a:extLst>
            <a:ext uri="{FF2B5EF4-FFF2-40B4-BE49-F238E27FC236}">
              <a16:creationId xmlns:a16="http://schemas.microsoft.com/office/drawing/2014/main" id="{FF7F1990-092A-4BCE-A501-73D3D76E38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77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</xdr:row>
      <xdr:rowOff>0</xdr:rowOff>
    </xdr:from>
    <xdr:to>
      <xdr:col>0</xdr:col>
      <xdr:colOff>171450</xdr:colOff>
      <xdr:row>213</xdr:row>
      <xdr:rowOff>133350</xdr:rowOff>
    </xdr:to>
    <xdr:pic>
      <xdr:nvPicPr>
        <xdr:cNvPr id="740" name="Picture@5C\QPendientes@" descr="@5C\QPendientes@">
          <a:extLst>
            <a:ext uri="{FF2B5EF4-FFF2-40B4-BE49-F238E27FC236}">
              <a16:creationId xmlns:a16="http://schemas.microsoft.com/office/drawing/2014/main" id="{9CDD9E3F-9234-4CF4-9AFD-F80EA52018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95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</xdr:row>
      <xdr:rowOff>0</xdr:rowOff>
    </xdr:from>
    <xdr:to>
      <xdr:col>0</xdr:col>
      <xdr:colOff>171450</xdr:colOff>
      <xdr:row>214</xdr:row>
      <xdr:rowOff>133350</xdr:rowOff>
    </xdr:to>
    <xdr:pic>
      <xdr:nvPicPr>
        <xdr:cNvPr id="741" name="Picture@5C\QPendientes@" descr="@5C\QPendientes@">
          <a:extLst>
            <a:ext uri="{FF2B5EF4-FFF2-40B4-BE49-F238E27FC236}">
              <a16:creationId xmlns:a16="http://schemas.microsoft.com/office/drawing/2014/main" id="{055EAF96-E2F0-4722-96D3-70A96B2D8F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13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133350</xdr:rowOff>
    </xdr:to>
    <xdr:pic>
      <xdr:nvPicPr>
        <xdr:cNvPr id="966" name="Picture@5C\QPendientes@" descr="@5C\QPendientes@">
          <a:extLst>
            <a:ext uri="{FF2B5EF4-FFF2-40B4-BE49-F238E27FC236}">
              <a16:creationId xmlns:a16="http://schemas.microsoft.com/office/drawing/2014/main" id="{EF2A6B7E-EF20-42CE-B72C-341BFB3310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133350</xdr:rowOff>
    </xdr:to>
    <xdr:pic>
      <xdr:nvPicPr>
        <xdr:cNvPr id="967" name="Picture@5C\QPendientes@" descr="@5C\QPendientes@">
          <a:extLst>
            <a:ext uri="{FF2B5EF4-FFF2-40B4-BE49-F238E27FC236}">
              <a16:creationId xmlns:a16="http://schemas.microsoft.com/office/drawing/2014/main" id="{374F46E8-E161-4832-B5EE-C7192B526E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133350</xdr:rowOff>
    </xdr:to>
    <xdr:pic>
      <xdr:nvPicPr>
        <xdr:cNvPr id="968" name="Picture@5C\QPendientes@" descr="@5C\QPendientes@">
          <a:extLst>
            <a:ext uri="{FF2B5EF4-FFF2-40B4-BE49-F238E27FC236}">
              <a16:creationId xmlns:a16="http://schemas.microsoft.com/office/drawing/2014/main" id="{EB2D3121-5B1F-4AFA-B5F4-EA7D0149CF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133350</xdr:rowOff>
    </xdr:to>
    <xdr:pic>
      <xdr:nvPicPr>
        <xdr:cNvPr id="969" name="Picture@5C\QPendientes@" descr="@5C\QPendientes@">
          <a:extLst>
            <a:ext uri="{FF2B5EF4-FFF2-40B4-BE49-F238E27FC236}">
              <a16:creationId xmlns:a16="http://schemas.microsoft.com/office/drawing/2014/main" id="{B2623F74-4B98-44E9-837E-D5CD806EA6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133350</xdr:rowOff>
    </xdr:to>
    <xdr:pic>
      <xdr:nvPicPr>
        <xdr:cNvPr id="970" name="Picture@5C\QPendientes@" descr="@5C\QPendientes@">
          <a:extLst>
            <a:ext uri="{FF2B5EF4-FFF2-40B4-BE49-F238E27FC236}">
              <a16:creationId xmlns:a16="http://schemas.microsoft.com/office/drawing/2014/main" id="{C6A8716B-7248-4B34-AEE5-A398A50BAF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133350</xdr:rowOff>
    </xdr:to>
    <xdr:pic>
      <xdr:nvPicPr>
        <xdr:cNvPr id="971" name="Picture@5C\QPendientes@" descr="@5C\QPendientes@">
          <a:extLst>
            <a:ext uri="{FF2B5EF4-FFF2-40B4-BE49-F238E27FC236}">
              <a16:creationId xmlns:a16="http://schemas.microsoft.com/office/drawing/2014/main" id="{1107137C-CD38-4076-B281-F0D3323631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133350</xdr:rowOff>
    </xdr:to>
    <xdr:pic>
      <xdr:nvPicPr>
        <xdr:cNvPr id="972" name="Picture@5C\QPendientes@" descr="@5C\QPendientes@">
          <a:extLst>
            <a:ext uri="{FF2B5EF4-FFF2-40B4-BE49-F238E27FC236}">
              <a16:creationId xmlns:a16="http://schemas.microsoft.com/office/drawing/2014/main" id="{345E564E-DA95-42A6-8F52-E7035B2764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133350</xdr:rowOff>
    </xdr:to>
    <xdr:pic>
      <xdr:nvPicPr>
        <xdr:cNvPr id="973" name="Picture@5C\QPendientes@" descr="@5C\QPendientes@">
          <a:extLst>
            <a:ext uri="{FF2B5EF4-FFF2-40B4-BE49-F238E27FC236}">
              <a16:creationId xmlns:a16="http://schemas.microsoft.com/office/drawing/2014/main" id="{89AAFAC9-3AE4-4831-8210-35D8771F78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133350</xdr:rowOff>
    </xdr:to>
    <xdr:pic>
      <xdr:nvPicPr>
        <xdr:cNvPr id="974" name="Picture@5C\QPendientes@" descr="@5C\QPendientes@">
          <a:extLst>
            <a:ext uri="{FF2B5EF4-FFF2-40B4-BE49-F238E27FC236}">
              <a16:creationId xmlns:a16="http://schemas.microsoft.com/office/drawing/2014/main" id="{3DFB34E5-9FD3-4B0B-A2C9-29B691FEBF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133350</xdr:rowOff>
    </xdr:to>
    <xdr:pic>
      <xdr:nvPicPr>
        <xdr:cNvPr id="975" name="Picture@5C\QPendientes@" descr="@5C\QPendientes@">
          <a:extLst>
            <a:ext uri="{FF2B5EF4-FFF2-40B4-BE49-F238E27FC236}">
              <a16:creationId xmlns:a16="http://schemas.microsoft.com/office/drawing/2014/main" id="{60E56186-4192-4499-A81E-E90BC24DCE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2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133350</xdr:rowOff>
    </xdr:to>
    <xdr:pic>
      <xdr:nvPicPr>
        <xdr:cNvPr id="976" name="Picture@5C\QPendientes@" descr="@5C\QPendientes@">
          <a:extLst>
            <a:ext uri="{FF2B5EF4-FFF2-40B4-BE49-F238E27FC236}">
              <a16:creationId xmlns:a16="http://schemas.microsoft.com/office/drawing/2014/main" id="{87CC3824-6E66-472C-A30A-B5F5E0CFD8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1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133350</xdr:rowOff>
    </xdr:to>
    <xdr:pic>
      <xdr:nvPicPr>
        <xdr:cNvPr id="977" name="Picture@5C\QPendientes@" descr="@5C\QPendientes@">
          <a:extLst>
            <a:ext uri="{FF2B5EF4-FFF2-40B4-BE49-F238E27FC236}">
              <a16:creationId xmlns:a16="http://schemas.microsoft.com/office/drawing/2014/main" id="{6B7A16F1-6F9F-476F-8958-6ADD3C5D59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133350</xdr:rowOff>
    </xdr:to>
    <xdr:pic>
      <xdr:nvPicPr>
        <xdr:cNvPr id="978" name="Picture@5C\QPendientes@" descr="@5C\QPendientes@">
          <a:extLst>
            <a:ext uri="{FF2B5EF4-FFF2-40B4-BE49-F238E27FC236}">
              <a16:creationId xmlns:a16="http://schemas.microsoft.com/office/drawing/2014/main" id="{25F488AB-4539-4946-A9DC-80A7A53CA8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7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133350</xdr:rowOff>
    </xdr:to>
    <xdr:pic>
      <xdr:nvPicPr>
        <xdr:cNvPr id="979" name="Picture@5C\QPendientes@" descr="@5C\QPendientes@">
          <a:extLst>
            <a:ext uri="{FF2B5EF4-FFF2-40B4-BE49-F238E27FC236}">
              <a16:creationId xmlns:a16="http://schemas.microsoft.com/office/drawing/2014/main" id="{73980FF6-51CB-4359-94F9-EE0F9DAE58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6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133350</xdr:rowOff>
    </xdr:to>
    <xdr:pic>
      <xdr:nvPicPr>
        <xdr:cNvPr id="980" name="Picture@5C\QPendientes@" descr="@5C\QPendientes@">
          <a:extLst>
            <a:ext uri="{FF2B5EF4-FFF2-40B4-BE49-F238E27FC236}">
              <a16:creationId xmlns:a16="http://schemas.microsoft.com/office/drawing/2014/main" id="{3F859D28-E61A-4FA0-9901-D328341A63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4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171450</xdr:colOff>
      <xdr:row>16</xdr:row>
      <xdr:rowOff>133350</xdr:rowOff>
    </xdr:to>
    <xdr:pic>
      <xdr:nvPicPr>
        <xdr:cNvPr id="981" name="Picture@5C\QPendientes@" descr="@5C\QPendientes@">
          <a:extLst>
            <a:ext uri="{FF2B5EF4-FFF2-40B4-BE49-F238E27FC236}">
              <a16:creationId xmlns:a16="http://schemas.microsoft.com/office/drawing/2014/main" id="{8BABEAAD-D0C6-4DD6-BCBB-DD273AB959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2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</xdr:row>
      <xdr:rowOff>0</xdr:rowOff>
    </xdr:from>
    <xdr:to>
      <xdr:col>0</xdr:col>
      <xdr:colOff>171450</xdr:colOff>
      <xdr:row>17</xdr:row>
      <xdr:rowOff>133350</xdr:rowOff>
    </xdr:to>
    <xdr:pic>
      <xdr:nvPicPr>
        <xdr:cNvPr id="982" name="Picture@5C\QPendientes@" descr="@5C\QPendientes@">
          <a:extLst>
            <a:ext uri="{FF2B5EF4-FFF2-40B4-BE49-F238E27FC236}">
              <a16:creationId xmlns:a16="http://schemas.microsoft.com/office/drawing/2014/main" id="{0D299E99-5540-4881-ACC0-D78C226F22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0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</xdr:row>
      <xdr:rowOff>0</xdr:rowOff>
    </xdr:from>
    <xdr:to>
      <xdr:col>0</xdr:col>
      <xdr:colOff>171450</xdr:colOff>
      <xdr:row>18</xdr:row>
      <xdr:rowOff>133350</xdr:rowOff>
    </xdr:to>
    <xdr:pic>
      <xdr:nvPicPr>
        <xdr:cNvPr id="983" name="Picture@5C\QPendientes@" descr="@5C\QPendientes@">
          <a:extLst>
            <a:ext uri="{FF2B5EF4-FFF2-40B4-BE49-F238E27FC236}">
              <a16:creationId xmlns:a16="http://schemas.microsoft.com/office/drawing/2014/main" id="{183F59CA-042A-4C3A-BE59-826B7602FA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9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</xdr:row>
      <xdr:rowOff>0</xdr:rowOff>
    </xdr:from>
    <xdr:to>
      <xdr:col>0</xdr:col>
      <xdr:colOff>171450</xdr:colOff>
      <xdr:row>19</xdr:row>
      <xdr:rowOff>133350</xdr:rowOff>
    </xdr:to>
    <xdr:pic>
      <xdr:nvPicPr>
        <xdr:cNvPr id="984" name="Picture@5C\QPendientes@" descr="@5C\QPendientes@">
          <a:extLst>
            <a:ext uri="{FF2B5EF4-FFF2-40B4-BE49-F238E27FC236}">
              <a16:creationId xmlns:a16="http://schemas.microsoft.com/office/drawing/2014/main" id="{2C61C556-C8C5-4875-8F49-6E92675D79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7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</xdr:row>
      <xdr:rowOff>0</xdr:rowOff>
    </xdr:from>
    <xdr:to>
      <xdr:col>0</xdr:col>
      <xdr:colOff>171450</xdr:colOff>
      <xdr:row>20</xdr:row>
      <xdr:rowOff>133350</xdr:rowOff>
    </xdr:to>
    <xdr:pic>
      <xdr:nvPicPr>
        <xdr:cNvPr id="985" name="Picture@5C\QPendientes@" descr="@5C\QPendientes@">
          <a:extLst>
            <a:ext uri="{FF2B5EF4-FFF2-40B4-BE49-F238E27FC236}">
              <a16:creationId xmlns:a16="http://schemas.microsoft.com/office/drawing/2014/main" id="{885D7F17-2532-40DE-9A41-52163B42C9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5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</xdr:row>
      <xdr:rowOff>0</xdr:rowOff>
    </xdr:from>
    <xdr:to>
      <xdr:col>0</xdr:col>
      <xdr:colOff>171450</xdr:colOff>
      <xdr:row>21</xdr:row>
      <xdr:rowOff>133350</xdr:rowOff>
    </xdr:to>
    <xdr:pic>
      <xdr:nvPicPr>
        <xdr:cNvPr id="986" name="Picture@5C\QPendientes@" descr="@5C\QPendientes@">
          <a:extLst>
            <a:ext uri="{FF2B5EF4-FFF2-40B4-BE49-F238E27FC236}">
              <a16:creationId xmlns:a16="http://schemas.microsoft.com/office/drawing/2014/main" id="{8369B6F2-6106-47C0-B4B3-3B5E2013FC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4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171450</xdr:colOff>
      <xdr:row>22</xdr:row>
      <xdr:rowOff>133350</xdr:rowOff>
    </xdr:to>
    <xdr:pic>
      <xdr:nvPicPr>
        <xdr:cNvPr id="987" name="Picture@5C\QPendientes@" descr="@5C\QPendientes@">
          <a:extLst>
            <a:ext uri="{FF2B5EF4-FFF2-40B4-BE49-F238E27FC236}">
              <a16:creationId xmlns:a16="http://schemas.microsoft.com/office/drawing/2014/main" id="{C3F805C5-56D8-4FFC-AEA6-B7FA49E733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2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</xdr:row>
      <xdr:rowOff>0</xdr:rowOff>
    </xdr:from>
    <xdr:to>
      <xdr:col>0</xdr:col>
      <xdr:colOff>171450</xdr:colOff>
      <xdr:row>23</xdr:row>
      <xdr:rowOff>133350</xdr:rowOff>
    </xdr:to>
    <xdr:pic>
      <xdr:nvPicPr>
        <xdr:cNvPr id="988" name="Picture@5C\QPendientes@" descr="@5C\QPendientes@">
          <a:extLst>
            <a:ext uri="{FF2B5EF4-FFF2-40B4-BE49-F238E27FC236}">
              <a16:creationId xmlns:a16="http://schemas.microsoft.com/office/drawing/2014/main" id="{00CD6ADB-0904-495D-BFC9-D99E05FDDB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0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</xdr:row>
      <xdr:rowOff>0</xdr:rowOff>
    </xdr:from>
    <xdr:to>
      <xdr:col>0</xdr:col>
      <xdr:colOff>171450</xdr:colOff>
      <xdr:row>24</xdr:row>
      <xdr:rowOff>133350</xdr:rowOff>
    </xdr:to>
    <xdr:pic>
      <xdr:nvPicPr>
        <xdr:cNvPr id="989" name="Picture@5C\QPendientes@" descr="@5C\QPendientes@">
          <a:extLst>
            <a:ext uri="{FF2B5EF4-FFF2-40B4-BE49-F238E27FC236}">
              <a16:creationId xmlns:a16="http://schemas.microsoft.com/office/drawing/2014/main" id="{507C9087-EAAE-4007-B23B-3B2E294EB5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8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</xdr:row>
      <xdr:rowOff>0</xdr:rowOff>
    </xdr:from>
    <xdr:to>
      <xdr:col>0</xdr:col>
      <xdr:colOff>171450</xdr:colOff>
      <xdr:row>25</xdr:row>
      <xdr:rowOff>133350</xdr:rowOff>
    </xdr:to>
    <xdr:pic>
      <xdr:nvPicPr>
        <xdr:cNvPr id="990" name="Picture@5C\QPendientes@" descr="@5C\QPendientes@">
          <a:extLst>
            <a:ext uri="{FF2B5EF4-FFF2-40B4-BE49-F238E27FC236}">
              <a16:creationId xmlns:a16="http://schemas.microsoft.com/office/drawing/2014/main" id="{0726D44D-3B2E-4012-BAD3-27CD6DA77C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7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</xdr:row>
      <xdr:rowOff>0</xdr:rowOff>
    </xdr:from>
    <xdr:to>
      <xdr:col>0</xdr:col>
      <xdr:colOff>171450</xdr:colOff>
      <xdr:row>26</xdr:row>
      <xdr:rowOff>133350</xdr:rowOff>
    </xdr:to>
    <xdr:pic>
      <xdr:nvPicPr>
        <xdr:cNvPr id="991" name="Picture@5C\QPendientes@" descr="@5C\QPendientes@">
          <a:extLst>
            <a:ext uri="{FF2B5EF4-FFF2-40B4-BE49-F238E27FC236}">
              <a16:creationId xmlns:a16="http://schemas.microsoft.com/office/drawing/2014/main" id="{FF1077B0-8D1F-4F2C-A32F-E66E301993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5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171450</xdr:colOff>
      <xdr:row>27</xdr:row>
      <xdr:rowOff>133350</xdr:rowOff>
    </xdr:to>
    <xdr:pic>
      <xdr:nvPicPr>
        <xdr:cNvPr id="992" name="Picture@5C\QPendientes@" descr="@5C\QPendientes@">
          <a:extLst>
            <a:ext uri="{FF2B5EF4-FFF2-40B4-BE49-F238E27FC236}">
              <a16:creationId xmlns:a16="http://schemas.microsoft.com/office/drawing/2014/main" id="{4D5826D2-22AE-4BF1-BD70-D032AD3D66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3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133350</xdr:rowOff>
    </xdr:to>
    <xdr:pic>
      <xdr:nvPicPr>
        <xdr:cNvPr id="993" name="Picture@5C\QPendientes@" descr="@5C\QPendientes@">
          <a:extLst>
            <a:ext uri="{FF2B5EF4-FFF2-40B4-BE49-F238E27FC236}">
              <a16:creationId xmlns:a16="http://schemas.microsoft.com/office/drawing/2014/main" id="{27B72A00-AD3B-4067-914A-505E36F566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2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133350</xdr:rowOff>
    </xdr:to>
    <xdr:pic>
      <xdr:nvPicPr>
        <xdr:cNvPr id="994" name="Picture@5C\QPendientes@" descr="@5C\QPendientes@">
          <a:extLst>
            <a:ext uri="{FF2B5EF4-FFF2-40B4-BE49-F238E27FC236}">
              <a16:creationId xmlns:a16="http://schemas.microsoft.com/office/drawing/2014/main" id="{5D1C6004-EDCC-46C5-A08B-572C3BFEF1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0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</xdr:row>
      <xdr:rowOff>0</xdr:rowOff>
    </xdr:from>
    <xdr:to>
      <xdr:col>0</xdr:col>
      <xdr:colOff>171450</xdr:colOff>
      <xdr:row>30</xdr:row>
      <xdr:rowOff>133350</xdr:rowOff>
    </xdr:to>
    <xdr:pic>
      <xdr:nvPicPr>
        <xdr:cNvPr id="995" name="Picture@5C\QPendientes@" descr="@5C\QPendientes@">
          <a:extLst>
            <a:ext uri="{FF2B5EF4-FFF2-40B4-BE49-F238E27FC236}">
              <a16:creationId xmlns:a16="http://schemas.microsoft.com/office/drawing/2014/main" id="{D7F1A689-A253-4E8F-9AAA-001AE1320D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8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171450</xdr:colOff>
      <xdr:row>31</xdr:row>
      <xdr:rowOff>133350</xdr:rowOff>
    </xdr:to>
    <xdr:pic>
      <xdr:nvPicPr>
        <xdr:cNvPr id="996" name="Picture@5C\QPendientes@" descr="@5C\QPendientes@">
          <a:extLst>
            <a:ext uri="{FF2B5EF4-FFF2-40B4-BE49-F238E27FC236}">
              <a16:creationId xmlns:a16="http://schemas.microsoft.com/office/drawing/2014/main" id="{6FB6C2C0-2B27-45E2-9EC2-FA35DE90B0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6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</xdr:row>
      <xdr:rowOff>0</xdr:rowOff>
    </xdr:from>
    <xdr:to>
      <xdr:col>0</xdr:col>
      <xdr:colOff>171450</xdr:colOff>
      <xdr:row>32</xdr:row>
      <xdr:rowOff>133350</xdr:rowOff>
    </xdr:to>
    <xdr:pic>
      <xdr:nvPicPr>
        <xdr:cNvPr id="997" name="Picture@5C\QPendientes@" descr="@5C\QPendientes@">
          <a:extLst>
            <a:ext uri="{FF2B5EF4-FFF2-40B4-BE49-F238E27FC236}">
              <a16:creationId xmlns:a16="http://schemas.microsoft.com/office/drawing/2014/main" id="{F5DB185D-708A-485F-B5BD-8CFC85CAAB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5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</xdr:row>
      <xdr:rowOff>0</xdr:rowOff>
    </xdr:from>
    <xdr:to>
      <xdr:col>0</xdr:col>
      <xdr:colOff>171450</xdr:colOff>
      <xdr:row>33</xdr:row>
      <xdr:rowOff>133350</xdr:rowOff>
    </xdr:to>
    <xdr:pic>
      <xdr:nvPicPr>
        <xdr:cNvPr id="998" name="Picture@5C\QPendientes@" descr="@5C\QPendientes@">
          <a:extLst>
            <a:ext uri="{FF2B5EF4-FFF2-40B4-BE49-F238E27FC236}">
              <a16:creationId xmlns:a16="http://schemas.microsoft.com/office/drawing/2014/main" id="{39DD687C-4138-42DB-BA9B-A3FA4D0D5F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3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</xdr:row>
      <xdr:rowOff>0</xdr:rowOff>
    </xdr:from>
    <xdr:to>
      <xdr:col>0</xdr:col>
      <xdr:colOff>171450</xdr:colOff>
      <xdr:row>34</xdr:row>
      <xdr:rowOff>133350</xdr:rowOff>
    </xdr:to>
    <xdr:pic>
      <xdr:nvPicPr>
        <xdr:cNvPr id="999" name="Picture@5C\QPendientes@" descr="@5C\QPendientes@">
          <a:extLst>
            <a:ext uri="{FF2B5EF4-FFF2-40B4-BE49-F238E27FC236}">
              <a16:creationId xmlns:a16="http://schemas.microsoft.com/office/drawing/2014/main" id="{865DAA85-DDD4-47B9-B29F-BBD0335601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1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133350</xdr:rowOff>
    </xdr:to>
    <xdr:pic>
      <xdr:nvPicPr>
        <xdr:cNvPr id="1000" name="Picture@5C\QPendientes@" descr="@5C\QPendientes@">
          <a:extLst>
            <a:ext uri="{FF2B5EF4-FFF2-40B4-BE49-F238E27FC236}">
              <a16:creationId xmlns:a16="http://schemas.microsoft.com/office/drawing/2014/main" id="{046DE00D-1370-42CB-8900-F3D7A915CF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0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133350</xdr:rowOff>
    </xdr:to>
    <xdr:pic>
      <xdr:nvPicPr>
        <xdr:cNvPr id="1001" name="Picture@5C\QPendientes@" descr="@5C\QPendientes@">
          <a:extLst>
            <a:ext uri="{FF2B5EF4-FFF2-40B4-BE49-F238E27FC236}">
              <a16:creationId xmlns:a16="http://schemas.microsoft.com/office/drawing/2014/main" id="{5E0B564E-5D18-4816-A17D-B83BD9C209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8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</xdr:row>
      <xdr:rowOff>0</xdr:rowOff>
    </xdr:from>
    <xdr:to>
      <xdr:col>0</xdr:col>
      <xdr:colOff>171450</xdr:colOff>
      <xdr:row>37</xdr:row>
      <xdr:rowOff>133350</xdr:rowOff>
    </xdr:to>
    <xdr:pic>
      <xdr:nvPicPr>
        <xdr:cNvPr id="1002" name="Picture@5C\QPendientes@" descr="@5C\QPendientes@">
          <a:extLst>
            <a:ext uri="{FF2B5EF4-FFF2-40B4-BE49-F238E27FC236}">
              <a16:creationId xmlns:a16="http://schemas.microsoft.com/office/drawing/2014/main" id="{F9D9AA6E-B810-488E-9A0C-DFFC0763E2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6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171450</xdr:colOff>
      <xdr:row>38</xdr:row>
      <xdr:rowOff>133350</xdr:rowOff>
    </xdr:to>
    <xdr:pic>
      <xdr:nvPicPr>
        <xdr:cNvPr id="1003" name="Picture@5C\QPendientes@" descr="@5C\QPendientes@">
          <a:extLst>
            <a:ext uri="{FF2B5EF4-FFF2-40B4-BE49-F238E27FC236}">
              <a16:creationId xmlns:a16="http://schemas.microsoft.com/office/drawing/2014/main" id="{CBE7433B-7EF2-4A3B-8E07-19D61CC599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4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</xdr:row>
      <xdr:rowOff>0</xdr:rowOff>
    </xdr:from>
    <xdr:to>
      <xdr:col>0</xdr:col>
      <xdr:colOff>171450</xdr:colOff>
      <xdr:row>39</xdr:row>
      <xdr:rowOff>133350</xdr:rowOff>
    </xdr:to>
    <xdr:pic>
      <xdr:nvPicPr>
        <xdr:cNvPr id="1004" name="Picture@5C\QPendientes@" descr="@5C\QPendientes@">
          <a:extLst>
            <a:ext uri="{FF2B5EF4-FFF2-40B4-BE49-F238E27FC236}">
              <a16:creationId xmlns:a16="http://schemas.microsoft.com/office/drawing/2014/main" id="{076ECF18-2DA9-42E8-9476-B5F9A747A6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3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</xdr:row>
      <xdr:rowOff>0</xdr:rowOff>
    </xdr:from>
    <xdr:to>
      <xdr:col>0</xdr:col>
      <xdr:colOff>171450</xdr:colOff>
      <xdr:row>40</xdr:row>
      <xdr:rowOff>133350</xdr:rowOff>
    </xdr:to>
    <xdr:pic>
      <xdr:nvPicPr>
        <xdr:cNvPr id="1005" name="Picture@5C\QPendientes@" descr="@5C\QPendientes@">
          <a:extLst>
            <a:ext uri="{FF2B5EF4-FFF2-40B4-BE49-F238E27FC236}">
              <a16:creationId xmlns:a16="http://schemas.microsoft.com/office/drawing/2014/main" id="{7B37A359-C441-4E4B-974E-58145EBA39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1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</xdr:row>
      <xdr:rowOff>0</xdr:rowOff>
    </xdr:from>
    <xdr:to>
      <xdr:col>0</xdr:col>
      <xdr:colOff>171450</xdr:colOff>
      <xdr:row>41</xdr:row>
      <xdr:rowOff>133350</xdr:rowOff>
    </xdr:to>
    <xdr:pic>
      <xdr:nvPicPr>
        <xdr:cNvPr id="1006" name="Picture@5C\QPendientes@" descr="@5C\QPendientes@">
          <a:extLst>
            <a:ext uri="{FF2B5EF4-FFF2-40B4-BE49-F238E27FC236}">
              <a16:creationId xmlns:a16="http://schemas.microsoft.com/office/drawing/2014/main" id="{8703C21B-6DFC-4939-8E04-A82FDC8951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9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</xdr:row>
      <xdr:rowOff>0</xdr:rowOff>
    </xdr:from>
    <xdr:to>
      <xdr:col>0</xdr:col>
      <xdr:colOff>171450</xdr:colOff>
      <xdr:row>42</xdr:row>
      <xdr:rowOff>133350</xdr:rowOff>
    </xdr:to>
    <xdr:pic>
      <xdr:nvPicPr>
        <xdr:cNvPr id="1007" name="Picture@5C\QPendientes@" descr="@5C\QPendientes@">
          <a:extLst>
            <a:ext uri="{FF2B5EF4-FFF2-40B4-BE49-F238E27FC236}">
              <a16:creationId xmlns:a16="http://schemas.microsoft.com/office/drawing/2014/main" id="{A14CFCC8-43FD-417E-B1FD-A930A03869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8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133350</xdr:rowOff>
    </xdr:to>
    <xdr:pic>
      <xdr:nvPicPr>
        <xdr:cNvPr id="1008" name="Picture@5C\QPendientes@" descr="@5C\QPendientes@">
          <a:extLst>
            <a:ext uri="{FF2B5EF4-FFF2-40B4-BE49-F238E27FC236}">
              <a16:creationId xmlns:a16="http://schemas.microsoft.com/office/drawing/2014/main" id="{A1F2BC38-1384-44E2-AC32-FD9151A2DB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6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</xdr:row>
      <xdr:rowOff>0</xdr:rowOff>
    </xdr:from>
    <xdr:to>
      <xdr:col>0</xdr:col>
      <xdr:colOff>171450</xdr:colOff>
      <xdr:row>44</xdr:row>
      <xdr:rowOff>133350</xdr:rowOff>
    </xdr:to>
    <xdr:pic>
      <xdr:nvPicPr>
        <xdr:cNvPr id="1009" name="Picture@5C\QPendientes@" descr="@5C\QPendientes@">
          <a:extLst>
            <a:ext uri="{FF2B5EF4-FFF2-40B4-BE49-F238E27FC236}">
              <a16:creationId xmlns:a16="http://schemas.microsoft.com/office/drawing/2014/main" id="{2D556A41-6AA6-4E6D-AF31-5A462CAEC9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4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</xdr:row>
      <xdr:rowOff>0</xdr:rowOff>
    </xdr:from>
    <xdr:to>
      <xdr:col>0</xdr:col>
      <xdr:colOff>171450</xdr:colOff>
      <xdr:row>45</xdr:row>
      <xdr:rowOff>133350</xdr:rowOff>
    </xdr:to>
    <xdr:pic>
      <xdr:nvPicPr>
        <xdr:cNvPr id="1010" name="Picture@5C\QPendientes@" descr="@5C\QPendientes@">
          <a:extLst>
            <a:ext uri="{FF2B5EF4-FFF2-40B4-BE49-F238E27FC236}">
              <a16:creationId xmlns:a16="http://schemas.microsoft.com/office/drawing/2014/main" id="{256F58A1-011A-4CD4-B1DF-BFB26DA192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2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</xdr:row>
      <xdr:rowOff>0</xdr:rowOff>
    </xdr:from>
    <xdr:to>
      <xdr:col>0</xdr:col>
      <xdr:colOff>171450</xdr:colOff>
      <xdr:row>46</xdr:row>
      <xdr:rowOff>133350</xdr:rowOff>
    </xdr:to>
    <xdr:pic>
      <xdr:nvPicPr>
        <xdr:cNvPr id="1011" name="Picture@5C\QPendientes@" descr="@5C\QPendientes@">
          <a:extLst>
            <a:ext uri="{FF2B5EF4-FFF2-40B4-BE49-F238E27FC236}">
              <a16:creationId xmlns:a16="http://schemas.microsoft.com/office/drawing/2014/main" id="{54ECE8FA-78E3-4B63-8EB3-53290FCE1A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1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171450</xdr:colOff>
      <xdr:row>47</xdr:row>
      <xdr:rowOff>133350</xdr:rowOff>
    </xdr:to>
    <xdr:pic>
      <xdr:nvPicPr>
        <xdr:cNvPr id="1012" name="Picture@5C\QPendientes@" descr="@5C\QPendientes@">
          <a:extLst>
            <a:ext uri="{FF2B5EF4-FFF2-40B4-BE49-F238E27FC236}">
              <a16:creationId xmlns:a16="http://schemas.microsoft.com/office/drawing/2014/main" id="{0A3C35FB-E68B-4A79-89F9-DD35A76373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9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</xdr:row>
      <xdr:rowOff>0</xdr:rowOff>
    </xdr:from>
    <xdr:to>
      <xdr:col>0</xdr:col>
      <xdr:colOff>171450</xdr:colOff>
      <xdr:row>48</xdr:row>
      <xdr:rowOff>133350</xdr:rowOff>
    </xdr:to>
    <xdr:pic>
      <xdr:nvPicPr>
        <xdr:cNvPr id="1013" name="Picture@5C\QPendientes@" descr="@5C\QPendientes@">
          <a:extLst>
            <a:ext uri="{FF2B5EF4-FFF2-40B4-BE49-F238E27FC236}">
              <a16:creationId xmlns:a16="http://schemas.microsoft.com/office/drawing/2014/main" id="{BE7F4541-F20C-4A2C-B2A7-0DECA1F521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7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</xdr:row>
      <xdr:rowOff>0</xdr:rowOff>
    </xdr:from>
    <xdr:to>
      <xdr:col>0</xdr:col>
      <xdr:colOff>171450</xdr:colOff>
      <xdr:row>49</xdr:row>
      <xdr:rowOff>133350</xdr:rowOff>
    </xdr:to>
    <xdr:pic>
      <xdr:nvPicPr>
        <xdr:cNvPr id="1014" name="Picture@5C\QPendientes@" descr="@5C\QPendientes@">
          <a:extLst>
            <a:ext uri="{FF2B5EF4-FFF2-40B4-BE49-F238E27FC236}">
              <a16:creationId xmlns:a16="http://schemas.microsoft.com/office/drawing/2014/main" id="{686FA053-D32F-4891-9397-920E6BB962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6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</xdr:row>
      <xdr:rowOff>0</xdr:rowOff>
    </xdr:from>
    <xdr:to>
      <xdr:col>0</xdr:col>
      <xdr:colOff>171450</xdr:colOff>
      <xdr:row>50</xdr:row>
      <xdr:rowOff>133350</xdr:rowOff>
    </xdr:to>
    <xdr:pic>
      <xdr:nvPicPr>
        <xdr:cNvPr id="1015" name="Picture@5C\QPendientes@" descr="@5C\QPendientes@">
          <a:extLst>
            <a:ext uri="{FF2B5EF4-FFF2-40B4-BE49-F238E27FC236}">
              <a16:creationId xmlns:a16="http://schemas.microsoft.com/office/drawing/2014/main" id="{69586B18-D91A-40E6-BBFA-B7411F6D4D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4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171450</xdr:colOff>
      <xdr:row>51</xdr:row>
      <xdr:rowOff>133350</xdr:rowOff>
    </xdr:to>
    <xdr:pic>
      <xdr:nvPicPr>
        <xdr:cNvPr id="1016" name="Picture@5C\QPendientes@" descr="@5C\QPendientes@">
          <a:extLst>
            <a:ext uri="{FF2B5EF4-FFF2-40B4-BE49-F238E27FC236}">
              <a16:creationId xmlns:a16="http://schemas.microsoft.com/office/drawing/2014/main" id="{D12A2448-4BA1-44C9-AF44-762C859004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2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</xdr:row>
      <xdr:rowOff>0</xdr:rowOff>
    </xdr:from>
    <xdr:to>
      <xdr:col>0</xdr:col>
      <xdr:colOff>171450</xdr:colOff>
      <xdr:row>52</xdr:row>
      <xdr:rowOff>133350</xdr:rowOff>
    </xdr:to>
    <xdr:pic>
      <xdr:nvPicPr>
        <xdr:cNvPr id="1017" name="Picture@5C\QPendientes@" descr="@5C\QPendientes@">
          <a:extLst>
            <a:ext uri="{FF2B5EF4-FFF2-40B4-BE49-F238E27FC236}">
              <a16:creationId xmlns:a16="http://schemas.microsoft.com/office/drawing/2014/main" id="{21E67E0E-EDC2-472F-B872-000959A426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0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</xdr:row>
      <xdr:rowOff>0</xdr:rowOff>
    </xdr:from>
    <xdr:to>
      <xdr:col>0</xdr:col>
      <xdr:colOff>171450</xdr:colOff>
      <xdr:row>53</xdr:row>
      <xdr:rowOff>133350</xdr:rowOff>
    </xdr:to>
    <xdr:pic>
      <xdr:nvPicPr>
        <xdr:cNvPr id="1018" name="Picture@5C\QPendientes@" descr="@5C\QPendientes@">
          <a:extLst>
            <a:ext uri="{FF2B5EF4-FFF2-40B4-BE49-F238E27FC236}">
              <a16:creationId xmlns:a16="http://schemas.microsoft.com/office/drawing/2014/main" id="{DA58FBEB-AC4E-4B27-9134-9331B9F360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9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</xdr:row>
      <xdr:rowOff>0</xdr:rowOff>
    </xdr:from>
    <xdr:to>
      <xdr:col>0</xdr:col>
      <xdr:colOff>171450</xdr:colOff>
      <xdr:row>54</xdr:row>
      <xdr:rowOff>133350</xdr:rowOff>
    </xdr:to>
    <xdr:pic>
      <xdr:nvPicPr>
        <xdr:cNvPr id="1019" name="Picture@5C\QPendientes@" descr="@5C\QPendientes@">
          <a:extLst>
            <a:ext uri="{FF2B5EF4-FFF2-40B4-BE49-F238E27FC236}">
              <a16:creationId xmlns:a16="http://schemas.microsoft.com/office/drawing/2014/main" id="{7500E8F6-960D-45F2-976D-0A6E2DA252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7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</xdr:row>
      <xdr:rowOff>0</xdr:rowOff>
    </xdr:from>
    <xdr:to>
      <xdr:col>0</xdr:col>
      <xdr:colOff>171450</xdr:colOff>
      <xdr:row>55</xdr:row>
      <xdr:rowOff>133350</xdr:rowOff>
    </xdr:to>
    <xdr:pic>
      <xdr:nvPicPr>
        <xdr:cNvPr id="1020" name="Picture@5C\QPendientes@" descr="@5C\QPendientes@">
          <a:extLst>
            <a:ext uri="{FF2B5EF4-FFF2-40B4-BE49-F238E27FC236}">
              <a16:creationId xmlns:a16="http://schemas.microsoft.com/office/drawing/2014/main" id="{33C952DF-55B7-428F-8AB5-894C121208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5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</xdr:row>
      <xdr:rowOff>0</xdr:rowOff>
    </xdr:from>
    <xdr:to>
      <xdr:col>0</xdr:col>
      <xdr:colOff>171450</xdr:colOff>
      <xdr:row>56</xdr:row>
      <xdr:rowOff>133350</xdr:rowOff>
    </xdr:to>
    <xdr:pic>
      <xdr:nvPicPr>
        <xdr:cNvPr id="1021" name="Picture@5C\QPendientes@" descr="@5C\QPendientes@">
          <a:extLst>
            <a:ext uri="{FF2B5EF4-FFF2-40B4-BE49-F238E27FC236}">
              <a16:creationId xmlns:a16="http://schemas.microsoft.com/office/drawing/2014/main" id="{7736A560-5C6F-498C-8B02-DF9658D3CE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4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</xdr:row>
      <xdr:rowOff>0</xdr:rowOff>
    </xdr:from>
    <xdr:to>
      <xdr:col>0</xdr:col>
      <xdr:colOff>171450</xdr:colOff>
      <xdr:row>57</xdr:row>
      <xdr:rowOff>133350</xdr:rowOff>
    </xdr:to>
    <xdr:pic>
      <xdr:nvPicPr>
        <xdr:cNvPr id="1022" name="Picture@5C\QPendientes@" descr="@5C\QPendientes@">
          <a:extLst>
            <a:ext uri="{FF2B5EF4-FFF2-40B4-BE49-F238E27FC236}">
              <a16:creationId xmlns:a16="http://schemas.microsoft.com/office/drawing/2014/main" id="{DEE8E987-4EA0-4C9E-AA9B-AEB38854A7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2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</xdr:row>
      <xdr:rowOff>0</xdr:rowOff>
    </xdr:from>
    <xdr:to>
      <xdr:col>0</xdr:col>
      <xdr:colOff>171450</xdr:colOff>
      <xdr:row>58</xdr:row>
      <xdr:rowOff>133350</xdr:rowOff>
    </xdr:to>
    <xdr:pic>
      <xdr:nvPicPr>
        <xdr:cNvPr id="1023" name="Picture@5C\QPendientes@" descr="@5C\QPendientes@">
          <a:extLst>
            <a:ext uri="{FF2B5EF4-FFF2-40B4-BE49-F238E27FC236}">
              <a16:creationId xmlns:a16="http://schemas.microsoft.com/office/drawing/2014/main" id="{30FB3BDD-7B02-45AA-8E66-AA673126A1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0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</xdr:row>
      <xdr:rowOff>0</xdr:rowOff>
    </xdr:from>
    <xdr:to>
      <xdr:col>0</xdr:col>
      <xdr:colOff>171450</xdr:colOff>
      <xdr:row>59</xdr:row>
      <xdr:rowOff>133350</xdr:rowOff>
    </xdr:to>
    <xdr:pic>
      <xdr:nvPicPr>
        <xdr:cNvPr id="1024" name="Picture@5C\QPendientes@" descr="@5C\QPendientes@">
          <a:extLst>
            <a:ext uri="{FF2B5EF4-FFF2-40B4-BE49-F238E27FC236}">
              <a16:creationId xmlns:a16="http://schemas.microsoft.com/office/drawing/2014/main" id="{C0648772-7D03-475F-B0E7-62F98B02E4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78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</xdr:row>
      <xdr:rowOff>0</xdr:rowOff>
    </xdr:from>
    <xdr:to>
      <xdr:col>0</xdr:col>
      <xdr:colOff>171450</xdr:colOff>
      <xdr:row>60</xdr:row>
      <xdr:rowOff>133350</xdr:rowOff>
    </xdr:to>
    <xdr:pic>
      <xdr:nvPicPr>
        <xdr:cNvPr id="1025" name="Picture@5C\QPendientes@" descr="@5C\QPendientes@">
          <a:extLst>
            <a:ext uri="{FF2B5EF4-FFF2-40B4-BE49-F238E27FC236}">
              <a16:creationId xmlns:a16="http://schemas.microsoft.com/office/drawing/2014/main" id="{EB559F99-EEF5-4171-9462-7810A77655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7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</xdr:row>
      <xdr:rowOff>0</xdr:rowOff>
    </xdr:from>
    <xdr:to>
      <xdr:col>0</xdr:col>
      <xdr:colOff>171450</xdr:colOff>
      <xdr:row>61</xdr:row>
      <xdr:rowOff>133350</xdr:rowOff>
    </xdr:to>
    <xdr:pic>
      <xdr:nvPicPr>
        <xdr:cNvPr id="1026" name="Picture@5C\QPendientes@" descr="@5C\QPendientes@">
          <a:extLst>
            <a:ext uri="{FF2B5EF4-FFF2-40B4-BE49-F238E27FC236}">
              <a16:creationId xmlns:a16="http://schemas.microsoft.com/office/drawing/2014/main" id="{13CC9FFC-F6A6-4C02-8A5E-93E842944A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5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</xdr:row>
      <xdr:rowOff>0</xdr:rowOff>
    </xdr:from>
    <xdr:to>
      <xdr:col>0</xdr:col>
      <xdr:colOff>171450</xdr:colOff>
      <xdr:row>62</xdr:row>
      <xdr:rowOff>133350</xdr:rowOff>
    </xdr:to>
    <xdr:pic>
      <xdr:nvPicPr>
        <xdr:cNvPr id="1027" name="Picture@5C\QPendientes@" descr="@5C\QPendientes@">
          <a:extLst>
            <a:ext uri="{FF2B5EF4-FFF2-40B4-BE49-F238E27FC236}">
              <a16:creationId xmlns:a16="http://schemas.microsoft.com/office/drawing/2014/main" id="{6605BD13-51B2-42E7-89CF-9F065FE4DC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3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</xdr:row>
      <xdr:rowOff>0</xdr:rowOff>
    </xdr:from>
    <xdr:to>
      <xdr:col>0</xdr:col>
      <xdr:colOff>171450</xdr:colOff>
      <xdr:row>63</xdr:row>
      <xdr:rowOff>133350</xdr:rowOff>
    </xdr:to>
    <xdr:pic>
      <xdr:nvPicPr>
        <xdr:cNvPr id="1028" name="Picture@5C\QPendientes@" descr="@5C\QPendientes@">
          <a:extLst>
            <a:ext uri="{FF2B5EF4-FFF2-40B4-BE49-F238E27FC236}">
              <a16:creationId xmlns:a16="http://schemas.microsoft.com/office/drawing/2014/main" id="{70457629-7C00-46E2-AF54-BE896A92DB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2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</xdr:row>
      <xdr:rowOff>0</xdr:rowOff>
    </xdr:from>
    <xdr:to>
      <xdr:col>0</xdr:col>
      <xdr:colOff>171450</xdr:colOff>
      <xdr:row>64</xdr:row>
      <xdr:rowOff>133350</xdr:rowOff>
    </xdr:to>
    <xdr:pic>
      <xdr:nvPicPr>
        <xdr:cNvPr id="1029" name="Picture@5C\QPendientes@" descr="@5C\QPendientes@">
          <a:extLst>
            <a:ext uri="{FF2B5EF4-FFF2-40B4-BE49-F238E27FC236}">
              <a16:creationId xmlns:a16="http://schemas.microsoft.com/office/drawing/2014/main" id="{0EE8B2CF-B320-4F11-B70E-AD7EFA7428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0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</xdr:row>
      <xdr:rowOff>0</xdr:rowOff>
    </xdr:from>
    <xdr:to>
      <xdr:col>0</xdr:col>
      <xdr:colOff>171450</xdr:colOff>
      <xdr:row>65</xdr:row>
      <xdr:rowOff>133350</xdr:rowOff>
    </xdr:to>
    <xdr:pic>
      <xdr:nvPicPr>
        <xdr:cNvPr id="1030" name="Picture@5C\QPendientes@" descr="@5C\QPendientes@">
          <a:extLst>
            <a:ext uri="{FF2B5EF4-FFF2-40B4-BE49-F238E27FC236}">
              <a16:creationId xmlns:a16="http://schemas.microsoft.com/office/drawing/2014/main" id="{0DEF80E2-2D0A-40D5-AFC8-14BBDA2884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88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</xdr:row>
      <xdr:rowOff>0</xdr:rowOff>
    </xdr:from>
    <xdr:to>
      <xdr:col>0</xdr:col>
      <xdr:colOff>171450</xdr:colOff>
      <xdr:row>66</xdr:row>
      <xdr:rowOff>133350</xdr:rowOff>
    </xdr:to>
    <xdr:pic>
      <xdr:nvPicPr>
        <xdr:cNvPr id="1031" name="Picture@5C\QPendientes@" descr="@5C\QPendientes@">
          <a:extLst>
            <a:ext uri="{FF2B5EF4-FFF2-40B4-BE49-F238E27FC236}">
              <a16:creationId xmlns:a16="http://schemas.microsoft.com/office/drawing/2014/main" id="{FE474F46-5095-4016-A97F-DB12B81E10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07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</xdr:row>
      <xdr:rowOff>0</xdr:rowOff>
    </xdr:from>
    <xdr:to>
      <xdr:col>0</xdr:col>
      <xdr:colOff>171450</xdr:colOff>
      <xdr:row>67</xdr:row>
      <xdr:rowOff>133350</xdr:rowOff>
    </xdr:to>
    <xdr:pic>
      <xdr:nvPicPr>
        <xdr:cNvPr id="1032" name="Picture@5C\QPendientes@" descr="@5C\QPendientes@">
          <a:extLst>
            <a:ext uri="{FF2B5EF4-FFF2-40B4-BE49-F238E27FC236}">
              <a16:creationId xmlns:a16="http://schemas.microsoft.com/office/drawing/2014/main" id="{41D68EFD-A67A-4E30-A8D1-B6C60BBCD9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25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</xdr:row>
      <xdr:rowOff>0</xdr:rowOff>
    </xdr:from>
    <xdr:to>
      <xdr:col>0</xdr:col>
      <xdr:colOff>171450</xdr:colOff>
      <xdr:row>68</xdr:row>
      <xdr:rowOff>133350</xdr:rowOff>
    </xdr:to>
    <xdr:pic>
      <xdr:nvPicPr>
        <xdr:cNvPr id="1033" name="Picture@5C\QPendientes@" descr="@5C\QPendientes@">
          <a:extLst>
            <a:ext uri="{FF2B5EF4-FFF2-40B4-BE49-F238E27FC236}">
              <a16:creationId xmlns:a16="http://schemas.microsoft.com/office/drawing/2014/main" id="{CA333EA6-B270-4264-8BFD-7BDD8D9F0A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43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133350</xdr:rowOff>
    </xdr:to>
    <xdr:pic>
      <xdr:nvPicPr>
        <xdr:cNvPr id="1034" name="Picture@5C\QPendientes@" descr="@5C\QPendientes@">
          <a:extLst>
            <a:ext uri="{FF2B5EF4-FFF2-40B4-BE49-F238E27FC236}">
              <a16:creationId xmlns:a16="http://schemas.microsoft.com/office/drawing/2014/main" id="{C4126539-8C73-4EE4-9381-21E6CCA69D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1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</xdr:row>
      <xdr:rowOff>0</xdr:rowOff>
    </xdr:from>
    <xdr:to>
      <xdr:col>0</xdr:col>
      <xdr:colOff>171450</xdr:colOff>
      <xdr:row>70</xdr:row>
      <xdr:rowOff>133350</xdr:rowOff>
    </xdr:to>
    <xdr:pic>
      <xdr:nvPicPr>
        <xdr:cNvPr id="1035" name="Picture@5C\QPendientes@" descr="@5C\QPendientes@">
          <a:extLst>
            <a:ext uri="{FF2B5EF4-FFF2-40B4-BE49-F238E27FC236}">
              <a16:creationId xmlns:a16="http://schemas.microsoft.com/office/drawing/2014/main" id="{313DEAD6-ABFF-4884-8A8D-10FC78FD55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0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171450</xdr:colOff>
      <xdr:row>71</xdr:row>
      <xdr:rowOff>133350</xdr:rowOff>
    </xdr:to>
    <xdr:pic>
      <xdr:nvPicPr>
        <xdr:cNvPr id="1036" name="Picture@5C\QPendientes@" descr="@5C\QPendientes@">
          <a:extLst>
            <a:ext uri="{FF2B5EF4-FFF2-40B4-BE49-F238E27FC236}">
              <a16:creationId xmlns:a16="http://schemas.microsoft.com/office/drawing/2014/main" id="{833BC5C1-E5D1-49DB-9673-EA0FD7B8B1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98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</xdr:row>
      <xdr:rowOff>0</xdr:rowOff>
    </xdr:from>
    <xdr:to>
      <xdr:col>0</xdr:col>
      <xdr:colOff>171450</xdr:colOff>
      <xdr:row>72</xdr:row>
      <xdr:rowOff>133350</xdr:rowOff>
    </xdr:to>
    <xdr:pic>
      <xdr:nvPicPr>
        <xdr:cNvPr id="1037" name="Picture@5C\QPendientes@" descr="@5C\QPendientes@">
          <a:extLst>
            <a:ext uri="{FF2B5EF4-FFF2-40B4-BE49-F238E27FC236}">
              <a16:creationId xmlns:a16="http://schemas.microsoft.com/office/drawing/2014/main" id="{0453BBCB-BD81-49B0-8507-5A23BBFB2F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16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</xdr:row>
      <xdr:rowOff>0</xdr:rowOff>
    </xdr:from>
    <xdr:to>
      <xdr:col>0</xdr:col>
      <xdr:colOff>171450</xdr:colOff>
      <xdr:row>73</xdr:row>
      <xdr:rowOff>133350</xdr:rowOff>
    </xdr:to>
    <xdr:pic>
      <xdr:nvPicPr>
        <xdr:cNvPr id="1038" name="Picture@5C\QPendientes@" descr="@5C\QPendientes@">
          <a:extLst>
            <a:ext uri="{FF2B5EF4-FFF2-40B4-BE49-F238E27FC236}">
              <a16:creationId xmlns:a16="http://schemas.microsoft.com/office/drawing/2014/main" id="{94B9CEE6-1069-4C91-A17E-92438572F4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35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</xdr:row>
      <xdr:rowOff>0</xdr:rowOff>
    </xdr:from>
    <xdr:to>
      <xdr:col>0</xdr:col>
      <xdr:colOff>171450</xdr:colOff>
      <xdr:row>74</xdr:row>
      <xdr:rowOff>133350</xdr:rowOff>
    </xdr:to>
    <xdr:pic>
      <xdr:nvPicPr>
        <xdr:cNvPr id="1039" name="Picture@5C\QPendientes@" descr="@5C\QPendientes@">
          <a:extLst>
            <a:ext uri="{FF2B5EF4-FFF2-40B4-BE49-F238E27FC236}">
              <a16:creationId xmlns:a16="http://schemas.microsoft.com/office/drawing/2014/main" id="{849689FF-BD7B-416D-806E-0A4EFAB024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53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</xdr:row>
      <xdr:rowOff>0</xdr:rowOff>
    </xdr:from>
    <xdr:to>
      <xdr:col>0</xdr:col>
      <xdr:colOff>171450</xdr:colOff>
      <xdr:row>75</xdr:row>
      <xdr:rowOff>133350</xdr:rowOff>
    </xdr:to>
    <xdr:pic>
      <xdr:nvPicPr>
        <xdr:cNvPr id="1040" name="Picture@5C\QPendientes@" descr="@5C\QPendientes@">
          <a:extLst>
            <a:ext uri="{FF2B5EF4-FFF2-40B4-BE49-F238E27FC236}">
              <a16:creationId xmlns:a16="http://schemas.microsoft.com/office/drawing/2014/main" id="{19112ED7-0D3B-416A-9895-033FEDE756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71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</xdr:row>
      <xdr:rowOff>0</xdr:rowOff>
    </xdr:from>
    <xdr:to>
      <xdr:col>0</xdr:col>
      <xdr:colOff>171450</xdr:colOff>
      <xdr:row>76</xdr:row>
      <xdr:rowOff>133350</xdr:rowOff>
    </xdr:to>
    <xdr:pic>
      <xdr:nvPicPr>
        <xdr:cNvPr id="1041" name="Picture@5C\QPendientes@" descr="@5C\QPendientes@">
          <a:extLst>
            <a:ext uri="{FF2B5EF4-FFF2-40B4-BE49-F238E27FC236}">
              <a16:creationId xmlns:a16="http://schemas.microsoft.com/office/drawing/2014/main" id="{6C44E4BD-3039-4811-B84F-AF74E32F37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89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</xdr:row>
      <xdr:rowOff>0</xdr:rowOff>
    </xdr:from>
    <xdr:to>
      <xdr:col>0</xdr:col>
      <xdr:colOff>171450</xdr:colOff>
      <xdr:row>77</xdr:row>
      <xdr:rowOff>133350</xdr:rowOff>
    </xdr:to>
    <xdr:pic>
      <xdr:nvPicPr>
        <xdr:cNvPr id="1042" name="Picture@5C\QPendientes@" descr="@5C\QPendientes@">
          <a:extLst>
            <a:ext uri="{FF2B5EF4-FFF2-40B4-BE49-F238E27FC236}">
              <a16:creationId xmlns:a16="http://schemas.microsoft.com/office/drawing/2014/main" id="{C78A5033-27A9-45DD-AF87-B3101A47AE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08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</xdr:row>
      <xdr:rowOff>0</xdr:rowOff>
    </xdr:from>
    <xdr:to>
      <xdr:col>0</xdr:col>
      <xdr:colOff>171450</xdr:colOff>
      <xdr:row>78</xdr:row>
      <xdr:rowOff>133350</xdr:rowOff>
    </xdr:to>
    <xdr:pic>
      <xdr:nvPicPr>
        <xdr:cNvPr id="1043" name="Picture@5C\QPendientes@" descr="@5C\QPendientes@">
          <a:extLst>
            <a:ext uri="{FF2B5EF4-FFF2-40B4-BE49-F238E27FC236}">
              <a16:creationId xmlns:a16="http://schemas.microsoft.com/office/drawing/2014/main" id="{81CF2BE5-FC77-44BF-84FE-CA2775BD3F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26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</xdr:row>
      <xdr:rowOff>0</xdr:rowOff>
    </xdr:from>
    <xdr:to>
      <xdr:col>0</xdr:col>
      <xdr:colOff>171450</xdr:colOff>
      <xdr:row>79</xdr:row>
      <xdr:rowOff>133350</xdr:rowOff>
    </xdr:to>
    <xdr:pic>
      <xdr:nvPicPr>
        <xdr:cNvPr id="1044" name="Picture@5C\QPendientes@" descr="@5C\QPendientes@">
          <a:extLst>
            <a:ext uri="{FF2B5EF4-FFF2-40B4-BE49-F238E27FC236}">
              <a16:creationId xmlns:a16="http://schemas.microsoft.com/office/drawing/2014/main" id="{8418D073-BA2E-488A-890D-40BB67C17F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44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</xdr:row>
      <xdr:rowOff>0</xdr:rowOff>
    </xdr:from>
    <xdr:to>
      <xdr:col>0</xdr:col>
      <xdr:colOff>171450</xdr:colOff>
      <xdr:row>80</xdr:row>
      <xdr:rowOff>133350</xdr:rowOff>
    </xdr:to>
    <xdr:pic>
      <xdr:nvPicPr>
        <xdr:cNvPr id="1045" name="Picture@5C\QPendientes@" descr="@5C\QPendientes@">
          <a:extLst>
            <a:ext uri="{FF2B5EF4-FFF2-40B4-BE49-F238E27FC236}">
              <a16:creationId xmlns:a16="http://schemas.microsoft.com/office/drawing/2014/main" id="{FDBE41CC-6D40-40DE-9F22-C3D51D2EC8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3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</xdr:row>
      <xdr:rowOff>0</xdr:rowOff>
    </xdr:from>
    <xdr:to>
      <xdr:col>0</xdr:col>
      <xdr:colOff>171450</xdr:colOff>
      <xdr:row>81</xdr:row>
      <xdr:rowOff>133350</xdr:rowOff>
    </xdr:to>
    <xdr:pic>
      <xdr:nvPicPr>
        <xdr:cNvPr id="1046" name="Picture@5C\QPendientes@" descr="@5C\QPendientes@">
          <a:extLst>
            <a:ext uri="{FF2B5EF4-FFF2-40B4-BE49-F238E27FC236}">
              <a16:creationId xmlns:a16="http://schemas.microsoft.com/office/drawing/2014/main" id="{65E04327-4BB7-400C-9D3F-08EF78BA07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81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</xdr:row>
      <xdr:rowOff>0</xdr:rowOff>
    </xdr:from>
    <xdr:to>
      <xdr:col>0</xdr:col>
      <xdr:colOff>171450</xdr:colOff>
      <xdr:row>82</xdr:row>
      <xdr:rowOff>133350</xdr:rowOff>
    </xdr:to>
    <xdr:pic>
      <xdr:nvPicPr>
        <xdr:cNvPr id="1047" name="Picture@5C\QPendientes@" descr="@5C\QPendientes@">
          <a:extLst>
            <a:ext uri="{FF2B5EF4-FFF2-40B4-BE49-F238E27FC236}">
              <a16:creationId xmlns:a16="http://schemas.microsoft.com/office/drawing/2014/main" id="{EBEA9044-6EFA-4684-8B0F-08E08D1409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99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</xdr:row>
      <xdr:rowOff>0</xdr:rowOff>
    </xdr:from>
    <xdr:to>
      <xdr:col>0</xdr:col>
      <xdr:colOff>171450</xdr:colOff>
      <xdr:row>83</xdr:row>
      <xdr:rowOff>133350</xdr:rowOff>
    </xdr:to>
    <xdr:pic>
      <xdr:nvPicPr>
        <xdr:cNvPr id="1048" name="Picture@5C\QPendientes@" descr="@5C\QPendientes@">
          <a:extLst>
            <a:ext uri="{FF2B5EF4-FFF2-40B4-BE49-F238E27FC236}">
              <a16:creationId xmlns:a16="http://schemas.microsoft.com/office/drawing/2014/main" id="{D4C315FE-6FF6-4437-9B6F-E343741A18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17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</xdr:row>
      <xdr:rowOff>0</xdr:rowOff>
    </xdr:from>
    <xdr:to>
      <xdr:col>0</xdr:col>
      <xdr:colOff>171450</xdr:colOff>
      <xdr:row>84</xdr:row>
      <xdr:rowOff>133350</xdr:rowOff>
    </xdr:to>
    <xdr:pic>
      <xdr:nvPicPr>
        <xdr:cNvPr id="1049" name="Picture@5C\QPendientes@" descr="@5C\QPendientes@">
          <a:extLst>
            <a:ext uri="{FF2B5EF4-FFF2-40B4-BE49-F238E27FC236}">
              <a16:creationId xmlns:a16="http://schemas.microsoft.com/office/drawing/2014/main" id="{E1A860B1-B9CA-43EC-8093-AACEF5E344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36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</xdr:row>
      <xdr:rowOff>0</xdr:rowOff>
    </xdr:from>
    <xdr:to>
      <xdr:col>0</xdr:col>
      <xdr:colOff>171450</xdr:colOff>
      <xdr:row>85</xdr:row>
      <xdr:rowOff>133350</xdr:rowOff>
    </xdr:to>
    <xdr:pic>
      <xdr:nvPicPr>
        <xdr:cNvPr id="1050" name="Picture@5C\QPendientes@" descr="@5C\QPendientes@">
          <a:extLst>
            <a:ext uri="{FF2B5EF4-FFF2-40B4-BE49-F238E27FC236}">
              <a16:creationId xmlns:a16="http://schemas.microsoft.com/office/drawing/2014/main" id="{D630300F-94D3-4AD0-83A3-C5395F2980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54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</xdr:row>
      <xdr:rowOff>0</xdr:rowOff>
    </xdr:from>
    <xdr:to>
      <xdr:col>0</xdr:col>
      <xdr:colOff>171450</xdr:colOff>
      <xdr:row>86</xdr:row>
      <xdr:rowOff>133350</xdr:rowOff>
    </xdr:to>
    <xdr:pic>
      <xdr:nvPicPr>
        <xdr:cNvPr id="1051" name="Picture@5C\QPendientes@" descr="@5C\QPendientes@">
          <a:extLst>
            <a:ext uri="{FF2B5EF4-FFF2-40B4-BE49-F238E27FC236}">
              <a16:creationId xmlns:a16="http://schemas.microsoft.com/office/drawing/2014/main" id="{D551C814-B729-4764-9BAE-CDD69A6E1C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72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</xdr:row>
      <xdr:rowOff>0</xdr:rowOff>
    </xdr:from>
    <xdr:to>
      <xdr:col>0</xdr:col>
      <xdr:colOff>171450</xdr:colOff>
      <xdr:row>87</xdr:row>
      <xdr:rowOff>133350</xdr:rowOff>
    </xdr:to>
    <xdr:pic>
      <xdr:nvPicPr>
        <xdr:cNvPr id="1052" name="Picture@5C\QPendientes@" descr="@5C\QPendientes@">
          <a:extLst>
            <a:ext uri="{FF2B5EF4-FFF2-40B4-BE49-F238E27FC236}">
              <a16:creationId xmlns:a16="http://schemas.microsoft.com/office/drawing/2014/main" id="{C8C3D5B1-4F26-456A-85A3-C30D65519B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91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</xdr:row>
      <xdr:rowOff>0</xdr:rowOff>
    </xdr:from>
    <xdr:to>
      <xdr:col>0</xdr:col>
      <xdr:colOff>171450</xdr:colOff>
      <xdr:row>88</xdr:row>
      <xdr:rowOff>133350</xdr:rowOff>
    </xdr:to>
    <xdr:pic>
      <xdr:nvPicPr>
        <xdr:cNvPr id="1053" name="Picture@5C\QPendientes@" descr="@5C\QPendientes@">
          <a:extLst>
            <a:ext uri="{FF2B5EF4-FFF2-40B4-BE49-F238E27FC236}">
              <a16:creationId xmlns:a16="http://schemas.microsoft.com/office/drawing/2014/main" id="{635A484A-FD6B-4D73-959F-CEB9A9F481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09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</xdr:row>
      <xdr:rowOff>0</xdr:rowOff>
    </xdr:from>
    <xdr:to>
      <xdr:col>0</xdr:col>
      <xdr:colOff>171450</xdr:colOff>
      <xdr:row>89</xdr:row>
      <xdr:rowOff>133350</xdr:rowOff>
    </xdr:to>
    <xdr:pic>
      <xdr:nvPicPr>
        <xdr:cNvPr id="1054" name="Picture@5C\QPendientes@" descr="@5C\QPendientes@">
          <a:extLst>
            <a:ext uri="{FF2B5EF4-FFF2-40B4-BE49-F238E27FC236}">
              <a16:creationId xmlns:a16="http://schemas.microsoft.com/office/drawing/2014/main" id="{6F3F453D-C4A4-42FF-BC05-0E27BDE073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27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</xdr:row>
      <xdr:rowOff>0</xdr:rowOff>
    </xdr:from>
    <xdr:to>
      <xdr:col>0</xdr:col>
      <xdr:colOff>171450</xdr:colOff>
      <xdr:row>90</xdr:row>
      <xdr:rowOff>133350</xdr:rowOff>
    </xdr:to>
    <xdr:pic>
      <xdr:nvPicPr>
        <xdr:cNvPr id="1055" name="Picture@5C\QPendientes@" descr="@5C\QPendientes@">
          <a:extLst>
            <a:ext uri="{FF2B5EF4-FFF2-40B4-BE49-F238E27FC236}">
              <a16:creationId xmlns:a16="http://schemas.microsoft.com/office/drawing/2014/main" id="{F7A12E64-54F4-4C96-9270-4F2CB61C57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5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</xdr:row>
      <xdr:rowOff>0</xdr:rowOff>
    </xdr:from>
    <xdr:to>
      <xdr:col>0</xdr:col>
      <xdr:colOff>171450</xdr:colOff>
      <xdr:row>91</xdr:row>
      <xdr:rowOff>133350</xdr:rowOff>
    </xdr:to>
    <xdr:pic>
      <xdr:nvPicPr>
        <xdr:cNvPr id="1056" name="Picture@5C\QPendientes@" descr="@5C\QPendientes@">
          <a:extLst>
            <a:ext uri="{FF2B5EF4-FFF2-40B4-BE49-F238E27FC236}">
              <a16:creationId xmlns:a16="http://schemas.microsoft.com/office/drawing/2014/main" id="{EB7E78AF-76BF-438E-AE98-E89BA037E7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64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</xdr:row>
      <xdr:rowOff>0</xdr:rowOff>
    </xdr:from>
    <xdr:to>
      <xdr:col>0</xdr:col>
      <xdr:colOff>171450</xdr:colOff>
      <xdr:row>92</xdr:row>
      <xdr:rowOff>133350</xdr:rowOff>
    </xdr:to>
    <xdr:pic>
      <xdr:nvPicPr>
        <xdr:cNvPr id="1057" name="Picture@5C\QPendientes@" descr="@5C\QPendientes@">
          <a:extLst>
            <a:ext uri="{FF2B5EF4-FFF2-40B4-BE49-F238E27FC236}">
              <a16:creationId xmlns:a16="http://schemas.microsoft.com/office/drawing/2014/main" id="{C1A91907-E61D-4D42-800F-301BF140C2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82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</xdr:row>
      <xdr:rowOff>0</xdr:rowOff>
    </xdr:from>
    <xdr:to>
      <xdr:col>0</xdr:col>
      <xdr:colOff>171450</xdr:colOff>
      <xdr:row>93</xdr:row>
      <xdr:rowOff>133350</xdr:rowOff>
    </xdr:to>
    <xdr:pic>
      <xdr:nvPicPr>
        <xdr:cNvPr id="1058" name="Picture@5C\QPendientes@" descr="@5C\QPendientes@">
          <a:extLst>
            <a:ext uri="{FF2B5EF4-FFF2-40B4-BE49-F238E27FC236}">
              <a16:creationId xmlns:a16="http://schemas.microsoft.com/office/drawing/2014/main" id="{3D4DDF73-510D-44CA-B29F-A7780F1B99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00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</xdr:row>
      <xdr:rowOff>0</xdr:rowOff>
    </xdr:from>
    <xdr:to>
      <xdr:col>0</xdr:col>
      <xdr:colOff>171450</xdr:colOff>
      <xdr:row>94</xdr:row>
      <xdr:rowOff>133350</xdr:rowOff>
    </xdr:to>
    <xdr:pic>
      <xdr:nvPicPr>
        <xdr:cNvPr id="1059" name="Picture@5C\QPendientes@" descr="@5C\QPendientes@">
          <a:extLst>
            <a:ext uri="{FF2B5EF4-FFF2-40B4-BE49-F238E27FC236}">
              <a16:creationId xmlns:a16="http://schemas.microsoft.com/office/drawing/2014/main" id="{951A95FF-0B04-41A6-B3FA-DE006871D5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19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</xdr:row>
      <xdr:rowOff>0</xdr:rowOff>
    </xdr:from>
    <xdr:to>
      <xdr:col>0</xdr:col>
      <xdr:colOff>171450</xdr:colOff>
      <xdr:row>95</xdr:row>
      <xdr:rowOff>133350</xdr:rowOff>
    </xdr:to>
    <xdr:pic>
      <xdr:nvPicPr>
        <xdr:cNvPr id="1060" name="Picture@5C\QPendientes@" descr="@5C\QPendientes@">
          <a:extLst>
            <a:ext uri="{FF2B5EF4-FFF2-40B4-BE49-F238E27FC236}">
              <a16:creationId xmlns:a16="http://schemas.microsoft.com/office/drawing/2014/main" id="{F33BCD03-0933-4F4A-9755-AF858B4D68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37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</xdr:row>
      <xdr:rowOff>0</xdr:rowOff>
    </xdr:from>
    <xdr:to>
      <xdr:col>0</xdr:col>
      <xdr:colOff>171450</xdr:colOff>
      <xdr:row>96</xdr:row>
      <xdr:rowOff>133350</xdr:rowOff>
    </xdr:to>
    <xdr:pic>
      <xdr:nvPicPr>
        <xdr:cNvPr id="1061" name="Picture@5C\QPendientes@" descr="@5C\QPendientes@">
          <a:extLst>
            <a:ext uri="{FF2B5EF4-FFF2-40B4-BE49-F238E27FC236}">
              <a16:creationId xmlns:a16="http://schemas.microsoft.com/office/drawing/2014/main" id="{7597ED97-F38B-487C-973C-17A42F62D7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55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</xdr:row>
      <xdr:rowOff>0</xdr:rowOff>
    </xdr:from>
    <xdr:to>
      <xdr:col>0</xdr:col>
      <xdr:colOff>171450</xdr:colOff>
      <xdr:row>97</xdr:row>
      <xdr:rowOff>133350</xdr:rowOff>
    </xdr:to>
    <xdr:pic>
      <xdr:nvPicPr>
        <xdr:cNvPr id="1062" name="Picture@5C\QPendientes@" descr="@5C\QPendientes@">
          <a:extLst>
            <a:ext uri="{FF2B5EF4-FFF2-40B4-BE49-F238E27FC236}">
              <a16:creationId xmlns:a16="http://schemas.microsoft.com/office/drawing/2014/main" id="{17BAB99E-3C4A-49CD-8787-1BA8C917F8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73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</xdr:row>
      <xdr:rowOff>0</xdr:rowOff>
    </xdr:from>
    <xdr:to>
      <xdr:col>0</xdr:col>
      <xdr:colOff>171450</xdr:colOff>
      <xdr:row>98</xdr:row>
      <xdr:rowOff>133350</xdr:rowOff>
    </xdr:to>
    <xdr:pic>
      <xdr:nvPicPr>
        <xdr:cNvPr id="1063" name="Picture@5C\QPendientes@" descr="@5C\QPendientes@">
          <a:extLst>
            <a:ext uri="{FF2B5EF4-FFF2-40B4-BE49-F238E27FC236}">
              <a16:creationId xmlns:a16="http://schemas.microsoft.com/office/drawing/2014/main" id="{E2021000-34C4-4F84-B15A-2BC0F4E598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92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</xdr:row>
      <xdr:rowOff>0</xdr:rowOff>
    </xdr:from>
    <xdr:to>
      <xdr:col>0</xdr:col>
      <xdr:colOff>171450</xdr:colOff>
      <xdr:row>99</xdr:row>
      <xdr:rowOff>133350</xdr:rowOff>
    </xdr:to>
    <xdr:pic>
      <xdr:nvPicPr>
        <xdr:cNvPr id="1064" name="Picture@5C\QPendientes@" descr="@5C\QPendientes@">
          <a:extLst>
            <a:ext uri="{FF2B5EF4-FFF2-40B4-BE49-F238E27FC236}">
              <a16:creationId xmlns:a16="http://schemas.microsoft.com/office/drawing/2014/main" id="{818224D8-825A-49D6-A993-941C843347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10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</xdr:row>
      <xdr:rowOff>0</xdr:rowOff>
    </xdr:from>
    <xdr:to>
      <xdr:col>0</xdr:col>
      <xdr:colOff>171450</xdr:colOff>
      <xdr:row>100</xdr:row>
      <xdr:rowOff>133350</xdr:rowOff>
    </xdr:to>
    <xdr:pic>
      <xdr:nvPicPr>
        <xdr:cNvPr id="1065" name="Picture@5C\QPendientes@" descr="@5C\QPendientes@">
          <a:extLst>
            <a:ext uri="{FF2B5EF4-FFF2-40B4-BE49-F238E27FC236}">
              <a16:creationId xmlns:a16="http://schemas.microsoft.com/office/drawing/2014/main" id="{A45FF7A5-1E21-429C-97BA-75D420F886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28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</xdr:row>
      <xdr:rowOff>0</xdr:rowOff>
    </xdr:from>
    <xdr:to>
      <xdr:col>0</xdr:col>
      <xdr:colOff>171450</xdr:colOff>
      <xdr:row>101</xdr:row>
      <xdr:rowOff>133350</xdr:rowOff>
    </xdr:to>
    <xdr:pic>
      <xdr:nvPicPr>
        <xdr:cNvPr id="1066" name="Picture@5C\QPendientes@" descr="@5C\QPendientes@">
          <a:extLst>
            <a:ext uri="{FF2B5EF4-FFF2-40B4-BE49-F238E27FC236}">
              <a16:creationId xmlns:a16="http://schemas.microsoft.com/office/drawing/2014/main" id="{FAECE085-90FE-47AE-8940-C836D41BEC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47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</xdr:row>
      <xdr:rowOff>0</xdr:rowOff>
    </xdr:from>
    <xdr:to>
      <xdr:col>0</xdr:col>
      <xdr:colOff>171450</xdr:colOff>
      <xdr:row>102</xdr:row>
      <xdr:rowOff>133350</xdr:rowOff>
    </xdr:to>
    <xdr:pic>
      <xdr:nvPicPr>
        <xdr:cNvPr id="1067" name="Picture@5C\QPendientes@" descr="@5C\QPendientes@">
          <a:extLst>
            <a:ext uri="{FF2B5EF4-FFF2-40B4-BE49-F238E27FC236}">
              <a16:creationId xmlns:a16="http://schemas.microsoft.com/office/drawing/2014/main" id="{89CB1E0F-FE60-4A5F-B80A-0A2A6B3D74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65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</xdr:row>
      <xdr:rowOff>0</xdr:rowOff>
    </xdr:from>
    <xdr:to>
      <xdr:col>0</xdr:col>
      <xdr:colOff>171450</xdr:colOff>
      <xdr:row>103</xdr:row>
      <xdr:rowOff>133350</xdr:rowOff>
    </xdr:to>
    <xdr:pic>
      <xdr:nvPicPr>
        <xdr:cNvPr id="1068" name="Picture@5C\QPendientes@" descr="@5C\QPendientes@">
          <a:extLst>
            <a:ext uri="{FF2B5EF4-FFF2-40B4-BE49-F238E27FC236}">
              <a16:creationId xmlns:a16="http://schemas.microsoft.com/office/drawing/2014/main" id="{FCF0D332-6A35-4536-BD7E-5624730110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83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</xdr:row>
      <xdr:rowOff>0</xdr:rowOff>
    </xdr:from>
    <xdr:to>
      <xdr:col>0</xdr:col>
      <xdr:colOff>171450</xdr:colOff>
      <xdr:row>104</xdr:row>
      <xdr:rowOff>133350</xdr:rowOff>
    </xdr:to>
    <xdr:pic>
      <xdr:nvPicPr>
        <xdr:cNvPr id="1069" name="Picture@5C\QPendientes@" descr="@5C\QPendientes@">
          <a:extLst>
            <a:ext uri="{FF2B5EF4-FFF2-40B4-BE49-F238E27FC236}">
              <a16:creationId xmlns:a16="http://schemas.microsoft.com/office/drawing/2014/main" id="{36B3EABE-FE9E-46BA-9A90-C253A64BBC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01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</xdr:row>
      <xdr:rowOff>0</xdr:rowOff>
    </xdr:from>
    <xdr:to>
      <xdr:col>0</xdr:col>
      <xdr:colOff>171450</xdr:colOff>
      <xdr:row>105</xdr:row>
      <xdr:rowOff>133350</xdr:rowOff>
    </xdr:to>
    <xdr:pic>
      <xdr:nvPicPr>
        <xdr:cNvPr id="1070" name="Picture@5C\QPendientes@" descr="@5C\QPendientes@">
          <a:extLst>
            <a:ext uri="{FF2B5EF4-FFF2-40B4-BE49-F238E27FC236}">
              <a16:creationId xmlns:a16="http://schemas.microsoft.com/office/drawing/2014/main" id="{8E66E678-0AC0-48C7-AB5C-BEAE0ABFFC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20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</xdr:row>
      <xdr:rowOff>0</xdr:rowOff>
    </xdr:from>
    <xdr:to>
      <xdr:col>0</xdr:col>
      <xdr:colOff>171450</xdr:colOff>
      <xdr:row>106</xdr:row>
      <xdr:rowOff>133350</xdr:rowOff>
    </xdr:to>
    <xdr:pic>
      <xdr:nvPicPr>
        <xdr:cNvPr id="1071" name="Picture@5C\QPendientes@" descr="@5C\QPendientes@">
          <a:extLst>
            <a:ext uri="{FF2B5EF4-FFF2-40B4-BE49-F238E27FC236}">
              <a16:creationId xmlns:a16="http://schemas.microsoft.com/office/drawing/2014/main" id="{C1D2EB29-DE8E-4B3B-9483-412147151E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38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</xdr:row>
      <xdr:rowOff>0</xdr:rowOff>
    </xdr:from>
    <xdr:to>
      <xdr:col>0</xdr:col>
      <xdr:colOff>171450</xdr:colOff>
      <xdr:row>107</xdr:row>
      <xdr:rowOff>133350</xdr:rowOff>
    </xdr:to>
    <xdr:pic>
      <xdr:nvPicPr>
        <xdr:cNvPr id="1072" name="Picture@5C\QPendientes@" descr="@5C\QPendientes@">
          <a:extLst>
            <a:ext uri="{FF2B5EF4-FFF2-40B4-BE49-F238E27FC236}">
              <a16:creationId xmlns:a16="http://schemas.microsoft.com/office/drawing/2014/main" id="{5650E646-9539-4B2B-9B30-BC443F7FA2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56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</xdr:row>
      <xdr:rowOff>0</xdr:rowOff>
    </xdr:from>
    <xdr:to>
      <xdr:col>0</xdr:col>
      <xdr:colOff>171450</xdr:colOff>
      <xdr:row>108</xdr:row>
      <xdr:rowOff>133350</xdr:rowOff>
    </xdr:to>
    <xdr:pic>
      <xdr:nvPicPr>
        <xdr:cNvPr id="1073" name="Picture@5C\QPendientes@" descr="@5C\QPendientes@">
          <a:extLst>
            <a:ext uri="{FF2B5EF4-FFF2-40B4-BE49-F238E27FC236}">
              <a16:creationId xmlns:a16="http://schemas.microsoft.com/office/drawing/2014/main" id="{4E4F3823-F0BF-493A-A27E-F88F249B5F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75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</xdr:row>
      <xdr:rowOff>0</xdr:rowOff>
    </xdr:from>
    <xdr:to>
      <xdr:col>0</xdr:col>
      <xdr:colOff>171450</xdr:colOff>
      <xdr:row>109</xdr:row>
      <xdr:rowOff>133350</xdr:rowOff>
    </xdr:to>
    <xdr:pic>
      <xdr:nvPicPr>
        <xdr:cNvPr id="1074" name="Picture@5C\QPendientes@" descr="@5C\QPendientes@">
          <a:extLst>
            <a:ext uri="{FF2B5EF4-FFF2-40B4-BE49-F238E27FC236}">
              <a16:creationId xmlns:a16="http://schemas.microsoft.com/office/drawing/2014/main" id="{A6D3D08E-4C08-4925-8E3F-FDB13010A6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93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</xdr:row>
      <xdr:rowOff>0</xdr:rowOff>
    </xdr:from>
    <xdr:to>
      <xdr:col>0</xdr:col>
      <xdr:colOff>171450</xdr:colOff>
      <xdr:row>110</xdr:row>
      <xdr:rowOff>133350</xdr:rowOff>
    </xdr:to>
    <xdr:pic>
      <xdr:nvPicPr>
        <xdr:cNvPr id="1075" name="Picture@5C\QPendientes@" descr="@5C\QPendientes@">
          <a:extLst>
            <a:ext uri="{FF2B5EF4-FFF2-40B4-BE49-F238E27FC236}">
              <a16:creationId xmlns:a16="http://schemas.microsoft.com/office/drawing/2014/main" id="{622DFA8B-77C4-48C0-8F0B-134C76B9A6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11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</xdr:row>
      <xdr:rowOff>0</xdr:rowOff>
    </xdr:from>
    <xdr:to>
      <xdr:col>0</xdr:col>
      <xdr:colOff>171450</xdr:colOff>
      <xdr:row>111</xdr:row>
      <xdr:rowOff>133350</xdr:rowOff>
    </xdr:to>
    <xdr:pic>
      <xdr:nvPicPr>
        <xdr:cNvPr id="1076" name="Picture@5C\QPendientes@" descr="@5C\QPendientes@">
          <a:extLst>
            <a:ext uri="{FF2B5EF4-FFF2-40B4-BE49-F238E27FC236}">
              <a16:creationId xmlns:a16="http://schemas.microsoft.com/office/drawing/2014/main" id="{96E2C42D-07B7-4DE9-B7DF-936BBABF6E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29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</xdr:row>
      <xdr:rowOff>0</xdr:rowOff>
    </xdr:from>
    <xdr:to>
      <xdr:col>0</xdr:col>
      <xdr:colOff>171450</xdr:colOff>
      <xdr:row>112</xdr:row>
      <xdr:rowOff>133350</xdr:rowOff>
    </xdr:to>
    <xdr:pic>
      <xdr:nvPicPr>
        <xdr:cNvPr id="1077" name="Picture@5C\QPendientes@" descr="@5C\QPendientes@">
          <a:extLst>
            <a:ext uri="{FF2B5EF4-FFF2-40B4-BE49-F238E27FC236}">
              <a16:creationId xmlns:a16="http://schemas.microsoft.com/office/drawing/2014/main" id="{857F0C07-3D8A-4CE9-874B-8DAADE737A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48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</xdr:row>
      <xdr:rowOff>0</xdr:rowOff>
    </xdr:from>
    <xdr:to>
      <xdr:col>0</xdr:col>
      <xdr:colOff>171450</xdr:colOff>
      <xdr:row>113</xdr:row>
      <xdr:rowOff>133350</xdr:rowOff>
    </xdr:to>
    <xdr:pic>
      <xdr:nvPicPr>
        <xdr:cNvPr id="1078" name="Picture@5C\QPendientes@" descr="@5C\QPendientes@">
          <a:extLst>
            <a:ext uri="{FF2B5EF4-FFF2-40B4-BE49-F238E27FC236}">
              <a16:creationId xmlns:a16="http://schemas.microsoft.com/office/drawing/2014/main" id="{5D1B36E6-D38F-4610-804F-4110B40D3B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66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</xdr:row>
      <xdr:rowOff>0</xdr:rowOff>
    </xdr:from>
    <xdr:to>
      <xdr:col>0</xdr:col>
      <xdr:colOff>171450</xdr:colOff>
      <xdr:row>114</xdr:row>
      <xdr:rowOff>133350</xdr:rowOff>
    </xdr:to>
    <xdr:pic>
      <xdr:nvPicPr>
        <xdr:cNvPr id="1079" name="Picture@5C\QPendientes@" descr="@5C\QPendientes@">
          <a:extLst>
            <a:ext uri="{FF2B5EF4-FFF2-40B4-BE49-F238E27FC236}">
              <a16:creationId xmlns:a16="http://schemas.microsoft.com/office/drawing/2014/main" id="{3033E3C8-2501-41E4-995E-6880D90AAE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84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</xdr:row>
      <xdr:rowOff>0</xdr:rowOff>
    </xdr:from>
    <xdr:to>
      <xdr:col>0</xdr:col>
      <xdr:colOff>171450</xdr:colOff>
      <xdr:row>115</xdr:row>
      <xdr:rowOff>133350</xdr:rowOff>
    </xdr:to>
    <xdr:pic>
      <xdr:nvPicPr>
        <xdr:cNvPr id="1080" name="Picture@5C\QPendientes@" descr="@5C\QPendientes@">
          <a:extLst>
            <a:ext uri="{FF2B5EF4-FFF2-40B4-BE49-F238E27FC236}">
              <a16:creationId xmlns:a16="http://schemas.microsoft.com/office/drawing/2014/main" id="{CF261CBE-6791-44D6-8D47-9D9AC9C51A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03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</xdr:row>
      <xdr:rowOff>0</xdr:rowOff>
    </xdr:from>
    <xdr:to>
      <xdr:col>0</xdr:col>
      <xdr:colOff>171450</xdr:colOff>
      <xdr:row>116</xdr:row>
      <xdr:rowOff>133350</xdr:rowOff>
    </xdr:to>
    <xdr:pic>
      <xdr:nvPicPr>
        <xdr:cNvPr id="1081" name="Picture@5C\QPendientes@" descr="@5C\QPendientes@">
          <a:extLst>
            <a:ext uri="{FF2B5EF4-FFF2-40B4-BE49-F238E27FC236}">
              <a16:creationId xmlns:a16="http://schemas.microsoft.com/office/drawing/2014/main" id="{03205420-B12B-4F0D-81E9-2BD31DFABA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21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</xdr:row>
      <xdr:rowOff>0</xdr:rowOff>
    </xdr:from>
    <xdr:to>
      <xdr:col>0</xdr:col>
      <xdr:colOff>171450</xdr:colOff>
      <xdr:row>117</xdr:row>
      <xdr:rowOff>133350</xdr:rowOff>
    </xdr:to>
    <xdr:pic>
      <xdr:nvPicPr>
        <xdr:cNvPr id="1082" name="Picture@5C\QPendientes@" descr="@5C\QPendientes@">
          <a:extLst>
            <a:ext uri="{FF2B5EF4-FFF2-40B4-BE49-F238E27FC236}">
              <a16:creationId xmlns:a16="http://schemas.microsoft.com/office/drawing/2014/main" id="{EA7EE7DA-1CAF-46AD-806B-BA00FFAAEB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39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</xdr:row>
      <xdr:rowOff>0</xdr:rowOff>
    </xdr:from>
    <xdr:to>
      <xdr:col>0</xdr:col>
      <xdr:colOff>171450</xdr:colOff>
      <xdr:row>118</xdr:row>
      <xdr:rowOff>133350</xdr:rowOff>
    </xdr:to>
    <xdr:pic>
      <xdr:nvPicPr>
        <xdr:cNvPr id="1083" name="Picture@5C\QPendientes@" descr="@5C\QPendientes@">
          <a:extLst>
            <a:ext uri="{FF2B5EF4-FFF2-40B4-BE49-F238E27FC236}">
              <a16:creationId xmlns:a16="http://schemas.microsoft.com/office/drawing/2014/main" id="{2163E30B-FF30-406F-8B5F-CDB41767A0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57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</xdr:row>
      <xdr:rowOff>0</xdr:rowOff>
    </xdr:from>
    <xdr:to>
      <xdr:col>0</xdr:col>
      <xdr:colOff>171450</xdr:colOff>
      <xdr:row>119</xdr:row>
      <xdr:rowOff>133350</xdr:rowOff>
    </xdr:to>
    <xdr:pic>
      <xdr:nvPicPr>
        <xdr:cNvPr id="1084" name="Picture@5C\QPendientes@" descr="@5C\QPendientes@">
          <a:extLst>
            <a:ext uri="{FF2B5EF4-FFF2-40B4-BE49-F238E27FC236}">
              <a16:creationId xmlns:a16="http://schemas.microsoft.com/office/drawing/2014/main" id="{ADC02722-4741-4765-A2E8-9965C8A00F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76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</xdr:row>
      <xdr:rowOff>0</xdr:rowOff>
    </xdr:from>
    <xdr:to>
      <xdr:col>0</xdr:col>
      <xdr:colOff>171450</xdr:colOff>
      <xdr:row>120</xdr:row>
      <xdr:rowOff>133350</xdr:rowOff>
    </xdr:to>
    <xdr:pic>
      <xdr:nvPicPr>
        <xdr:cNvPr id="1085" name="Picture@5C\QPendientes@" descr="@5C\QPendientes@">
          <a:extLst>
            <a:ext uri="{FF2B5EF4-FFF2-40B4-BE49-F238E27FC236}">
              <a16:creationId xmlns:a16="http://schemas.microsoft.com/office/drawing/2014/main" id="{5117CD18-5DB0-447C-97C6-172667248E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4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</xdr:row>
      <xdr:rowOff>0</xdr:rowOff>
    </xdr:from>
    <xdr:to>
      <xdr:col>0</xdr:col>
      <xdr:colOff>171450</xdr:colOff>
      <xdr:row>121</xdr:row>
      <xdr:rowOff>133350</xdr:rowOff>
    </xdr:to>
    <xdr:pic>
      <xdr:nvPicPr>
        <xdr:cNvPr id="1086" name="Picture@5C\QPendientes@" descr="@5C\QPendientes@">
          <a:extLst>
            <a:ext uri="{FF2B5EF4-FFF2-40B4-BE49-F238E27FC236}">
              <a16:creationId xmlns:a16="http://schemas.microsoft.com/office/drawing/2014/main" id="{7CB53021-DBF9-48AF-B312-37F6873AE6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12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</xdr:row>
      <xdr:rowOff>0</xdr:rowOff>
    </xdr:from>
    <xdr:to>
      <xdr:col>0</xdr:col>
      <xdr:colOff>171450</xdr:colOff>
      <xdr:row>122</xdr:row>
      <xdr:rowOff>133350</xdr:rowOff>
    </xdr:to>
    <xdr:pic>
      <xdr:nvPicPr>
        <xdr:cNvPr id="1087" name="Picture@5C\QPendientes@" descr="@5C\QPendientes@">
          <a:extLst>
            <a:ext uri="{FF2B5EF4-FFF2-40B4-BE49-F238E27FC236}">
              <a16:creationId xmlns:a16="http://schemas.microsoft.com/office/drawing/2014/main" id="{AEB3AABF-7482-4A15-9215-37D8D24C96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31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</xdr:row>
      <xdr:rowOff>0</xdr:rowOff>
    </xdr:from>
    <xdr:to>
      <xdr:col>0</xdr:col>
      <xdr:colOff>171450</xdr:colOff>
      <xdr:row>123</xdr:row>
      <xdr:rowOff>133350</xdr:rowOff>
    </xdr:to>
    <xdr:pic>
      <xdr:nvPicPr>
        <xdr:cNvPr id="1088" name="Picture@5C\QPendientes@" descr="@5C\QPendientes@">
          <a:extLst>
            <a:ext uri="{FF2B5EF4-FFF2-40B4-BE49-F238E27FC236}">
              <a16:creationId xmlns:a16="http://schemas.microsoft.com/office/drawing/2014/main" id="{58F5E321-1F65-4223-BEC2-47D1E3BDC8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49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</xdr:row>
      <xdr:rowOff>0</xdr:rowOff>
    </xdr:from>
    <xdr:to>
      <xdr:col>0</xdr:col>
      <xdr:colOff>171450</xdr:colOff>
      <xdr:row>124</xdr:row>
      <xdr:rowOff>133350</xdr:rowOff>
    </xdr:to>
    <xdr:pic>
      <xdr:nvPicPr>
        <xdr:cNvPr id="1089" name="Picture@5C\QPendientes@" descr="@5C\QPendientes@">
          <a:extLst>
            <a:ext uri="{FF2B5EF4-FFF2-40B4-BE49-F238E27FC236}">
              <a16:creationId xmlns:a16="http://schemas.microsoft.com/office/drawing/2014/main" id="{ABF4E411-9C5D-4B82-B3C4-2671B8F532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67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</xdr:row>
      <xdr:rowOff>0</xdr:rowOff>
    </xdr:from>
    <xdr:to>
      <xdr:col>0</xdr:col>
      <xdr:colOff>171450</xdr:colOff>
      <xdr:row>125</xdr:row>
      <xdr:rowOff>133350</xdr:rowOff>
    </xdr:to>
    <xdr:pic>
      <xdr:nvPicPr>
        <xdr:cNvPr id="1090" name="Picture@5C\QPendientes@" descr="@5C\QPendientes@">
          <a:extLst>
            <a:ext uri="{FF2B5EF4-FFF2-40B4-BE49-F238E27FC236}">
              <a16:creationId xmlns:a16="http://schemas.microsoft.com/office/drawing/2014/main" id="{35F5A390-4DB0-4439-A7CE-09663FEB3F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86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</xdr:row>
      <xdr:rowOff>0</xdr:rowOff>
    </xdr:from>
    <xdr:to>
      <xdr:col>0</xdr:col>
      <xdr:colOff>171450</xdr:colOff>
      <xdr:row>126</xdr:row>
      <xdr:rowOff>133350</xdr:rowOff>
    </xdr:to>
    <xdr:pic>
      <xdr:nvPicPr>
        <xdr:cNvPr id="1091" name="Picture@5C\QPendientes@" descr="@5C\QPendientes@">
          <a:extLst>
            <a:ext uri="{FF2B5EF4-FFF2-40B4-BE49-F238E27FC236}">
              <a16:creationId xmlns:a16="http://schemas.microsoft.com/office/drawing/2014/main" id="{1D7CD5CA-2A8E-4D37-B114-70F0D52232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04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</xdr:row>
      <xdr:rowOff>0</xdr:rowOff>
    </xdr:from>
    <xdr:to>
      <xdr:col>0</xdr:col>
      <xdr:colOff>171450</xdr:colOff>
      <xdr:row>127</xdr:row>
      <xdr:rowOff>133350</xdr:rowOff>
    </xdr:to>
    <xdr:pic>
      <xdr:nvPicPr>
        <xdr:cNvPr id="1092" name="Picture@5C\QPendientes@" descr="@5C\QPendientes@">
          <a:extLst>
            <a:ext uri="{FF2B5EF4-FFF2-40B4-BE49-F238E27FC236}">
              <a16:creationId xmlns:a16="http://schemas.microsoft.com/office/drawing/2014/main" id="{4D2D1CF0-DA7C-47F1-9A71-E26739A7EF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22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</xdr:row>
      <xdr:rowOff>0</xdr:rowOff>
    </xdr:from>
    <xdr:to>
      <xdr:col>0</xdr:col>
      <xdr:colOff>171450</xdr:colOff>
      <xdr:row>128</xdr:row>
      <xdr:rowOff>133350</xdr:rowOff>
    </xdr:to>
    <xdr:pic>
      <xdr:nvPicPr>
        <xdr:cNvPr id="1093" name="Picture@5C\QPendientes@" descr="@5C\QPendientes@">
          <a:extLst>
            <a:ext uri="{FF2B5EF4-FFF2-40B4-BE49-F238E27FC236}">
              <a16:creationId xmlns:a16="http://schemas.microsoft.com/office/drawing/2014/main" id="{894ECE5C-CB82-42F8-A65B-C91AEA0BB4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40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</xdr:row>
      <xdr:rowOff>0</xdr:rowOff>
    </xdr:from>
    <xdr:to>
      <xdr:col>0</xdr:col>
      <xdr:colOff>171450</xdr:colOff>
      <xdr:row>129</xdr:row>
      <xdr:rowOff>133350</xdr:rowOff>
    </xdr:to>
    <xdr:pic>
      <xdr:nvPicPr>
        <xdr:cNvPr id="1094" name="Picture@5C\QPendientes@" descr="@5C\QPendientes@">
          <a:extLst>
            <a:ext uri="{FF2B5EF4-FFF2-40B4-BE49-F238E27FC236}">
              <a16:creationId xmlns:a16="http://schemas.microsoft.com/office/drawing/2014/main" id="{5E9FE11D-CF4B-4801-BB3E-25E2D2E4FE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59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</xdr:row>
      <xdr:rowOff>0</xdr:rowOff>
    </xdr:from>
    <xdr:to>
      <xdr:col>0</xdr:col>
      <xdr:colOff>171450</xdr:colOff>
      <xdr:row>130</xdr:row>
      <xdr:rowOff>133350</xdr:rowOff>
    </xdr:to>
    <xdr:pic>
      <xdr:nvPicPr>
        <xdr:cNvPr id="1095" name="Picture@5C\QPendientes@" descr="@5C\QPendientes@">
          <a:extLst>
            <a:ext uri="{FF2B5EF4-FFF2-40B4-BE49-F238E27FC236}">
              <a16:creationId xmlns:a16="http://schemas.microsoft.com/office/drawing/2014/main" id="{D1575746-99EB-4EFC-8EC6-18E06B7135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77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</xdr:row>
      <xdr:rowOff>0</xdr:rowOff>
    </xdr:from>
    <xdr:to>
      <xdr:col>0</xdr:col>
      <xdr:colOff>171450</xdr:colOff>
      <xdr:row>131</xdr:row>
      <xdr:rowOff>133350</xdr:rowOff>
    </xdr:to>
    <xdr:pic>
      <xdr:nvPicPr>
        <xdr:cNvPr id="1096" name="Picture@5C\QPendientes@" descr="@5C\QPendientes@">
          <a:extLst>
            <a:ext uri="{FF2B5EF4-FFF2-40B4-BE49-F238E27FC236}">
              <a16:creationId xmlns:a16="http://schemas.microsoft.com/office/drawing/2014/main" id="{A9AEDA40-5F68-43E6-8A8C-F8C78BE615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95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</xdr:row>
      <xdr:rowOff>0</xdr:rowOff>
    </xdr:from>
    <xdr:to>
      <xdr:col>0</xdr:col>
      <xdr:colOff>171450</xdr:colOff>
      <xdr:row>132</xdr:row>
      <xdr:rowOff>133350</xdr:rowOff>
    </xdr:to>
    <xdr:pic>
      <xdr:nvPicPr>
        <xdr:cNvPr id="1097" name="Picture@5C\QPendientes@" descr="@5C\QPendientes@">
          <a:extLst>
            <a:ext uri="{FF2B5EF4-FFF2-40B4-BE49-F238E27FC236}">
              <a16:creationId xmlns:a16="http://schemas.microsoft.com/office/drawing/2014/main" id="{BADDF00D-8DAB-446A-BBDA-6970F5CC0A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14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</xdr:row>
      <xdr:rowOff>0</xdr:rowOff>
    </xdr:from>
    <xdr:to>
      <xdr:col>0</xdr:col>
      <xdr:colOff>171450</xdr:colOff>
      <xdr:row>133</xdr:row>
      <xdr:rowOff>133350</xdr:rowOff>
    </xdr:to>
    <xdr:pic>
      <xdr:nvPicPr>
        <xdr:cNvPr id="1098" name="Picture@5C\QPendientes@" descr="@5C\QPendientes@">
          <a:extLst>
            <a:ext uri="{FF2B5EF4-FFF2-40B4-BE49-F238E27FC236}">
              <a16:creationId xmlns:a16="http://schemas.microsoft.com/office/drawing/2014/main" id="{E3114409-2483-4471-B44C-CAD0135B13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32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</xdr:row>
      <xdr:rowOff>0</xdr:rowOff>
    </xdr:from>
    <xdr:to>
      <xdr:col>0</xdr:col>
      <xdr:colOff>171450</xdr:colOff>
      <xdr:row>134</xdr:row>
      <xdr:rowOff>133350</xdr:rowOff>
    </xdr:to>
    <xdr:pic>
      <xdr:nvPicPr>
        <xdr:cNvPr id="1099" name="Picture@5C\QPendientes@" descr="@5C\QPendientes@">
          <a:extLst>
            <a:ext uri="{FF2B5EF4-FFF2-40B4-BE49-F238E27FC236}">
              <a16:creationId xmlns:a16="http://schemas.microsoft.com/office/drawing/2014/main" id="{02DBE7F1-DA0F-488E-95E0-C1DC0A81E4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50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</xdr:row>
      <xdr:rowOff>0</xdr:rowOff>
    </xdr:from>
    <xdr:to>
      <xdr:col>0</xdr:col>
      <xdr:colOff>171450</xdr:colOff>
      <xdr:row>135</xdr:row>
      <xdr:rowOff>133350</xdr:rowOff>
    </xdr:to>
    <xdr:pic>
      <xdr:nvPicPr>
        <xdr:cNvPr id="1100" name="Picture@5C\QPendientes@" descr="@5C\QPendientes@">
          <a:extLst>
            <a:ext uri="{FF2B5EF4-FFF2-40B4-BE49-F238E27FC236}">
              <a16:creationId xmlns:a16="http://schemas.microsoft.com/office/drawing/2014/main" id="{D6FD5AF7-5C3B-4929-8AD5-7182DBBCA6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68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</xdr:row>
      <xdr:rowOff>0</xdr:rowOff>
    </xdr:from>
    <xdr:to>
      <xdr:col>0</xdr:col>
      <xdr:colOff>171450</xdr:colOff>
      <xdr:row>136</xdr:row>
      <xdr:rowOff>133350</xdr:rowOff>
    </xdr:to>
    <xdr:pic>
      <xdr:nvPicPr>
        <xdr:cNvPr id="1101" name="Picture@5C\QPendientes@" descr="@5C\QPendientes@">
          <a:extLst>
            <a:ext uri="{FF2B5EF4-FFF2-40B4-BE49-F238E27FC236}">
              <a16:creationId xmlns:a16="http://schemas.microsoft.com/office/drawing/2014/main" id="{0A39FCAB-7270-4122-8BE5-3E5DBDF8C4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87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</xdr:row>
      <xdr:rowOff>0</xdr:rowOff>
    </xdr:from>
    <xdr:to>
      <xdr:col>0</xdr:col>
      <xdr:colOff>171450</xdr:colOff>
      <xdr:row>137</xdr:row>
      <xdr:rowOff>133350</xdr:rowOff>
    </xdr:to>
    <xdr:pic>
      <xdr:nvPicPr>
        <xdr:cNvPr id="1102" name="Picture@5C\QPendientes@" descr="@5C\QPendientes@">
          <a:extLst>
            <a:ext uri="{FF2B5EF4-FFF2-40B4-BE49-F238E27FC236}">
              <a16:creationId xmlns:a16="http://schemas.microsoft.com/office/drawing/2014/main" id="{94C5A7E1-5D4C-4E8D-84D7-96EAFB5DC2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05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</xdr:row>
      <xdr:rowOff>0</xdr:rowOff>
    </xdr:from>
    <xdr:to>
      <xdr:col>0</xdr:col>
      <xdr:colOff>171450</xdr:colOff>
      <xdr:row>138</xdr:row>
      <xdr:rowOff>133350</xdr:rowOff>
    </xdr:to>
    <xdr:pic>
      <xdr:nvPicPr>
        <xdr:cNvPr id="1103" name="Picture@5C\QPendientes@" descr="@5C\QPendientes@">
          <a:extLst>
            <a:ext uri="{FF2B5EF4-FFF2-40B4-BE49-F238E27FC236}">
              <a16:creationId xmlns:a16="http://schemas.microsoft.com/office/drawing/2014/main" id="{40779102-C8B8-4B98-9EEA-CCBF7D2E3C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23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</xdr:row>
      <xdr:rowOff>0</xdr:rowOff>
    </xdr:from>
    <xdr:to>
      <xdr:col>0</xdr:col>
      <xdr:colOff>171450</xdr:colOff>
      <xdr:row>139</xdr:row>
      <xdr:rowOff>133350</xdr:rowOff>
    </xdr:to>
    <xdr:pic>
      <xdr:nvPicPr>
        <xdr:cNvPr id="1104" name="Picture@5C\QPendientes@" descr="@5C\QPendientes@">
          <a:extLst>
            <a:ext uri="{FF2B5EF4-FFF2-40B4-BE49-F238E27FC236}">
              <a16:creationId xmlns:a16="http://schemas.microsoft.com/office/drawing/2014/main" id="{5620AD9A-35A7-407D-8EB9-CF5C624AB2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42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</xdr:row>
      <xdr:rowOff>0</xdr:rowOff>
    </xdr:from>
    <xdr:to>
      <xdr:col>0</xdr:col>
      <xdr:colOff>171450</xdr:colOff>
      <xdr:row>140</xdr:row>
      <xdr:rowOff>133350</xdr:rowOff>
    </xdr:to>
    <xdr:pic>
      <xdr:nvPicPr>
        <xdr:cNvPr id="1105" name="Picture@5C\QPendientes@" descr="@5C\QPendientes@">
          <a:extLst>
            <a:ext uri="{FF2B5EF4-FFF2-40B4-BE49-F238E27FC236}">
              <a16:creationId xmlns:a16="http://schemas.microsoft.com/office/drawing/2014/main" id="{C20509C5-AD82-469B-BB7A-E70445574C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60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</xdr:row>
      <xdr:rowOff>0</xdr:rowOff>
    </xdr:from>
    <xdr:to>
      <xdr:col>0</xdr:col>
      <xdr:colOff>171450</xdr:colOff>
      <xdr:row>141</xdr:row>
      <xdr:rowOff>133350</xdr:rowOff>
    </xdr:to>
    <xdr:pic>
      <xdr:nvPicPr>
        <xdr:cNvPr id="1106" name="Picture@5C\QPendientes@" descr="@5C\QPendientes@">
          <a:extLst>
            <a:ext uri="{FF2B5EF4-FFF2-40B4-BE49-F238E27FC236}">
              <a16:creationId xmlns:a16="http://schemas.microsoft.com/office/drawing/2014/main" id="{9C14CC16-3AC3-41E0-91B2-93E393A962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78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</xdr:row>
      <xdr:rowOff>0</xdr:rowOff>
    </xdr:from>
    <xdr:to>
      <xdr:col>0</xdr:col>
      <xdr:colOff>171450</xdr:colOff>
      <xdr:row>142</xdr:row>
      <xdr:rowOff>133350</xdr:rowOff>
    </xdr:to>
    <xdr:pic>
      <xdr:nvPicPr>
        <xdr:cNvPr id="1107" name="Picture@5C\QPendientes@" descr="@5C\QPendientes@">
          <a:extLst>
            <a:ext uri="{FF2B5EF4-FFF2-40B4-BE49-F238E27FC236}">
              <a16:creationId xmlns:a16="http://schemas.microsoft.com/office/drawing/2014/main" id="{D7632712-3116-40BF-9A94-91CE7BC3BC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96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</xdr:row>
      <xdr:rowOff>0</xdr:rowOff>
    </xdr:from>
    <xdr:to>
      <xdr:col>0</xdr:col>
      <xdr:colOff>171450</xdr:colOff>
      <xdr:row>143</xdr:row>
      <xdr:rowOff>133350</xdr:rowOff>
    </xdr:to>
    <xdr:pic>
      <xdr:nvPicPr>
        <xdr:cNvPr id="1108" name="Picture@5C\QPendientes@" descr="@5C\QPendientes@">
          <a:extLst>
            <a:ext uri="{FF2B5EF4-FFF2-40B4-BE49-F238E27FC236}">
              <a16:creationId xmlns:a16="http://schemas.microsoft.com/office/drawing/2014/main" id="{63A6D79E-BFA1-4573-BD67-6F7940878D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15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</xdr:row>
      <xdr:rowOff>0</xdr:rowOff>
    </xdr:from>
    <xdr:to>
      <xdr:col>0</xdr:col>
      <xdr:colOff>171450</xdr:colOff>
      <xdr:row>144</xdr:row>
      <xdr:rowOff>133350</xdr:rowOff>
    </xdr:to>
    <xdr:pic>
      <xdr:nvPicPr>
        <xdr:cNvPr id="1109" name="Picture@5C\QPendientes@" descr="@5C\QPendientes@">
          <a:extLst>
            <a:ext uri="{FF2B5EF4-FFF2-40B4-BE49-F238E27FC236}">
              <a16:creationId xmlns:a16="http://schemas.microsoft.com/office/drawing/2014/main" id="{79563B04-E322-4169-B3B1-309C499CEE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33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</xdr:row>
      <xdr:rowOff>0</xdr:rowOff>
    </xdr:from>
    <xdr:to>
      <xdr:col>0</xdr:col>
      <xdr:colOff>171450</xdr:colOff>
      <xdr:row>145</xdr:row>
      <xdr:rowOff>133350</xdr:rowOff>
    </xdr:to>
    <xdr:pic>
      <xdr:nvPicPr>
        <xdr:cNvPr id="1110" name="Picture@5C\QPendientes@" descr="@5C\QPendientes@">
          <a:extLst>
            <a:ext uri="{FF2B5EF4-FFF2-40B4-BE49-F238E27FC236}">
              <a16:creationId xmlns:a16="http://schemas.microsoft.com/office/drawing/2014/main" id="{21B0629C-78F8-47CE-A865-6A5FA95B66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51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</xdr:row>
      <xdr:rowOff>0</xdr:rowOff>
    </xdr:from>
    <xdr:to>
      <xdr:col>0</xdr:col>
      <xdr:colOff>171450</xdr:colOff>
      <xdr:row>146</xdr:row>
      <xdr:rowOff>133350</xdr:rowOff>
    </xdr:to>
    <xdr:pic>
      <xdr:nvPicPr>
        <xdr:cNvPr id="1111" name="Picture@5C\QPendientes@" descr="@5C\QPendientes@">
          <a:extLst>
            <a:ext uri="{FF2B5EF4-FFF2-40B4-BE49-F238E27FC236}">
              <a16:creationId xmlns:a16="http://schemas.microsoft.com/office/drawing/2014/main" id="{6C3A34A3-5FAE-4F05-99AD-DB126FA82E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70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</xdr:row>
      <xdr:rowOff>0</xdr:rowOff>
    </xdr:from>
    <xdr:to>
      <xdr:col>0</xdr:col>
      <xdr:colOff>171450</xdr:colOff>
      <xdr:row>147</xdr:row>
      <xdr:rowOff>133350</xdr:rowOff>
    </xdr:to>
    <xdr:pic>
      <xdr:nvPicPr>
        <xdr:cNvPr id="1112" name="Picture@5C\QPendientes@" descr="@5C\QPendientes@">
          <a:extLst>
            <a:ext uri="{FF2B5EF4-FFF2-40B4-BE49-F238E27FC236}">
              <a16:creationId xmlns:a16="http://schemas.microsoft.com/office/drawing/2014/main" id="{7D9C01D1-9812-4DA2-88EA-AAEEB64A43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88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</xdr:row>
      <xdr:rowOff>0</xdr:rowOff>
    </xdr:from>
    <xdr:to>
      <xdr:col>0</xdr:col>
      <xdr:colOff>171450</xdr:colOff>
      <xdr:row>148</xdr:row>
      <xdr:rowOff>133350</xdr:rowOff>
    </xdr:to>
    <xdr:pic>
      <xdr:nvPicPr>
        <xdr:cNvPr id="1113" name="Picture@5C\QPendientes@" descr="@5C\QPendientes@">
          <a:extLst>
            <a:ext uri="{FF2B5EF4-FFF2-40B4-BE49-F238E27FC236}">
              <a16:creationId xmlns:a16="http://schemas.microsoft.com/office/drawing/2014/main" id="{8BFB4C76-8915-4AE9-8F05-F925FD9D7F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06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</xdr:row>
      <xdr:rowOff>0</xdr:rowOff>
    </xdr:from>
    <xdr:to>
      <xdr:col>0</xdr:col>
      <xdr:colOff>171450</xdr:colOff>
      <xdr:row>149</xdr:row>
      <xdr:rowOff>133350</xdr:rowOff>
    </xdr:to>
    <xdr:pic>
      <xdr:nvPicPr>
        <xdr:cNvPr id="1114" name="Picture@5C\QPendientes@" descr="@5C\QPendientes@">
          <a:extLst>
            <a:ext uri="{FF2B5EF4-FFF2-40B4-BE49-F238E27FC236}">
              <a16:creationId xmlns:a16="http://schemas.microsoft.com/office/drawing/2014/main" id="{CB2CD991-C943-41DD-AA83-31D30E4938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24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</xdr:row>
      <xdr:rowOff>0</xdr:rowOff>
    </xdr:from>
    <xdr:to>
      <xdr:col>0</xdr:col>
      <xdr:colOff>171450</xdr:colOff>
      <xdr:row>150</xdr:row>
      <xdr:rowOff>133350</xdr:rowOff>
    </xdr:to>
    <xdr:pic>
      <xdr:nvPicPr>
        <xdr:cNvPr id="1115" name="Picture@5C\QPendientes@" descr="@5C\QPendientes@">
          <a:extLst>
            <a:ext uri="{FF2B5EF4-FFF2-40B4-BE49-F238E27FC236}">
              <a16:creationId xmlns:a16="http://schemas.microsoft.com/office/drawing/2014/main" id="{D7890BA8-537C-4E7E-9C62-B0A0C79D09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43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</xdr:row>
      <xdr:rowOff>0</xdr:rowOff>
    </xdr:from>
    <xdr:to>
      <xdr:col>0</xdr:col>
      <xdr:colOff>171450</xdr:colOff>
      <xdr:row>151</xdr:row>
      <xdr:rowOff>133350</xdr:rowOff>
    </xdr:to>
    <xdr:pic>
      <xdr:nvPicPr>
        <xdr:cNvPr id="1116" name="Picture@5C\QPendientes@" descr="@5C\QPendientes@">
          <a:extLst>
            <a:ext uri="{FF2B5EF4-FFF2-40B4-BE49-F238E27FC236}">
              <a16:creationId xmlns:a16="http://schemas.microsoft.com/office/drawing/2014/main" id="{193A4DD6-78BD-4BC5-ABCF-BBDC8CD85B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61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</xdr:row>
      <xdr:rowOff>0</xdr:rowOff>
    </xdr:from>
    <xdr:to>
      <xdr:col>0</xdr:col>
      <xdr:colOff>171450</xdr:colOff>
      <xdr:row>152</xdr:row>
      <xdr:rowOff>133350</xdr:rowOff>
    </xdr:to>
    <xdr:pic>
      <xdr:nvPicPr>
        <xdr:cNvPr id="1117" name="Picture@5C\QPendientes@" descr="@5C\QPendientes@">
          <a:extLst>
            <a:ext uri="{FF2B5EF4-FFF2-40B4-BE49-F238E27FC236}">
              <a16:creationId xmlns:a16="http://schemas.microsoft.com/office/drawing/2014/main" id="{3A286C77-9D67-48A2-A2BE-04C3818985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79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</xdr:row>
      <xdr:rowOff>0</xdr:rowOff>
    </xdr:from>
    <xdr:to>
      <xdr:col>0</xdr:col>
      <xdr:colOff>171450</xdr:colOff>
      <xdr:row>153</xdr:row>
      <xdr:rowOff>133350</xdr:rowOff>
    </xdr:to>
    <xdr:pic>
      <xdr:nvPicPr>
        <xdr:cNvPr id="1118" name="Picture@5C\QPendientes@" descr="@5C\QPendientes@">
          <a:extLst>
            <a:ext uri="{FF2B5EF4-FFF2-40B4-BE49-F238E27FC236}">
              <a16:creationId xmlns:a16="http://schemas.microsoft.com/office/drawing/2014/main" id="{DB3E4B48-F937-4860-B7C5-C01E008D98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98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</xdr:row>
      <xdr:rowOff>0</xdr:rowOff>
    </xdr:from>
    <xdr:to>
      <xdr:col>0</xdr:col>
      <xdr:colOff>171450</xdr:colOff>
      <xdr:row>154</xdr:row>
      <xdr:rowOff>133350</xdr:rowOff>
    </xdr:to>
    <xdr:pic>
      <xdr:nvPicPr>
        <xdr:cNvPr id="1119" name="Picture@5C\QPendientes@" descr="@5C\QPendientes@">
          <a:extLst>
            <a:ext uri="{FF2B5EF4-FFF2-40B4-BE49-F238E27FC236}">
              <a16:creationId xmlns:a16="http://schemas.microsoft.com/office/drawing/2014/main" id="{94F8F5EC-D1D4-4B00-B0FE-CE79121D4A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16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</xdr:row>
      <xdr:rowOff>0</xdr:rowOff>
    </xdr:from>
    <xdr:to>
      <xdr:col>0</xdr:col>
      <xdr:colOff>171450</xdr:colOff>
      <xdr:row>155</xdr:row>
      <xdr:rowOff>133350</xdr:rowOff>
    </xdr:to>
    <xdr:pic>
      <xdr:nvPicPr>
        <xdr:cNvPr id="1120" name="Picture@5C\QPendientes@" descr="@5C\QPendientes@">
          <a:extLst>
            <a:ext uri="{FF2B5EF4-FFF2-40B4-BE49-F238E27FC236}">
              <a16:creationId xmlns:a16="http://schemas.microsoft.com/office/drawing/2014/main" id="{18ECBD2C-EDB1-4237-AD8E-D55639CF7A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34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</xdr:row>
      <xdr:rowOff>0</xdr:rowOff>
    </xdr:from>
    <xdr:to>
      <xdr:col>0</xdr:col>
      <xdr:colOff>171450</xdr:colOff>
      <xdr:row>156</xdr:row>
      <xdr:rowOff>133350</xdr:rowOff>
    </xdr:to>
    <xdr:pic>
      <xdr:nvPicPr>
        <xdr:cNvPr id="1121" name="Picture@5C\QPendientes@" descr="@5C\QPendientes@">
          <a:extLst>
            <a:ext uri="{FF2B5EF4-FFF2-40B4-BE49-F238E27FC236}">
              <a16:creationId xmlns:a16="http://schemas.microsoft.com/office/drawing/2014/main" id="{F1DCAF8B-E9B8-474F-A840-425CAC8A71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52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</xdr:row>
      <xdr:rowOff>0</xdr:rowOff>
    </xdr:from>
    <xdr:to>
      <xdr:col>0</xdr:col>
      <xdr:colOff>171450</xdr:colOff>
      <xdr:row>157</xdr:row>
      <xdr:rowOff>133350</xdr:rowOff>
    </xdr:to>
    <xdr:pic>
      <xdr:nvPicPr>
        <xdr:cNvPr id="1122" name="Picture@5C\QPendientes@" descr="@5C\QPendientes@">
          <a:extLst>
            <a:ext uri="{FF2B5EF4-FFF2-40B4-BE49-F238E27FC236}">
              <a16:creationId xmlns:a16="http://schemas.microsoft.com/office/drawing/2014/main" id="{DA2F6280-76D5-49E9-B033-DED6735D57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71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</xdr:row>
      <xdr:rowOff>0</xdr:rowOff>
    </xdr:from>
    <xdr:to>
      <xdr:col>0</xdr:col>
      <xdr:colOff>171450</xdr:colOff>
      <xdr:row>158</xdr:row>
      <xdr:rowOff>133350</xdr:rowOff>
    </xdr:to>
    <xdr:pic>
      <xdr:nvPicPr>
        <xdr:cNvPr id="1123" name="Picture@5C\QPendientes@" descr="@5C\QPendientes@">
          <a:extLst>
            <a:ext uri="{FF2B5EF4-FFF2-40B4-BE49-F238E27FC236}">
              <a16:creationId xmlns:a16="http://schemas.microsoft.com/office/drawing/2014/main" id="{1D4B86E2-B161-40CD-AA87-06FB1E4728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89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</xdr:row>
      <xdr:rowOff>0</xdr:rowOff>
    </xdr:from>
    <xdr:to>
      <xdr:col>0</xdr:col>
      <xdr:colOff>171450</xdr:colOff>
      <xdr:row>159</xdr:row>
      <xdr:rowOff>133350</xdr:rowOff>
    </xdr:to>
    <xdr:pic>
      <xdr:nvPicPr>
        <xdr:cNvPr id="1124" name="Picture@5C\QPendientes@" descr="@5C\QPendientes@">
          <a:extLst>
            <a:ext uri="{FF2B5EF4-FFF2-40B4-BE49-F238E27FC236}">
              <a16:creationId xmlns:a16="http://schemas.microsoft.com/office/drawing/2014/main" id="{2D751360-E8F1-46EC-B0CA-1E256893E6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07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</xdr:row>
      <xdr:rowOff>0</xdr:rowOff>
    </xdr:from>
    <xdr:to>
      <xdr:col>0</xdr:col>
      <xdr:colOff>171450</xdr:colOff>
      <xdr:row>160</xdr:row>
      <xdr:rowOff>133350</xdr:rowOff>
    </xdr:to>
    <xdr:pic>
      <xdr:nvPicPr>
        <xdr:cNvPr id="1125" name="Picture@5C\QPendientes@" descr="@5C\QPendientes@">
          <a:extLst>
            <a:ext uri="{FF2B5EF4-FFF2-40B4-BE49-F238E27FC236}">
              <a16:creationId xmlns:a16="http://schemas.microsoft.com/office/drawing/2014/main" id="{8AAFFB75-1F72-44E8-8BDE-F721CBD214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26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</xdr:row>
      <xdr:rowOff>0</xdr:rowOff>
    </xdr:from>
    <xdr:to>
      <xdr:col>0</xdr:col>
      <xdr:colOff>171450</xdr:colOff>
      <xdr:row>161</xdr:row>
      <xdr:rowOff>133350</xdr:rowOff>
    </xdr:to>
    <xdr:pic>
      <xdr:nvPicPr>
        <xdr:cNvPr id="1126" name="Picture@5C\QPendientes@" descr="@5C\QPendientes@">
          <a:extLst>
            <a:ext uri="{FF2B5EF4-FFF2-40B4-BE49-F238E27FC236}">
              <a16:creationId xmlns:a16="http://schemas.microsoft.com/office/drawing/2014/main" id="{05ADD0D6-E315-4276-B699-09F121DD61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44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</xdr:row>
      <xdr:rowOff>0</xdr:rowOff>
    </xdr:from>
    <xdr:to>
      <xdr:col>0</xdr:col>
      <xdr:colOff>171450</xdr:colOff>
      <xdr:row>162</xdr:row>
      <xdr:rowOff>133350</xdr:rowOff>
    </xdr:to>
    <xdr:pic>
      <xdr:nvPicPr>
        <xdr:cNvPr id="1127" name="Picture@5C\QPendientes@" descr="@5C\QPendientes@">
          <a:extLst>
            <a:ext uri="{FF2B5EF4-FFF2-40B4-BE49-F238E27FC236}">
              <a16:creationId xmlns:a16="http://schemas.microsoft.com/office/drawing/2014/main" id="{DD78F4F5-17C6-48C7-A388-657E20BC43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62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</xdr:row>
      <xdr:rowOff>0</xdr:rowOff>
    </xdr:from>
    <xdr:to>
      <xdr:col>0</xdr:col>
      <xdr:colOff>171450</xdr:colOff>
      <xdr:row>163</xdr:row>
      <xdr:rowOff>133350</xdr:rowOff>
    </xdr:to>
    <xdr:pic>
      <xdr:nvPicPr>
        <xdr:cNvPr id="1128" name="Picture@5C\QPendientes@" descr="@5C\QPendientes@">
          <a:extLst>
            <a:ext uri="{FF2B5EF4-FFF2-40B4-BE49-F238E27FC236}">
              <a16:creationId xmlns:a16="http://schemas.microsoft.com/office/drawing/2014/main" id="{FBCC7A6F-D0FD-477D-8CFF-65497C7F0E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80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</xdr:row>
      <xdr:rowOff>0</xdr:rowOff>
    </xdr:from>
    <xdr:to>
      <xdr:col>0</xdr:col>
      <xdr:colOff>171450</xdr:colOff>
      <xdr:row>164</xdr:row>
      <xdr:rowOff>133350</xdr:rowOff>
    </xdr:to>
    <xdr:pic>
      <xdr:nvPicPr>
        <xdr:cNvPr id="1129" name="Picture@5C\QPendientes@" descr="@5C\QPendientes@">
          <a:extLst>
            <a:ext uri="{FF2B5EF4-FFF2-40B4-BE49-F238E27FC236}">
              <a16:creationId xmlns:a16="http://schemas.microsoft.com/office/drawing/2014/main" id="{3D4CEB39-9008-4AD6-8B89-2D36048F67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99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</xdr:row>
      <xdr:rowOff>0</xdr:rowOff>
    </xdr:from>
    <xdr:to>
      <xdr:col>0</xdr:col>
      <xdr:colOff>171450</xdr:colOff>
      <xdr:row>165</xdr:row>
      <xdr:rowOff>133350</xdr:rowOff>
    </xdr:to>
    <xdr:pic>
      <xdr:nvPicPr>
        <xdr:cNvPr id="1130" name="Picture@5C\QPendientes@" descr="@5C\QPendientes@">
          <a:extLst>
            <a:ext uri="{FF2B5EF4-FFF2-40B4-BE49-F238E27FC236}">
              <a16:creationId xmlns:a16="http://schemas.microsoft.com/office/drawing/2014/main" id="{A8BB8CAF-C7EE-489B-B550-C7073971D2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17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</xdr:row>
      <xdr:rowOff>0</xdr:rowOff>
    </xdr:from>
    <xdr:to>
      <xdr:col>0</xdr:col>
      <xdr:colOff>171450</xdr:colOff>
      <xdr:row>166</xdr:row>
      <xdr:rowOff>133350</xdr:rowOff>
    </xdr:to>
    <xdr:pic>
      <xdr:nvPicPr>
        <xdr:cNvPr id="1131" name="Picture@5C\QPendientes@" descr="@5C\QPendientes@">
          <a:extLst>
            <a:ext uri="{FF2B5EF4-FFF2-40B4-BE49-F238E27FC236}">
              <a16:creationId xmlns:a16="http://schemas.microsoft.com/office/drawing/2014/main" id="{4E822FF8-11BF-4B2C-851F-96885A3C3C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35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</xdr:row>
      <xdr:rowOff>0</xdr:rowOff>
    </xdr:from>
    <xdr:to>
      <xdr:col>0</xdr:col>
      <xdr:colOff>171450</xdr:colOff>
      <xdr:row>167</xdr:row>
      <xdr:rowOff>133350</xdr:rowOff>
    </xdr:to>
    <xdr:pic>
      <xdr:nvPicPr>
        <xdr:cNvPr id="1132" name="Picture@5C\QPendientes@" descr="@5C\QPendientes@">
          <a:extLst>
            <a:ext uri="{FF2B5EF4-FFF2-40B4-BE49-F238E27FC236}">
              <a16:creationId xmlns:a16="http://schemas.microsoft.com/office/drawing/2014/main" id="{C9FE91DE-AFAF-4117-9A11-1E3A754300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54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</xdr:row>
      <xdr:rowOff>0</xdr:rowOff>
    </xdr:from>
    <xdr:to>
      <xdr:col>0</xdr:col>
      <xdr:colOff>171450</xdr:colOff>
      <xdr:row>168</xdr:row>
      <xdr:rowOff>133350</xdr:rowOff>
    </xdr:to>
    <xdr:pic>
      <xdr:nvPicPr>
        <xdr:cNvPr id="1133" name="Picture@5C\QPendientes@" descr="@5C\QPendientes@">
          <a:extLst>
            <a:ext uri="{FF2B5EF4-FFF2-40B4-BE49-F238E27FC236}">
              <a16:creationId xmlns:a16="http://schemas.microsoft.com/office/drawing/2014/main" id="{76493442-04E1-4926-8D50-E37F2C5AF4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72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</xdr:row>
      <xdr:rowOff>0</xdr:rowOff>
    </xdr:from>
    <xdr:to>
      <xdr:col>0</xdr:col>
      <xdr:colOff>171450</xdr:colOff>
      <xdr:row>169</xdr:row>
      <xdr:rowOff>133350</xdr:rowOff>
    </xdr:to>
    <xdr:pic>
      <xdr:nvPicPr>
        <xdr:cNvPr id="1134" name="Picture@5C\QPendientes@" descr="@5C\QPendientes@">
          <a:extLst>
            <a:ext uri="{FF2B5EF4-FFF2-40B4-BE49-F238E27FC236}">
              <a16:creationId xmlns:a16="http://schemas.microsoft.com/office/drawing/2014/main" id="{09A159B7-3724-4D98-ABDE-8D06555155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90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</xdr:row>
      <xdr:rowOff>0</xdr:rowOff>
    </xdr:from>
    <xdr:to>
      <xdr:col>0</xdr:col>
      <xdr:colOff>171450</xdr:colOff>
      <xdr:row>170</xdr:row>
      <xdr:rowOff>133350</xdr:rowOff>
    </xdr:to>
    <xdr:pic>
      <xdr:nvPicPr>
        <xdr:cNvPr id="1135" name="Picture@5C\QPendientes@" descr="@5C\QPendientes@">
          <a:extLst>
            <a:ext uri="{FF2B5EF4-FFF2-40B4-BE49-F238E27FC236}">
              <a16:creationId xmlns:a16="http://schemas.microsoft.com/office/drawing/2014/main" id="{624FA17F-D9B6-4A43-B7E6-50DA72E7B5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08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</xdr:row>
      <xdr:rowOff>0</xdr:rowOff>
    </xdr:from>
    <xdr:to>
      <xdr:col>0</xdr:col>
      <xdr:colOff>171450</xdr:colOff>
      <xdr:row>171</xdr:row>
      <xdr:rowOff>133350</xdr:rowOff>
    </xdr:to>
    <xdr:pic>
      <xdr:nvPicPr>
        <xdr:cNvPr id="1136" name="Picture@5C\QPendientes@" descr="@5C\QPendientes@">
          <a:extLst>
            <a:ext uri="{FF2B5EF4-FFF2-40B4-BE49-F238E27FC236}">
              <a16:creationId xmlns:a16="http://schemas.microsoft.com/office/drawing/2014/main" id="{5FF46F50-1EDE-4DC1-9E85-3E59C841FC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27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</xdr:row>
      <xdr:rowOff>0</xdr:rowOff>
    </xdr:from>
    <xdr:to>
      <xdr:col>0</xdr:col>
      <xdr:colOff>171450</xdr:colOff>
      <xdr:row>172</xdr:row>
      <xdr:rowOff>133350</xdr:rowOff>
    </xdr:to>
    <xdr:pic>
      <xdr:nvPicPr>
        <xdr:cNvPr id="1137" name="Picture@5C\QPendientes@" descr="@5C\QPendientes@">
          <a:extLst>
            <a:ext uri="{FF2B5EF4-FFF2-40B4-BE49-F238E27FC236}">
              <a16:creationId xmlns:a16="http://schemas.microsoft.com/office/drawing/2014/main" id="{DD916C78-C3D1-4232-9513-4CB9B35C1C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45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</xdr:row>
      <xdr:rowOff>0</xdr:rowOff>
    </xdr:from>
    <xdr:to>
      <xdr:col>0</xdr:col>
      <xdr:colOff>171450</xdr:colOff>
      <xdr:row>173</xdr:row>
      <xdr:rowOff>133350</xdr:rowOff>
    </xdr:to>
    <xdr:pic>
      <xdr:nvPicPr>
        <xdr:cNvPr id="1138" name="Picture@5C\QPendientes@" descr="@5C\QPendientes@">
          <a:extLst>
            <a:ext uri="{FF2B5EF4-FFF2-40B4-BE49-F238E27FC236}">
              <a16:creationId xmlns:a16="http://schemas.microsoft.com/office/drawing/2014/main" id="{36A005BB-5D8B-451F-B3A7-5402699C32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63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</xdr:row>
      <xdr:rowOff>0</xdr:rowOff>
    </xdr:from>
    <xdr:to>
      <xdr:col>0</xdr:col>
      <xdr:colOff>171450</xdr:colOff>
      <xdr:row>174</xdr:row>
      <xdr:rowOff>133350</xdr:rowOff>
    </xdr:to>
    <xdr:pic>
      <xdr:nvPicPr>
        <xdr:cNvPr id="1139" name="Picture@5C\QPendientes@" descr="@5C\QPendientes@">
          <a:extLst>
            <a:ext uri="{FF2B5EF4-FFF2-40B4-BE49-F238E27FC236}">
              <a16:creationId xmlns:a16="http://schemas.microsoft.com/office/drawing/2014/main" id="{AE31846D-4BDF-4AAE-93B4-83ED166AB4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82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</xdr:row>
      <xdr:rowOff>0</xdr:rowOff>
    </xdr:from>
    <xdr:to>
      <xdr:col>0</xdr:col>
      <xdr:colOff>171450</xdr:colOff>
      <xdr:row>175</xdr:row>
      <xdr:rowOff>133350</xdr:rowOff>
    </xdr:to>
    <xdr:pic>
      <xdr:nvPicPr>
        <xdr:cNvPr id="1140" name="Picture@5C\QPendientes@" descr="@5C\QPendientes@">
          <a:extLst>
            <a:ext uri="{FF2B5EF4-FFF2-40B4-BE49-F238E27FC236}">
              <a16:creationId xmlns:a16="http://schemas.microsoft.com/office/drawing/2014/main" id="{3891EFB5-4A78-472A-B794-F802B6C229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00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</xdr:row>
      <xdr:rowOff>0</xdr:rowOff>
    </xdr:from>
    <xdr:to>
      <xdr:col>0</xdr:col>
      <xdr:colOff>171450</xdr:colOff>
      <xdr:row>176</xdr:row>
      <xdr:rowOff>133350</xdr:rowOff>
    </xdr:to>
    <xdr:pic>
      <xdr:nvPicPr>
        <xdr:cNvPr id="1141" name="Picture@5C\QPendientes@" descr="@5C\QPendientes@">
          <a:extLst>
            <a:ext uri="{FF2B5EF4-FFF2-40B4-BE49-F238E27FC236}">
              <a16:creationId xmlns:a16="http://schemas.microsoft.com/office/drawing/2014/main" id="{2FF80D28-5C3F-4C9B-9618-086CB5F39A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18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</xdr:row>
      <xdr:rowOff>0</xdr:rowOff>
    </xdr:from>
    <xdr:to>
      <xdr:col>0</xdr:col>
      <xdr:colOff>171450</xdr:colOff>
      <xdr:row>177</xdr:row>
      <xdr:rowOff>133350</xdr:rowOff>
    </xdr:to>
    <xdr:pic>
      <xdr:nvPicPr>
        <xdr:cNvPr id="1142" name="Picture@5C\QPendientes@" descr="@5C\QPendientes@">
          <a:extLst>
            <a:ext uri="{FF2B5EF4-FFF2-40B4-BE49-F238E27FC236}">
              <a16:creationId xmlns:a16="http://schemas.microsoft.com/office/drawing/2014/main" id="{BC29C94A-51A2-4071-9A9F-E7D10EFEE6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36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</xdr:row>
      <xdr:rowOff>0</xdr:rowOff>
    </xdr:from>
    <xdr:to>
      <xdr:col>0</xdr:col>
      <xdr:colOff>171450</xdr:colOff>
      <xdr:row>178</xdr:row>
      <xdr:rowOff>133350</xdr:rowOff>
    </xdr:to>
    <xdr:pic>
      <xdr:nvPicPr>
        <xdr:cNvPr id="1143" name="Picture@5C\QPendientes@" descr="@5C\QPendientes@">
          <a:extLst>
            <a:ext uri="{FF2B5EF4-FFF2-40B4-BE49-F238E27FC236}">
              <a16:creationId xmlns:a16="http://schemas.microsoft.com/office/drawing/2014/main" id="{40D30AC3-B8A4-43A8-A807-E764EB020A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55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</xdr:row>
      <xdr:rowOff>0</xdr:rowOff>
    </xdr:from>
    <xdr:to>
      <xdr:col>0</xdr:col>
      <xdr:colOff>171450</xdr:colOff>
      <xdr:row>179</xdr:row>
      <xdr:rowOff>133350</xdr:rowOff>
    </xdr:to>
    <xdr:pic>
      <xdr:nvPicPr>
        <xdr:cNvPr id="1144" name="Picture@5C\QPendientes@" descr="@5C\QPendientes@">
          <a:extLst>
            <a:ext uri="{FF2B5EF4-FFF2-40B4-BE49-F238E27FC236}">
              <a16:creationId xmlns:a16="http://schemas.microsoft.com/office/drawing/2014/main" id="{CCF88467-C14C-457A-9956-597E186476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73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</xdr:row>
      <xdr:rowOff>0</xdr:rowOff>
    </xdr:from>
    <xdr:to>
      <xdr:col>0</xdr:col>
      <xdr:colOff>171450</xdr:colOff>
      <xdr:row>180</xdr:row>
      <xdr:rowOff>133350</xdr:rowOff>
    </xdr:to>
    <xdr:pic>
      <xdr:nvPicPr>
        <xdr:cNvPr id="1145" name="Picture@5C\QPendientes@" descr="@5C\QPendientes@">
          <a:extLst>
            <a:ext uri="{FF2B5EF4-FFF2-40B4-BE49-F238E27FC236}">
              <a16:creationId xmlns:a16="http://schemas.microsoft.com/office/drawing/2014/main" id="{E2C74843-8E74-4038-BC40-012A0F472D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91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</xdr:row>
      <xdr:rowOff>0</xdr:rowOff>
    </xdr:from>
    <xdr:to>
      <xdr:col>0</xdr:col>
      <xdr:colOff>171450</xdr:colOff>
      <xdr:row>181</xdr:row>
      <xdr:rowOff>133350</xdr:rowOff>
    </xdr:to>
    <xdr:pic>
      <xdr:nvPicPr>
        <xdr:cNvPr id="1146" name="Picture@5C\QPendientes@" descr="@5C\QPendientes@">
          <a:extLst>
            <a:ext uri="{FF2B5EF4-FFF2-40B4-BE49-F238E27FC236}">
              <a16:creationId xmlns:a16="http://schemas.microsoft.com/office/drawing/2014/main" id="{D6368344-3381-4833-9C74-68CCD39091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10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</xdr:row>
      <xdr:rowOff>0</xdr:rowOff>
    </xdr:from>
    <xdr:to>
      <xdr:col>0</xdr:col>
      <xdr:colOff>171450</xdr:colOff>
      <xdr:row>182</xdr:row>
      <xdr:rowOff>133350</xdr:rowOff>
    </xdr:to>
    <xdr:pic>
      <xdr:nvPicPr>
        <xdr:cNvPr id="1147" name="Picture@5C\QPendientes@" descr="@5C\QPendientes@">
          <a:extLst>
            <a:ext uri="{FF2B5EF4-FFF2-40B4-BE49-F238E27FC236}">
              <a16:creationId xmlns:a16="http://schemas.microsoft.com/office/drawing/2014/main" id="{B4FDB86E-07C3-4231-8FD8-E787573713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28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</xdr:row>
      <xdr:rowOff>0</xdr:rowOff>
    </xdr:from>
    <xdr:to>
      <xdr:col>0</xdr:col>
      <xdr:colOff>171450</xdr:colOff>
      <xdr:row>183</xdr:row>
      <xdr:rowOff>133350</xdr:rowOff>
    </xdr:to>
    <xdr:pic>
      <xdr:nvPicPr>
        <xdr:cNvPr id="1148" name="Picture@5C\QPendientes@" descr="@5C\QPendientes@">
          <a:extLst>
            <a:ext uri="{FF2B5EF4-FFF2-40B4-BE49-F238E27FC236}">
              <a16:creationId xmlns:a16="http://schemas.microsoft.com/office/drawing/2014/main" id="{35F082B8-9431-4623-B194-54E4BD25C1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46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</xdr:row>
      <xdr:rowOff>0</xdr:rowOff>
    </xdr:from>
    <xdr:to>
      <xdr:col>0</xdr:col>
      <xdr:colOff>171450</xdr:colOff>
      <xdr:row>184</xdr:row>
      <xdr:rowOff>133350</xdr:rowOff>
    </xdr:to>
    <xdr:pic>
      <xdr:nvPicPr>
        <xdr:cNvPr id="1149" name="Picture@5C\QPendientes@" descr="@5C\QPendientes@">
          <a:extLst>
            <a:ext uri="{FF2B5EF4-FFF2-40B4-BE49-F238E27FC236}">
              <a16:creationId xmlns:a16="http://schemas.microsoft.com/office/drawing/2014/main" id="{70ECBA04-FD16-4D67-8DE6-29B99D14A2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64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</xdr:row>
      <xdr:rowOff>0</xdr:rowOff>
    </xdr:from>
    <xdr:to>
      <xdr:col>0</xdr:col>
      <xdr:colOff>171450</xdr:colOff>
      <xdr:row>185</xdr:row>
      <xdr:rowOff>133350</xdr:rowOff>
    </xdr:to>
    <xdr:pic>
      <xdr:nvPicPr>
        <xdr:cNvPr id="1150" name="Picture@5C\QPendientes@" descr="@5C\QPendientes@">
          <a:extLst>
            <a:ext uri="{FF2B5EF4-FFF2-40B4-BE49-F238E27FC236}">
              <a16:creationId xmlns:a16="http://schemas.microsoft.com/office/drawing/2014/main" id="{B57FBB5C-CDDD-4139-933B-E47E41F02A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83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</xdr:row>
      <xdr:rowOff>0</xdr:rowOff>
    </xdr:from>
    <xdr:to>
      <xdr:col>0</xdr:col>
      <xdr:colOff>171450</xdr:colOff>
      <xdr:row>186</xdr:row>
      <xdr:rowOff>133350</xdr:rowOff>
    </xdr:to>
    <xdr:pic>
      <xdr:nvPicPr>
        <xdr:cNvPr id="1151" name="Picture@5C\QPendientes@" descr="@5C\QPendientes@">
          <a:extLst>
            <a:ext uri="{FF2B5EF4-FFF2-40B4-BE49-F238E27FC236}">
              <a16:creationId xmlns:a16="http://schemas.microsoft.com/office/drawing/2014/main" id="{CA0A384E-44DD-48A2-86C4-CA96D744A7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01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</xdr:row>
      <xdr:rowOff>0</xdr:rowOff>
    </xdr:from>
    <xdr:to>
      <xdr:col>0</xdr:col>
      <xdr:colOff>171450</xdr:colOff>
      <xdr:row>187</xdr:row>
      <xdr:rowOff>133350</xdr:rowOff>
    </xdr:to>
    <xdr:pic>
      <xdr:nvPicPr>
        <xdr:cNvPr id="1152" name="Picture@5C\QPendientes@" descr="@5C\QPendientes@">
          <a:extLst>
            <a:ext uri="{FF2B5EF4-FFF2-40B4-BE49-F238E27FC236}">
              <a16:creationId xmlns:a16="http://schemas.microsoft.com/office/drawing/2014/main" id="{A50C9AEC-0B91-4D21-B3D7-8C5F5A83F0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19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</xdr:row>
      <xdr:rowOff>0</xdr:rowOff>
    </xdr:from>
    <xdr:to>
      <xdr:col>0</xdr:col>
      <xdr:colOff>171450</xdr:colOff>
      <xdr:row>188</xdr:row>
      <xdr:rowOff>133350</xdr:rowOff>
    </xdr:to>
    <xdr:pic>
      <xdr:nvPicPr>
        <xdr:cNvPr id="1153" name="Picture@5C\QPendientes@" descr="@5C\QPendientes@">
          <a:extLst>
            <a:ext uri="{FF2B5EF4-FFF2-40B4-BE49-F238E27FC236}">
              <a16:creationId xmlns:a16="http://schemas.microsoft.com/office/drawing/2014/main" id="{6D6911CF-BF6B-43DB-8E01-F6FBA8390E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38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</xdr:row>
      <xdr:rowOff>0</xdr:rowOff>
    </xdr:from>
    <xdr:to>
      <xdr:col>0</xdr:col>
      <xdr:colOff>171450</xdr:colOff>
      <xdr:row>189</xdr:row>
      <xdr:rowOff>133350</xdr:rowOff>
    </xdr:to>
    <xdr:pic>
      <xdr:nvPicPr>
        <xdr:cNvPr id="1154" name="Picture@5C\QPendientes@" descr="@5C\QPendientes@">
          <a:extLst>
            <a:ext uri="{FF2B5EF4-FFF2-40B4-BE49-F238E27FC236}">
              <a16:creationId xmlns:a16="http://schemas.microsoft.com/office/drawing/2014/main" id="{0844826F-DD55-4B8C-BC0C-8FE9DE4ECC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56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</xdr:row>
      <xdr:rowOff>0</xdr:rowOff>
    </xdr:from>
    <xdr:to>
      <xdr:col>0</xdr:col>
      <xdr:colOff>171450</xdr:colOff>
      <xdr:row>190</xdr:row>
      <xdr:rowOff>133350</xdr:rowOff>
    </xdr:to>
    <xdr:pic>
      <xdr:nvPicPr>
        <xdr:cNvPr id="1155" name="Picture@5C\QPendientes@" descr="@5C\QPendientes@">
          <a:extLst>
            <a:ext uri="{FF2B5EF4-FFF2-40B4-BE49-F238E27FC236}">
              <a16:creationId xmlns:a16="http://schemas.microsoft.com/office/drawing/2014/main" id="{8B3F06DD-741D-4119-BA88-439A1071B7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74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</xdr:row>
      <xdr:rowOff>0</xdr:rowOff>
    </xdr:from>
    <xdr:to>
      <xdr:col>0</xdr:col>
      <xdr:colOff>171450</xdr:colOff>
      <xdr:row>191</xdr:row>
      <xdr:rowOff>133350</xdr:rowOff>
    </xdr:to>
    <xdr:pic>
      <xdr:nvPicPr>
        <xdr:cNvPr id="1156" name="Picture@5C\QPendientes@" descr="@5C\QPendientes@">
          <a:extLst>
            <a:ext uri="{FF2B5EF4-FFF2-40B4-BE49-F238E27FC236}">
              <a16:creationId xmlns:a16="http://schemas.microsoft.com/office/drawing/2014/main" id="{3A871733-9BDD-443D-844A-4B284B9EFC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93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</xdr:row>
      <xdr:rowOff>0</xdr:rowOff>
    </xdr:from>
    <xdr:to>
      <xdr:col>0</xdr:col>
      <xdr:colOff>171450</xdr:colOff>
      <xdr:row>192</xdr:row>
      <xdr:rowOff>133350</xdr:rowOff>
    </xdr:to>
    <xdr:pic>
      <xdr:nvPicPr>
        <xdr:cNvPr id="1157" name="Picture@5C\QPendientes@" descr="@5C\QPendientes@">
          <a:extLst>
            <a:ext uri="{FF2B5EF4-FFF2-40B4-BE49-F238E27FC236}">
              <a16:creationId xmlns:a16="http://schemas.microsoft.com/office/drawing/2014/main" id="{4BE8B062-B290-4B49-9B16-E178A6CD93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11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</xdr:row>
      <xdr:rowOff>0</xdr:rowOff>
    </xdr:from>
    <xdr:to>
      <xdr:col>0</xdr:col>
      <xdr:colOff>171450</xdr:colOff>
      <xdr:row>193</xdr:row>
      <xdr:rowOff>133350</xdr:rowOff>
    </xdr:to>
    <xdr:pic>
      <xdr:nvPicPr>
        <xdr:cNvPr id="1158" name="Picture@5C\QPendientes@" descr="@5C\QPendientes@">
          <a:extLst>
            <a:ext uri="{FF2B5EF4-FFF2-40B4-BE49-F238E27FC236}">
              <a16:creationId xmlns:a16="http://schemas.microsoft.com/office/drawing/2014/main" id="{18BC70F0-D351-47A3-9E4E-DFF32997FF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29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</xdr:row>
      <xdr:rowOff>0</xdr:rowOff>
    </xdr:from>
    <xdr:to>
      <xdr:col>0</xdr:col>
      <xdr:colOff>171450</xdr:colOff>
      <xdr:row>194</xdr:row>
      <xdr:rowOff>133350</xdr:rowOff>
    </xdr:to>
    <xdr:pic>
      <xdr:nvPicPr>
        <xdr:cNvPr id="1159" name="Picture@5C\QPendientes@" descr="@5C\QPendientes@">
          <a:extLst>
            <a:ext uri="{FF2B5EF4-FFF2-40B4-BE49-F238E27FC236}">
              <a16:creationId xmlns:a16="http://schemas.microsoft.com/office/drawing/2014/main" id="{A7F3B3B4-3471-4C09-9CF7-BCF5B69691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47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</xdr:row>
      <xdr:rowOff>0</xdr:rowOff>
    </xdr:from>
    <xdr:to>
      <xdr:col>0</xdr:col>
      <xdr:colOff>171450</xdr:colOff>
      <xdr:row>195</xdr:row>
      <xdr:rowOff>133350</xdr:rowOff>
    </xdr:to>
    <xdr:pic>
      <xdr:nvPicPr>
        <xdr:cNvPr id="1160" name="Picture@5C\QPendientes@" descr="@5C\QPendientes@">
          <a:extLst>
            <a:ext uri="{FF2B5EF4-FFF2-40B4-BE49-F238E27FC236}">
              <a16:creationId xmlns:a16="http://schemas.microsoft.com/office/drawing/2014/main" id="{B4D041AC-2849-4B7B-86D9-1E386F27FF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66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</xdr:row>
      <xdr:rowOff>0</xdr:rowOff>
    </xdr:from>
    <xdr:to>
      <xdr:col>0</xdr:col>
      <xdr:colOff>171450</xdr:colOff>
      <xdr:row>196</xdr:row>
      <xdr:rowOff>133350</xdr:rowOff>
    </xdr:to>
    <xdr:pic>
      <xdr:nvPicPr>
        <xdr:cNvPr id="1161" name="Picture@5C\QPendientes@" descr="@5C\QPendientes@">
          <a:extLst>
            <a:ext uri="{FF2B5EF4-FFF2-40B4-BE49-F238E27FC236}">
              <a16:creationId xmlns:a16="http://schemas.microsoft.com/office/drawing/2014/main" id="{6CD91D34-B939-4389-A2B8-DFEACB5FD4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84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</xdr:row>
      <xdr:rowOff>0</xdr:rowOff>
    </xdr:from>
    <xdr:to>
      <xdr:col>0</xdr:col>
      <xdr:colOff>171450</xdr:colOff>
      <xdr:row>197</xdr:row>
      <xdr:rowOff>133350</xdr:rowOff>
    </xdr:to>
    <xdr:pic>
      <xdr:nvPicPr>
        <xdr:cNvPr id="1162" name="Picture@5C\QPendientes@" descr="@5C\QPendientes@">
          <a:extLst>
            <a:ext uri="{FF2B5EF4-FFF2-40B4-BE49-F238E27FC236}">
              <a16:creationId xmlns:a16="http://schemas.microsoft.com/office/drawing/2014/main" id="{6279D04B-3EEE-4473-AEAC-85CB7AA70A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02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</xdr:row>
      <xdr:rowOff>0</xdr:rowOff>
    </xdr:from>
    <xdr:to>
      <xdr:col>0</xdr:col>
      <xdr:colOff>171450</xdr:colOff>
      <xdr:row>198</xdr:row>
      <xdr:rowOff>133350</xdr:rowOff>
    </xdr:to>
    <xdr:pic>
      <xdr:nvPicPr>
        <xdr:cNvPr id="1163" name="Picture@5C\QPendientes@" descr="@5C\QPendientes@">
          <a:extLst>
            <a:ext uri="{FF2B5EF4-FFF2-40B4-BE49-F238E27FC236}">
              <a16:creationId xmlns:a16="http://schemas.microsoft.com/office/drawing/2014/main" id="{0EF3AA92-D25A-4A61-9507-0E2D2F2274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21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</xdr:row>
      <xdr:rowOff>0</xdr:rowOff>
    </xdr:from>
    <xdr:to>
      <xdr:col>0</xdr:col>
      <xdr:colOff>171450</xdr:colOff>
      <xdr:row>199</xdr:row>
      <xdr:rowOff>133350</xdr:rowOff>
    </xdr:to>
    <xdr:pic>
      <xdr:nvPicPr>
        <xdr:cNvPr id="1164" name="Picture@5C\QPendientes@" descr="@5C\QPendientes@">
          <a:extLst>
            <a:ext uri="{FF2B5EF4-FFF2-40B4-BE49-F238E27FC236}">
              <a16:creationId xmlns:a16="http://schemas.microsoft.com/office/drawing/2014/main" id="{9D4F8744-07F9-44DF-944B-041EDAAA6D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39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</xdr:row>
      <xdr:rowOff>0</xdr:rowOff>
    </xdr:from>
    <xdr:to>
      <xdr:col>0</xdr:col>
      <xdr:colOff>171450</xdr:colOff>
      <xdr:row>200</xdr:row>
      <xdr:rowOff>133350</xdr:rowOff>
    </xdr:to>
    <xdr:pic>
      <xdr:nvPicPr>
        <xdr:cNvPr id="1165" name="Picture@5C\QPendientes@" descr="@5C\QPendientes@">
          <a:extLst>
            <a:ext uri="{FF2B5EF4-FFF2-40B4-BE49-F238E27FC236}">
              <a16:creationId xmlns:a16="http://schemas.microsoft.com/office/drawing/2014/main" id="{818B110A-0F6F-4646-9DBD-A464BCF5CF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57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</xdr:row>
      <xdr:rowOff>0</xdr:rowOff>
    </xdr:from>
    <xdr:to>
      <xdr:col>0</xdr:col>
      <xdr:colOff>171450</xdr:colOff>
      <xdr:row>201</xdr:row>
      <xdr:rowOff>133350</xdr:rowOff>
    </xdr:to>
    <xdr:pic>
      <xdr:nvPicPr>
        <xdr:cNvPr id="1166" name="Picture@5C\QPendientes@" descr="@5C\QPendientes@">
          <a:extLst>
            <a:ext uri="{FF2B5EF4-FFF2-40B4-BE49-F238E27FC236}">
              <a16:creationId xmlns:a16="http://schemas.microsoft.com/office/drawing/2014/main" id="{E5B1BA15-8881-4E40-91E3-BA0651195F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75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</xdr:row>
      <xdr:rowOff>0</xdr:rowOff>
    </xdr:from>
    <xdr:to>
      <xdr:col>0</xdr:col>
      <xdr:colOff>171450</xdr:colOff>
      <xdr:row>202</xdr:row>
      <xdr:rowOff>133350</xdr:rowOff>
    </xdr:to>
    <xdr:pic>
      <xdr:nvPicPr>
        <xdr:cNvPr id="1167" name="Picture@5C\QPendientes@" descr="@5C\QPendientes@">
          <a:extLst>
            <a:ext uri="{FF2B5EF4-FFF2-40B4-BE49-F238E27FC236}">
              <a16:creationId xmlns:a16="http://schemas.microsoft.com/office/drawing/2014/main" id="{83C3554B-41EC-4687-9CD6-DDC9F8164B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94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</xdr:row>
      <xdr:rowOff>0</xdr:rowOff>
    </xdr:from>
    <xdr:to>
      <xdr:col>0</xdr:col>
      <xdr:colOff>171450</xdr:colOff>
      <xdr:row>203</xdr:row>
      <xdr:rowOff>133350</xdr:rowOff>
    </xdr:to>
    <xdr:pic>
      <xdr:nvPicPr>
        <xdr:cNvPr id="1168" name="Picture@5C\QPendientes@" descr="@5C\QPendientes@">
          <a:extLst>
            <a:ext uri="{FF2B5EF4-FFF2-40B4-BE49-F238E27FC236}">
              <a16:creationId xmlns:a16="http://schemas.microsoft.com/office/drawing/2014/main" id="{E37528C0-C883-4CA9-932A-215AC96DA9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12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</xdr:row>
      <xdr:rowOff>0</xdr:rowOff>
    </xdr:from>
    <xdr:to>
      <xdr:col>0</xdr:col>
      <xdr:colOff>171450</xdr:colOff>
      <xdr:row>204</xdr:row>
      <xdr:rowOff>133350</xdr:rowOff>
    </xdr:to>
    <xdr:pic>
      <xdr:nvPicPr>
        <xdr:cNvPr id="1169" name="Picture@5C\QPendientes@" descr="@5C\QPendientes@">
          <a:extLst>
            <a:ext uri="{FF2B5EF4-FFF2-40B4-BE49-F238E27FC236}">
              <a16:creationId xmlns:a16="http://schemas.microsoft.com/office/drawing/2014/main" id="{E75C4F53-4A00-4791-8E65-B6324CFCFE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30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</xdr:row>
      <xdr:rowOff>0</xdr:rowOff>
    </xdr:from>
    <xdr:to>
      <xdr:col>0</xdr:col>
      <xdr:colOff>171450</xdr:colOff>
      <xdr:row>205</xdr:row>
      <xdr:rowOff>133350</xdr:rowOff>
    </xdr:to>
    <xdr:pic>
      <xdr:nvPicPr>
        <xdr:cNvPr id="1170" name="Picture@5C\QPendientes@" descr="@5C\QPendientes@">
          <a:extLst>
            <a:ext uri="{FF2B5EF4-FFF2-40B4-BE49-F238E27FC236}">
              <a16:creationId xmlns:a16="http://schemas.microsoft.com/office/drawing/2014/main" id="{B563DD74-68A9-41C6-8B55-D5055AC68A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49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</xdr:row>
      <xdr:rowOff>0</xdr:rowOff>
    </xdr:from>
    <xdr:to>
      <xdr:col>0</xdr:col>
      <xdr:colOff>171450</xdr:colOff>
      <xdr:row>206</xdr:row>
      <xdr:rowOff>133350</xdr:rowOff>
    </xdr:to>
    <xdr:pic>
      <xdr:nvPicPr>
        <xdr:cNvPr id="1171" name="Picture@5C\QPendientes@" descr="@5C\QPendientes@">
          <a:extLst>
            <a:ext uri="{FF2B5EF4-FFF2-40B4-BE49-F238E27FC236}">
              <a16:creationId xmlns:a16="http://schemas.microsoft.com/office/drawing/2014/main" id="{8C43CED0-069E-4BBB-9030-5FD97C5394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67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</xdr:row>
      <xdr:rowOff>0</xdr:rowOff>
    </xdr:from>
    <xdr:to>
      <xdr:col>0</xdr:col>
      <xdr:colOff>171450</xdr:colOff>
      <xdr:row>207</xdr:row>
      <xdr:rowOff>133350</xdr:rowOff>
    </xdr:to>
    <xdr:pic>
      <xdr:nvPicPr>
        <xdr:cNvPr id="1172" name="Picture@5C\QPendientes@" descr="@5C\QPendientes@">
          <a:extLst>
            <a:ext uri="{FF2B5EF4-FFF2-40B4-BE49-F238E27FC236}">
              <a16:creationId xmlns:a16="http://schemas.microsoft.com/office/drawing/2014/main" id="{62624198-AF51-4561-B72B-CE84797DA8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85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</xdr:row>
      <xdr:rowOff>0</xdr:rowOff>
    </xdr:from>
    <xdr:to>
      <xdr:col>0</xdr:col>
      <xdr:colOff>171450</xdr:colOff>
      <xdr:row>208</xdr:row>
      <xdr:rowOff>133350</xdr:rowOff>
    </xdr:to>
    <xdr:pic>
      <xdr:nvPicPr>
        <xdr:cNvPr id="1173" name="Picture@5C\QPendientes@" descr="@5C\QPendientes@">
          <a:extLst>
            <a:ext uri="{FF2B5EF4-FFF2-40B4-BE49-F238E27FC236}">
              <a16:creationId xmlns:a16="http://schemas.microsoft.com/office/drawing/2014/main" id="{D26C1AD8-01BC-4C56-B7F1-74C9CF66AE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03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</xdr:row>
      <xdr:rowOff>0</xdr:rowOff>
    </xdr:from>
    <xdr:to>
      <xdr:col>0</xdr:col>
      <xdr:colOff>171450</xdr:colOff>
      <xdr:row>209</xdr:row>
      <xdr:rowOff>133350</xdr:rowOff>
    </xdr:to>
    <xdr:pic>
      <xdr:nvPicPr>
        <xdr:cNvPr id="1174" name="Picture@5C\QPendientes@" descr="@5C\QPendientes@">
          <a:extLst>
            <a:ext uri="{FF2B5EF4-FFF2-40B4-BE49-F238E27FC236}">
              <a16:creationId xmlns:a16="http://schemas.microsoft.com/office/drawing/2014/main" id="{FF331081-72F5-4306-81CF-8788D6103E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22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</xdr:row>
      <xdr:rowOff>0</xdr:rowOff>
    </xdr:from>
    <xdr:to>
      <xdr:col>0</xdr:col>
      <xdr:colOff>171450</xdr:colOff>
      <xdr:row>210</xdr:row>
      <xdr:rowOff>133350</xdr:rowOff>
    </xdr:to>
    <xdr:pic>
      <xdr:nvPicPr>
        <xdr:cNvPr id="1175" name="Picture@5C\QPendientes@" descr="@5C\QPendientes@">
          <a:extLst>
            <a:ext uri="{FF2B5EF4-FFF2-40B4-BE49-F238E27FC236}">
              <a16:creationId xmlns:a16="http://schemas.microsoft.com/office/drawing/2014/main" id="{6CD3E719-5598-4669-9B7F-BF6BBDCAF2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40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</xdr:row>
      <xdr:rowOff>0</xdr:rowOff>
    </xdr:from>
    <xdr:to>
      <xdr:col>0</xdr:col>
      <xdr:colOff>171450</xdr:colOff>
      <xdr:row>211</xdr:row>
      <xdr:rowOff>133350</xdr:rowOff>
    </xdr:to>
    <xdr:pic>
      <xdr:nvPicPr>
        <xdr:cNvPr id="1176" name="Picture@5C\QPendientes@" descr="@5C\QPendientes@">
          <a:extLst>
            <a:ext uri="{FF2B5EF4-FFF2-40B4-BE49-F238E27FC236}">
              <a16:creationId xmlns:a16="http://schemas.microsoft.com/office/drawing/2014/main" id="{48DA3E0C-4E23-4A82-BD77-4CB48FCA2C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58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</xdr:row>
      <xdr:rowOff>0</xdr:rowOff>
    </xdr:from>
    <xdr:to>
      <xdr:col>0</xdr:col>
      <xdr:colOff>171450</xdr:colOff>
      <xdr:row>212</xdr:row>
      <xdr:rowOff>133350</xdr:rowOff>
    </xdr:to>
    <xdr:pic>
      <xdr:nvPicPr>
        <xdr:cNvPr id="1177" name="Picture@5C\QPendientes@" descr="@5C\QPendientes@">
          <a:extLst>
            <a:ext uri="{FF2B5EF4-FFF2-40B4-BE49-F238E27FC236}">
              <a16:creationId xmlns:a16="http://schemas.microsoft.com/office/drawing/2014/main" id="{5B2BD592-EBBA-43E0-A0B5-406B4FA256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77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</xdr:row>
      <xdr:rowOff>0</xdr:rowOff>
    </xdr:from>
    <xdr:to>
      <xdr:col>0</xdr:col>
      <xdr:colOff>171450</xdr:colOff>
      <xdr:row>213</xdr:row>
      <xdr:rowOff>133350</xdr:rowOff>
    </xdr:to>
    <xdr:pic>
      <xdr:nvPicPr>
        <xdr:cNvPr id="1178" name="Picture@5C\QPendientes@" descr="@5C\QPendientes@">
          <a:extLst>
            <a:ext uri="{FF2B5EF4-FFF2-40B4-BE49-F238E27FC236}">
              <a16:creationId xmlns:a16="http://schemas.microsoft.com/office/drawing/2014/main" id="{1C385F18-83DC-4E47-B136-C897B3D5B6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95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</xdr:row>
      <xdr:rowOff>0</xdr:rowOff>
    </xdr:from>
    <xdr:to>
      <xdr:col>0</xdr:col>
      <xdr:colOff>171450</xdr:colOff>
      <xdr:row>214</xdr:row>
      <xdr:rowOff>133350</xdr:rowOff>
    </xdr:to>
    <xdr:pic>
      <xdr:nvPicPr>
        <xdr:cNvPr id="1179" name="Picture@5C\QPendientes@" descr="@5C\QPendientes@">
          <a:extLst>
            <a:ext uri="{FF2B5EF4-FFF2-40B4-BE49-F238E27FC236}">
              <a16:creationId xmlns:a16="http://schemas.microsoft.com/office/drawing/2014/main" id="{F26A8619-4FD4-4647-ACF1-EA726861DF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13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133350</xdr:rowOff>
    </xdr:to>
    <xdr:pic>
      <xdr:nvPicPr>
        <xdr:cNvPr id="227" name="Picture@5C\QPendientes@" descr="@5C\QPendientes@">
          <a:extLst>
            <a:ext uri="{FF2B5EF4-FFF2-40B4-BE49-F238E27FC236}">
              <a16:creationId xmlns:a16="http://schemas.microsoft.com/office/drawing/2014/main" id="{28392C2F-5127-4D7B-B959-65820A5B24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133350</xdr:rowOff>
    </xdr:to>
    <xdr:pic>
      <xdr:nvPicPr>
        <xdr:cNvPr id="228" name="Picture@5C\QPendientes@" descr="@5C\QPendientes@">
          <a:extLst>
            <a:ext uri="{FF2B5EF4-FFF2-40B4-BE49-F238E27FC236}">
              <a16:creationId xmlns:a16="http://schemas.microsoft.com/office/drawing/2014/main" id="{C3418B2A-F0B9-488D-8EC6-C598D3551C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133350</xdr:rowOff>
    </xdr:to>
    <xdr:pic>
      <xdr:nvPicPr>
        <xdr:cNvPr id="229" name="Picture@5C\QPendientes@" descr="@5C\QPendientes@">
          <a:extLst>
            <a:ext uri="{FF2B5EF4-FFF2-40B4-BE49-F238E27FC236}">
              <a16:creationId xmlns:a16="http://schemas.microsoft.com/office/drawing/2014/main" id="{FFC04430-E655-422E-8210-B980CC5C88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133350</xdr:rowOff>
    </xdr:to>
    <xdr:pic>
      <xdr:nvPicPr>
        <xdr:cNvPr id="230" name="Picture@5C\QPendientes@" descr="@5C\QPendientes@">
          <a:extLst>
            <a:ext uri="{FF2B5EF4-FFF2-40B4-BE49-F238E27FC236}">
              <a16:creationId xmlns:a16="http://schemas.microsoft.com/office/drawing/2014/main" id="{F4EA2169-8371-4820-9383-6A14FCCFED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133350</xdr:rowOff>
    </xdr:to>
    <xdr:pic>
      <xdr:nvPicPr>
        <xdr:cNvPr id="231" name="Picture@5C\QPendientes@" descr="@5C\QPendientes@">
          <a:extLst>
            <a:ext uri="{FF2B5EF4-FFF2-40B4-BE49-F238E27FC236}">
              <a16:creationId xmlns:a16="http://schemas.microsoft.com/office/drawing/2014/main" id="{1B8FEADE-2108-4681-ACDC-7263C05B96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133350</xdr:rowOff>
    </xdr:to>
    <xdr:pic>
      <xdr:nvPicPr>
        <xdr:cNvPr id="232" name="Picture@5C\QPendientes@" descr="@5C\QPendientes@">
          <a:extLst>
            <a:ext uri="{FF2B5EF4-FFF2-40B4-BE49-F238E27FC236}">
              <a16:creationId xmlns:a16="http://schemas.microsoft.com/office/drawing/2014/main" id="{599CCC7D-2414-47D9-8D92-72F5F1EA3D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133350</xdr:rowOff>
    </xdr:to>
    <xdr:pic>
      <xdr:nvPicPr>
        <xdr:cNvPr id="233" name="Picture@5C\QPendientes@" descr="@5C\QPendientes@">
          <a:extLst>
            <a:ext uri="{FF2B5EF4-FFF2-40B4-BE49-F238E27FC236}">
              <a16:creationId xmlns:a16="http://schemas.microsoft.com/office/drawing/2014/main" id="{9884C31F-B9A4-4320-8DA5-0E142DD7DF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133350</xdr:rowOff>
    </xdr:to>
    <xdr:pic>
      <xdr:nvPicPr>
        <xdr:cNvPr id="234" name="Picture@5C\QPendientes@" descr="@5C\QPendientes@">
          <a:extLst>
            <a:ext uri="{FF2B5EF4-FFF2-40B4-BE49-F238E27FC236}">
              <a16:creationId xmlns:a16="http://schemas.microsoft.com/office/drawing/2014/main" id="{F776047E-4682-463B-A2D0-83A81E6E45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133350</xdr:rowOff>
    </xdr:to>
    <xdr:pic>
      <xdr:nvPicPr>
        <xdr:cNvPr id="235" name="Picture@5C\QPendientes@" descr="@5C\QPendientes@">
          <a:extLst>
            <a:ext uri="{FF2B5EF4-FFF2-40B4-BE49-F238E27FC236}">
              <a16:creationId xmlns:a16="http://schemas.microsoft.com/office/drawing/2014/main" id="{2DB68D81-1CE4-49BB-BE02-850CC50D3F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133350</xdr:rowOff>
    </xdr:to>
    <xdr:pic>
      <xdr:nvPicPr>
        <xdr:cNvPr id="236" name="Picture@5C\QPendientes@" descr="@5C\QPendientes@">
          <a:extLst>
            <a:ext uri="{FF2B5EF4-FFF2-40B4-BE49-F238E27FC236}">
              <a16:creationId xmlns:a16="http://schemas.microsoft.com/office/drawing/2014/main" id="{F07524CC-3367-4087-9488-28A83D6AFA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2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133350</xdr:rowOff>
    </xdr:to>
    <xdr:pic>
      <xdr:nvPicPr>
        <xdr:cNvPr id="237" name="Picture@5C\QPendientes@" descr="@5C\QPendientes@">
          <a:extLst>
            <a:ext uri="{FF2B5EF4-FFF2-40B4-BE49-F238E27FC236}">
              <a16:creationId xmlns:a16="http://schemas.microsoft.com/office/drawing/2014/main" id="{856B875C-06E2-48F1-98FB-E38228A361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1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133350</xdr:rowOff>
    </xdr:to>
    <xdr:pic>
      <xdr:nvPicPr>
        <xdr:cNvPr id="238" name="Picture@5C\QPendientes@" descr="@5C\QPendientes@">
          <a:extLst>
            <a:ext uri="{FF2B5EF4-FFF2-40B4-BE49-F238E27FC236}">
              <a16:creationId xmlns:a16="http://schemas.microsoft.com/office/drawing/2014/main" id="{CA9C445D-29E1-4024-A43D-A9426C160C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133350</xdr:rowOff>
    </xdr:to>
    <xdr:pic>
      <xdr:nvPicPr>
        <xdr:cNvPr id="239" name="Picture@5C\QPendientes@" descr="@5C\QPendientes@">
          <a:extLst>
            <a:ext uri="{FF2B5EF4-FFF2-40B4-BE49-F238E27FC236}">
              <a16:creationId xmlns:a16="http://schemas.microsoft.com/office/drawing/2014/main" id="{025E55F9-B175-4E73-8BCA-FB0BFAF656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7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133350</xdr:rowOff>
    </xdr:to>
    <xdr:pic>
      <xdr:nvPicPr>
        <xdr:cNvPr id="240" name="Picture@5C\QPendientes@" descr="@5C\QPendientes@">
          <a:extLst>
            <a:ext uri="{FF2B5EF4-FFF2-40B4-BE49-F238E27FC236}">
              <a16:creationId xmlns:a16="http://schemas.microsoft.com/office/drawing/2014/main" id="{2B8D2FBB-B82F-4499-82DA-B0A106B5ED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6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133350</xdr:rowOff>
    </xdr:to>
    <xdr:pic>
      <xdr:nvPicPr>
        <xdr:cNvPr id="241" name="Picture@5C\QPendientes@" descr="@5C\QPendientes@">
          <a:extLst>
            <a:ext uri="{FF2B5EF4-FFF2-40B4-BE49-F238E27FC236}">
              <a16:creationId xmlns:a16="http://schemas.microsoft.com/office/drawing/2014/main" id="{39FB755E-CF23-449A-A4D2-1C7157BB14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4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171450</xdr:colOff>
      <xdr:row>16</xdr:row>
      <xdr:rowOff>133350</xdr:rowOff>
    </xdr:to>
    <xdr:pic>
      <xdr:nvPicPr>
        <xdr:cNvPr id="242" name="Picture@5C\QPendientes@" descr="@5C\QPendientes@">
          <a:extLst>
            <a:ext uri="{FF2B5EF4-FFF2-40B4-BE49-F238E27FC236}">
              <a16:creationId xmlns:a16="http://schemas.microsoft.com/office/drawing/2014/main" id="{867D2A22-D1D0-4FE9-ADFC-456F3483D7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2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</xdr:row>
      <xdr:rowOff>0</xdr:rowOff>
    </xdr:from>
    <xdr:to>
      <xdr:col>0</xdr:col>
      <xdr:colOff>171450</xdr:colOff>
      <xdr:row>17</xdr:row>
      <xdr:rowOff>133350</xdr:rowOff>
    </xdr:to>
    <xdr:pic>
      <xdr:nvPicPr>
        <xdr:cNvPr id="243" name="Picture@5C\QPendientes@" descr="@5C\QPendientes@">
          <a:extLst>
            <a:ext uri="{FF2B5EF4-FFF2-40B4-BE49-F238E27FC236}">
              <a16:creationId xmlns:a16="http://schemas.microsoft.com/office/drawing/2014/main" id="{58CC6222-149F-4E3F-8B7F-3C92EE3BBD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0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</xdr:row>
      <xdr:rowOff>0</xdr:rowOff>
    </xdr:from>
    <xdr:to>
      <xdr:col>0</xdr:col>
      <xdr:colOff>171450</xdr:colOff>
      <xdr:row>18</xdr:row>
      <xdr:rowOff>133350</xdr:rowOff>
    </xdr:to>
    <xdr:pic>
      <xdr:nvPicPr>
        <xdr:cNvPr id="244" name="Picture@5C\QPendientes@" descr="@5C\QPendientes@">
          <a:extLst>
            <a:ext uri="{FF2B5EF4-FFF2-40B4-BE49-F238E27FC236}">
              <a16:creationId xmlns:a16="http://schemas.microsoft.com/office/drawing/2014/main" id="{6DE901B6-9F6E-4153-9A59-FF47C025FC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9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</xdr:row>
      <xdr:rowOff>0</xdr:rowOff>
    </xdr:from>
    <xdr:to>
      <xdr:col>0</xdr:col>
      <xdr:colOff>171450</xdr:colOff>
      <xdr:row>19</xdr:row>
      <xdr:rowOff>133350</xdr:rowOff>
    </xdr:to>
    <xdr:pic>
      <xdr:nvPicPr>
        <xdr:cNvPr id="245" name="Picture@5C\QPendientes@" descr="@5C\QPendientes@">
          <a:extLst>
            <a:ext uri="{FF2B5EF4-FFF2-40B4-BE49-F238E27FC236}">
              <a16:creationId xmlns:a16="http://schemas.microsoft.com/office/drawing/2014/main" id="{D77B65AC-5A55-4F93-8ED8-C5DA5B4CF0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7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</xdr:row>
      <xdr:rowOff>0</xdr:rowOff>
    </xdr:from>
    <xdr:to>
      <xdr:col>0</xdr:col>
      <xdr:colOff>171450</xdr:colOff>
      <xdr:row>20</xdr:row>
      <xdr:rowOff>133350</xdr:rowOff>
    </xdr:to>
    <xdr:pic>
      <xdr:nvPicPr>
        <xdr:cNvPr id="246" name="Picture@5C\QPendientes@" descr="@5C\QPendientes@">
          <a:extLst>
            <a:ext uri="{FF2B5EF4-FFF2-40B4-BE49-F238E27FC236}">
              <a16:creationId xmlns:a16="http://schemas.microsoft.com/office/drawing/2014/main" id="{3D24CA13-4974-49C5-8A58-A1A1F8B010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5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</xdr:row>
      <xdr:rowOff>0</xdr:rowOff>
    </xdr:from>
    <xdr:to>
      <xdr:col>0</xdr:col>
      <xdr:colOff>171450</xdr:colOff>
      <xdr:row>21</xdr:row>
      <xdr:rowOff>133350</xdr:rowOff>
    </xdr:to>
    <xdr:pic>
      <xdr:nvPicPr>
        <xdr:cNvPr id="247" name="Picture@5C\QPendientes@" descr="@5C\QPendientes@">
          <a:extLst>
            <a:ext uri="{FF2B5EF4-FFF2-40B4-BE49-F238E27FC236}">
              <a16:creationId xmlns:a16="http://schemas.microsoft.com/office/drawing/2014/main" id="{99D60516-5C77-4423-93A4-DB798D0C10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4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171450</xdr:colOff>
      <xdr:row>22</xdr:row>
      <xdr:rowOff>133350</xdr:rowOff>
    </xdr:to>
    <xdr:pic>
      <xdr:nvPicPr>
        <xdr:cNvPr id="248" name="Picture@5C\QPendientes@" descr="@5C\QPendientes@">
          <a:extLst>
            <a:ext uri="{FF2B5EF4-FFF2-40B4-BE49-F238E27FC236}">
              <a16:creationId xmlns:a16="http://schemas.microsoft.com/office/drawing/2014/main" id="{F8306763-C643-45A7-8B71-BF154278E2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2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</xdr:row>
      <xdr:rowOff>0</xdr:rowOff>
    </xdr:from>
    <xdr:to>
      <xdr:col>0</xdr:col>
      <xdr:colOff>171450</xdr:colOff>
      <xdr:row>23</xdr:row>
      <xdr:rowOff>133350</xdr:rowOff>
    </xdr:to>
    <xdr:pic>
      <xdr:nvPicPr>
        <xdr:cNvPr id="249" name="Picture@5C\QPendientes@" descr="@5C\QPendientes@">
          <a:extLst>
            <a:ext uri="{FF2B5EF4-FFF2-40B4-BE49-F238E27FC236}">
              <a16:creationId xmlns:a16="http://schemas.microsoft.com/office/drawing/2014/main" id="{C232A3DF-0AD4-4605-971A-D22599E497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0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</xdr:row>
      <xdr:rowOff>0</xdr:rowOff>
    </xdr:from>
    <xdr:to>
      <xdr:col>0</xdr:col>
      <xdr:colOff>171450</xdr:colOff>
      <xdr:row>24</xdr:row>
      <xdr:rowOff>133350</xdr:rowOff>
    </xdr:to>
    <xdr:pic>
      <xdr:nvPicPr>
        <xdr:cNvPr id="250" name="Picture@5C\QPendientes@" descr="@5C\QPendientes@">
          <a:extLst>
            <a:ext uri="{FF2B5EF4-FFF2-40B4-BE49-F238E27FC236}">
              <a16:creationId xmlns:a16="http://schemas.microsoft.com/office/drawing/2014/main" id="{288012A1-F1D8-43CC-B0FC-C47A58162F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8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</xdr:row>
      <xdr:rowOff>0</xdr:rowOff>
    </xdr:from>
    <xdr:to>
      <xdr:col>0</xdr:col>
      <xdr:colOff>171450</xdr:colOff>
      <xdr:row>25</xdr:row>
      <xdr:rowOff>133350</xdr:rowOff>
    </xdr:to>
    <xdr:pic>
      <xdr:nvPicPr>
        <xdr:cNvPr id="251" name="Picture@5C\QPendientes@" descr="@5C\QPendientes@">
          <a:extLst>
            <a:ext uri="{FF2B5EF4-FFF2-40B4-BE49-F238E27FC236}">
              <a16:creationId xmlns:a16="http://schemas.microsoft.com/office/drawing/2014/main" id="{B861A082-D386-4661-B9D5-CA6DFC4C6D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7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</xdr:row>
      <xdr:rowOff>0</xdr:rowOff>
    </xdr:from>
    <xdr:to>
      <xdr:col>0</xdr:col>
      <xdr:colOff>171450</xdr:colOff>
      <xdr:row>26</xdr:row>
      <xdr:rowOff>133350</xdr:rowOff>
    </xdr:to>
    <xdr:pic>
      <xdr:nvPicPr>
        <xdr:cNvPr id="252" name="Picture@5C\QPendientes@" descr="@5C\QPendientes@">
          <a:extLst>
            <a:ext uri="{FF2B5EF4-FFF2-40B4-BE49-F238E27FC236}">
              <a16:creationId xmlns:a16="http://schemas.microsoft.com/office/drawing/2014/main" id="{A48FCC98-36C0-4C2D-9ADE-9A1E1164B3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5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171450</xdr:colOff>
      <xdr:row>27</xdr:row>
      <xdr:rowOff>133350</xdr:rowOff>
    </xdr:to>
    <xdr:pic>
      <xdr:nvPicPr>
        <xdr:cNvPr id="253" name="Picture@5C\QPendientes@" descr="@5C\QPendientes@">
          <a:extLst>
            <a:ext uri="{FF2B5EF4-FFF2-40B4-BE49-F238E27FC236}">
              <a16:creationId xmlns:a16="http://schemas.microsoft.com/office/drawing/2014/main" id="{0159EB48-9D35-4D80-A4EB-794E421B28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3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133350</xdr:rowOff>
    </xdr:to>
    <xdr:pic>
      <xdr:nvPicPr>
        <xdr:cNvPr id="254" name="Picture@5C\QPendientes@" descr="@5C\QPendientes@">
          <a:extLst>
            <a:ext uri="{FF2B5EF4-FFF2-40B4-BE49-F238E27FC236}">
              <a16:creationId xmlns:a16="http://schemas.microsoft.com/office/drawing/2014/main" id="{DFC428C0-1F48-4F38-83E8-19E40C8A72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2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133350</xdr:rowOff>
    </xdr:to>
    <xdr:pic>
      <xdr:nvPicPr>
        <xdr:cNvPr id="255" name="Picture@5C\QPendientes@" descr="@5C\QPendientes@">
          <a:extLst>
            <a:ext uri="{FF2B5EF4-FFF2-40B4-BE49-F238E27FC236}">
              <a16:creationId xmlns:a16="http://schemas.microsoft.com/office/drawing/2014/main" id="{47A7B809-D392-4884-B18B-D5F093D69C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0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</xdr:row>
      <xdr:rowOff>0</xdr:rowOff>
    </xdr:from>
    <xdr:to>
      <xdr:col>0</xdr:col>
      <xdr:colOff>171450</xdr:colOff>
      <xdr:row>30</xdr:row>
      <xdr:rowOff>133350</xdr:rowOff>
    </xdr:to>
    <xdr:pic>
      <xdr:nvPicPr>
        <xdr:cNvPr id="256" name="Picture@5C\QPendientes@" descr="@5C\QPendientes@">
          <a:extLst>
            <a:ext uri="{FF2B5EF4-FFF2-40B4-BE49-F238E27FC236}">
              <a16:creationId xmlns:a16="http://schemas.microsoft.com/office/drawing/2014/main" id="{B6CF1DEC-3840-4462-83F7-7FAE47186E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8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171450</xdr:colOff>
      <xdr:row>31</xdr:row>
      <xdr:rowOff>133350</xdr:rowOff>
    </xdr:to>
    <xdr:pic>
      <xdr:nvPicPr>
        <xdr:cNvPr id="257" name="Picture@5C\QPendientes@" descr="@5C\QPendientes@">
          <a:extLst>
            <a:ext uri="{FF2B5EF4-FFF2-40B4-BE49-F238E27FC236}">
              <a16:creationId xmlns:a16="http://schemas.microsoft.com/office/drawing/2014/main" id="{069A6A7D-FB3B-4CC4-9E67-63F8D453B0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6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</xdr:row>
      <xdr:rowOff>0</xdr:rowOff>
    </xdr:from>
    <xdr:to>
      <xdr:col>0</xdr:col>
      <xdr:colOff>171450</xdr:colOff>
      <xdr:row>32</xdr:row>
      <xdr:rowOff>133350</xdr:rowOff>
    </xdr:to>
    <xdr:pic>
      <xdr:nvPicPr>
        <xdr:cNvPr id="258" name="Picture@5C\QPendientes@" descr="@5C\QPendientes@">
          <a:extLst>
            <a:ext uri="{FF2B5EF4-FFF2-40B4-BE49-F238E27FC236}">
              <a16:creationId xmlns:a16="http://schemas.microsoft.com/office/drawing/2014/main" id="{AF6B37E1-817B-4C53-90B9-9F55B4DDB1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5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</xdr:row>
      <xdr:rowOff>0</xdr:rowOff>
    </xdr:from>
    <xdr:to>
      <xdr:col>0</xdr:col>
      <xdr:colOff>171450</xdr:colOff>
      <xdr:row>33</xdr:row>
      <xdr:rowOff>133350</xdr:rowOff>
    </xdr:to>
    <xdr:pic>
      <xdr:nvPicPr>
        <xdr:cNvPr id="259" name="Picture@5C\QPendientes@" descr="@5C\QPendientes@">
          <a:extLst>
            <a:ext uri="{FF2B5EF4-FFF2-40B4-BE49-F238E27FC236}">
              <a16:creationId xmlns:a16="http://schemas.microsoft.com/office/drawing/2014/main" id="{24BDA787-7BF4-454D-8A99-A7A4039D6D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3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</xdr:row>
      <xdr:rowOff>0</xdr:rowOff>
    </xdr:from>
    <xdr:to>
      <xdr:col>0</xdr:col>
      <xdr:colOff>171450</xdr:colOff>
      <xdr:row>34</xdr:row>
      <xdr:rowOff>133350</xdr:rowOff>
    </xdr:to>
    <xdr:pic>
      <xdr:nvPicPr>
        <xdr:cNvPr id="260" name="Picture@5C\QPendientes@" descr="@5C\QPendientes@">
          <a:extLst>
            <a:ext uri="{FF2B5EF4-FFF2-40B4-BE49-F238E27FC236}">
              <a16:creationId xmlns:a16="http://schemas.microsoft.com/office/drawing/2014/main" id="{F006F8EA-7D27-493C-A3C2-6749D2823C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1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133350</xdr:rowOff>
    </xdr:to>
    <xdr:pic>
      <xdr:nvPicPr>
        <xdr:cNvPr id="261" name="Picture@5C\QPendientes@" descr="@5C\QPendientes@">
          <a:extLst>
            <a:ext uri="{FF2B5EF4-FFF2-40B4-BE49-F238E27FC236}">
              <a16:creationId xmlns:a16="http://schemas.microsoft.com/office/drawing/2014/main" id="{23B91A5D-CC66-4CE9-A57A-CAB3A3A89C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0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133350</xdr:rowOff>
    </xdr:to>
    <xdr:pic>
      <xdr:nvPicPr>
        <xdr:cNvPr id="262" name="Picture@5C\QPendientes@" descr="@5C\QPendientes@">
          <a:extLst>
            <a:ext uri="{FF2B5EF4-FFF2-40B4-BE49-F238E27FC236}">
              <a16:creationId xmlns:a16="http://schemas.microsoft.com/office/drawing/2014/main" id="{E0972A05-5C6B-4FE2-A192-730FE301C5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8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</xdr:row>
      <xdr:rowOff>0</xdr:rowOff>
    </xdr:from>
    <xdr:to>
      <xdr:col>0</xdr:col>
      <xdr:colOff>171450</xdr:colOff>
      <xdr:row>37</xdr:row>
      <xdr:rowOff>133350</xdr:rowOff>
    </xdr:to>
    <xdr:pic>
      <xdr:nvPicPr>
        <xdr:cNvPr id="263" name="Picture@5C\QPendientes@" descr="@5C\QPendientes@">
          <a:extLst>
            <a:ext uri="{FF2B5EF4-FFF2-40B4-BE49-F238E27FC236}">
              <a16:creationId xmlns:a16="http://schemas.microsoft.com/office/drawing/2014/main" id="{DD70A243-F115-447A-9768-2E5B707D58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6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171450</xdr:colOff>
      <xdr:row>38</xdr:row>
      <xdr:rowOff>133350</xdr:rowOff>
    </xdr:to>
    <xdr:pic>
      <xdr:nvPicPr>
        <xdr:cNvPr id="264" name="Picture@5C\QPendientes@" descr="@5C\QPendientes@">
          <a:extLst>
            <a:ext uri="{FF2B5EF4-FFF2-40B4-BE49-F238E27FC236}">
              <a16:creationId xmlns:a16="http://schemas.microsoft.com/office/drawing/2014/main" id="{BE3A4CFE-45C5-4C8F-8B53-F617B839A7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4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</xdr:row>
      <xdr:rowOff>0</xdr:rowOff>
    </xdr:from>
    <xdr:to>
      <xdr:col>0</xdr:col>
      <xdr:colOff>171450</xdr:colOff>
      <xdr:row>39</xdr:row>
      <xdr:rowOff>133350</xdr:rowOff>
    </xdr:to>
    <xdr:pic>
      <xdr:nvPicPr>
        <xdr:cNvPr id="565" name="Picture@5C\QPendientes@" descr="@5C\QPendientes@">
          <a:extLst>
            <a:ext uri="{FF2B5EF4-FFF2-40B4-BE49-F238E27FC236}">
              <a16:creationId xmlns:a16="http://schemas.microsoft.com/office/drawing/2014/main" id="{6852E926-E82D-47A1-8B45-ADAF652C98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3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</xdr:row>
      <xdr:rowOff>0</xdr:rowOff>
    </xdr:from>
    <xdr:to>
      <xdr:col>0</xdr:col>
      <xdr:colOff>171450</xdr:colOff>
      <xdr:row>40</xdr:row>
      <xdr:rowOff>133350</xdr:rowOff>
    </xdr:to>
    <xdr:pic>
      <xdr:nvPicPr>
        <xdr:cNvPr id="566" name="Picture@5C\QPendientes@" descr="@5C\QPendientes@">
          <a:extLst>
            <a:ext uri="{FF2B5EF4-FFF2-40B4-BE49-F238E27FC236}">
              <a16:creationId xmlns:a16="http://schemas.microsoft.com/office/drawing/2014/main" id="{2638A43F-27A5-4F0E-A29D-8D6ACFEC57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1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</xdr:row>
      <xdr:rowOff>0</xdr:rowOff>
    </xdr:from>
    <xdr:to>
      <xdr:col>0</xdr:col>
      <xdr:colOff>171450</xdr:colOff>
      <xdr:row>41</xdr:row>
      <xdr:rowOff>133350</xdr:rowOff>
    </xdr:to>
    <xdr:pic>
      <xdr:nvPicPr>
        <xdr:cNvPr id="567" name="Picture@5C\QPendientes@" descr="@5C\QPendientes@">
          <a:extLst>
            <a:ext uri="{FF2B5EF4-FFF2-40B4-BE49-F238E27FC236}">
              <a16:creationId xmlns:a16="http://schemas.microsoft.com/office/drawing/2014/main" id="{092EF33E-D638-48D7-8F90-D9B611C2F6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9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</xdr:row>
      <xdr:rowOff>0</xdr:rowOff>
    </xdr:from>
    <xdr:to>
      <xdr:col>0</xdr:col>
      <xdr:colOff>171450</xdr:colOff>
      <xdr:row>42</xdr:row>
      <xdr:rowOff>133350</xdr:rowOff>
    </xdr:to>
    <xdr:pic>
      <xdr:nvPicPr>
        <xdr:cNvPr id="568" name="Picture@5C\QPendientes@" descr="@5C\QPendientes@">
          <a:extLst>
            <a:ext uri="{FF2B5EF4-FFF2-40B4-BE49-F238E27FC236}">
              <a16:creationId xmlns:a16="http://schemas.microsoft.com/office/drawing/2014/main" id="{626EF98B-5B80-4664-8321-AA7F8D29FD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8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133350</xdr:rowOff>
    </xdr:to>
    <xdr:pic>
      <xdr:nvPicPr>
        <xdr:cNvPr id="569" name="Picture@5C\QPendientes@" descr="@5C\QPendientes@">
          <a:extLst>
            <a:ext uri="{FF2B5EF4-FFF2-40B4-BE49-F238E27FC236}">
              <a16:creationId xmlns:a16="http://schemas.microsoft.com/office/drawing/2014/main" id="{8FD548A9-21F4-4C53-B7C0-B650F9C40D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6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</xdr:row>
      <xdr:rowOff>0</xdr:rowOff>
    </xdr:from>
    <xdr:to>
      <xdr:col>0</xdr:col>
      <xdr:colOff>171450</xdr:colOff>
      <xdr:row>44</xdr:row>
      <xdr:rowOff>133350</xdr:rowOff>
    </xdr:to>
    <xdr:pic>
      <xdr:nvPicPr>
        <xdr:cNvPr id="570" name="Picture@5C\QPendientes@" descr="@5C\QPendientes@">
          <a:extLst>
            <a:ext uri="{FF2B5EF4-FFF2-40B4-BE49-F238E27FC236}">
              <a16:creationId xmlns:a16="http://schemas.microsoft.com/office/drawing/2014/main" id="{AA07BB16-1941-468E-B2BB-904F33D63C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4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</xdr:row>
      <xdr:rowOff>0</xdr:rowOff>
    </xdr:from>
    <xdr:to>
      <xdr:col>0</xdr:col>
      <xdr:colOff>171450</xdr:colOff>
      <xdr:row>45</xdr:row>
      <xdr:rowOff>133350</xdr:rowOff>
    </xdr:to>
    <xdr:pic>
      <xdr:nvPicPr>
        <xdr:cNvPr id="571" name="Picture@5C\QPendientes@" descr="@5C\QPendientes@">
          <a:extLst>
            <a:ext uri="{FF2B5EF4-FFF2-40B4-BE49-F238E27FC236}">
              <a16:creationId xmlns:a16="http://schemas.microsoft.com/office/drawing/2014/main" id="{A45A065F-E656-4999-98F1-EAFE7690C0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2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</xdr:row>
      <xdr:rowOff>0</xdr:rowOff>
    </xdr:from>
    <xdr:to>
      <xdr:col>0</xdr:col>
      <xdr:colOff>171450</xdr:colOff>
      <xdr:row>46</xdr:row>
      <xdr:rowOff>133350</xdr:rowOff>
    </xdr:to>
    <xdr:pic>
      <xdr:nvPicPr>
        <xdr:cNvPr id="572" name="Picture@5C\QPendientes@" descr="@5C\QPendientes@">
          <a:extLst>
            <a:ext uri="{FF2B5EF4-FFF2-40B4-BE49-F238E27FC236}">
              <a16:creationId xmlns:a16="http://schemas.microsoft.com/office/drawing/2014/main" id="{58E70A42-6DEC-4341-86F4-C4EDD53BB9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1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171450</xdr:colOff>
      <xdr:row>47</xdr:row>
      <xdr:rowOff>133350</xdr:rowOff>
    </xdr:to>
    <xdr:pic>
      <xdr:nvPicPr>
        <xdr:cNvPr id="573" name="Picture@5C\QPendientes@" descr="@5C\QPendientes@">
          <a:extLst>
            <a:ext uri="{FF2B5EF4-FFF2-40B4-BE49-F238E27FC236}">
              <a16:creationId xmlns:a16="http://schemas.microsoft.com/office/drawing/2014/main" id="{4E3C75B0-7BFA-4DC6-A6AB-886B873AA9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9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</xdr:row>
      <xdr:rowOff>0</xdr:rowOff>
    </xdr:from>
    <xdr:to>
      <xdr:col>0</xdr:col>
      <xdr:colOff>171450</xdr:colOff>
      <xdr:row>48</xdr:row>
      <xdr:rowOff>133350</xdr:rowOff>
    </xdr:to>
    <xdr:pic>
      <xdr:nvPicPr>
        <xdr:cNvPr id="574" name="Picture@5C\QPendientes@" descr="@5C\QPendientes@">
          <a:extLst>
            <a:ext uri="{FF2B5EF4-FFF2-40B4-BE49-F238E27FC236}">
              <a16:creationId xmlns:a16="http://schemas.microsoft.com/office/drawing/2014/main" id="{BF3E666C-49EE-4AB6-A581-6D17CDF824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7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</xdr:row>
      <xdr:rowOff>0</xdr:rowOff>
    </xdr:from>
    <xdr:to>
      <xdr:col>0</xdr:col>
      <xdr:colOff>171450</xdr:colOff>
      <xdr:row>49</xdr:row>
      <xdr:rowOff>133350</xdr:rowOff>
    </xdr:to>
    <xdr:pic>
      <xdr:nvPicPr>
        <xdr:cNvPr id="575" name="Picture@5C\QPendientes@" descr="@5C\QPendientes@">
          <a:extLst>
            <a:ext uri="{FF2B5EF4-FFF2-40B4-BE49-F238E27FC236}">
              <a16:creationId xmlns:a16="http://schemas.microsoft.com/office/drawing/2014/main" id="{CE01E529-8393-487E-9BCF-B305BE00FA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6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</xdr:row>
      <xdr:rowOff>0</xdr:rowOff>
    </xdr:from>
    <xdr:to>
      <xdr:col>0</xdr:col>
      <xdr:colOff>171450</xdr:colOff>
      <xdr:row>50</xdr:row>
      <xdr:rowOff>133350</xdr:rowOff>
    </xdr:to>
    <xdr:pic>
      <xdr:nvPicPr>
        <xdr:cNvPr id="576" name="Picture@5C\QPendientes@" descr="@5C\QPendientes@">
          <a:extLst>
            <a:ext uri="{FF2B5EF4-FFF2-40B4-BE49-F238E27FC236}">
              <a16:creationId xmlns:a16="http://schemas.microsoft.com/office/drawing/2014/main" id="{15284564-0260-4B0E-880C-535F0CD3C1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4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171450</xdr:colOff>
      <xdr:row>51</xdr:row>
      <xdr:rowOff>133350</xdr:rowOff>
    </xdr:to>
    <xdr:pic>
      <xdr:nvPicPr>
        <xdr:cNvPr id="577" name="Picture@5C\QPendientes@" descr="@5C\QPendientes@">
          <a:extLst>
            <a:ext uri="{FF2B5EF4-FFF2-40B4-BE49-F238E27FC236}">
              <a16:creationId xmlns:a16="http://schemas.microsoft.com/office/drawing/2014/main" id="{2A14F51F-8636-4C78-B50A-99BDA22674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2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</xdr:row>
      <xdr:rowOff>0</xdr:rowOff>
    </xdr:from>
    <xdr:to>
      <xdr:col>0</xdr:col>
      <xdr:colOff>171450</xdr:colOff>
      <xdr:row>52</xdr:row>
      <xdr:rowOff>133350</xdr:rowOff>
    </xdr:to>
    <xdr:pic>
      <xdr:nvPicPr>
        <xdr:cNvPr id="578" name="Picture@5C\QPendientes@" descr="@5C\QPendientes@">
          <a:extLst>
            <a:ext uri="{FF2B5EF4-FFF2-40B4-BE49-F238E27FC236}">
              <a16:creationId xmlns:a16="http://schemas.microsoft.com/office/drawing/2014/main" id="{96D031B7-817B-4CA0-97C6-FFC35A8BF7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0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</xdr:row>
      <xdr:rowOff>0</xdr:rowOff>
    </xdr:from>
    <xdr:to>
      <xdr:col>0</xdr:col>
      <xdr:colOff>171450</xdr:colOff>
      <xdr:row>53</xdr:row>
      <xdr:rowOff>133350</xdr:rowOff>
    </xdr:to>
    <xdr:pic>
      <xdr:nvPicPr>
        <xdr:cNvPr id="579" name="Picture@5C\QPendientes@" descr="@5C\QPendientes@">
          <a:extLst>
            <a:ext uri="{FF2B5EF4-FFF2-40B4-BE49-F238E27FC236}">
              <a16:creationId xmlns:a16="http://schemas.microsoft.com/office/drawing/2014/main" id="{C6C91FE1-E200-4564-B162-E2F2460D70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9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</xdr:row>
      <xdr:rowOff>0</xdr:rowOff>
    </xdr:from>
    <xdr:to>
      <xdr:col>0</xdr:col>
      <xdr:colOff>171450</xdr:colOff>
      <xdr:row>54</xdr:row>
      <xdr:rowOff>133350</xdr:rowOff>
    </xdr:to>
    <xdr:pic>
      <xdr:nvPicPr>
        <xdr:cNvPr id="580" name="Picture@5C\QPendientes@" descr="@5C\QPendientes@">
          <a:extLst>
            <a:ext uri="{FF2B5EF4-FFF2-40B4-BE49-F238E27FC236}">
              <a16:creationId xmlns:a16="http://schemas.microsoft.com/office/drawing/2014/main" id="{22FA6690-788E-46A3-875A-12CA859EF4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7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</xdr:row>
      <xdr:rowOff>0</xdr:rowOff>
    </xdr:from>
    <xdr:to>
      <xdr:col>0</xdr:col>
      <xdr:colOff>171450</xdr:colOff>
      <xdr:row>55</xdr:row>
      <xdr:rowOff>133350</xdr:rowOff>
    </xdr:to>
    <xdr:pic>
      <xdr:nvPicPr>
        <xdr:cNvPr id="581" name="Picture@5C\QPendientes@" descr="@5C\QPendientes@">
          <a:extLst>
            <a:ext uri="{FF2B5EF4-FFF2-40B4-BE49-F238E27FC236}">
              <a16:creationId xmlns:a16="http://schemas.microsoft.com/office/drawing/2014/main" id="{10A001DA-F820-4952-8357-9A11E6A0F7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5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</xdr:row>
      <xdr:rowOff>0</xdr:rowOff>
    </xdr:from>
    <xdr:to>
      <xdr:col>0</xdr:col>
      <xdr:colOff>171450</xdr:colOff>
      <xdr:row>56</xdr:row>
      <xdr:rowOff>133350</xdr:rowOff>
    </xdr:to>
    <xdr:pic>
      <xdr:nvPicPr>
        <xdr:cNvPr id="582" name="Picture@5C\QPendientes@" descr="@5C\QPendientes@">
          <a:extLst>
            <a:ext uri="{FF2B5EF4-FFF2-40B4-BE49-F238E27FC236}">
              <a16:creationId xmlns:a16="http://schemas.microsoft.com/office/drawing/2014/main" id="{EC6ACF95-663A-4AEB-A6D1-D2DBD553B3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4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</xdr:row>
      <xdr:rowOff>0</xdr:rowOff>
    </xdr:from>
    <xdr:to>
      <xdr:col>0</xdr:col>
      <xdr:colOff>171450</xdr:colOff>
      <xdr:row>57</xdr:row>
      <xdr:rowOff>133350</xdr:rowOff>
    </xdr:to>
    <xdr:pic>
      <xdr:nvPicPr>
        <xdr:cNvPr id="583" name="Picture@5C\QPendientes@" descr="@5C\QPendientes@">
          <a:extLst>
            <a:ext uri="{FF2B5EF4-FFF2-40B4-BE49-F238E27FC236}">
              <a16:creationId xmlns:a16="http://schemas.microsoft.com/office/drawing/2014/main" id="{5BC077AC-46D4-4E22-BEBF-E8F7CE3FED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2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</xdr:row>
      <xdr:rowOff>0</xdr:rowOff>
    </xdr:from>
    <xdr:to>
      <xdr:col>0</xdr:col>
      <xdr:colOff>171450</xdr:colOff>
      <xdr:row>58</xdr:row>
      <xdr:rowOff>133350</xdr:rowOff>
    </xdr:to>
    <xdr:pic>
      <xdr:nvPicPr>
        <xdr:cNvPr id="584" name="Picture@5C\QPendientes@" descr="@5C\QPendientes@">
          <a:extLst>
            <a:ext uri="{FF2B5EF4-FFF2-40B4-BE49-F238E27FC236}">
              <a16:creationId xmlns:a16="http://schemas.microsoft.com/office/drawing/2014/main" id="{9778D22C-CD66-412D-A7A4-2083757D61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0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</xdr:row>
      <xdr:rowOff>0</xdr:rowOff>
    </xdr:from>
    <xdr:to>
      <xdr:col>0</xdr:col>
      <xdr:colOff>171450</xdr:colOff>
      <xdr:row>59</xdr:row>
      <xdr:rowOff>133350</xdr:rowOff>
    </xdr:to>
    <xdr:pic>
      <xdr:nvPicPr>
        <xdr:cNvPr id="585" name="Picture@5C\QPendientes@" descr="@5C\QPendientes@">
          <a:extLst>
            <a:ext uri="{FF2B5EF4-FFF2-40B4-BE49-F238E27FC236}">
              <a16:creationId xmlns:a16="http://schemas.microsoft.com/office/drawing/2014/main" id="{2A696A9E-683E-4A2F-A8B9-FDEC4A871A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78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</xdr:row>
      <xdr:rowOff>0</xdr:rowOff>
    </xdr:from>
    <xdr:to>
      <xdr:col>0</xdr:col>
      <xdr:colOff>171450</xdr:colOff>
      <xdr:row>60</xdr:row>
      <xdr:rowOff>133350</xdr:rowOff>
    </xdr:to>
    <xdr:pic>
      <xdr:nvPicPr>
        <xdr:cNvPr id="586" name="Picture@5C\QPendientes@" descr="@5C\QPendientes@">
          <a:extLst>
            <a:ext uri="{FF2B5EF4-FFF2-40B4-BE49-F238E27FC236}">
              <a16:creationId xmlns:a16="http://schemas.microsoft.com/office/drawing/2014/main" id="{4C3754E3-B5DB-4928-85BC-A7DAA04FF1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7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</xdr:row>
      <xdr:rowOff>0</xdr:rowOff>
    </xdr:from>
    <xdr:to>
      <xdr:col>0</xdr:col>
      <xdr:colOff>171450</xdr:colOff>
      <xdr:row>61</xdr:row>
      <xdr:rowOff>133350</xdr:rowOff>
    </xdr:to>
    <xdr:pic>
      <xdr:nvPicPr>
        <xdr:cNvPr id="587" name="Picture@5C\QPendientes@" descr="@5C\QPendientes@">
          <a:extLst>
            <a:ext uri="{FF2B5EF4-FFF2-40B4-BE49-F238E27FC236}">
              <a16:creationId xmlns:a16="http://schemas.microsoft.com/office/drawing/2014/main" id="{A52DF8D9-3CFE-4116-9091-617024DD89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5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</xdr:row>
      <xdr:rowOff>0</xdr:rowOff>
    </xdr:from>
    <xdr:to>
      <xdr:col>0</xdr:col>
      <xdr:colOff>171450</xdr:colOff>
      <xdr:row>62</xdr:row>
      <xdr:rowOff>133350</xdr:rowOff>
    </xdr:to>
    <xdr:pic>
      <xdr:nvPicPr>
        <xdr:cNvPr id="588" name="Picture@5C\QPendientes@" descr="@5C\QPendientes@">
          <a:extLst>
            <a:ext uri="{FF2B5EF4-FFF2-40B4-BE49-F238E27FC236}">
              <a16:creationId xmlns:a16="http://schemas.microsoft.com/office/drawing/2014/main" id="{983EC82A-0B95-4749-A12A-B0E0281499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3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</xdr:row>
      <xdr:rowOff>0</xdr:rowOff>
    </xdr:from>
    <xdr:to>
      <xdr:col>0</xdr:col>
      <xdr:colOff>171450</xdr:colOff>
      <xdr:row>63</xdr:row>
      <xdr:rowOff>133350</xdr:rowOff>
    </xdr:to>
    <xdr:pic>
      <xdr:nvPicPr>
        <xdr:cNvPr id="589" name="Picture@5C\QPendientes@" descr="@5C\QPendientes@">
          <a:extLst>
            <a:ext uri="{FF2B5EF4-FFF2-40B4-BE49-F238E27FC236}">
              <a16:creationId xmlns:a16="http://schemas.microsoft.com/office/drawing/2014/main" id="{84962616-452D-4C89-AE52-0B97F222EA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2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</xdr:row>
      <xdr:rowOff>0</xdr:rowOff>
    </xdr:from>
    <xdr:to>
      <xdr:col>0</xdr:col>
      <xdr:colOff>171450</xdr:colOff>
      <xdr:row>64</xdr:row>
      <xdr:rowOff>133350</xdr:rowOff>
    </xdr:to>
    <xdr:pic>
      <xdr:nvPicPr>
        <xdr:cNvPr id="590" name="Picture@5C\QPendientes@" descr="@5C\QPendientes@">
          <a:extLst>
            <a:ext uri="{FF2B5EF4-FFF2-40B4-BE49-F238E27FC236}">
              <a16:creationId xmlns:a16="http://schemas.microsoft.com/office/drawing/2014/main" id="{901DA1B8-60F7-42F8-8B12-21C207524F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0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</xdr:row>
      <xdr:rowOff>0</xdr:rowOff>
    </xdr:from>
    <xdr:to>
      <xdr:col>0</xdr:col>
      <xdr:colOff>171450</xdr:colOff>
      <xdr:row>65</xdr:row>
      <xdr:rowOff>133350</xdr:rowOff>
    </xdr:to>
    <xdr:pic>
      <xdr:nvPicPr>
        <xdr:cNvPr id="591" name="Picture@5C\QPendientes@" descr="@5C\QPendientes@">
          <a:extLst>
            <a:ext uri="{FF2B5EF4-FFF2-40B4-BE49-F238E27FC236}">
              <a16:creationId xmlns:a16="http://schemas.microsoft.com/office/drawing/2014/main" id="{4C055303-0EE6-4EC4-B60F-51D6F5A16A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88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</xdr:row>
      <xdr:rowOff>0</xdr:rowOff>
    </xdr:from>
    <xdr:to>
      <xdr:col>0</xdr:col>
      <xdr:colOff>171450</xdr:colOff>
      <xdr:row>66</xdr:row>
      <xdr:rowOff>133350</xdr:rowOff>
    </xdr:to>
    <xdr:pic>
      <xdr:nvPicPr>
        <xdr:cNvPr id="592" name="Picture@5C\QPendientes@" descr="@5C\QPendientes@">
          <a:extLst>
            <a:ext uri="{FF2B5EF4-FFF2-40B4-BE49-F238E27FC236}">
              <a16:creationId xmlns:a16="http://schemas.microsoft.com/office/drawing/2014/main" id="{76389E38-6C67-4607-A6F0-5262887527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07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</xdr:row>
      <xdr:rowOff>0</xdr:rowOff>
    </xdr:from>
    <xdr:to>
      <xdr:col>0</xdr:col>
      <xdr:colOff>171450</xdr:colOff>
      <xdr:row>67</xdr:row>
      <xdr:rowOff>133350</xdr:rowOff>
    </xdr:to>
    <xdr:pic>
      <xdr:nvPicPr>
        <xdr:cNvPr id="593" name="Picture@5C\QPendientes@" descr="@5C\QPendientes@">
          <a:extLst>
            <a:ext uri="{FF2B5EF4-FFF2-40B4-BE49-F238E27FC236}">
              <a16:creationId xmlns:a16="http://schemas.microsoft.com/office/drawing/2014/main" id="{FB7B8579-B3ED-4532-8980-F9368EDD61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25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</xdr:row>
      <xdr:rowOff>0</xdr:rowOff>
    </xdr:from>
    <xdr:to>
      <xdr:col>0</xdr:col>
      <xdr:colOff>171450</xdr:colOff>
      <xdr:row>68</xdr:row>
      <xdr:rowOff>133350</xdr:rowOff>
    </xdr:to>
    <xdr:pic>
      <xdr:nvPicPr>
        <xdr:cNvPr id="594" name="Picture@5C\QPendientes@" descr="@5C\QPendientes@">
          <a:extLst>
            <a:ext uri="{FF2B5EF4-FFF2-40B4-BE49-F238E27FC236}">
              <a16:creationId xmlns:a16="http://schemas.microsoft.com/office/drawing/2014/main" id="{9114FE67-02F8-4F21-B9C7-45B51C4961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43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133350</xdr:rowOff>
    </xdr:to>
    <xdr:pic>
      <xdr:nvPicPr>
        <xdr:cNvPr id="595" name="Picture@5C\QPendientes@" descr="@5C\QPendientes@">
          <a:extLst>
            <a:ext uri="{FF2B5EF4-FFF2-40B4-BE49-F238E27FC236}">
              <a16:creationId xmlns:a16="http://schemas.microsoft.com/office/drawing/2014/main" id="{14492F7A-4B2B-42C2-84D1-D73003E8D1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1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</xdr:row>
      <xdr:rowOff>0</xdr:rowOff>
    </xdr:from>
    <xdr:to>
      <xdr:col>0</xdr:col>
      <xdr:colOff>171450</xdr:colOff>
      <xdr:row>70</xdr:row>
      <xdr:rowOff>133350</xdr:rowOff>
    </xdr:to>
    <xdr:pic>
      <xdr:nvPicPr>
        <xdr:cNvPr id="596" name="Picture@5C\QPendientes@" descr="@5C\QPendientes@">
          <a:extLst>
            <a:ext uri="{FF2B5EF4-FFF2-40B4-BE49-F238E27FC236}">
              <a16:creationId xmlns:a16="http://schemas.microsoft.com/office/drawing/2014/main" id="{A0343EE1-8D31-4DD8-86C8-F5423AD439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0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171450</xdr:colOff>
      <xdr:row>71</xdr:row>
      <xdr:rowOff>133350</xdr:rowOff>
    </xdr:to>
    <xdr:pic>
      <xdr:nvPicPr>
        <xdr:cNvPr id="597" name="Picture@5C\QPendientes@" descr="@5C\QPendientes@">
          <a:extLst>
            <a:ext uri="{FF2B5EF4-FFF2-40B4-BE49-F238E27FC236}">
              <a16:creationId xmlns:a16="http://schemas.microsoft.com/office/drawing/2014/main" id="{34CE4992-C0B3-4AFC-A45A-8A032483F2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98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</xdr:row>
      <xdr:rowOff>0</xdr:rowOff>
    </xdr:from>
    <xdr:to>
      <xdr:col>0</xdr:col>
      <xdr:colOff>171450</xdr:colOff>
      <xdr:row>72</xdr:row>
      <xdr:rowOff>133350</xdr:rowOff>
    </xdr:to>
    <xdr:pic>
      <xdr:nvPicPr>
        <xdr:cNvPr id="598" name="Picture@5C\QPendientes@" descr="@5C\QPendientes@">
          <a:extLst>
            <a:ext uri="{FF2B5EF4-FFF2-40B4-BE49-F238E27FC236}">
              <a16:creationId xmlns:a16="http://schemas.microsoft.com/office/drawing/2014/main" id="{8E1C16D0-8CA9-4412-BE43-01DDFF9305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16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</xdr:row>
      <xdr:rowOff>0</xdr:rowOff>
    </xdr:from>
    <xdr:to>
      <xdr:col>0</xdr:col>
      <xdr:colOff>171450</xdr:colOff>
      <xdr:row>73</xdr:row>
      <xdr:rowOff>133350</xdr:rowOff>
    </xdr:to>
    <xdr:pic>
      <xdr:nvPicPr>
        <xdr:cNvPr id="599" name="Picture@5C\QPendientes@" descr="@5C\QPendientes@">
          <a:extLst>
            <a:ext uri="{FF2B5EF4-FFF2-40B4-BE49-F238E27FC236}">
              <a16:creationId xmlns:a16="http://schemas.microsoft.com/office/drawing/2014/main" id="{969EB812-1413-4E72-AA36-3081FEA9AA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35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</xdr:row>
      <xdr:rowOff>0</xdr:rowOff>
    </xdr:from>
    <xdr:to>
      <xdr:col>0</xdr:col>
      <xdr:colOff>171450</xdr:colOff>
      <xdr:row>74</xdr:row>
      <xdr:rowOff>133350</xdr:rowOff>
    </xdr:to>
    <xdr:pic>
      <xdr:nvPicPr>
        <xdr:cNvPr id="600" name="Picture@5C\QPendientes@" descr="@5C\QPendientes@">
          <a:extLst>
            <a:ext uri="{FF2B5EF4-FFF2-40B4-BE49-F238E27FC236}">
              <a16:creationId xmlns:a16="http://schemas.microsoft.com/office/drawing/2014/main" id="{3F778985-94B2-4154-AAA7-3458D0B88A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53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</xdr:row>
      <xdr:rowOff>0</xdr:rowOff>
    </xdr:from>
    <xdr:to>
      <xdr:col>0</xdr:col>
      <xdr:colOff>171450</xdr:colOff>
      <xdr:row>75</xdr:row>
      <xdr:rowOff>133350</xdr:rowOff>
    </xdr:to>
    <xdr:pic>
      <xdr:nvPicPr>
        <xdr:cNvPr id="601" name="Picture@5C\QPendientes@" descr="@5C\QPendientes@">
          <a:extLst>
            <a:ext uri="{FF2B5EF4-FFF2-40B4-BE49-F238E27FC236}">
              <a16:creationId xmlns:a16="http://schemas.microsoft.com/office/drawing/2014/main" id="{0515A3A0-7A55-4472-815F-BE28FFE688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71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</xdr:row>
      <xdr:rowOff>0</xdr:rowOff>
    </xdr:from>
    <xdr:to>
      <xdr:col>0</xdr:col>
      <xdr:colOff>171450</xdr:colOff>
      <xdr:row>76</xdr:row>
      <xdr:rowOff>133350</xdr:rowOff>
    </xdr:to>
    <xdr:pic>
      <xdr:nvPicPr>
        <xdr:cNvPr id="602" name="Picture@5C\QPendientes@" descr="@5C\QPendientes@">
          <a:extLst>
            <a:ext uri="{FF2B5EF4-FFF2-40B4-BE49-F238E27FC236}">
              <a16:creationId xmlns:a16="http://schemas.microsoft.com/office/drawing/2014/main" id="{F93F97C2-F91D-4342-85EF-A79DE0E450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89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</xdr:row>
      <xdr:rowOff>0</xdr:rowOff>
    </xdr:from>
    <xdr:to>
      <xdr:col>0</xdr:col>
      <xdr:colOff>171450</xdr:colOff>
      <xdr:row>77</xdr:row>
      <xdr:rowOff>133350</xdr:rowOff>
    </xdr:to>
    <xdr:pic>
      <xdr:nvPicPr>
        <xdr:cNvPr id="753" name="Picture@5C\QPendientes@" descr="@5C\QPendientes@">
          <a:extLst>
            <a:ext uri="{FF2B5EF4-FFF2-40B4-BE49-F238E27FC236}">
              <a16:creationId xmlns:a16="http://schemas.microsoft.com/office/drawing/2014/main" id="{6F62AD39-F3CB-40B5-87A3-E169CA9450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08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</xdr:row>
      <xdr:rowOff>0</xdr:rowOff>
    </xdr:from>
    <xdr:to>
      <xdr:col>0</xdr:col>
      <xdr:colOff>171450</xdr:colOff>
      <xdr:row>78</xdr:row>
      <xdr:rowOff>133350</xdr:rowOff>
    </xdr:to>
    <xdr:pic>
      <xdr:nvPicPr>
        <xdr:cNvPr id="754" name="Picture@5C\QPendientes@" descr="@5C\QPendientes@">
          <a:extLst>
            <a:ext uri="{FF2B5EF4-FFF2-40B4-BE49-F238E27FC236}">
              <a16:creationId xmlns:a16="http://schemas.microsoft.com/office/drawing/2014/main" id="{793C5461-3CF1-42CB-8217-97F76F25E3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26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</xdr:row>
      <xdr:rowOff>0</xdr:rowOff>
    </xdr:from>
    <xdr:to>
      <xdr:col>0</xdr:col>
      <xdr:colOff>171450</xdr:colOff>
      <xdr:row>79</xdr:row>
      <xdr:rowOff>133350</xdr:rowOff>
    </xdr:to>
    <xdr:pic>
      <xdr:nvPicPr>
        <xdr:cNvPr id="755" name="Picture@5C\QPendientes@" descr="@5C\QPendientes@">
          <a:extLst>
            <a:ext uri="{FF2B5EF4-FFF2-40B4-BE49-F238E27FC236}">
              <a16:creationId xmlns:a16="http://schemas.microsoft.com/office/drawing/2014/main" id="{E3259FE0-040B-4F9D-812D-FEFB6B6C57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44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</xdr:row>
      <xdr:rowOff>0</xdr:rowOff>
    </xdr:from>
    <xdr:to>
      <xdr:col>0</xdr:col>
      <xdr:colOff>171450</xdr:colOff>
      <xdr:row>80</xdr:row>
      <xdr:rowOff>133350</xdr:rowOff>
    </xdr:to>
    <xdr:pic>
      <xdr:nvPicPr>
        <xdr:cNvPr id="756" name="Picture@5C\QPendientes@" descr="@5C\QPendientes@">
          <a:extLst>
            <a:ext uri="{FF2B5EF4-FFF2-40B4-BE49-F238E27FC236}">
              <a16:creationId xmlns:a16="http://schemas.microsoft.com/office/drawing/2014/main" id="{E3397311-2CE9-4575-B523-21EBB5B826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3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</xdr:row>
      <xdr:rowOff>0</xdr:rowOff>
    </xdr:from>
    <xdr:to>
      <xdr:col>0</xdr:col>
      <xdr:colOff>171450</xdr:colOff>
      <xdr:row>81</xdr:row>
      <xdr:rowOff>133350</xdr:rowOff>
    </xdr:to>
    <xdr:pic>
      <xdr:nvPicPr>
        <xdr:cNvPr id="757" name="Picture@5C\QPendientes@" descr="@5C\QPendientes@">
          <a:extLst>
            <a:ext uri="{FF2B5EF4-FFF2-40B4-BE49-F238E27FC236}">
              <a16:creationId xmlns:a16="http://schemas.microsoft.com/office/drawing/2014/main" id="{299A8C22-DA36-4A2E-A686-3BEFD16F1E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81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</xdr:row>
      <xdr:rowOff>0</xdr:rowOff>
    </xdr:from>
    <xdr:to>
      <xdr:col>0</xdr:col>
      <xdr:colOff>171450</xdr:colOff>
      <xdr:row>82</xdr:row>
      <xdr:rowOff>133350</xdr:rowOff>
    </xdr:to>
    <xdr:pic>
      <xdr:nvPicPr>
        <xdr:cNvPr id="758" name="Picture@5C\QPendientes@" descr="@5C\QPendientes@">
          <a:extLst>
            <a:ext uri="{FF2B5EF4-FFF2-40B4-BE49-F238E27FC236}">
              <a16:creationId xmlns:a16="http://schemas.microsoft.com/office/drawing/2014/main" id="{A831C1A3-CD53-4E37-ADDD-4FF369941C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99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</xdr:row>
      <xdr:rowOff>0</xdr:rowOff>
    </xdr:from>
    <xdr:to>
      <xdr:col>0</xdr:col>
      <xdr:colOff>171450</xdr:colOff>
      <xdr:row>83</xdr:row>
      <xdr:rowOff>133350</xdr:rowOff>
    </xdr:to>
    <xdr:pic>
      <xdr:nvPicPr>
        <xdr:cNvPr id="759" name="Picture@5C\QPendientes@" descr="@5C\QPendientes@">
          <a:extLst>
            <a:ext uri="{FF2B5EF4-FFF2-40B4-BE49-F238E27FC236}">
              <a16:creationId xmlns:a16="http://schemas.microsoft.com/office/drawing/2014/main" id="{32F3C4D8-E3C1-4E29-9662-11173EB43B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17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</xdr:row>
      <xdr:rowOff>0</xdr:rowOff>
    </xdr:from>
    <xdr:to>
      <xdr:col>0</xdr:col>
      <xdr:colOff>171450</xdr:colOff>
      <xdr:row>84</xdr:row>
      <xdr:rowOff>133350</xdr:rowOff>
    </xdr:to>
    <xdr:pic>
      <xdr:nvPicPr>
        <xdr:cNvPr id="760" name="Picture@5C\QPendientes@" descr="@5C\QPendientes@">
          <a:extLst>
            <a:ext uri="{FF2B5EF4-FFF2-40B4-BE49-F238E27FC236}">
              <a16:creationId xmlns:a16="http://schemas.microsoft.com/office/drawing/2014/main" id="{D872B812-053E-4E5E-ADFE-3AA8B20B3B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36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</xdr:row>
      <xdr:rowOff>0</xdr:rowOff>
    </xdr:from>
    <xdr:to>
      <xdr:col>0</xdr:col>
      <xdr:colOff>171450</xdr:colOff>
      <xdr:row>85</xdr:row>
      <xdr:rowOff>133350</xdr:rowOff>
    </xdr:to>
    <xdr:pic>
      <xdr:nvPicPr>
        <xdr:cNvPr id="761" name="Picture@5C\QPendientes@" descr="@5C\QPendientes@">
          <a:extLst>
            <a:ext uri="{FF2B5EF4-FFF2-40B4-BE49-F238E27FC236}">
              <a16:creationId xmlns:a16="http://schemas.microsoft.com/office/drawing/2014/main" id="{A2CB263A-D6AB-4B32-AFF9-E4E78CB7DE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54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</xdr:row>
      <xdr:rowOff>0</xdr:rowOff>
    </xdr:from>
    <xdr:to>
      <xdr:col>0</xdr:col>
      <xdr:colOff>171450</xdr:colOff>
      <xdr:row>86</xdr:row>
      <xdr:rowOff>133350</xdr:rowOff>
    </xdr:to>
    <xdr:pic>
      <xdr:nvPicPr>
        <xdr:cNvPr id="762" name="Picture@5C\QPendientes@" descr="@5C\QPendientes@">
          <a:extLst>
            <a:ext uri="{FF2B5EF4-FFF2-40B4-BE49-F238E27FC236}">
              <a16:creationId xmlns:a16="http://schemas.microsoft.com/office/drawing/2014/main" id="{7C2E64E6-47BE-414A-8D78-10C2AE5BAA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72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</xdr:row>
      <xdr:rowOff>0</xdr:rowOff>
    </xdr:from>
    <xdr:to>
      <xdr:col>0</xdr:col>
      <xdr:colOff>171450</xdr:colOff>
      <xdr:row>87</xdr:row>
      <xdr:rowOff>133350</xdr:rowOff>
    </xdr:to>
    <xdr:pic>
      <xdr:nvPicPr>
        <xdr:cNvPr id="763" name="Picture@5C\QPendientes@" descr="@5C\QPendientes@">
          <a:extLst>
            <a:ext uri="{FF2B5EF4-FFF2-40B4-BE49-F238E27FC236}">
              <a16:creationId xmlns:a16="http://schemas.microsoft.com/office/drawing/2014/main" id="{CD5CD182-2EC1-402D-90E5-03B9B42B05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91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</xdr:row>
      <xdr:rowOff>0</xdr:rowOff>
    </xdr:from>
    <xdr:to>
      <xdr:col>0</xdr:col>
      <xdr:colOff>171450</xdr:colOff>
      <xdr:row>88</xdr:row>
      <xdr:rowOff>133350</xdr:rowOff>
    </xdr:to>
    <xdr:pic>
      <xdr:nvPicPr>
        <xdr:cNvPr id="764" name="Picture@5C\QPendientes@" descr="@5C\QPendientes@">
          <a:extLst>
            <a:ext uri="{FF2B5EF4-FFF2-40B4-BE49-F238E27FC236}">
              <a16:creationId xmlns:a16="http://schemas.microsoft.com/office/drawing/2014/main" id="{E867CA81-3C3F-4DEE-B6C8-24F9331164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09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</xdr:row>
      <xdr:rowOff>0</xdr:rowOff>
    </xdr:from>
    <xdr:to>
      <xdr:col>0</xdr:col>
      <xdr:colOff>171450</xdr:colOff>
      <xdr:row>89</xdr:row>
      <xdr:rowOff>133350</xdr:rowOff>
    </xdr:to>
    <xdr:pic>
      <xdr:nvPicPr>
        <xdr:cNvPr id="765" name="Picture@5C\QPendientes@" descr="@5C\QPendientes@">
          <a:extLst>
            <a:ext uri="{FF2B5EF4-FFF2-40B4-BE49-F238E27FC236}">
              <a16:creationId xmlns:a16="http://schemas.microsoft.com/office/drawing/2014/main" id="{EC661D35-3A15-432C-B8EE-9095D9890E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27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</xdr:row>
      <xdr:rowOff>0</xdr:rowOff>
    </xdr:from>
    <xdr:to>
      <xdr:col>0</xdr:col>
      <xdr:colOff>171450</xdr:colOff>
      <xdr:row>90</xdr:row>
      <xdr:rowOff>133350</xdr:rowOff>
    </xdr:to>
    <xdr:pic>
      <xdr:nvPicPr>
        <xdr:cNvPr id="766" name="Picture@5C\QPendientes@" descr="@5C\QPendientes@">
          <a:extLst>
            <a:ext uri="{FF2B5EF4-FFF2-40B4-BE49-F238E27FC236}">
              <a16:creationId xmlns:a16="http://schemas.microsoft.com/office/drawing/2014/main" id="{6AEE1911-1E9C-4E62-AE92-3DB1C34C2D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5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</xdr:row>
      <xdr:rowOff>0</xdr:rowOff>
    </xdr:from>
    <xdr:to>
      <xdr:col>0</xdr:col>
      <xdr:colOff>171450</xdr:colOff>
      <xdr:row>91</xdr:row>
      <xdr:rowOff>133350</xdr:rowOff>
    </xdr:to>
    <xdr:pic>
      <xdr:nvPicPr>
        <xdr:cNvPr id="767" name="Picture@5C\QPendientes@" descr="@5C\QPendientes@">
          <a:extLst>
            <a:ext uri="{FF2B5EF4-FFF2-40B4-BE49-F238E27FC236}">
              <a16:creationId xmlns:a16="http://schemas.microsoft.com/office/drawing/2014/main" id="{22FF801A-84E1-4AA2-BB14-8E5459DB89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64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</xdr:row>
      <xdr:rowOff>0</xdr:rowOff>
    </xdr:from>
    <xdr:to>
      <xdr:col>0</xdr:col>
      <xdr:colOff>171450</xdr:colOff>
      <xdr:row>92</xdr:row>
      <xdr:rowOff>133350</xdr:rowOff>
    </xdr:to>
    <xdr:pic>
      <xdr:nvPicPr>
        <xdr:cNvPr id="960" name="Picture@5C\QPendientes@" descr="@5C\QPendientes@">
          <a:extLst>
            <a:ext uri="{FF2B5EF4-FFF2-40B4-BE49-F238E27FC236}">
              <a16:creationId xmlns:a16="http://schemas.microsoft.com/office/drawing/2014/main" id="{3D4E0A42-D837-461F-9C48-3C43679F83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82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</xdr:row>
      <xdr:rowOff>0</xdr:rowOff>
    </xdr:from>
    <xdr:to>
      <xdr:col>0</xdr:col>
      <xdr:colOff>171450</xdr:colOff>
      <xdr:row>93</xdr:row>
      <xdr:rowOff>133350</xdr:rowOff>
    </xdr:to>
    <xdr:pic>
      <xdr:nvPicPr>
        <xdr:cNvPr id="961" name="Picture@5C\QPendientes@" descr="@5C\QPendientes@">
          <a:extLst>
            <a:ext uri="{FF2B5EF4-FFF2-40B4-BE49-F238E27FC236}">
              <a16:creationId xmlns:a16="http://schemas.microsoft.com/office/drawing/2014/main" id="{963BD13E-4946-4B80-A809-148C0EFD0A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00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</xdr:row>
      <xdr:rowOff>0</xdr:rowOff>
    </xdr:from>
    <xdr:to>
      <xdr:col>0</xdr:col>
      <xdr:colOff>171450</xdr:colOff>
      <xdr:row>94</xdr:row>
      <xdr:rowOff>133350</xdr:rowOff>
    </xdr:to>
    <xdr:pic>
      <xdr:nvPicPr>
        <xdr:cNvPr id="962" name="Picture@5C\QPendientes@" descr="@5C\QPendientes@">
          <a:extLst>
            <a:ext uri="{FF2B5EF4-FFF2-40B4-BE49-F238E27FC236}">
              <a16:creationId xmlns:a16="http://schemas.microsoft.com/office/drawing/2014/main" id="{348C440E-6C48-4DA0-9752-EC8299BBD5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19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</xdr:row>
      <xdr:rowOff>0</xdr:rowOff>
    </xdr:from>
    <xdr:to>
      <xdr:col>0</xdr:col>
      <xdr:colOff>171450</xdr:colOff>
      <xdr:row>95</xdr:row>
      <xdr:rowOff>133350</xdr:rowOff>
    </xdr:to>
    <xdr:pic>
      <xdr:nvPicPr>
        <xdr:cNvPr id="963" name="Picture@5C\QPendientes@" descr="@5C\QPendientes@">
          <a:extLst>
            <a:ext uri="{FF2B5EF4-FFF2-40B4-BE49-F238E27FC236}">
              <a16:creationId xmlns:a16="http://schemas.microsoft.com/office/drawing/2014/main" id="{68BEBC45-1CFB-4F7F-85A6-0B58C51F5B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37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</xdr:row>
      <xdr:rowOff>0</xdr:rowOff>
    </xdr:from>
    <xdr:to>
      <xdr:col>0</xdr:col>
      <xdr:colOff>171450</xdr:colOff>
      <xdr:row>96</xdr:row>
      <xdr:rowOff>133350</xdr:rowOff>
    </xdr:to>
    <xdr:pic>
      <xdr:nvPicPr>
        <xdr:cNvPr id="964" name="Picture@5C\QPendientes@" descr="@5C\QPendientes@">
          <a:extLst>
            <a:ext uri="{FF2B5EF4-FFF2-40B4-BE49-F238E27FC236}">
              <a16:creationId xmlns:a16="http://schemas.microsoft.com/office/drawing/2014/main" id="{B2A1592E-CBE7-4B88-91A8-FD6779E0D0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55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</xdr:row>
      <xdr:rowOff>0</xdr:rowOff>
    </xdr:from>
    <xdr:to>
      <xdr:col>0</xdr:col>
      <xdr:colOff>171450</xdr:colOff>
      <xdr:row>97</xdr:row>
      <xdr:rowOff>133350</xdr:rowOff>
    </xdr:to>
    <xdr:pic>
      <xdr:nvPicPr>
        <xdr:cNvPr id="965" name="Picture@5C\QPendientes@" descr="@5C\QPendientes@">
          <a:extLst>
            <a:ext uri="{FF2B5EF4-FFF2-40B4-BE49-F238E27FC236}">
              <a16:creationId xmlns:a16="http://schemas.microsoft.com/office/drawing/2014/main" id="{70BC4C33-4EB7-47E2-83E1-7FA33FF391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73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</xdr:row>
      <xdr:rowOff>0</xdr:rowOff>
    </xdr:from>
    <xdr:to>
      <xdr:col>0</xdr:col>
      <xdr:colOff>171450</xdr:colOff>
      <xdr:row>98</xdr:row>
      <xdr:rowOff>133350</xdr:rowOff>
    </xdr:to>
    <xdr:pic>
      <xdr:nvPicPr>
        <xdr:cNvPr id="1191" name="Picture@5C\QPendientes@" descr="@5C\QPendientes@">
          <a:extLst>
            <a:ext uri="{FF2B5EF4-FFF2-40B4-BE49-F238E27FC236}">
              <a16:creationId xmlns:a16="http://schemas.microsoft.com/office/drawing/2014/main" id="{DF720B0B-238E-47F0-B845-39A8809854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92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</xdr:row>
      <xdr:rowOff>0</xdr:rowOff>
    </xdr:from>
    <xdr:to>
      <xdr:col>0</xdr:col>
      <xdr:colOff>171450</xdr:colOff>
      <xdr:row>99</xdr:row>
      <xdr:rowOff>133350</xdr:rowOff>
    </xdr:to>
    <xdr:pic>
      <xdr:nvPicPr>
        <xdr:cNvPr id="1192" name="Picture@5C\QPendientes@" descr="@5C\QPendientes@">
          <a:extLst>
            <a:ext uri="{FF2B5EF4-FFF2-40B4-BE49-F238E27FC236}">
              <a16:creationId xmlns:a16="http://schemas.microsoft.com/office/drawing/2014/main" id="{16C1ABBA-E1CA-4F99-917A-C92D6550FD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10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</xdr:row>
      <xdr:rowOff>0</xdr:rowOff>
    </xdr:from>
    <xdr:to>
      <xdr:col>0</xdr:col>
      <xdr:colOff>171450</xdr:colOff>
      <xdr:row>100</xdr:row>
      <xdr:rowOff>133350</xdr:rowOff>
    </xdr:to>
    <xdr:pic>
      <xdr:nvPicPr>
        <xdr:cNvPr id="1193" name="Picture@5C\QPendientes@" descr="@5C\QPendientes@">
          <a:extLst>
            <a:ext uri="{FF2B5EF4-FFF2-40B4-BE49-F238E27FC236}">
              <a16:creationId xmlns:a16="http://schemas.microsoft.com/office/drawing/2014/main" id="{6048228A-5587-4630-A3A4-A1CE7C812C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28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</xdr:row>
      <xdr:rowOff>0</xdr:rowOff>
    </xdr:from>
    <xdr:to>
      <xdr:col>0</xdr:col>
      <xdr:colOff>171450</xdr:colOff>
      <xdr:row>101</xdr:row>
      <xdr:rowOff>133350</xdr:rowOff>
    </xdr:to>
    <xdr:pic>
      <xdr:nvPicPr>
        <xdr:cNvPr id="1194" name="Picture@5C\QPendientes@" descr="@5C\QPendientes@">
          <a:extLst>
            <a:ext uri="{FF2B5EF4-FFF2-40B4-BE49-F238E27FC236}">
              <a16:creationId xmlns:a16="http://schemas.microsoft.com/office/drawing/2014/main" id="{EC6CE3BE-0659-4FE0-BEE1-C3D1A07FF8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47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</xdr:row>
      <xdr:rowOff>0</xdr:rowOff>
    </xdr:from>
    <xdr:to>
      <xdr:col>0</xdr:col>
      <xdr:colOff>171450</xdr:colOff>
      <xdr:row>102</xdr:row>
      <xdr:rowOff>133350</xdr:rowOff>
    </xdr:to>
    <xdr:pic>
      <xdr:nvPicPr>
        <xdr:cNvPr id="1195" name="Picture@5C\QPendientes@" descr="@5C\QPendientes@">
          <a:extLst>
            <a:ext uri="{FF2B5EF4-FFF2-40B4-BE49-F238E27FC236}">
              <a16:creationId xmlns:a16="http://schemas.microsoft.com/office/drawing/2014/main" id="{4CDBF4CF-E021-469C-BD97-EAA05B5845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65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</xdr:row>
      <xdr:rowOff>0</xdr:rowOff>
    </xdr:from>
    <xdr:to>
      <xdr:col>0</xdr:col>
      <xdr:colOff>171450</xdr:colOff>
      <xdr:row>103</xdr:row>
      <xdr:rowOff>133350</xdr:rowOff>
    </xdr:to>
    <xdr:pic>
      <xdr:nvPicPr>
        <xdr:cNvPr id="1196" name="Picture@5C\QPendientes@" descr="@5C\QPendientes@">
          <a:extLst>
            <a:ext uri="{FF2B5EF4-FFF2-40B4-BE49-F238E27FC236}">
              <a16:creationId xmlns:a16="http://schemas.microsoft.com/office/drawing/2014/main" id="{52366E5D-63B7-4801-A835-772865E078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83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</xdr:row>
      <xdr:rowOff>0</xdr:rowOff>
    </xdr:from>
    <xdr:to>
      <xdr:col>0</xdr:col>
      <xdr:colOff>171450</xdr:colOff>
      <xdr:row>104</xdr:row>
      <xdr:rowOff>133350</xdr:rowOff>
    </xdr:to>
    <xdr:pic>
      <xdr:nvPicPr>
        <xdr:cNvPr id="1197" name="Picture@5C\QPendientes@" descr="@5C\QPendientes@">
          <a:extLst>
            <a:ext uri="{FF2B5EF4-FFF2-40B4-BE49-F238E27FC236}">
              <a16:creationId xmlns:a16="http://schemas.microsoft.com/office/drawing/2014/main" id="{E20A56FF-52C5-41BC-A9C8-13CBD414AA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01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</xdr:row>
      <xdr:rowOff>0</xdr:rowOff>
    </xdr:from>
    <xdr:to>
      <xdr:col>0</xdr:col>
      <xdr:colOff>171450</xdr:colOff>
      <xdr:row>105</xdr:row>
      <xdr:rowOff>133350</xdr:rowOff>
    </xdr:to>
    <xdr:pic>
      <xdr:nvPicPr>
        <xdr:cNvPr id="1198" name="Picture@5C\QPendientes@" descr="@5C\QPendientes@">
          <a:extLst>
            <a:ext uri="{FF2B5EF4-FFF2-40B4-BE49-F238E27FC236}">
              <a16:creationId xmlns:a16="http://schemas.microsoft.com/office/drawing/2014/main" id="{5CD4CA75-4A1A-4DD7-ADD4-865BF1FC77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20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</xdr:row>
      <xdr:rowOff>0</xdr:rowOff>
    </xdr:from>
    <xdr:to>
      <xdr:col>0</xdr:col>
      <xdr:colOff>171450</xdr:colOff>
      <xdr:row>106</xdr:row>
      <xdr:rowOff>133350</xdr:rowOff>
    </xdr:to>
    <xdr:pic>
      <xdr:nvPicPr>
        <xdr:cNvPr id="1199" name="Picture@5C\QPendientes@" descr="@5C\QPendientes@">
          <a:extLst>
            <a:ext uri="{FF2B5EF4-FFF2-40B4-BE49-F238E27FC236}">
              <a16:creationId xmlns:a16="http://schemas.microsoft.com/office/drawing/2014/main" id="{13006F48-7657-4CBB-A874-9780CF4349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38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</xdr:row>
      <xdr:rowOff>0</xdr:rowOff>
    </xdr:from>
    <xdr:to>
      <xdr:col>0</xdr:col>
      <xdr:colOff>171450</xdr:colOff>
      <xdr:row>107</xdr:row>
      <xdr:rowOff>133350</xdr:rowOff>
    </xdr:to>
    <xdr:pic>
      <xdr:nvPicPr>
        <xdr:cNvPr id="1200" name="Picture@5C\QPendientes@" descr="@5C\QPendientes@">
          <a:extLst>
            <a:ext uri="{FF2B5EF4-FFF2-40B4-BE49-F238E27FC236}">
              <a16:creationId xmlns:a16="http://schemas.microsoft.com/office/drawing/2014/main" id="{FDBB70C2-DBF5-4160-8B0B-1214E8A757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56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</xdr:row>
      <xdr:rowOff>0</xdr:rowOff>
    </xdr:from>
    <xdr:to>
      <xdr:col>0</xdr:col>
      <xdr:colOff>171450</xdr:colOff>
      <xdr:row>108</xdr:row>
      <xdr:rowOff>133350</xdr:rowOff>
    </xdr:to>
    <xdr:pic>
      <xdr:nvPicPr>
        <xdr:cNvPr id="1201" name="Picture@5C\QPendientes@" descr="@5C\QPendientes@">
          <a:extLst>
            <a:ext uri="{FF2B5EF4-FFF2-40B4-BE49-F238E27FC236}">
              <a16:creationId xmlns:a16="http://schemas.microsoft.com/office/drawing/2014/main" id="{964E2A61-EBB0-4844-BE95-F3153EE4DA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75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</xdr:row>
      <xdr:rowOff>0</xdr:rowOff>
    </xdr:from>
    <xdr:to>
      <xdr:col>0</xdr:col>
      <xdr:colOff>171450</xdr:colOff>
      <xdr:row>109</xdr:row>
      <xdr:rowOff>133350</xdr:rowOff>
    </xdr:to>
    <xdr:pic>
      <xdr:nvPicPr>
        <xdr:cNvPr id="1202" name="Picture@5C\QPendientes@" descr="@5C\QPendientes@">
          <a:extLst>
            <a:ext uri="{FF2B5EF4-FFF2-40B4-BE49-F238E27FC236}">
              <a16:creationId xmlns:a16="http://schemas.microsoft.com/office/drawing/2014/main" id="{768D9D06-7FCA-49FB-AD8E-15E58E8E63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93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</xdr:row>
      <xdr:rowOff>0</xdr:rowOff>
    </xdr:from>
    <xdr:to>
      <xdr:col>0</xdr:col>
      <xdr:colOff>171450</xdr:colOff>
      <xdr:row>110</xdr:row>
      <xdr:rowOff>133350</xdr:rowOff>
    </xdr:to>
    <xdr:pic>
      <xdr:nvPicPr>
        <xdr:cNvPr id="1203" name="Picture@5C\QPendientes@" descr="@5C\QPendientes@">
          <a:extLst>
            <a:ext uri="{FF2B5EF4-FFF2-40B4-BE49-F238E27FC236}">
              <a16:creationId xmlns:a16="http://schemas.microsoft.com/office/drawing/2014/main" id="{45259908-584F-4865-8DF6-DA69865008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11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</xdr:row>
      <xdr:rowOff>0</xdr:rowOff>
    </xdr:from>
    <xdr:to>
      <xdr:col>0</xdr:col>
      <xdr:colOff>171450</xdr:colOff>
      <xdr:row>111</xdr:row>
      <xdr:rowOff>133350</xdr:rowOff>
    </xdr:to>
    <xdr:pic>
      <xdr:nvPicPr>
        <xdr:cNvPr id="1204" name="Picture@5C\QPendientes@" descr="@5C\QPendientes@">
          <a:extLst>
            <a:ext uri="{FF2B5EF4-FFF2-40B4-BE49-F238E27FC236}">
              <a16:creationId xmlns:a16="http://schemas.microsoft.com/office/drawing/2014/main" id="{BFE7E5E5-3D08-48DA-ADFF-F47C5B5D30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29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</xdr:row>
      <xdr:rowOff>0</xdr:rowOff>
    </xdr:from>
    <xdr:to>
      <xdr:col>0</xdr:col>
      <xdr:colOff>171450</xdr:colOff>
      <xdr:row>112</xdr:row>
      <xdr:rowOff>133350</xdr:rowOff>
    </xdr:to>
    <xdr:pic>
      <xdr:nvPicPr>
        <xdr:cNvPr id="1205" name="Picture@5C\QPendientes@" descr="@5C\QPendientes@">
          <a:extLst>
            <a:ext uri="{FF2B5EF4-FFF2-40B4-BE49-F238E27FC236}">
              <a16:creationId xmlns:a16="http://schemas.microsoft.com/office/drawing/2014/main" id="{9383B49C-F5D7-4314-B3B4-0C7EF15717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48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</xdr:row>
      <xdr:rowOff>0</xdr:rowOff>
    </xdr:from>
    <xdr:to>
      <xdr:col>0</xdr:col>
      <xdr:colOff>171450</xdr:colOff>
      <xdr:row>113</xdr:row>
      <xdr:rowOff>133350</xdr:rowOff>
    </xdr:to>
    <xdr:pic>
      <xdr:nvPicPr>
        <xdr:cNvPr id="1206" name="Picture@5C\QPendientes@" descr="@5C\QPendientes@">
          <a:extLst>
            <a:ext uri="{FF2B5EF4-FFF2-40B4-BE49-F238E27FC236}">
              <a16:creationId xmlns:a16="http://schemas.microsoft.com/office/drawing/2014/main" id="{0DBDBE40-D8EB-41C8-9023-A74BBDC998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66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</xdr:row>
      <xdr:rowOff>0</xdr:rowOff>
    </xdr:from>
    <xdr:to>
      <xdr:col>0</xdr:col>
      <xdr:colOff>171450</xdr:colOff>
      <xdr:row>114</xdr:row>
      <xdr:rowOff>133350</xdr:rowOff>
    </xdr:to>
    <xdr:pic>
      <xdr:nvPicPr>
        <xdr:cNvPr id="1207" name="Picture@5C\QPendientes@" descr="@5C\QPendientes@">
          <a:extLst>
            <a:ext uri="{FF2B5EF4-FFF2-40B4-BE49-F238E27FC236}">
              <a16:creationId xmlns:a16="http://schemas.microsoft.com/office/drawing/2014/main" id="{E85AD2D1-FA2B-40DF-8655-DC7963023E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84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</xdr:row>
      <xdr:rowOff>0</xdr:rowOff>
    </xdr:from>
    <xdr:to>
      <xdr:col>0</xdr:col>
      <xdr:colOff>171450</xdr:colOff>
      <xdr:row>115</xdr:row>
      <xdr:rowOff>133350</xdr:rowOff>
    </xdr:to>
    <xdr:pic>
      <xdr:nvPicPr>
        <xdr:cNvPr id="1208" name="Picture@5C\QPendientes@" descr="@5C\QPendientes@">
          <a:extLst>
            <a:ext uri="{FF2B5EF4-FFF2-40B4-BE49-F238E27FC236}">
              <a16:creationId xmlns:a16="http://schemas.microsoft.com/office/drawing/2014/main" id="{47DC2BE9-E8D5-48BD-9765-1708CA77AA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03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</xdr:row>
      <xdr:rowOff>0</xdr:rowOff>
    </xdr:from>
    <xdr:to>
      <xdr:col>0</xdr:col>
      <xdr:colOff>171450</xdr:colOff>
      <xdr:row>116</xdr:row>
      <xdr:rowOff>133350</xdr:rowOff>
    </xdr:to>
    <xdr:pic>
      <xdr:nvPicPr>
        <xdr:cNvPr id="1209" name="Picture@5C\QPendientes@" descr="@5C\QPendientes@">
          <a:extLst>
            <a:ext uri="{FF2B5EF4-FFF2-40B4-BE49-F238E27FC236}">
              <a16:creationId xmlns:a16="http://schemas.microsoft.com/office/drawing/2014/main" id="{C50C4A6C-EBB9-4959-9CCD-D89D04AB70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21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</xdr:row>
      <xdr:rowOff>0</xdr:rowOff>
    </xdr:from>
    <xdr:to>
      <xdr:col>0</xdr:col>
      <xdr:colOff>171450</xdr:colOff>
      <xdr:row>117</xdr:row>
      <xdr:rowOff>133350</xdr:rowOff>
    </xdr:to>
    <xdr:pic>
      <xdr:nvPicPr>
        <xdr:cNvPr id="1210" name="Picture@5C\QPendientes@" descr="@5C\QPendientes@">
          <a:extLst>
            <a:ext uri="{FF2B5EF4-FFF2-40B4-BE49-F238E27FC236}">
              <a16:creationId xmlns:a16="http://schemas.microsoft.com/office/drawing/2014/main" id="{8A10C15B-6B41-4B3B-BADD-881CC1F192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39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</xdr:row>
      <xdr:rowOff>0</xdr:rowOff>
    </xdr:from>
    <xdr:to>
      <xdr:col>0</xdr:col>
      <xdr:colOff>171450</xdr:colOff>
      <xdr:row>118</xdr:row>
      <xdr:rowOff>133350</xdr:rowOff>
    </xdr:to>
    <xdr:pic>
      <xdr:nvPicPr>
        <xdr:cNvPr id="1211" name="Picture@5C\QPendientes@" descr="@5C\QPendientes@">
          <a:extLst>
            <a:ext uri="{FF2B5EF4-FFF2-40B4-BE49-F238E27FC236}">
              <a16:creationId xmlns:a16="http://schemas.microsoft.com/office/drawing/2014/main" id="{FF8807A4-A040-4424-9190-E174A9B882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57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</xdr:row>
      <xdr:rowOff>0</xdr:rowOff>
    </xdr:from>
    <xdr:to>
      <xdr:col>0</xdr:col>
      <xdr:colOff>171450</xdr:colOff>
      <xdr:row>119</xdr:row>
      <xdr:rowOff>133350</xdr:rowOff>
    </xdr:to>
    <xdr:pic>
      <xdr:nvPicPr>
        <xdr:cNvPr id="1212" name="Picture@5C\QPendientes@" descr="@5C\QPendientes@">
          <a:extLst>
            <a:ext uri="{FF2B5EF4-FFF2-40B4-BE49-F238E27FC236}">
              <a16:creationId xmlns:a16="http://schemas.microsoft.com/office/drawing/2014/main" id="{493CF208-F04E-478F-AEE9-31AA6110C1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76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</xdr:row>
      <xdr:rowOff>0</xdr:rowOff>
    </xdr:from>
    <xdr:to>
      <xdr:col>0</xdr:col>
      <xdr:colOff>171450</xdr:colOff>
      <xdr:row>120</xdr:row>
      <xdr:rowOff>133350</xdr:rowOff>
    </xdr:to>
    <xdr:pic>
      <xdr:nvPicPr>
        <xdr:cNvPr id="1213" name="Picture@5C\QPendientes@" descr="@5C\QPendientes@">
          <a:extLst>
            <a:ext uri="{FF2B5EF4-FFF2-40B4-BE49-F238E27FC236}">
              <a16:creationId xmlns:a16="http://schemas.microsoft.com/office/drawing/2014/main" id="{893DD3AD-5BA5-4523-A71E-36BA47FEFD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4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</xdr:row>
      <xdr:rowOff>0</xdr:rowOff>
    </xdr:from>
    <xdr:to>
      <xdr:col>0</xdr:col>
      <xdr:colOff>171450</xdr:colOff>
      <xdr:row>121</xdr:row>
      <xdr:rowOff>133350</xdr:rowOff>
    </xdr:to>
    <xdr:pic>
      <xdr:nvPicPr>
        <xdr:cNvPr id="1214" name="Picture@5C\QPendientes@" descr="@5C\QPendientes@">
          <a:extLst>
            <a:ext uri="{FF2B5EF4-FFF2-40B4-BE49-F238E27FC236}">
              <a16:creationId xmlns:a16="http://schemas.microsoft.com/office/drawing/2014/main" id="{1E92A233-8650-4984-A39F-4522438985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12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</xdr:row>
      <xdr:rowOff>0</xdr:rowOff>
    </xdr:from>
    <xdr:to>
      <xdr:col>0</xdr:col>
      <xdr:colOff>171450</xdr:colOff>
      <xdr:row>122</xdr:row>
      <xdr:rowOff>133350</xdr:rowOff>
    </xdr:to>
    <xdr:pic>
      <xdr:nvPicPr>
        <xdr:cNvPr id="1215" name="Picture@5C\QPendientes@" descr="@5C\QPendientes@">
          <a:extLst>
            <a:ext uri="{FF2B5EF4-FFF2-40B4-BE49-F238E27FC236}">
              <a16:creationId xmlns:a16="http://schemas.microsoft.com/office/drawing/2014/main" id="{A9822D2A-B8E6-45B1-A8DC-98A611EA4F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31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</xdr:row>
      <xdr:rowOff>0</xdr:rowOff>
    </xdr:from>
    <xdr:to>
      <xdr:col>0</xdr:col>
      <xdr:colOff>171450</xdr:colOff>
      <xdr:row>123</xdr:row>
      <xdr:rowOff>133350</xdr:rowOff>
    </xdr:to>
    <xdr:pic>
      <xdr:nvPicPr>
        <xdr:cNvPr id="1216" name="Picture@5C\QPendientes@" descr="@5C\QPendientes@">
          <a:extLst>
            <a:ext uri="{FF2B5EF4-FFF2-40B4-BE49-F238E27FC236}">
              <a16:creationId xmlns:a16="http://schemas.microsoft.com/office/drawing/2014/main" id="{BE533634-AA0B-4E13-B55A-20732E056B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49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</xdr:row>
      <xdr:rowOff>0</xdr:rowOff>
    </xdr:from>
    <xdr:to>
      <xdr:col>0</xdr:col>
      <xdr:colOff>171450</xdr:colOff>
      <xdr:row>124</xdr:row>
      <xdr:rowOff>133350</xdr:rowOff>
    </xdr:to>
    <xdr:pic>
      <xdr:nvPicPr>
        <xdr:cNvPr id="1217" name="Picture@5C\QPendientes@" descr="@5C\QPendientes@">
          <a:extLst>
            <a:ext uri="{FF2B5EF4-FFF2-40B4-BE49-F238E27FC236}">
              <a16:creationId xmlns:a16="http://schemas.microsoft.com/office/drawing/2014/main" id="{9D6766D1-17CB-4AD0-B25C-4372564F35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67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</xdr:row>
      <xdr:rowOff>0</xdr:rowOff>
    </xdr:from>
    <xdr:to>
      <xdr:col>0</xdr:col>
      <xdr:colOff>171450</xdr:colOff>
      <xdr:row>125</xdr:row>
      <xdr:rowOff>133350</xdr:rowOff>
    </xdr:to>
    <xdr:pic>
      <xdr:nvPicPr>
        <xdr:cNvPr id="1218" name="Picture@5C\QPendientes@" descr="@5C\QPendientes@">
          <a:extLst>
            <a:ext uri="{FF2B5EF4-FFF2-40B4-BE49-F238E27FC236}">
              <a16:creationId xmlns:a16="http://schemas.microsoft.com/office/drawing/2014/main" id="{FD011C7F-912C-4F17-BC34-DAA951115B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86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</xdr:row>
      <xdr:rowOff>0</xdr:rowOff>
    </xdr:from>
    <xdr:to>
      <xdr:col>0</xdr:col>
      <xdr:colOff>171450</xdr:colOff>
      <xdr:row>126</xdr:row>
      <xdr:rowOff>133350</xdr:rowOff>
    </xdr:to>
    <xdr:pic>
      <xdr:nvPicPr>
        <xdr:cNvPr id="1219" name="Picture@5C\QPendientes@" descr="@5C\QPendientes@">
          <a:extLst>
            <a:ext uri="{FF2B5EF4-FFF2-40B4-BE49-F238E27FC236}">
              <a16:creationId xmlns:a16="http://schemas.microsoft.com/office/drawing/2014/main" id="{D2FF8C5B-8E2D-463A-9C3C-A6C7B9E775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04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</xdr:row>
      <xdr:rowOff>0</xdr:rowOff>
    </xdr:from>
    <xdr:to>
      <xdr:col>0</xdr:col>
      <xdr:colOff>171450</xdr:colOff>
      <xdr:row>127</xdr:row>
      <xdr:rowOff>133350</xdr:rowOff>
    </xdr:to>
    <xdr:pic>
      <xdr:nvPicPr>
        <xdr:cNvPr id="1220" name="Picture@5C\QPendientes@" descr="@5C\QPendientes@">
          <a:extLst>
            <a:ext uri="{FF2B5EF4-FFF2-40B4-BE49-F238E27FC236}">
              <a16:creationId xmlns:a16="http://schemas.microsoft.com/office/drawing/2014/main" id="{A007C75F-0385-44EC-822F-437B74F666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22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</xdr:row>
      <xdr:rowOff>0</xdr:rowOff>
    </xdr:from>
    <xdr:to>
      <xdr:col>0</xdr:col>
      <xdr:colOff>171450</xdr:colOff>
      <xdr:row>128</xdr:row>
      <xdr:rowOff>133350</xdr:rowOff>
    </xdr:to>
    <xdr:pic>
      <xdr:nvPicPr>
        <xdr:cNvPr id="1221" name="Picture@5C\QPendientes@" descr="@5C\QPendientes@">
          <a:extLst>
            <a:ext uri="{FF2B5EF4-FFF2-40B4-BE49-F238E27FC236}">
              <a16:creationId xmlns:a16="http://schemas.microsoft.com/office/drawing/2014/main" id="{E802031D-72A5-4F2D-8B4E-8B413F100E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40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</xdr:row>
      <xdr:rowOff>0</xdr:rowOff>
    </xdr:from>
    <xdr:to>
      <xdr:col>0</xdr:col>
      <xdr:colOff>171450</xdr:colOff>
      <xdr:row>129</xdr:row>
      <xdr:rowOff>133350</xdr:rowOff>
    </xdr:to>
    <xdr:pic>
      <xdr:nvPicPr>
        <xdr:cNvPr id="1222" name="Picture@5C\QPendientes@" descr="@5C\QPendientes@">
          <a:extLst>
            <a:ext uri="{FF2B5EF4-FFF2-40B4-BE49-F238E27FC236}">
              <a16:creationId xmlns:a16="http://schemas.microsoft.com/office/drawing/2014/main" id="{305947A2-44D8-433E-AA90-EBFDCCA383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59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</xdr:row>
      <xdr:rowOff>0</xdr:rowOff>
    </xdr:from>
    <xdr:to>
      <xdr:col>0</xdr:col>
      <xdr:colOff>171450</xdr:colOff>
      <xdr:row>130</xdr:row>
      <xdr:rowOff>133350</xdr:rowOff>
    </xdr:to>
    <xdr:pic>
      <xdr:nvPicPr>
        <xdr:cNvPr id="1223" name="Picture@5C\QPendientes@" descr="@5C\QPendientes@">
          <a:extLst>
            <a:ext uri="{FF2B5EF4-FFF2-40B4-BE49-F238E27FC236}">
              <a16:creationId xmlns:a16="http://schemas.microsoft.com/office/drawing/2014/main" id="{2B4B5C49-40BC-4A6A-AD27-C5E1A017C2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77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</xdr:row>
      <xdr:rowOff>0</xdr:rowOff>
    </xdr:from>
    <xdr:to>
      <xdr:col>0</xdr:col>
      <xdr:colOff>171450</xdr:colOff>
      <xdr:row>131</xdr:row>
      <xdr:rowOff>133350</xdr:rowOff>
    </xdr:to>
    <xdr:pic>
      <xdr:nvPicPr>
        <xdr:cNvPr id="1224" name="Picture@5C\QPendientes@" descr="@5C\QPendientes@">
          <a:extLst>
            <a:ext uri="{FF2B5EF4-FFF2-40B4-BE49-F238E27FC236}">
              <a16:creationId xmlns:a16="http://schemas.microsoft.com/office/drawing/2014/main" id="{C2031D43-450B-4E1E-B322-2D2C654613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95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</xdr:row>
      <xdr:rowOff>0</xdr:rowOff>
    </xdr:from>
    <xdr:to>
      <xdr:col>0</xdr:col>
      <xdr:colOff>171450</xdr:colOff>
      <xdr:row>132</xdr:row>
      <xdr:rowOff>133350</xdr:rowOff>
    </xdr:to>
    <xdr:pic>
      <xdr:nvPicPr>
        <xdr:cNvPr id="1225" name="Picture@5C\QPendientes@" descr="@5C\QPendientes@">
          <a:extLst>
            <a:ext uri="{FF2B5EF4-FFF2-40B4-BE49-F238E27FC236}">
              <a16:creationId xmlns:a16="http://schemas.microsoft.com/office/drawing/2014/main" id="{9F808077-3BAC-42D3-B481-C8A95DA278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14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</xdr:row>
      <xdr:rowOff>0</xdr:rowOff>
    </xdr:from>
    <xdr:to>
      <xdr:col>0</xdr:col>
      <xdr:colOff>171450</xdr:colOff>
      <xdr:row>133</xdr:row>
      <xdr:rowOff>133350</xdr:rowOff>
    </xdr:to>
    <xdr:pic>
      <xdr:nvPicPr>
        <xdr:cNvPr id="1226" name="Picture@5C\QPendientes@" descr="@5C\QPendientes@">
          <a:extLst>
            <a:ext uri="{FF2B5EF4-FFF2-40B4-BE49-F238E27FC236}">
              <a16:creationId xmlns:a16="http://schemas.microsoft.com/office/drawing/2014/main" id="{2FCD8783-DD96-47A8-8550-D0B3A41948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32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</xdr:row>
      <xdr:rowOff>0</xdr:rowOff>
    </xdr:from>
    <xdr:to>
      <xdr:col>0</xdr:col>
      <xdr:colOff>171450</xdr:colOff>
      <xdr:row>134</xdr:row>
      <xdr:rowOff>133350</xdr:rowOff>
    </xdr:to>
    <xdr:pic>
      <xdr:nvPicPr>
        <xdr:cNvPr id="1227" name="Picture@5C\QPendientes@" descr="@5C\QPendientes@">
          <a:extLst>
            <a:ext uri="{FF2B5EF4-FFF2-40B4-BE49-F238E27FC236}">
              <a16:creationId xmlns:a16="http://schemas.microsoft.com/office/drawing/2014/main" id="{E924C7C7-B6B6-4323-A8D8-0D9BF11655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50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</xdr:row>
      <xdr:rowOff>0</xdr:rowOff>
    </xdr:from>
    <xdr:to>
      <xdr:col>0</xdr:col>
      <xdr:colOff>171450</xdr:colOff>
      <xdr:row>135</xdr:row>
      <xdr:rowOff>133350</xdr:rowOff>
    </xdr:to>
    <xdr:pic>
      <xdr:nvPicPr>
        <xdr:cNvPr id="1228" name="Picture@5C\QPendientes@" descr="@5C\QPendientes@">
          <a:extLst>
            <a:ext uri="{FF2B5EF4-FFF2-40B4-BE49-F238E27FC236}">
              <a16:creationId xmlns:a16="http://schemas.microsoft.com/office/drawing/2014/main" id="{8BD8989C-0AF8-4E44-8A6E-B7C4311994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68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</xdr:row>
      <xdr:rowOff>0</xdr:rowOff>
    </xdr:from>
    <xdr:to>
      <xdr:col>0</xdr:col>
      <xdr:colOff>171450</xdr:colOff>
      <xdr:row>136</xdr:row>
      <xdr:rowOff>133350</xdr:rowOff>
    </xdr:to>
    <xdr:pic>
      <xdr:nvPicPr>
        <xdr:cNvPr id="1229" name="Picture@5C\QPendientes@" descr="@5C\QPendientes@">
          <a:extLst>
            <a:ext uri="{FF2B5EF4-FFF2-40B4-BE49-F238E27FC236}">
              <a16:creationId xmlns:a16="http://schemas.microsoft.com/office/drawing/2014/main" id="{93EC5D26-A781-4FF0-AFC8-D78AB7B7BF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87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</xdr:row>
      <xdr:rowOff>0</xdr:rowOff>
    </xdr:from>
    <xdr:to>
      <xdr:col>0</xdr:col>
      <xdr:colOff>171450</xdr:colOff>
      <xdr:row>137</xdr:row>
      <xdr:rowOff>133350</xdr:rowOff>
    </xdr:to>
    <xdr:pic>
      <xdr:nvPicPr>
        <xdr:cNvPr id="1230" name="Picture@5C\QPendientes@" descr="@5C\QPendientes@">
          <a:extLst>
            <a:ext uri="{FF2B5EF4-FFF2-40B4-BE49-F238E27FC236}">
              <a16:creationId xmlns:a16="http://schemas.microsoft.com/office/drawing/2014/main" id="{A288A61F-EB1E-4443-8868-67FC613F69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05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</xdr:row>
      <xdr:rowOff>0</xdr:rowOff>
    </xdr:from>
    <xdr:to>
      <xdr:col>0</xdr:col>
      <xdr:colOff>171450</xdr:colOff>
      <xdr:row>138</xdr:row>
      <xdr:rowOff>133350</xdr:rowOff>
    </xdr:to>
    <xdr:pic>
      <xdr:nvPicPr>
        <xdr:cNvPr id="1231" name="Picture@5C\QPendientes@" descr="@5C\QPendientes@">
          <a:extLst>
            <a:ext uri="{FF2B5EF4-FFF2-40B4-BE49-F238E27FC236}">
              <a16:creationId xmlns:a16="http://schemas.microsoft.com/office/drawing/2014/main" id="{4C23A1A2-38B9-410C-AF84-62A52C1493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23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</xdr:row>
      <xdr:rowOff>0</xdr:rowOff>
    </xdr:from>
    <xdr:to>
      <xdr:col>0</xdr:col>
      <xdr:colOff>171450</xdr:colOff>
      <xdr:row>139</xdr:row>
      <xdr:rowOff>133350</xdr:rowOff>
    </xdr:to>
    <xdr:pic>
      <xdr:nvPicPr>
        <xdr:cNvPr id="1232" name="Picture@5C\QPendientes@" descr="@5C\QPendientes@">
          <a:extLst>
            <a:ext uri="{FF2B5EF4-FFF2-40B4-BE49-F238E27FC236}">
              <a16:creationId xmlns:a16="http://schemas.microsoft.com/office/drawing/2014/main" id="{57926366-36BE-428A-98E2-527CBCA1B0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42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</xdr:row>
      <xdr:rowOff>0</xdr:rowOff>
    </xdr:from>
    <xdr:to>
      <xdr:col>0</xdr:col>
      <xdr:colOff>171450</xdr:colOff>
      <xdr:row>140</xdr:row>
      <xdr:rowOff>133350</xdr:rowOff>
    </xdr:to>
    <xdr:pic>
      <xdr:nvPicPr>
        <xdr:cNvPr id="1233" name="Picture@5C\QPendientes@" descr="@5C\QPendientes@">
          <a:extLst>
            <a:ext uri="{FF2B5EF4-FFF2-40B4-BE49-F238E27FC236}">
              <a16:creationId xmlns:a16="http://schemas.microsoft.com/office/drawing/2014/main" id="{6C58B5CA-D83C-4918-A86E-5CF09DAD58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60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</xdr:row>
      <xdr:rowOff>0</xdr:rowOff>
    </xdr:from>
    <xdr:to>
      <xdr:col>0</xdr:col>
      <xdr:colOff>171450</xdr:colOff>
      <xdr:row>141</xdr:row>
      <xdr:rowOff>133350</xdr:rowOff>
    </xdr:to>
    <xdr:pic>
      <xdr:nvPicPr>
        <xdr:cNvPr id="1234" name="Picture@5C\QPendientes@" descr="@5C\QPendientes@">
          <a:extLst>
            <a:ext uri="{FF2B5EF4-FFF2-40B4-BE49-F238E27FC236}">
              <a16:creationId xmlns:a16="http://schemas.microsoft.com/office/drawing/2014/main" id="{BDBF01BD-BF37-49AD-B05A-E56FC5B55B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78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</xdr:row>
      <xdr:rowOff>0</xdr:rowOff>
    </xdr:from>
    <xdr:to>
      <xdr:col>0</xdr:col>
      <xdr:colOff>171450</xdr:colOff>
      <xdr:row>142</xdr:row>
      <xdr:rowOff>133350</xdr:rowOff>
    </xdr:to>
    <xdr:pic>
      <xdr:nvPicPr>
        <xdr:cNvPr id="1235" name="Picture@5C\QPendientes@" descr="@5C\QPendientes@">
          <a:extLst>
            <a:ext uri="{FF2B5EF4-FFF2-40B4-BE49-F238E27FC236}">
              <a16:creationId xmlns:a16="http://schemas.microsoft.com/office/drawing/2014/main" id="{A15032F1-D0D7-4D2D-BD26-95FBF69CC9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96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</xdr:row>
      <xdr:rowOff>0</xdr:rowOff>
    </xdr:from>
    <xdr:to>
      <xdr:col>0</xdr:col>
      <xdr:colOff>171450</xdr:colOff>
      <xdr:row>143</xdr:row>
      <xdr:rowOff>133350</xdr:rowOff>
    </xdr:to>
    <xdr:pic>
      <xdr:nvPicPr>
        <xdr:cNvPr id="1236" name="Picture@5C\QPendientes@" descr="@5C\QPendientes@">
          <a:extLst>
            <a:ext uri="{FF2B5EF4-FFF2-40B4-BE49-F238E27FC236}">
              <a16:creationId xmlns:a16="http://schemas.microsoft.com/office/drawing/2014/main" id="{583E55B5-3BEC-475D-AFC3-1070E3AB99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15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</xdr:row>
      <xdr:rowOff>0</xdr:rowOff>
    </xdr:from>
    <xdr:to>
      <xdr:col>0</xdr:col>
      <xdr:colOff>171450</xdr:colOff>
      <xdr:row>144</xdr:row>
      <xdr:rowOff>133350</xdr:rowOff>
    </xdr:to>
    <xdr:pic>
      <xdr:nvPicPr>
        <xdr:cNvPr id="1237" name="Picture@5C\QPendientes@" descr="@5C\QPendientes@">
          <a:extLst>
            <a:ext uri="{FF2B5EF4-FFF2-40B4-BE49-F238E27FC236}">
              <a16:creationId xmlns:a16="http://schemas.microsoft.com/office/drawing/2014/main" id="{B99DF6AE-8F29-4AE2-8426-E74E6ED6DE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33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</xdr:row>
      <xdr:rowOff>0</xdr:rowOff>
    </xdr:from>
    <xdr:to>
      <xdr:col>0</xdr:col>
      <xdr:colOff>171450</xdr:colOff>
      <xdr:row>145</xdr:row>
      <xdr:rowOff>133350</xdr:rowOff>
    </xdr:to>
    <xdr:pic>
      <xdr:nvPicPr>
        <xdr:cNvPr id="1238" name="Picture@5C\QPendientes@" descr="@5C\QPendientes@">
          <a:extLst>
            <a:ext uri="{FF2B5EF4-FFF2-40B4-BE49-F238E27FC236}">
              <a16:creationId xmlns:a16="http://schemas.microsoft.com/office/drawing/2014/main" id="{62CD81E8-4A4C-40D1-9C10-0F62E8FB93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51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</xdr:row>
      <xdr:rowOff>0</xdr:rowOff>
    </xdr:from>
    <xdr:to>
      <xdr:col>0</xdr:col>
      <xdr:colOff>171450</xdr:colOff>
      <xdr:row>146</xdr:row>
      <xdr:rowOff>133350</xdr:rowOff>
    </xdr:to>
    <xdr:pic>
      <xdr:nvPicPr>
        <xdr:cNvPr id="1239" name="Picture@5C\QPendientes@" descr="@5C\QPendientes@">
          <a:extLst>
            <a:ext uri="{FF2B5EF4-FFF2-40B4-BE49-F238E27FC236}">
              <a16:creationId xmlns:a16="http://schemas.microsoft.com/office/drawing/2014/main" id="{984BED64-F6AB-4CB3-BB0D-B45F2CC70D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70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</xdr:row>
      <xdr:rowOff>0</xdr:rowOff>
    </xdr:from>
    <xdr:to>
      <xdr:col>0</xdr:col>
      <xdr:colOff>171450</xdr:colOff>
      <xdr:row>147</xdr:row>
      <xdr:rowOff>133350</xdr:rowOff>
    </xdr:to>
    <xdr:pic>
      <xdr:nvPicPr>
        <xdr:cNvPr id="1240" name="Picture@5C\QPendientes@" descr="@5C\QPendientes@">
          <a:extLst>
            <a:ext uri="{FF2B5EF4-FFF2-40B4-BE49-F238E27FC236}">
              <a16:creationId xmlns:a16="http://schemas.microsoft.com/office/drawing/2014/main" id="{E0FFEB50-C4D8-483D-BBBA-6AEAAD29D8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88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</xdr:row>
      <xdr:rowOff>0</xdr:rowOff>
    </xdr:from>
    <xdr:to>
      <xdr:col>0</xdr:col>
      <xdr:colOff>171450</xdr:colOff>
      <xdr:row>148</xdr:row>
      <xdr:rowOff>133350</xdr:rowOff>
    </xdr:to>
    <xdr:pic>
      <xdr:nvPicPr>
        <xdr:cNvPr id="1241" name="Picture@5C\QPendientes@" descr="@5C\QPendientes@">
          <a:extLst>
            <a:ext uri="{FF2B5EF4-FFF2-40B4-BE49-F238E27FC236}">
              <a16:creationId xmlns:a16="http://schemas.microsoft.com/office/drawing/2014/main" id="{02AFDD27-1CEB-4C93-8D97-545B50DEE5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06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</xdr:row>
      <xdr:rowOff>0</xdr:rowOff>
    </xdr:from>
    <xdr:to>
      <xdr:col>0</xdr:col>
      <xdr:colOff>171450</xdr:colOff>
      <xdr:row>149</xdr:row>
      <xdr:rowOff>133350</xdr:rowOff>
    </xdr:to>
    <xdr:pic>
      <xdr:nvPicPr>
        <xdr:cNvPr id="1242" name="Picture@5C\QPendientes@" descr="@5C\QPendientes@">
          <a:extLst>
            <a:ext uri="{FF2B5EF4-FFF2-40B4-BE49-F238E27FC236}">
              <a16:creationId xmlns:a16="http://schemas.microsoft.com/office/drawing/2014/main" id="{106A6ACA-A913-4A12-80E6-3006E641BE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24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</xdr:row>
      <xdr:rowOff>0</xdr:rowOff>
    </xdr:from>
    <xdr:to>
      <xdr:col>0</xdr:col>
      <xdr:colOff>171450</xdr:colOff>
      <xdr:row>150</xdr:row>
      <xdr:rowOff>133350</xdr:rowOff>
    </xdr:to>
    <xdr:pic>
      <xdr:nvPicPr>
        <xdr:cNvPr id="1243" name="Picture@5C\QPendientes@" descr="@5C\QPendientes@">
          <a:extLst>
            <a:ext uri="{FF2B5EF4-FFF2-40B4-BE49-F238E27FC236}">
              <a16:creationId xmlns:a16="http://schemas.microsoft.com/office/drawing/2014/main" id="{3174E396-86B5-4C7A-BB3D-3BC32A02D8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43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</xdr:row>
      <xdr:rowOff>0</xdr:rowOff>
    </xdr:from>
    <xdr:to>
      <xdr:col>0</xdr:col>
      <xdr:colOff>171450</xdr:colOff>
      <xdr:row>151</xdr:row>
      <xdr:rowOff>133350</xdr:rowOff>
    </xdr:to>
    <xdr:pic>
      <xdr:nvPicPr>
        <xdr:cNvPr id="1244" name="Picture@5C\QPendientes@" descr="@5C\QPendientes@">
          <a:extLst>
            <a:ext uri="{FF2B5EF4-FFF2-40B4-BE49-F238E27FC236}">
              <a16:creationId xmlns:a16="http://schemas.microsoft.com/office/drawing/2014/main" id="{0EB3A998-5C6A-4B2F-BA36-BC7DA29446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61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</xdr:row>
      <xdr:rowOff>0</xdr:rowOff>
    </xdr:from>
    <xdr:to>
      <xdr:col>0</xdr:col>
      <xdr:colOff>171450</xdr:colOff>
      <xdr:row>152</xdr:row>
      <xdr:rowOff>133350</xdr:rowOff>
    </xdr:to>
    <xdr:pic>
      <xdr:nvPicPr>
        <xdr:cNvPr id="1245" name="Picture@5C\QPendientes@" descr="@5C\QPendientes@">
          <a:extLst>
            <a:ext uri="{FF2B5EF4-FFF2-40B4-BE49-F238E27FC236}">
              <a16:creationId xmlns:a16="http://schemas.microsoft.com/office/drawing/2014/main" id="{D86C2C25-3D7A-4F55-8AF7-EE44C2C306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79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</xdr:row>
      <xdr:rowOff>0</xdr:rowOff>
    </xdr:from>
    <xdr:to>
      <xdr:col>0</xdr:col>
      <xdr:colOff>171450</xdr:colOff>
      <xdr:row>153</xdr:row>
      <xdr:rowOff>133350</xdr:rowOff>
    </xdr:to>
    <xdr:pic>
      <xdr:nvPicPr>
        <xdr:cNvPr id="1246" name="Picture@5C\QPendientes@" descr="@5C\QPendientes@">
          <a:extLst>
            <a:ext uri="{FF2B5EF4-FFF2-40B4-BE49-F238E27FC236}">
              <a16:creationId xmlns:a16="http://schemas.microsoft.com/office/drawing/2014/main" id="{33FD60F2-1F6F-4A12-9B2F-5C5A871AAF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98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</xdr:row>
      <xdr:rowOff>0</xdr:rowOff>
    </xdr:from>
    <xdr:to>
      <xdr:col>0</xdr:col>
      <xdr:colOff>171450</xdr:colOff>
      <xdr:row>154</xdr:row>
      <xdr:rowOff>133350</xdr:rowOff>
    </xdr:to>
    <xdr:pic>
      <xdr:nvPicPr>
        <xdr:cNvPr id="1247" name="Picture@5C\QPendientes@" descr="@5C\QPendientes@">
          <a:extLst>
            <a:ext uri="{FF2B5EF4-FFF2-40B4-BE49-F238E27FC236}">
              <a16:creationId xmlns:a16="http://schemas.microsoft.com/office/drawing/2014/main" id="{3176390E-A1A7-4C01-A3DB-0A74D758BD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16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</xdr:row>
      <xdr:rowOff>0</xdr:rowOff>
    </xdr:from>
    <xdr:to>
      <xdr:col>0</xdr:col>
      <xdr:colOff>171450</xdr:colOff>
      <xdr:row>155</xdr:row>
      <xdr:rowOff>133350</xdr:rowOff>
    </xdr:to>
    <xdr:pic>
      <xdr:nvPicPr>
        <xdr:cNvPr id="1248" name="Picture@5C\QPendientes@" descr="@5C\QPendientes@">
          <a:extLst>
            <a:ext uri="{FF2B5EF4-FFF2-40B4-BE49-F238E27FC236}">
              <a16:creationId xmlns:a16="http://schemas.microsoft.com/office/drawing/2014/main" id="{0E3B2B56-7E6B-4688-8A8E-0191EE3D12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34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</xdr:row>
      <xdr:rowOff>0</xdr:rowOff>
    </xdr:from>
    <xdr:to>
      <xdr:col>0</xdr:col>
      <xdr:colOff>171450</xdr:colOff>
      <xdr:row>156</xdr:row>
      <xdr:rowOff>133350</xdr:rowOff>
    </xdr:to>
    <xdr:pic>
      <xdr:nvPicPr>
        <xdr:cNvPr id="1249" name="Picture@5C\QPendientes@" descr="@5C\QPendientes@">
          <a:extLst>
            <a:ext uri="{FF2B5EF4-FFF2-40B4-BE49-F238E27FC236}">
              <a16:creationId xmlns:a16="http://schemas.microsoft.com/office/drawing/2014/main" id="{87CAE03B-0086-446B-89F8-5F7DDFDE88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52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</xdr:row>
      <xdr:rowOff>0</xdr:rowOff>
    </xdr:from>
    <xdr:to>
      <xdr:col>0</xdr:col>
      <xdr:colOff>171450</xdr:colOff>
      <xdr:row>157</xdr:row>
      <xdr:rowOff>133350</xdr:rowOff>
    </xdr:to>
    <xdr:pic>
      <xdr:nvPicPr>
        <xdr:cNvPr id="1250" name="Picture@5C\QPendientes@" descr="@5C\QPendientes@">
          <a:extLst>
            <a:ext uri="{FF2B5EF4-FFF2-40B4-BE49-F238E27FC236}">
              <a16:creationId xmlns:a16="http://schemas.microsoft.com/office/drawing/2014/main" id="{2713D974-3F65-4D81-BE9F-CC9D12E8D4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71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</xdr:row>
      <xdr:rowOff>0</xdr:rowOff>
    </xdr:from>
    <xdr:to>
      <xdr:col>0</xdr:col>
      <xdr:colOff>171450</xdr:colOff>
      <xdr:row>158</xdr:row>
      <xdr:rowOff>133350</xdr:rowOff>
    </xdr:to>
    <xdr:pic>
      <xdr:nvPicPr>
        <xdr:cNvPr id="1251" name="Picture@5C\QPendientes@" descr="@5C\QPendientes@">
          <a:extLst>
            <a:ext uri="{FF2B5EF4-FFF2-40B4-BE49-F238E27FC236}">
              <a16:creationId xmlns:a16="http://schemas.microsoft.com/office/drawing/2014/main" id="{82058FE9-53DE-4490-8C38-16BFBD32E2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89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</xdr:row>
      <xdr:rowOff>0</xdr:rowOff>
    </xdr:from>
    <xdr:to>
      <xdr:col>0</xdr:col>
      <xdr:colOff>171450</xdr:colOff>
      <xdr:row>159</xdr:row>
      <xdr:rowOff>133350</xdr:rowOff>
    </xdr:to>
    <xdr:pic>
      <xdr:nvPicPr>
        <xdr:cNvPr id="1252" name="Picture@5C\QPendientes@" descr="@5C\QPendientes@">
          <a:extLst>
            <a:ext uri="{FF2B5EF4-FFF2-40B4-BE49-F238E27FC236}">
              <a16:creationId xmlns:a16="http://schemas.microsoft.com/office/drawing/2014/main" id="{EBDBD912-3748-4203-AB70-20199E5814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07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</xdr:row>
      <xdr:rowOff>0</xdr:rowOff>
    </xdr:from>
    <xdr:to>
      <xdr:col>0</xdr:col>
      <xdr:colOff>171450</xdr:colOff>
      <xdr:row>160</xdr:row>
      <xdr:rowOff>133350</xdr:rowOff>
    </xdr:to>
    <xdr:pic>
      <xdr:nvPicPr>
        <xdr:cNvPr id="1253" name="Picture@5C\QPendientes@" descr="@5C\QPendientes@">
          <a:extLst>
            <a:ext uri="{FF2B5EF4-FFF2-40B4-BE49-F238E27FC236}">
              <a16:creationId xmlns:a16="http://schemas.microsoft.com/office/drawing/2014/main" id="{FADADA70-2FD4-45FB-9FC2-6917F8F7EC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26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</xdr:row>
      <xdr:rowOff>0</xdr:rowOff>
    </xdr:from>
    <xdr:to>
      <xdr:col>0</xdr:col>
      <xdr:colOff>171450</xdr:colOff>
      <xdr:row>161</xdr:row>
      <xdr:rowOff>133350</xdr:rowOff>
    </xdr:to>
    <xdr:pic>
      <xdr:nvPicPr>
        <xdr:cNvPr id="1254" name="Picture@5C\QPendientes@" descr="@5C\QPendientes@">
          <a:extLst>
            <a:ext uri="{FF2B5EF4-FFF2-40B4-BE49-F238E27FC236}">
              <a16:creationId xmlns:a16="http://schemas.microsoft.com/office/drawing/2014/main" id="{D358A24F-3DA4-4319-96FF-D0D549A422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44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</xdr:row>
      <xdr:rowOff>0</xdr:rowOff>
    </xdr:from>
    <xdr:to>
      <xdr:col>0</xdr:col>
      <xdr:colOff>171450</xdr:colOff>
      <xdr:row>162</xdr:row>
      <xdr:rowOff>133350</xdr:rowOff>
    </xdr:to>
    <xdr:pic>
      <xdr:nvPicPr>
        <xdr:cNvPr id="1255" name="Picture@5C\QPendientes@" descr="@5C\QPendientes@">
          <a:extLst>
            <a:ext uri="{FF2B5EF4-FFF2-40B4-BE49-F238E27FC236}">
              <a16:creationId xmlns:a16="http://schemas.microsoft.com/office/drawing/2014/main" id="{6A662832-9C7E-45C9-95EE-2A0E5D4998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62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</xdr:row>
      <xdr:rowOff>0</xdr:rowOff>
    </xdr:from>
    <xdr:to>
      <xdr:col>0</xdr:col>
      <xdr:colOff>171450</xdr:colOff>
      <xdr:row>163</xdr:row>
      <xdr:rowOff>133350</xdr:rowOff>
    </xdr:to>
    <xdr:pic>
      <xdr:nvPicPr>
        <xdr:cNvPr id="1256" name="Picture@5C\QPendientes@" descr="@5C\QPendientes@">
          <a:extLst>
            <a:ext uri="{FF2B5EF4-FFF2-40B4-BE49-F238E27FC236}">
              <a16:creationId xmlns:a16="http://schemas.microsoft.com/office/drawing/2014/main" id="{640EA9A7-FA9D-4098-A2DF-0BB000305B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80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</xdr:row>
      <xdr:rowOff>0</xdr:rowOff>
    </xdr:from>
    <xdr:to>
      <xdr:col>0</xdr:col>
      <xdr:colOff>171450</xdr:colOff>
      <xdr:row>164</xdr:row>
      <xdr:rowOff>133350</xdr:rowOff>
    </xdr:to>
    <xdr:pic>
      <xdr:nvPicPr>
        <xdr:cNvPr id="1257" name="Picture@5C\QPendientes@" descr="@5C\QPendientes@">
          <a:extLst>
            <a:ext uri="{FF2B5EF4-FFF2-40B4-BE49-F238E27FC236}">
              <a16:creationId xmlns:a16="http://schemas.microsoft.com/office/drawing/2014/main" id="{C7F923A7-1F08-4745-BBC5-D1627DFAF7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99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</xdr:row>
      <xdr:rowOff>0</xdr:rowOff>
    </xdr:from>
    <xdr:to>
      <xdr:col>0</xdr:col>
      <xdr:colOff>171450</xdr:colOff>
      <xdr:row>165</xdr:row>
      <xdr:rowOff>133350</xdr:rowOff>
    </xdr:to>
    <xdr:pic>
      <xdr:nvPicPr>
        <xdr:cNvPr id="1258" name="Picture@5C\QPendientes@" descr="@5C\QPendientes@">
          <a:extLst>
            <a:ext uri="{FF2B5EF4-FFF2-40B4-BE49-F238E27FC236}">
              <a16:creationId xmlns:a16="http://schemas.microsoft.com/office/drawing/2014/main" id="{319DABCB-1C07-49A6-B1CE-F3A03D8341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17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</xdr:row>
      <xdr:rowOff>0</xdr:rowOff>
    </xdr:from>
    <xdr:to>
      <xdr:col>0</xdr:col>
      <xdr:colOff>171450</xdr:colOff>
      <xdr:row>166</xdr:row>
      <xdr:rowOff>133350</xdr:rowOff>
    </xdr:to>
    <xdr:pic>
      <xdr:nvPicPr>
        <xdr:cNvPr id="1259" name="Picture@5C\QPendientes@" descr="@5C\QPendientes@">
          <a:extLst>
            <a:ext uri="{FF2B5EF4-FFF2-40B4-BE49-F238E27FC236}">
              <a16:creationId xmlns:a16="http://schemas.microsoft.com/office/drawing/2014/main" id="{99B82C8C-6335-4FDD-8301-3028ECA649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35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</xdr:row>
      <xdr:rowOff>0</xdr:rowOff>
    </xdr:from>
    <xdr:to>
      <xdr:col>0</xdr:col>
      <xdr:colOff>171450</xdr:colOff>
      <xdr:row>167</xdr:row>
      <xdr:rowOff>133350</xdr:rowOff>
    </xdr:to>
    <xdr:pic>
      <xdr:nvPicPr>
        <xdr:cNvPr id="1260" name="Picture@5C\QPendientes@" descr="@5C\QPendientes@">
          <a:extLst>
            <a:ext uri="{FF2B5EF4-FFF2-40B4-BE49-F238E27FC236}">
              <a16:creationId xmlns:a16="http://schemas.microsoft.com/office/drawing/2014/main" id="{1F8AE016-5EAE-4D5A-AA4C-C139D8E0F9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54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</xdr:row>
      <xdr:rowOff>0</xdr:rowOff>
    </xdr:from>
    <xdr:to>
      <xdr:col>0</xdr:col>
      <xdr:colOff>171450</xdr:colOff>
      <xdr:row>168</xdr:row>
      <xdr:rowOff>133350</xdr:rowOff>
    </xdr:to>
    <xdr:pic>
      <xdr:nvPicPr>
        <xdr:cNvPr id="1261" name="Picture@5C\QPendientes@" descr="@5C\QPendientes@">
          <a:extLst>
            <a:ext uri="{FF2B5EF4-FFF2-40B4-BE49-F238E27FC236}">
              <a16:creationId xmlns:a16="http://schemas.microsoft.com/office/drawing/2014/main" id="{4E7555CC-E0E3-4AE7-B1FD-F288329465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72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</xdr:row>
      <xdr:rowOff>0</xdr:rowOff>
    </xdr:from>
    <xdr:to>
      <xdr:col>0</xdr:col>
      <xdr:colOff>171450</xdr:colOff>
      <xdr:row>169</xdr:row>
      <xdr:rowOff>133350</xdr:rowOff>
    </xdr:to>
    <xdr:pic>
      <xdr:nvPicPr>
        <xdr:cNvPr id="1262" name="Picture@5C\QPendientes@" descr="@5C\QPendientes@">
          <a:extLst>
            <a:ext uri="{FF2B5EF4-FFF2-40B4-BE49-F238E27FC236}">
              <a16:creationId xmlns:a16="http://schemas.microsoft.com/office/drawing/2014/main" id="{2E08CB14-8EC7-44B2-99E0-FED41F0D80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90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</xdr:row>
      <xdr:rowOff>0</xdr:rowOff>
    </xdr:from>
    <xdr:to>
      <xdr:col>0</xdr:col>
      <xdr:colOff>171450</xdr:colOff>
      <xdr:row>170</xdr:row>
      <xdr:rowOff>133350</xdr:rowOff>
    </xdr:to>
    <xdr:pic>
      <xdr:nvPicPr>
        <xdr:cNvPr id="1263" name="Picture@5C\QPendientes@" descr="@5C\QPendientes@">
          <a:extLst>
            <a:ext uri="{FF2B5EF4-FFF2-40B4-BE49-F238E27FC236}">
              <a16:creationId xmlns:a16="http://schemas.microsoft.com/office/drawing/2014/main" id="{CB197A08-3031-4910-95D5-7F32ECE6F9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08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</xdr:row>
      <xdr:rowOff>0</xdr:rowOff>
    </xdr:from>
    <xdr:to>
      <xdr:col>0</xdr:col>
      <xdr:colOff>171450</xdr:colOff>
      <xdr:row>171</xdr:row>
      <xdr:rowOff>133350</xdr:rowOff>
    </xdr:to>
    <xdr:pic>
      <xdr:nvPicPr>
        <xdr:cNvPr id="1264" name="Picture@5C\QPendientes@" descr="@5C\QPendientes@">
          <a:extLst>
            <a:ext uri="{FF2B5EF4-FFF2-40B4-BE49-F238E27FC236}">
              <a16:creationId xmlns:a16="http://schemas.microsoft.com/office/drawing/2014/main" id="{6E2F6358-1545-4A70-B217-EA6743B880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27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</xdr:row>
      <xdr:rowOff>0</xdr:rowOff>
    </xdr:from>
    <xdr:to>
      <xdr:col>0</xdr:col>
      <xdr:colOff>171450</xdr:colOff>
      <xdr:row>172</xdr:row>
      <xdr:rowOff>133350</xdr:rowOff>
    </xdr:to>
    <xdr:pic>
      <xdr:nvPicPr>
        <xdr:cNvPr id="1265" name="Picture@5C\QPendientes@" descr="@5C\QPendientes@">
          <a:extLst>
            <a:ext uri="{FF2B5EF4-FFF2-40B4-BE49-F238E27FC236}">
              <a16:creationId xmlns:a16="http://schemas.microsoft.com/office/drawing/2014/main" id="{C05C039D-48B1-4947-8E7C-DF08B694C7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45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</xdr:row>
      <xdr:rowOff>0</xdr:rowOff>
    </xdr:from>
    <xdr:to>
      <xdr:col>0</xdr:col>
      <xdr:colOff>171450</xdr:colOff>
      <xdr:row>173</xdr:row>
      <xdr:rowOff>133350</xdr:rowOff>
    </xdr:to>
    <xdr:pic>
      <xdr:nvPicPr>
        <xdr:cNvPr id="1266" name="Picture@5C\QPendientes@" descr="@5C\QPendientes@">
          <a:extLst>
            <a:ext uri="{FF2B5EF4-FFF2-40B4-BE49-F238E27FC236}">
              <a16:creationId xmlns:a16="http://schemas.microsoft.com/office/drawing/2014/main" id="{D62E2F6A-6186-4963-9AFB-60DF2D8FB1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63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</xdr:row>
      <xdr:rowOff>0</xdr:rowOff>
    </xdr:from>
    <xdr:to>
      <xdr:col>0</xdr:col>
      <xdr:colOff>171450</xdr:colOff>
      <xdr:row>174</xdr:row>
      <xdr:rowOff>133350</xdr:rowOff>
    </xdr:to>
    <xdr:pic>
      <xdr:nvPicPr>
        <xdr:cNvPr id="1267" name="Picture@5C\QPendientes@" descr="@5C\QPendientes@">
          <a:extLst>
            <a:ext uri="{FF2B5EF4-FFF2-40B4-BE49-F238E27FC236}">
              <a16:creationId xmlns:a16="http://schemas.microsoft.com/office/drawing/2014/main" id="{4A38DB7B-0061-4536-BBCB-3FD9D1FA95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82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</xdr:row>
      <xdr:rowOff>0</xdr:rowOff>
    </xdr:from>
    <xdr:to>
      <xdr:col>0</xdr:col>
      <xdr:colOff>171450</xdr:colOff>
      <xdr:row>175</xdr:row>
      <xdr:rowOff>133350</xdr:rowOff>
    </xdr:to>
    <xdr:pic>
      <xdr:nvPicPr>
        <xdr:cNvPr id="1268" name="Picture@5C\QPendientes@" descr="@5C\QPendientes@">
          <a:extLst>
            <a:ext uri="{FF2B5EF4-FFF2-40B4-BE49-F238E27FC236}">
              <a16:creationId xmlns:a16="http://schemas.microsoft.com/office/drawing/2014/main" id="{425440E3-FD90-46CC-916D-40577065FC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00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</xdr:row>
      <xdr:rowOff>0</xdr:rowOff>
    </xdr:from>
    <xdr:to>
      <xdr:col>0</xdr:col>
      <xdr:colOff>171450</xdr:colOff>
      <xdr:row>176</xdr:row>
      <xdr:rowOff>133350</xdr:rowOff>
    </xdr:to>
    <xdr:pic>
      <xdr:nvPicPr>
        <xdr:cNvPr id="1269" name="Picture@5C\QPendientes@" descr="@5C\QPendientes@">
          <a:extLst>
            <a:ext uri="{FF2B5EF4-FFF2-40B4-BE49-F238E27FC236}">
              <a16:creationId xmlns:a16="http://schemas.microsoft.com/office/drawing/2014/main" id="{638656DF-1A17-4D1F-8181-EC3D0B9404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18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</xdr:row>
      <xdr:rowOff>0</xdr:rowOff>
    </xdr:from>
    <xdr:to>
      <xdr:col>0</xdr:col>
      <xdr:colOff>171450</xdr:colOff>
      <xdr:row>177</xdr:row>
      <xdr:rowOff>133350</xdr:rowOff>
    </xdr:to>
    <xdr:pic>
      <xdr:nvPicPr>
        <xdr:cNvPr id="1270" name="Picture@5C\QPendientes@" descr="@5C\QPendientes@">
          <a:extLst>
            <a:ext uri="{FF2B5EF4-FFF2-40B4-BE49-F238E27FC236}">
              <a16:creationId xmlns:a16="http://schemas.microsoft.com/office/drawing/2014/main" id="{22714FA9-BDB0-44F4-8ABB-EDC618463A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36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</xdr:row>
      <xdr:rowOff>0</xdr:rowOff>
    </xdr:from>
    <xdr:to>
      <xdr:col>0</xdr:col>
      <xdr:colOff>171450</xdr:colOff>
      <xdr:row>178</xdr:row>
      <xdr:rowOff>133350</xdr:rowOff>
    </xdr:to>
    <xdr:pic>
      <xdr:nvPicPr>
        <xdr:cNvPr id="1271" name="Picture@5C\QPendientes@" descr="@5C\QPendientes@">
          <a:extLst>
            <a:ext uri="{FF2B5EF4-FFF2-40B4-BE49-F238E27FC236}">
              <a16:creationId xmlns:a16="http://schemas.microsoft.com/office/drawing/2014/main" id="{B4D969D1-3A3B-4B6A-A2C3-AA052837D9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55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</xdr:row>
      <xdr:rowOff>0</xdr:rowOff>
    </xdr:from>
    <xdr:to>
      <xdr:col>0</xdr:col>
      <xdr:colOff>171450</xdr:colOff>
      <xdr:row>179</xdr:row>
      <xdr:rowOff>133350</xdr:rowOff>
    </xdr:to>
    <xdr:pic>
      <xdr:nvPicPr>
        <xdr:cNvPr id="1272" name="Picture@5C\QPendientes@" descr="@5C\QPendientes@">
          <a:extLst>
            <a:ext uri="{FF2B5EF4-FFF2-40B4-BE49-F238E27FC236}">
              <a16:creationId xmlns:a16="http://schemas.microsoft.com/office/drawing/2014/main" id="{6B8913A5-C890-446E-9A8E-9D89C10EB5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73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</xdr:row>
      <xdr:rowOff>0</xdr:rowOff>
    </xdr:from>
    <xdr:to>
      <xdr:col>0</xdr:col>
      <xdr:colOff>171450</xdr:colOff>
      <xdr:row>180</xdr:row>
      <xdr:rowOff>133350</xdr:rowOff>
    </xdr:to>
    <xdr:pic>
      <xdr:nvPicPr>
        <xdr:cNvPr id="1273" name="Picture@5C\QPendientes@" descr="@5C\QPendientes@">
          <a:extLst>
            <a:ext uri="{FF2B5EF4-FFF2-40B4-BE49-F238E27FC236}">
              <a16:creationId xmlns:a16="http://schemas.microsoft.com/office/drawing/2014/main" id="{4390FA48-A23D-451B-86A5-86388B142B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91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</xdr:row>
      <xdr:rowOff>0</xdr:rowOff>
    </xdr:from>
    <xdr:to>
      <xdr:col>0</xdr:col>
      <xdr:colOff>171450</xdr:colOff>
      <xdr:row>181</xdr:row>
      <xdr:rowOff>133350</xdr:rowOff>
    </xdr:to>
    <xdr:pic>
      <xdr:nvPicPr>
        <xdr:cNvPr id="1274" name="Picture@5C\QPendientes@" descr="@5C\QPendientes@">
          <a:extLst>
            <a:ext uri="{FF2B5EF4-FFF2-40B4-BE49-F238E27FC236}">
              <a16:creationId xmlns:a16="http://schemas.microsoft.com/office/drawing/2014/main" id="{3C431C84-02B1-42C1-8BC0-4B8BD25073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10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</xdr:row>
      <xdr:rowOff>0</xdr:rowOff>
    </xdr:from>
    <xdr:to>
      <xdr:col>0</xdr:col>
      <xdr:colOff>171450</xdr:colOff>
      <xdr:row>182</xdr:row>
      <xdr:rowOff>133350</xdr:rowOff>
    </xdr:to>
    <xdr:pic>
      <xdr:nvPicPr>
        <xdr:cNvPr id="1275" name="Picture@5C\QPendientes@" descr="@5C\QPendientes@">
          <a:extLst>
            <a:ext uri="{FF2B5EF4-FFF2-40B4-BE49-F238E27FC236}">
              <a16:creationId xmlns:a16="http://schemas.microsoft.com/office/drawing/2014/main" id="{92630605-E4BD-4853-A701-6A2AB2A6C9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28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</xdr:row>
      <xdr:rowOff>0</xdr:rowOff>
    </xdr:from>
    <xdr:to>
      <xdr:col>0</xdr:col>
      <xdr:colOff>171450</xdr:colOff>
      <xdr:row>183</xdr:row>
      <xdr:rowOff>133350</xdr:rowOff>
    </xdr:to>
    <xdr:pic>
      <xdr:nvPicPr>
        <xdr:cNvPr id="1276" name="Picture@5C\QPendientes@" descr="@5C\QPendientes@">
          <a:extLst>
            <a:ext uri="{FF2B5EF4-FFF2-40B4-BE49-F238E27FC236}">
              <a16:creationId xmlns:a16="http://schemas.microsoft.com/office/drawing/2014/main" id="{FBD73569-3034-4017-8E9E-E9E0D09C46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46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</xdr:row>
      <xdr:rowOff>0</xdr:rowOff>
    </xdr:from>
    <xdr:to>
      <xdr:col>0</xdr:col>
      <xdr:colOff>171450</xdr:colOff>
      <xdr:row>184</xdr:row>
      <xdr:rowOff>133350</xdr:rowOff>
    </xdr:to>
    <xdr:pic>
      <xdr:nvPicPr>
        <xdr:cNvPr id="1277" name="Picture@5C\QPendientes@" descr="@5C\QPendientes@">
          <a:extLst>
            <a:ext uri="{FF2B5EF4-FFF2-40B4-BE49-F238E27FC236}">
              <a16:creationId xmlns:a16="http://schemas.microsoft.com/office/drawing/2014/main" id="{B43BB363-9277-4139-AA7F-5BEFB8FD95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64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</xdr:row>
      <xdr:rowOff>0</xdr:rowOff>
    </xdr:from>
    <xdr:to>
      <xdr:col>0</xdr:col>
      <xdr:colOff>171450</xdr:colOff>
      <xdr:row>185</xdr:row>
      <xdr:rowOff>133350</xdr:rowOff>
    </xdr:to>
    <xdr:pic>
      <xdr:nvPicPr>
        <xdr:cNvPr id="1278" name="Picture@5C\QPendientes@" descr="@5C\QPendientes@">
          <a:extLst>
            <a:ext uri="{FF2B5EF4-FFF2-40B4-BE49-F238E27FC236}">
              <a16:creationId xmlns:a16="http://schemas.microsoft.com/office/drawing/2014/main" id="{1AD13BDD-7859-468E-A0C5-4EF37C454D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83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</xdr:row>
      <xdr:rowOff>0</xdr:rowOff>
    </xdr:from>
    <xdr:to>
      <xdr:col>0</xdr:col>
      <xdr:colOff>171450</xdr:colOff>
      <xdr:row>186</xdr:row>
      <xdr:rowOff>133350</xdr:rowOff>
    </xdr:to>
    <xdr:pic>
      <xdr:nvPicPr>
        <xdr:cNvPr id="1279" name="Picture@5C\QPendientes@" descr="@5C\QPendientes@">
          <a:extLst>
            <a:ext uri="{FF2B5EF4-FFF2-40B4-BE49-F238E27FC236}">
              <a16:creationId xmlns:a16="http://schemas.microsoft.com/office/drawing/2014/main" id="{D0527C33-9D1E-4425-BE4D-E3CD2CAA05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01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</xdr:row>
      <xdr:rowOff>0</xdr:rowOff>
    </xdr:from>
    <xdr:to>
      <xdr:col>0</xdr:col>
      <xdr:colOff>171450</xdr:colOff>
      <xdr:row>187</xdr:row>
      <xdr:rowOff>133350</xdr:rowOff>
    </xdr:to>
    <xdr:pic>
      <xdr:nvPicPr>
        <xdr:cNvPr id="1280" name="Picture@5C\QPendientes@" descr="@5C\QPendientes@">
          <a:extLst>
            <a:ext uri="{FF2B5EF4-FFF2-40B4-BE49-F238E27FC236}">
              <a16:creationId xmlns:a16="http://schemas.microsoft.com/office/drawing/2014/main" id="{8038B8A7-9FA5-4977-A21F-1527640496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19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</xdr:row>
      <xdr:rowOff>0</xdr:rowOff>
    </xdr:from>
    <xdr:to>
      <xdr:col>0</xdr:col>
      <xdr:colOff>171450</xdr:colOff>
      <xdr:row>188</xdr:row>
      <xdr:rowOff>133350</xdr:rowOff>
    </xdr:to>
    <xdr:pic>
      <xdr:nvPicPr>
        <xdr:cNvPr id="1281" name="Picture@5C\QPendientes@" descr="@5C\QPendientes@">
          <a:extLst>
            <a:ext uri="{FF2B5EF4-FFF2-40B4-BE49-F238E27FC236}">
              <a16:creationId xmlns:a16="http://schemas.microsoft.com/office/drawing/2014/main" id="{43658A8B-C735-42AA-8CFA-69B341A915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38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</xdr:row>
      <xdr:rowOff>0</xdr:rowOff>
    </xdr:from>
    <xdr:to>
      <xdr:col>0</xdr:col>
      <xdr:colOff>171450</xdr:colOff>
      <xdr:row>189</xdr:row>
      <xdr:rowOff>133350</xdr:rowOff>
    </xdr:to>
    <xdr:pic>
      <xdr:nvPicPr>
        <xdr:cNvPr id="1282" name="Picture@5C\QPendientes@" descr="@5C\QPendientes@">
          <a:extLst>
            <a:ext uri="{FF2B5EF4-FFF2-40B4-BE49-F238E27FC236}">
              <a16:creationId xmlns:a16="http://schemas.microsoft.com/office/drawing/2014/main" id="{FCB38E43-596C-4026-ADC9-6D806FE658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56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</xdr:row>
      <xdr:rowOff>0</xdr:rowOff>
    </xdr:from>
    <xdr:to>
      <xdr:col>0</xdr:col>
      <xdr:colOff>171450</xdr:colOff>
      <xdr:row>190</xdr:row>
      <xdr:rowOff>133350</xdr:rowOff>
    </xdr:to>
    <xdr:pic>
      <xdr:nvPicPr>
        <xdr:cNvPr id="1283" name="Picture@5C\QPendientes@" descr="@5C\QPendientes@">
          <a:extLst>
            <a:ext uri="{FF2B5EF4-FFF2-40B4-BE49-F238E27FC236}">
              <a16:creationId xmlns:a16="http://schemas.microsoft.com/office/drawing/2014/main" id="{DCA4E7F8-49DB-4D0F-823B-69447F5D3B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74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</xdr:row>
      <xdr:rowOff>0</xdr:rowOff>
    </xdr:from>
    <xdr:to>
      <xdr:col>0</xdr:col>
      <xdr:colOff>171450</xdr:colOff>
      <xdr:row>191</xdr:row>
      <xdr:rowOff>133350</xdr:rowOff>
    </xdr:to>
    <xdr:pic>
      <xdr:nvPicPr>
        <xdr:cNvPr id="1284" name="Picture@5C\QPendientes@" descr="@5C\QPendientes@">
          <a:extLst>
            <a:ext uri="{FF2B5EF4-FFF2-40B4-BE49-F238E27FC236}">
              <a16:creationId xmlns:a16="http://schemas.microsoft.com/office/drawing/2014/main" id="{B31A7531-F60B-4DBB-81C8-A1DC32D601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93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</xdr:row>
      <xdr:rowOff>0</xdr:rowOff>
    </xdr:from>
    <xdr:to>
      <xdr:col>0</xdr:col>
      <xdr:colOff>171450</xdr:colOff>
      <xdr:row>192</xdr:row>
      <xdr:rowOff>133350</xdr:rowOff>
    </xdr:to>
    <xdr:pic>
      <xdr:nvPicPr>
        <xdr:cNvPr id="1285" name="Picture@5C\QPendientes@" descr="@5C\QPendientes@">
          <a:extLst>
            <a:ext uri="{FF2B5EF4-FFF2-40B4-BE49-F238E27FC236}">
              <a16:creationId xmlns:a16="http://schemas.microsoft.com/office/drawing/2014/main" id="{DB492304-8871-43CA-88F1-8C0D15EDD2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11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</xdr:row>
      <xdr:rowOff>0</xdr:rowOff>
    </xdr:from>
    <xdr:to>
      <xdr:col>0</xdr:col>
      <xdr:colOff>171450</xdr:colOff>
      <xdr:row>193</xdr:row>
      <xdr:rowOff>133350</xdr:rowOff>
    </xdr:to>
    <xdr:pic>
      <xdr:nvPicPr>
        <xdr:cNvPr id="1286" name="Picture@5C\QPendientes@" descr="@5C\QPendientes@">
          <a:extLst>
            <a:ext uri="{FF2B5EF4-FFF2-40B4-BE49-F238E27FC236}">
              <a16:creationId xmlns:a16="http://schemas.microsoft.com/office/drawing/2014/main" id="{D2639F75-3141-4EB7-87D3-69A74DC2C6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29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</xdr:row>
      <xdr:rowOff>0</xdr:rowOff>
    </xdr:from>
    <xdr:to>
      <xdr:col>0</xdr:col>
      <xdr:colOff>171450</xdr:colOff>
      <xdr:row>194</xdr:row>
      <xdr:rowOff>133350</xdr:rowOff>
    </xdr:to>
    <xdr:pic>
      <xdr:nvPicPr>
        <xdr:cNvPr id="1287" name="Picture@5C\QPendientes@" descr="@5C\QPendientes@">
          <a:extLst>
            <a:ext uri="{FF2B5EF4-FFF2-40B4-BE49-F238E27FC236}">
              <a16:creationId xmlns:a16="http://schemas.microsoft.com/office/drawing/2014/main" id="{03AC495E-36C2-43B7-8E4C-54A7D043DF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47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</xdr:row>
      <xdr:rowOff>0</xdr:rowOff>
    </xdr:from>
    <xdr:to>
      <xdr:col>0</xdr:col>
      <xdr:colOff>171450</xdr:colOff>
      <xdr:row>195</xdr:row>
      <xdr:rowOff>133350</xdr:rowOff>
    </xdr:to>
    <xdr:pic>
      <xdr:nvPicPr>
        <xdr:cNvPr id="1288" name="Picture@5C\QPendientes@" descr="@5C\QPendientes@">
          <a:extLst>
            <a:ext uri="{FF2B5EF4-FFF2-40B4-BE49-F238E27FC236}">
              <a16:creationId xmlns:a16="http://schemas.microsoft.com/office/drawing/2014/main" id="{CBC42A07-EAC1-4E39-8829-04E051F913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66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</xdr:row>
      <xdr:rowOff>0</xdr:rowOff>
    </xdr:from>
    <xdr:to>
      <xdr:col>0</xdr:col>
      <xdr:colOff>171450</xdr:colOff>
      <xdr:row>196</xdr:row>
      <xdr:rowOff>133350</xdr:rowOff>
    </xdr:to>
    <xdr:pic>
      <xdr:nvPicPr>
        <xdr:cNvPr id="1289" name="Picture@5C\QPendientes@" descr="@5C\QPendientes@">
          <a:extLst>
            <a:ext uri="{FF2B5EF4-FFF2-40B4-BE49-F238E27FC236}">
              <a16:creationId xmlns:a16="http://schemas.microsoft.com/office/drawing/2014/main" id="{CD57ABFC-2504-4C44-B627-9BDF4E079B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84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</xdr:row>
      <xdr:rowOff>0</xdr:rowOff>
    </xdr:from>
    <xdr:to>
      <xdr:col>0</xdr:col>
      <xdr:colOff>171450</xdr:colOff>
      <xdr:row>197</xdr:row>
      <xdr:rowOff>133350</xdr:rowOff>
    </xdr:to>
    <xdr:pic>
      <xdr:nvPicPr>
        <xdr:cNvPr id="1290" name="Picture@5C\QPendientes@" descr="@5C\QPendientes@">
          <a:extLst>
            <a:ext uri="{FF2B5EF4-FFF2-40B4-BE49-F238E27FC236}">
              <a16:creationId xmlns:a16="http://schemas.microsoft.com/office/drawing/2014/main" id="{9D0B3D6B-9ACA-4D9B-B18A-63E69402D0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02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</xdr:row>
      <xdr:rowOff>0</xdr:rowOff>
    </xdr:from>
    <xdr:to>
      <xdr:col>0</xdr:col>
      <xdr:colOff>171450</xdr:colOff>
      <xdr:row>198</xdr:row>
      <xdr:rowOff>133350</xdr:rowOff>
    </xdr:to>
    <xdr:pic>
      <xdr:nvPicPr>
        <xdr:cNvPr id="1291" name="Picture@5C\QPendientes@" descr="@5C\QPendientes@">
          <a:extLst>
            <a:ext uri="{FF2B5EF4-FFF2-40B4-BE49-F238E27FC236}">
              <a16:creationId xmlns:a16="http://schemas.microsoft.com/office/drawing/2014/main" id="{E9046496-FC19-469D-A719-4DECF7C92A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21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</xdr:row>
      <xdr:rowOff>0</xdr:rowOff>
    </xdr:from>
    <xdr:to>
      <xdr:col>0</xdr:col>
      <xdr:colOff>171450</xdr:colOff>
      <xdr:row>199</xdr:row>
      <xdr:rowOff>133350</xdr:rowOff>
    </xdr:to>
    <xdr:pic>
      <xdr:nvPicPr>
        <xdr:cNvPr id="1292" name="Picture@5C\QPendientes@" descr="@5C\QPendientes@">
          <a:extLst>
            <a:ext uri="{FF2B5EF4-FFF2-40B4-BE49-F238E27FC236}">
              <a16:creationId xmlns:a16="http://schemas.microsoft.com/office/drawing/2014/main" id="{91661923-417F-4C5C-8D2D-0AFB366FE4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39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</xdr:row>
      <xdr:rowOff>0</xdr:rowOff>
    </xdr:from>
    <xdr:to>
      <xdr:col>0</xdr:col>
      <xdr:colOff>171450</xdr:colOff>
      <xdr:row>200</xdr:row>
      <xdr:rowOff>133350</xdr:rowOff>
    </xdr:to>
    <xdr:pic>
      <xdr:nvPicPr>
        <xdr:cNvPr id="1293" name="Picture@5C\QPendientes@" descr="@5C\QPendientes@">
          <a:extLst>
            <a:ext uri="{FF2B5EF4-FFF2-40B4-BE49-F238E27FC236}">
              <a16:creationId xmlns:a16="http://schemas.microsoft.com/office/drawing/2014/main" id="{4E7BE353-172F-464E-9458-8BC4AD561C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57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</xdr:row>
      <xdr:rowOff>0</xdr:rowOff>
    </xdr:from>
    <xdr:to>
      <xdr:col>0</xdr:col>
      <xdr:colOff>171450</xdr:colOff>
      <xdr:row>201</xdr:row>
      <xdr:rowOff>133350</xdr:rowOff>
    </xdr:to>
    <xdr:pic>
      <xdr:nvPicPr>
        <xdr:cNvPr id="1294" name="Picture@5C\QPendientes@" descr="@5C\QPendientes@">
          <a:extLst>
            <a:ext uri="{FF2B5EF4-FFF2-40B4-BE49-F238E27FC236}">
              <a16:creationId xmlns:a16="http://schemas.microsoft.com/office/drawing/2014/main" id="{0A7E61C8-9967-49D9-B74D-FADBBEBB59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75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</xdr:row>
      <xdr:rowOff>0</xdr:rowOff>
    </xdr:from>
    <xdr:to>
      <xdr:col>0</xdr:col>
      <xdr:colOff>171450</xdr:colOff>
      <xdr:row>202</xdr:row>
      <xdr:rowOff>133350</xdr:rowOff>
    </xdr:to>
    <xdr:pic>
      <xdr:nvPicPr>
        <xdr:cNvPr id="1295" name="Picture@5C\QPendientes@" descr="@5C\QPendientes@">
          <a:extLst>
            <a:ext uri="{FF2B5EF4-FFF2-40B4-BE49-F238E27FC236}">
              <a16:creationId xmlns:a16="http://schemas.microsoft.com/office/drawing/2014/main" id="{688F9EA9-0417-421E-BA21-1A8373EB16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94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</xdr:row>
      <xdr:rowOff>0</xdr:rowOff>
    </xdr:from>
    <xdr:to>
      <xdr:col>0</xdr:col>
      <xdr:colOff>171450</xdr:colOff>
      <xdr:row>203</xdr:row>
      <xdr:rowOff>133350</xdr:rowOff>
    </xdr:to>
    <xdr:pic>
      <xdr:nvPicPr>
        <xdr:cNvPr id="1296" name="Picture@5C\QPendientes@" descr="@5C\QPendientes@">
          <a:extLst>
            <a:ext uri="{FF2B5EF4-FFF2-40B4-BE49-F238E27FC236}">
              <a16:creationId xmlns:a16="http://schemas.microsoft.com/office/drawing/2014/main" id="{058420E9-C041-4FFD-8992-D97743827A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12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</xdr:row>
      <xdr:rowOff>0</xdr:rowOff>
    </xdr:from>
    <xdr:to>
      <xdr:col>0</xdr:col>
      <xdr:colOff>171450</xdr:colOff>
      <xdr:row>204</xdr:row>
      <xdr:rowOff>133350</xdr:rowOff>
    </xdr:to>
    <xdr:pic>
      <xdr:nvPicPr>
        <xdr:cNvPr id="1297" name="Picture@5C\QPendientes@" descr="@5C\QPendientes@">
          <a:extLst>
            <a:ext uri="{FF2B5EF4-FFF2-40B4-BE49-F238E27FC236}">
              <a16:creationId xmlns:a16="http://schemas.microsoft.com/office/drawing/2014/main" id="{074D6341-72D3-49D7-BFDA-F2AC367C47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30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</xdr:row>
      <xdr:rowOff>0</xdr:rowOff>
    </xdr:from>
    <xdr:to>
      <xdr:col>0</xdr:col>
      <xdr:colOff>171450</xdr:colOff>
      <xdr:row>205</xdr:row>
      <xdr:rowOff>133350</xdr:rowOff>
    </xdr:to>
    <xdr:pic>
      <xdr:nvPicPr>
        <xdr:cNvPr id="1298" name="Picture@5C\QPendientes@" descr="@5C\QPendientes@">
          <a:extLst>
            <a:ext uri="{FF2B5EF4-FFF2-40B4-BE49-F238E27FC236}">
              <a16:creationId xmlns:a16="http://schemas.microsoft.com/office/drawing/2014/main" id="{A5ECB5C4-AD88-4B77-BB41-F94E450F16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49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</xdr:row>
      <xdr:rowOff>0</xdr:rowOff>
    </xdr:from>
    <xdr:to>
      <xdr:col>0</xdr:col>
      <xdr:colOff>171450</xdr:colOff>
      <xdr:row>206</xdr:row>
      <xdr:rowOff>133350</xdr:rowOff>
    </xdr:to>
    <xdr:pic>
      <xdr:nvPicPr>
        <xdr:cNvPr id="1299" name="Picture@5C\QPendientes@" descr="@5C\QPendientes@">
          <a:extLst>
            <a:ext uri="{FF2B5EF4-FFF2-40B4-BE49-F238E27FC236}">
              <a16:creationId xmlns:a16="http://schemas.microsoft.com/office/drawing/2014/main" id="{840C4ACE-A795-4692-A868-C43D9ACEB7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67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</xdr:row>
      <xdr:rowOff>0</xdr:rowOff>
    </xdr:from>
    <xdr:to>
      <xdr:col>0</xdr:col>
      <xdr:colOff>171450</xdr:colOff>
      <xdr:row>207</xdr:row>
      <xdr:rowOff>133350</xdr:rowOff>
    </xdr:to>
    <xdr:pic>
      <xdr:nvPicPr>
        <xdr:cNvPr id="1300" name="Picture@5C\QPendientes@" descr="@5C\QPendientes@">
          <a:extLst>
            <a:ext uri="{FF2B5EF4-FFF2-40B4-BE49-F238E27FC236}">
              <a16:creationId xmlns:a16="http://schemas.microsoft.com/office/drawing/2014/main" id="{5442BA39-BCCD-40A3-B395-0C29A37C44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85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</xdr:row>
      <xdr:rowOff>0</xdr:rowOff>
    </xdr:from>
    <xdr:to>
      <xdr:col>0</xdr:col>
      <xdr:colOff>171450</xdr:colOff>
      <xdr:row>208</xdr:row>
      <xdr:rowOff>133350</xdr:rowOff>
    </xdr:to>
    <xdr:pic>
      <xdr:nvPicPr>
        <xdr:cNvPr id="1301" name="Picture@5C\QPendientes@" descr="@5C\QPendientes@">
          <a:extLst>
            <a:ext uri="{FF2B5EF4-FFF2-40B4-BE49-F238E27FC236}">
              <a16:creationId xmlns:a16="http://schemas.microsoft.com/office/drawing/2014/main" id="{EF1AFFC3-6D1E-464A-A355-D77517547E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03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</xdr:row>
      <xdr:rowOff>0</xdr:rowOff>
    </xdr:from>
    <xdr:to>
      <xdr:col>0</xdr:col>
      <xdr:colOff>171450</xdr:colOff>
      <xdr:row>209</xdr:row>
      <xdr:rowOff>133350</xdr:rowOff>
    </xdr:to>
    <xdr:pic>
      <xdr:nvPicPr>
        <xdr:cNvPr id="1302" name="Picture@5C\QPendientes@" descr="@5C\QPendientes@">
          <a:extLst>
            <a:ext uri="{FF2B5EF4-FFF2-40B4-BE49-F238E27FC236}">
              <a16:creationId xmlns:a16="http://schemas.microsoft.com/office/drawing/2014/main" id="{24878B14-5973-40C0-97FB-2938973489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22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</xdr:row>
      <xdr:rowOff>0</xdr:rowOff>
    </xdr:from>
    <xdr:to>
      <xdr:col>0</xdr:col>
      <xdr:colOff>171450</xdr:colOff>
      <xdr:row>210</xdr:row>
      <xdr:rowOff>133350</xdr:rowOff>
    </xdr:to>
    <xdr:pic>
      <xdr:nvPicPr>
        <xdr:cNvPr id="1303" name="Picture@5C\QPendientes@" descr="@5C\QPendientes@">
          <a:extLst>
            <a:ext uri="{FF2B5EF4-FFF2-40B4-BE49-F238E27FC236}">
              <a16:creationId xmlns:a16="http://schemas.microsoft.com/office/drawing/2014/main" id="{57B560E6-1019-493D-AE0E-0063D0F176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40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</xdr:row>
      <xdr:rowOff>0</xdr:rowOff>
    </xdr:from>
    <xdr:to>
      <xdr:col>0</xdr:col>
      <xdr:colOff>171450</xdr:colOff>
      <xdr:row>211</xdr:row>
      <xdr:rowOff>133350</xdr:rowOff>
    </xdr:to>
    <xdr:pic>
      <xdr:nvPicPr>
        <xdr:cNvPr id="1304" name="Picture@5C\QPendientes@" descr="@5C\QPendientes@">
          <a:extLst>
            <a:ext uri="{FF2B5EF4-FFF2-40B4-BE49-F238E27FC236}">
              <a16:creationId xmlns:a16="http://schemas.microsoft.com/office/drawing/2014/main" id="{337D22B8-D21F-45DC-877D-9549B6A351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58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</xdr:row>
      <xdr:rowOff>0</xdr:rowOff>
    </xdr:from>
    <xdr:to>
      <xdr:col>0</xdr:col>
      <xdr:colOff>171450</xdr:colOff>
      <xdr:row>212</xdr:row>
      <xdr:rowOff>133350</xdr:rowOff>
    </xdr:to>
    <xdr:pic>
      <xdr:nvPicPr>
        <xdr:cNvPr id="1305" name="Picture@5C\QPendientes@" descr="@5C\QPendientes@">
          <a:extLst>
            <a:ext uri="{FF2B5EF4-FFF2-40B4-BE49-F238E27FC236}">
              <a16:creationId xmlns:a16="http://schemas.microsoft.com/office/drawing/2014/main" id="{C3952734-5C45-4786-9DFF-2BCF32D08D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77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</xdr:row>
      <xdr:rowOff>0</xdr:rowOff>
    </xdr:from>
    <xdr:to>
      <xdr:col>0</xdr:col>
      <xdr:colOff>171450</xdr:colOff>
      <xdr:row>213</xdr:row>
      <xdr:rowOff>133350</xdr:rowOff>
    </xdr:to>
    <xdr:pic>
      <xdr:nvPicPr>
        <xdr:cNvPr id="1306" name="Picture@5C\QPendientes@" descr="@5C\QPendientes@">
          <a:extLst>
            <a:ext uri="{FF2B5EF4-FFF2-40B4-BE49-F238E27FC236}">
              <a16:creationId xmlns:a16="http://schemas.microsoft.com/office/drawing/2014/main" id="{72672AEB-9058-4D5E-BFE0-202976FEA8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95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</xdr:row>
      <xdr:rowOff>0</xdr:rowOff>
    </xdr:from>
    <xdr:to>
      <xdr:col>0</xdr:col>
      <xdr:colOff>171450</xdr:colOff>
      <xdr:row>214</xdr:row>
      <xdr:rowOff>133350</xdr:rowOff>
    </xdr:to>
    <xdr:pic>
      <xdr:nvPicPr>
        <xdr:cNvPr id="1307" name="Picture@5C\QPendientes@" descr="@5C\QPendientes@">
          <a:extLst>
            <a:ext uri="{FF2B5EF4-FFF2-40B4-BE49-F238E27FC236}">
              <a16:creationId xmlns:a16="http://schemas.microsoft.com/office/drawing/2014/main" id="{A0A41EF0-915A-4DC3-AEE1-738BE24AF5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13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5"/>
  <sheetViews>
    <sheetView tabSelected="1" workbookViewId="0">
      <pane ySplit="1" topLeftCell="A31" activePane="bottomLeft" state="frozen"/>
      <selection pane="bottomLeft" activeCell="G31" sqref="G31"/>
    </sheetView>
  </sheetViews>
  <sheetFormatPr baseColWidth="10" defaultColWidth="8.88671875" defaultRowHeight="14.4" x14ac:dyDescent="0.3"/>
  <cols>
    <col min="1" max="1" width="26" bestFit="1" customWidth="1"/>
    <col min="2" max="2" width="11" bestFit="1" customWidth="1"/>
    <col min="3" max="3" width="13" bestFit="1" customWidth="1"/>
    <col min="4" max="4" width="9" bestFit="1" customWidth="1"/>
    <col min="5" max="6" width="19" bestFit="1" customWidth="1"/>
    <col min="7" max="7" width="18" bestFit="1" customWidth="1"/>
    <col min="8" max="8" width="24" bestFit="1" customWidth="1"/>
    <col min="9" max="9" width="13" bestFit="1" customWidth="1"/>
    <col min="10" max="10" width="20" bestFit="1" customWidth="1"/>
    <col min="11" max="11" width="17" bestFit="1" customWidth="1"/>
    <col min="12" max="12" width="36" bestFit="1" customWidth="1"/>
    <col min="13" max="13" width="19" bestFit="1" customWidth="1"/>
    <col min="14" max="14" width="18" bestFit="1" customWidth="1"/>
    <col min="15" max="15" width="9" bestFit="1" customWidth="1"/>
    <col min="16" max="16" width="16" customWidth="1"/>
    <col min="17" max="17" width="19.5546875" style="7" customWidth="1"/>
    <col min="18" max="18" width="17.6640625" customWidth="1"/>
    <col min="19" max="19" width="42.88671875" customWidth="1"/>
    <col min="20" max="20" width="16.664062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252</v>
      </c>
      <c r="Q1" s="1" t="s">
        <v>253</v>
      </c>
      <c r="R1" s="1" t="s">
        <v>254</v>
      </c>
      <c r="S1" s="1" t="s">
        <v>255</v>
      </c>
      <c r="T1" t="s">
        <v>356</v>
      </c>
    </row>
    <row r="2" spans="1:20" x14ac:dyDescent="0.3">
      <c r="A2" s="2" t="s">
        <v>15</v>
      </c>
      <c r="B2" s="3" t="s">
        <v>15</v>
      </c>
      <c r="C2" s="3" t="s">
        <v>23</v>
      </c>
      <c r="D2" s="3" t="s">
        <v>15</v>
      </c>
      <c r="E2" s="3" t="s">
        <v>16</v>
      </c>
      <c r="F2" s="4">
        <v>46283</v>
      </c>
      <c r="G2" s="3" t="s">
        <v>17</v>
      </c>
      <c r="H2" s="5">
        <v>402804.5</v>
      </c>
      <c r="I2" s="3" t="s">
        <v>18</v>
      </c>
      <c r="J2" s="3" t="s">
        <v>24</v>
      </c>
      <c r="K2" s="3" t="s">
        <v>15</v>
      </c>
      <c r="L2" s="3" t="s">
        <v>20</v>
      </c>
      <c r="M2" s="4">
        <v>46283</v>
      </c>
      <c r="N2" s="3" t="s">
        <v>25</v>
      </c>
      <c r="O2" s="3" t="s">
        <v>22</v>
      </c>
      <c r="P2" t="str">
        <f>_xlfn.CONCAT(N2:O2)</f>
        <v>450012711610</v>
      </c>
      <c r="Q2" s="7" cm="1">
        <f t="array" ref="Q2:S2">VLOOKUP(P2,Hoja1!C:F,{2,3,4},FALSE)</f>
        <v>46210</v>
      </c>
      <c r="R2" t="str">
        <v>CGT</v>
      </c>
      <c r="S2" t="str">
        <v>1000001583 HELING S.A.</v>
      </c>
      <c r="T2" t="str">
        <f>VLOOKUP(P2,Hoja2!C:D,2,FALSE)</f>
        <v>WVENTURINI</v>
      </c>
    </row>
    <row r="3" spans="1:20" x14ac:dyDescent="0.3">
      <c r="A3" s="2" t="s">
        <v>15</v>
      </c>
      <c r="B3" s="3" t="s">
        <v>15</v>
      </c>
      <c r="C3" s="3" t="s">
        <v>23</v>
      </c>
      <c r="D3" s="3" t="s">
        <v>15</v>
      </c>
      <c r="E3" s="3" t="s">
        <v>16</v>
      </c>
      <c r="F3" s="4">
        <v>46283</v>
      </c>
      <c r="G3" s="3" t="s">
        <v>17</v>
      </c>
      <c r="H3" s="5">
        <v>50094</v>
      </c>
      <c r="I3" s="3" t="s">
        <v>18</v>
      </c>
      <c r="J3" s="3" t="s">
        <v>24</v>
      </c>
      <c r="K3" s="3" t="s">
        <v>15</v>
      </c>
      <c r="L3" s="3" t="s">
        <v>20</v>
      </c>
      <c r="M3" s="4">
        <v>46283</v>
      </c>
      <c r="N3" s="3" t="s">
        <v>26</v>
      </c>
      <c r="O3" s="3" t="s">
        <v>27</v>
      </c>
      <c r="P3" t="str">
        <f t="shared" ref="P3:P66" si="0">_xlfn.CONCAT(N3:O3)</f>
        <v>4500114743320</v>
      </c>
      <c r="Q3" s="7" cm="1">
        <f t="array" ref="Q3:S3">VLOOKUP(P3,Hoja1!C:F,{2,3,4},FALSE)</f>
        <v>46290</v>
      </c>
      <c r="R3" t="str">
        <v>CGT</v>
      </c>
      <c r="S3" t="str">
        <v>1000001583 HELING S.A.</v>
      </c>
      <c r="T3" t="str">
        <f>VLOOKUP(P3,Hoja2!C:D,2,FALSE)</f>
        <v>EFUNES</v>
      </c>
    </row>
    <row r="4" spans="1:20" x14ac:dyDescent="0.3">
      <c r="A4" s="2" t="s">
        <v>15</v>
      </c>
      <c r="B4" s="3" t="s">
        <v>15</v>
      </c>
      <c r="C4" s="3" t="s">
        <v>23</v>
      </c>
      <c r="D4" s="3" t="s">
        <v>15</v>
      </c>
      <c r="E4" s="3" t="s">
        <v>16</v>
      </c>
      <c r="F4" s="4">
        <v>46283</v>
      </c>
      <c r="G4" s="3" t="s">
        <v>17</v>
      </c>
      <c r="H4" s="5">
        <v>181130</v>
      </c>
      <c r="I4" s="3" t="s">
        <v>18</v>
      </c>
      <c r="J4" s="3" t="s">
        <v>24</v>
      </c>
      <c r="K4" s="3" t="s">
        <v>15</v>
      </c>
      <c r="L4" s="3" t="s">
        <v>20</v>
      </c>
      <c r="M4" s="4">
        <v>46283</v>
      </c>
      <c r="N4" s="3" t="s">
        <v>26</v>
      </c>
      <c r="O4" s="3" t="s">
        <v>28</v>
      </c>
      <c r="P4" t="str">
        <f t="shared" si="0"/>
        <v>4500114743330</v>
      </c>
      <c r="Q4" s="7" cm="1">
        <f t="array" ref="Q4:S4">VLOOKUP(P4,Hoja1!C:F,{2,3,4},FALSE)</f>
        <v>46301</v>
      </c>
      <c r="R4" t="str">
        <v>CGT</v>
      </c>
      <c r="S4" t="str">
        <v>1000001583 HELING S.A.</v>
      </c>
      <c r="T4" t="str">
        <f>VLOOKUP(P4,Hoja2!C:D,2,FALSE)</f>
        <v>EFUNES</v>
      </c>
    </row>
    <row r="5" spans="1:20" x14ac:dyDescent="0.3">
      <c r="A5" s="2" t="s">
        <v>15</v>
      </c>
      <c r="B5" s="3" t="s">
        <v>15</v>
      </c>
      <c r="C5" s="3" t="s">
        <v>29</v>
      </c>
      <c r="D5" s="3" t="s">
        <v>15</v>
      </c>
      <c r="E5" s="3" t="s">
        <v>30</v>
      </c>
      <c r="F5" s="4">
        <v>46029</v>
      </c>
      <c r="G5" s="3" t="s">
        <v>17</v>
      </c>
      <c r="H5" s="5">
        <v>140530</v>
      </c>
      <c r="I5" s="3" t="s">
        <v>18</v>
      </c>
      <c r="J5" s="3" t="s">
        <v>24</v>
      </c>
      <c r="K5" s="3" t="s">
        <v>15</v>
      </c>
      <c r="L5" s="3" t="s">
        <v>20</v>
      </c>
      <c r="M5" s="4">
        <v>46029</v>
      </c>
      <c r="N5" s="3" t="s">
        <v>26</v>
      </c>
      <c r="O5" s="3" t="s">
        <v>22</v>
      </c>
      <c r="P5" t="str">
        <f t="shared" si="0"/>
        <v>450011474310</v>
      </c>
      <c r="Q5" s="7" cm="1">
        <f t="array" ref="Q5:S5">VLOOKUP(P5,Hoja1!C:F,{2,3,4},FALSE)</f>
        <v>46290</v>
      </c>
      <c r="R5" t="str">
        <v>CGT</v>
      </c>
      <c r="S5" t="str">
        <v>1000001583 HELING S.A.</v>
      </c>
      <c r="T5" t="str">
        <f>VLOOKUP(P5,Hoja2!C:D,2,FALSE)</f>
        <v>EFUNES</v>
      </c>
    </row>
    <row r="6" spans="1:20" x14ac:dyDescent="0.3">
      <c r="A6" s="2" t="s">
        <v>15</v>
      </c>
      <c r="B6" s="3" t="s">
        <v>15</v>
      </c>
      <c r="C6" s="3" t="s">
        <v>31</v>
      </c>
      <c r="D6" s="3" t="s">
        <v>15</v>
      </c>
      <c r="E6" s="3" t="s">
        <v>30</v>
      </c>
      <c r="F6" s="4">
        <v>46037</v>
      </c>
      <c r="G6" s="3" t="s">
        <v>17</v>
      </c>
      <c r="H6" s="5">
        <v>4388722</v>
      </c>
      <c r="I6" s="3" t="s">
        <v>18</v>
      </c>
      <c r="J6" s="3" t="s">
        <v>24</v>
      </c>
      <c r="K6" s="3" t="s">
        <v>15</v>
      </c>
      <c r="L6" s="3" t="s">
        <v>20</v>
      </c>
      <c r="M6" s="4">
        <v>46038</v>
      </c>
      <c r="N6" s="3" t="s">
        <v>26</v>
      </c>
      <c r="O6" s="3" t="s">
        <v>32</v>
      </c>
      <c r="P6" t="str">
        <f t="shared" si="0"/>
        <v>450011474340</v>
      </c>
      <c r="Q6" s="7" cm="1">
        <f t="array" ref="Q6:S6">VLOOKUP(P6,Hoja1!C:F,{2,3,4},FALSE)</f>
        <v>46290</v>
      </c>
      <c r="R6" t="str">
        <v>CGT</v>
      </c>
      <c r="S6" t="str">
        <v>1000001583 HELING S.A.</v>
      </c>
      <c r="T6" t="str">
        <f>VLOOKUP(P6,Hoja2!C:D,2,FALSE)</f>
        <v>EFUNES</v>
      </c>
    </row>
    <row r="7" spans="1:20" x14ac:dyDescent="0.3">
      <c r="A7" s="2" t="s">
        <v>15</v>
      </c>
      <c r="B7" s="3" t="s">
        <v>15</v>
      </c>
      <c r="C7" s="3" t="s">
        <v>31</v>
      </c>
      <c r="D7" s="3" t="s">
        <v>15</v>
      </c>
      <c r="E7" s="3" t="s">
        <v>30</v>
      </c>
      <c r="F7" s="4">
        <v>46037</v>
      </c>
      <c r="G7" s="3" t="s">
        <v>17</v>
      </c>
      <c r="H7" s="5">
        <v>1314105</v>
      </c>
      <c r="I7" s="3" t="s">
        <v>18</v>
      </c>
      <c r="J7" s="3" t="s">
        <v>24</v>
      </c>
      <c r="K7" s="3" t="s">
        <v>15</v>
      </c>
      <c r="L7" s="3" t="s">
        <v>20</v>
      </c>
      <c r="M7" s="4">
        <v>46038</v>
      </c>
      <c r="N7" s="3" t="s">
        <v>26</v>
      </c>
      <c r="O7" s="3" t="s">
        <v>33</v>
      </c>
      <c r="P7" t="str">
        <f t="shared" si="0"/>
        <v>4500114743270</v>
      </c>
      <c r="Q7" s="7" cm="1">
        <f t="array" ref="Q7:S7">VLOOKUP(P7,Hoja1!C:F,{2,3,4},FALSE)</f>
        <v>46290</v>
      </c>
      <c r="R7" t="str">
        <v>CGT</v>
      </c>
      <c r="S7" t="str">
        <v>1000001583 HELING S.A.</v>
      </c>
      <c r="T7" t="str">
        <f>VLOOKUP(P7,Hoja2!C:D,2,FALSE)</f>
        <v>EFUNES</v>
      </c>
    </row>
    <row r="8" spans="1:20" x14ac:dyDescent="0.3">
      <c r="A8" s="2" t="s">
        <v>15</v>
      </c>
      <c r="B8" s="3" t="s">
        <v>15</v>
      </c>
      <c r="C8" s="3" t="s">
        <v>34</v>
      </c>
      <c r="D8" s="3" t="s">
        <v>15</v>
      </c>
      <c r="E8" s="3" t="s">
        <v>30</v>
      </c>
      <c r="F8" s="4">
        <v>46057</v>
      </c>
      <c r="G8" s="3" t="s">
        <v>17</v>
      </c>
      <c r="H8" s="5">
        <v>245000</v>
      </c>
      <c r="I8" s="3" t="s">
        <v>18</v>
      </c>
      <c r="J8" s="3" t="s">
        <v>24</v>
      </c>
      <c r="K8" s="3" t="s">
        <v>15</v>
      </c>
      <c r="L8" s="3" t="s">
        <v>35</v>
      </c>
      <c r="M8" s="4">
        <v>46062</v>
      </c>
      <c r="N8" s="3" t="s">
        <v>36</v>
      </c>
      <c r="O8" s="3" t="s">
        <v>22</v>
      </c>
      <c r="P8" t="str">
        <f t="shared" si="0"/>
        <v>450011783110</v>
      </c>
      <c r="Q8" s="7" cm="1">
        <f t="array" ref="Q8:S8">VLOOKUP(P8,Hoja1!C:F,{2,3,4},FALSE)</f>
        <v>46056</v>
      </c>
      <c r="R8" t="str">
        <v>C27</v>
      </c>
      <c r="S8" t="str">
        <v>1000007611 ANTONIO B ATENOR E HIJOS S R L</v>
      </c>
      <c r="T8" t="str">
        <f>VLOOKUP(P8,Hoja2!C:D,2,FALSE)</f>
        <v>JESPARZA</v>
      </c>
    </row>
    <row r="9" spans="1:20" x14ac:dyDescent="0.3">
      <c r="A9" s="2" t="s">
        <v>15</v>
      </c>
      <c r="B9" s="3" t="s">
        <v>15</v>
      </c>
      <c r="C9" s="3" t="s">
        <v>37</v>
      </c>
      <c r="D9" s="3" t="s">
        <v>15</v>
      </c>
      <c r="E9" s="3" t="s">
        <v>30</v>
      </c>
      <c r="F9" s="4">
        <v>46083</v>
      </c>
      <c r="G9" s="3" t="s">
        <v>17</v>
      </c>
      <c r="H9" s="5">
        <v>4104100</v>
      </c>
      <c r="I9" s="3" t="s">
        <v>18</v>
      </c>
      <c r="J9" s="3" t="s">
        <v>24</v>
      </c>
      <c r="K9" s="3" t="s">
        <v>15</v>
      </c>
      <c r="L9" s="3" t="s">
        <v>20</v>
      </c>
      <c r="M9" s="4">
        <v>46083</v>
      </c>
      <c r="N9" s="3" t="s">
        <v>26</v>
      </c>
      <c r="O9" s="3" t="s">
        <v>32</v>
      </c>
      <c r="P9" t="str">
        <f t="shared" si="0"/>
        <v>450011474340</v>
      </c>
      <c r="Q9" s="7" cm="1">
        <f t="array" ref="Q9:S9">VLOOKUP(P9,Hoja1!C:F,{2,3,4},FALSE)</f>
        <v>46290</v>
      </c>
      <c r="R9" t="str">
        <v>CGT</v>
      </c>
      <c r="S9" t="str">
        <v>1000001583 HELING S.A.</v>
      </c>
      <c r="T9" t="str">
        <f>VLOOKUP(P9,Hoja2!C:D,2,FALSE)</f>
        <v>EFUNES</v>
      </c>
    </row>
    <row r="10" spans="1:20" x14ac:dyDescent="0.3">
      <c r="A10" s="2" t="s">
        <v>15</v>
      </c>
      <c r="B10" s="3" t="s">
        <v>15</v>
      </c>
      <c r="C10" s="3" t="s">
        <v>37</v>
      </c>
      <c r="D10" s="3" t="s">
        <v>15</v>
      </c>
      <c r="E10" s="3" t="s">
        <v>30</v>
      </c>
      <c r="F10" s="4">
        <v>46083</v>
      </c>
      <c r="G10" s="3" t="s">
        <v>17</v>
      </c>
      <c r="H10" s="5">
        <v>3693690</v>
      </c>
      <c r="I10" s="3" t="s">
        <v>18</v>
      </c>
      <c r="J10" s="3" t="s">
        <v>24</v>
      </c>
      <c r="K10" s="3" t="s">
        <v>15</v>
      </c>
      <c r="L10" s="3" t="s">
        <v>20</v>
      </c>
      <c r="M10" s="4">
        <v>46083</v>
      </c>
      <c r="N10" s="3" t="s">
        <v>26</v>
      </c>
      <c r="O10" s="3" t="s">
        <v>38</v>
      </c>
      <c r="P10" t="str">
        <f t="shared" si="0"/>
        <v>450011474350</v>
      </c>
      <c r="Q10" s="7" cm="1">
        <f t="array" ref="Q10:S10">VLOOKUP(P10,Hoja1!C:F,{2,3,4},FALSE)</f>
        <v>46290</v>
      </c>
      <c r="R10" t="str">
        <v>CGT</v>
      </c>
      <c r="S10" t="str">
        <v>1000001583 HELING S.A.</v>
      </c>
      <c r="T10" t="str">
        <f>VLOOKUP(P10,Hoja2!C:D,2,FALSE)</f>
        <v>EFUNES</v>
      </c>
    </row>
    <row r="11" spans="1:20" x14ac:dyDescent="0.3">
      <c r="A11" s="2" t="s">
        <v>15</v>
      </c>
      <c r="B11" s="3" t="s">
        <v>15</v>
      </c>
      <c r="C11" s="3" t="s">
        <v>37</v>
      </c>
      <c r="D11" s="3" t="s">
        <v>15</v>
      </c>
      <c r="E11" s="3" t="s">
        <v>30</v>
      </c>
      <c r="F11" s="4">
        <v>46083</v>
      </c>
      <c r="G11" s="3" t="s">
        <v>17</v>
      </c>
      <c r="H11" s="5">
        <v>783640</v>
      </c>
      <c r="I11" s="3" t="s">
        <v>18</v>
      </c>
      <c r="J11" s="3" t="s">
        <v>24</v>
      </c>
      <c r="K11" s="3" t="s">
        <v>15</v>
      </c>
      <c r="L11" s="3" t="s">
        <v>20</v>
      </c>
      <c r="M11" s="4">
        <v>46083</v>
      </c>
      <c r="N11" s="3" t="s">
        <v>26</v>
      </c>
      <c r="O11" s="3" t="s">
        <v>39</v>
      </c>
      <c r="P11" t="str">
        <f t="shared" si="0"/>
        <v>450011474330</v>
      </c>
      <c r="Q11" s="7" cm="1">
        <f t="array" ref="Q11:S11">VLOOKUP(P11,Hoja1!C:F,{2,3,4},FALSE)</f>
        <v>46290</v>
      </c>
      <c r="R11" t="str">
        <v>CGT</v>
      </c>
      <c r="S11" t="str">
        <v>1000001583 HELING S.A.</v>
      </c>
      <c r="T11" t="str">
        <f>VLOOKUP(P11,Hoja2!C:D,2,FALSE)</f>
        <v>EFUNES</v>
      </c>
    </row>
    <row r="12" spans="1:20" x14ac:dyDescent="0.3">
      <c r="A12" s="2" t="s">
        <v>15</v>
      </c>
      <c r="B12" s="3" t="s">
        <v>15</v>
      </c>
      <c r="C12" s="3" t="s">
        <v>37</v>
      </c>
      <c r="D12" s="3" t="s">
        <v>15</v>
      </c>
      <c r="E12" s="3" t="s">
        <v>30</v>
      </c>
      <c r="F12" s="4">
        <v>46083</v>
      </c>
      <c r="G12" s="3" t="s">
        <v>17</v>
      </c>
      <c r="H12" s="5">
        <v>1430</v>
      </c>
      <c r="I12" s="3" t="s">
        <v>18</v>
      </c>
      <c r="J12" s="3" t="s">
        <v>24</v>
      </c>
      <c r="K12" s="3" t="s">
        <v>15</v>
      </c>
      <c r="L12" s="3" t="s">
        <v>20</v>
      </c>
      <c r="M12" s="4">
        <v>46083</v>
      </c>
      <c r="N12" s="3" t="s">
        <v>26</v>
      </c>
      <c r="O12" s="3" t="s">
        <v>40</v>
      </c>
      <c r="P12" t="str">
        <f t="shared" si="0"/>
        <v>4500114743170</v>
      </c>
      <c r="Q12" s="7" cm="1">
        <f t="array" ref="Q12:S12">VLOOKUP(P12,Hoja1!C:F,{2,3,4},FALSE)</f>
        <v>46290</v>
      </c>
      <c r="R12" t="str">
        <v>CGT</v>
      </c>
      <c r="S12" t="str">
        <v>1000001583 HELING S.A.</v>
      </c>
      <c r="T12" t="str">
        <f>VLOOKUP(P12,Hoja2!C:D,2,FALSE)</f>
        <v>EFUNES</v>
      </c>
    </row>
    <row r="13" spans="1:20" x14ac:dyDescent="0.3">
      <c r="A13" s="2" t="s">
        <v>15</v>
      </c>
      <c r="B13" s="3" t="s">
        <v>15</v>
      </c>
      <c r="C13" s="3" t="s">
        <v>37</v>
      </c>
      <c r="D13" s="3" t="s">
        <v>15</v>
      </c>
      <c r="E13" s="3" t="s">
        <v>30</v>
      </c>
      <c r="F13" s="4">
        <v>46083</v>
      </c>
      <c r="G13" s="3" t="s">
        <v>17</v>
      </c>
      <c r="H13" s="5">
        <v>42900</v>
      </c>
      <c r="I13" s="3" t="s">
        <v>18</v>
      </c>
      <c r="J13" s="3" t="s">
        <v>24</v>
      </c>
      <c r="K13" s="3" t="s">
        <v>15</v>
      </c>
      <c r="L13" s="3" t="s">
        <v>20</v>
      </c>
      <c r="M13" s="4">
        <v>46083</v>
      </c>
      <c r="N13" s="3" t="s">
        <v>26</v>
      </c>
      <c r="O13" s="3" t="s">
        <v>41</v>
      </c>
      <c r="P13" t="str">
        <f t="shared" si="0"/>
        <v>4500114743480</v>
      </c>
      <c r="Q13" s="7" cm="1">
        <f t="array" ref="Q13:S13">VLOOKUP(P13,Hoja1!C:F,{2,3,4},FALSE)</f>
        <v>46290</v>
      </c>
      <c r="R13" t="str">
        <v>CGT</v>
      </c>
      <c r="S13" t="str">
        <v>1000001583 HELING S.A.</v>
      </c>
      <c r="T13" t="str">
        <f>VLOOKUP(P13,Hoja2!C:D,2,FALSE)</f>
        <v>EFUNES</v>
      </c>
    </row>
    <row r="14" spans="1:20" x14ac:dyDescent="0.3">
      <c r="A14" s="2" t="s">
        <v>15</v>
      </c>
      <c r="B14" s="3" t="s">
        <v>15</v>
      </c>
      <c r="C14" s="3" t="s">
        <v>37</v>
      </c>
      <c r="D14" s="3" t="s">
        <v>15</v>
      </c>
      <c r="E14" s="3" t="s">
        <v>30</v>
      </c>
      <c r="F14" s="4">
        <v>46083</v>
      </c>
      <c r="G14" s="3" t="s">
        <v>17</v>
      </c>
      <c r="H14" s="5">
        <v>1430</v>
      </c>
      <c r="I14" s="3" t="s">
        <v>18</v>
      </c>
      <c r="J14" s="3" t="s">
        <v>24</v>
      </c>
      <c r="K14" s="3" t="s">
        <v>15</v>
      </c>
      <c r="L14" s="3" t="s">
        <v>20</v>
      </c>
      <c r="M14" s="4">
        <v>46083</v>
      </c>
      <c r="N14" s="3" t="s">
        <v>26</v>
      </c>
      <c r="O14" s="3" t="s">
        <v>27</v>
      </c>
      <c r="P14" t="str">
        <f t="shared" si="0"/>
        <v>4500114743320</v>
      </c>
      <c r="Q14" s="7" cm="1">
        <f t="array" ref="Q14:S14">VLOOKUP(P14,Hoja1!C:F,{2,3,4},FALSE)</f>
        <v>46290</v>
      </c>
      <c r="R14" t="str">
        <v>CGT</v>
      </c>
      <c r="S14" t="str">
        <v>1000001583 HELING S.A.</v>
      </c>
      <c r="T14" t="str">
        <f>VLOOKUP(P14,Hoja2!C:D,2,FALSE)</f>
        <v>EFUNES</v>
      </c>
    </row>
    <row r="15" spans="1:20" x14ac:dyDescent="0.3">
      <c r="A15" s="2" t="s">
        <v>15</v>
      </c>
      <c r="B15" s="3" t="s">
        <v>15</v>
      </c>
      <c r="C15" s="3" t="s">
        <v>42</v>
      </c>
      <c r="D15" s="3" t="s">
        <v>43</v>
      </c>
      <c r="E15" s="3" t="s">
        <v>30</v>
      </c>
      <c r="F15" s="4">
        <v>46038</v>
      </c>
      <c r="G15" s="3" t="s">
        <v>17</v>
      </c>
      <c r="H15" s="5">
        <v>85148.23</v>
      </c>
      <c r="I15" s="3" t="s">
        <v>18</v>
      </c>
      <c r="J15" s="3" t="s">
        <v>24</v>
      </c>
      <c r="K15" s="3" t="s">
        <v>15</v>
      </c>
      <c r="L15" s="3" t="s">
        <v>44</v>
      </c>
      <c r="M15" s="4">
        <v>46118</v>
      </c>
      <c r="N15" s="3" t="s">
        <v>45</v>
      </c>
      <c r="O15" s="3" t="s">
        <v>22</v>
      </c>
      <c r="P15" t="str">
        <f t="shared" si="0"/>
        <v>450010951410</v>
      </c>
      <c r="Q15" s="7" cm="1">
        <f t="array" ref="Q15:S15">VLOOKUP(P15,Hoja1!C:F,{2,3,4},FALSE)</f>
        <v>46162</v>
      </c>
      <c r="R15" t="str">
        <v>C01</v>
      </c>
      <c r="S15" t="str">
        <v>1000008967 JACARANDA S.A.</v>
      </c>
      <c r="T15" t="str">
        <f>VLOOKUP(P15,Hoja2!C:D,2,FALSE)</f>
        <v>MMOHR</v>
      </c>
    </row>
    <row r="16" spans="1:20" x14ac:dyDescent="0.3">
      <c r="A16" s="2" t="s">
        <v>15</v>
      </c>
      <c r="B16" s="3" t="s">
        <v>15</v>
      </c>
      <c r="C16" s="3" t="s">
        <v>46</v>
      </c>
      <c r="D16" s="3" t="s">
        <v>15</v>
      </c>
      <c r="E16" s="3" t="s">
        <v>30</v>
      </c>
      <c r="F16" s="4">
        <v>46153</v>
      </c>
      <c r="G16" s="3" t="s">
        <v>17</v>
      </c>
      <c r="H16" s="5">
        <v>815080</v>
      </c>
      <c r="I16" s="3" t="s">
        <v>18</v>
      </c>
      <c r="J16" s="3" t="s">
        <v>24</v>
      </c>
      <c r="K16" s="3" t="s">
        <v>15</v>
      </c>
      <c r="L16" s="3" t="s">
        <v>20</v>
      </c>
      <c r="M16" s="4">
        <v>46153</v>
      </c>
      <c r="N16" s="3" t="s">
        <v>47</v>
      </c>
      <c r="O16" s="3" t="s">
        <v>48</v>
      </c>
      <c r="P16" t="str">
        <f t="shared" si="0"/>
        <v>450012729520</v>
      </c>
      <c r="Q16" s="7" cm="1">
        <f t="array" ref="Q16:S16">VLOOKUP(P16,Hoja1!C:F,{2,3,4},FALSE)</f>
        <v>46301</v>
      </c>
      <c r="R16" t="str">
        <v>CGT</v>
      </c>
      <c r="S16" t="str">
        <v>1000001583 HELING S.A.</v>
      </c>
      <c r="T16" t="str">
        <f>VLOOKUP(P16,Hoja2!C:D,2,FALSE)</f>
        <v>WVENTURINI</v>
      </c>
    </row>
    <row r="17" spans="1:20" x14ac:dyDescent="0.3">
      <c r="A17" s="2" t="s">
        <v>15</v>
      </c>
      <c r="B17" s="3" t="s">
        <v>15</v>
      </c>
      <c r="C17" s="3" t="s">
        <v>49</v>
      </c>
      <c r="D17" s="3" t="s">
        <v>43</v>
      </c>
      <c r="E17" s="3" t="s">
        <v>30</v>
      </c>
      <c r="F17" s="4">
        <v>46149</v>
      </c>
      <c r="G17" s="3" t="s">
        <v>50</v>
      </c>
      <c r="H17" s="6">
        <v>-350000</v>
      </c>
      <c r="I17" s="3" t="s">
        <v>18</v>
      </c>
      <c r="J17" s="3" t="s">
        <v>24</v>
      </c>
      <c r="K17" s="3" t="s">
        <v>15</v>
      </c>
      <c r="L17" s="3" t="s">
        <v>51</v>
      </c>
      <c r="M17" s="4">
        <v>46184</v>
      </c>
      <c r="N17" s="3" t="s">
        <v>52</v>
      </c>
      <c r="O17" s="3" t="s">
        <v>22</v>
      </c>
      <c r="P17" t="str">
        <f t="shared" si="0"/>
        <v>450012695410</v>
      </c>
      <c r="Q17" s="7" cm="1">
        <f t="array" ref="Q17:S17">VLOOKUP(P17,Hoja1!C:F,{2,3,4},FALSE)</f>
        <v>46169</v>
      </c>
      <c r="R17" t="str">
        <v>C01</v>
      </c>
      <c r="S17" t="str">
        <v>1000001560 MARADONA PRADO ISABEL MARGARIT</v>
      </c>
      <c r="T17" t="str">
        <f>VLOOKUP(P17,Hoja2!C:D,2,FALSE)</f>
        <v>AZAPANA</v>
      </c>
    </row>
    <row r="18" spans="1:20" x14ac:dyDescent="0.3">
      <c r="A18" s="2" t="s">
        <v>15</v>
      </c>
      <c r="B18" s="3" t="s">
        <v>15</v>
      </c>
      <c r="C18" s="3" t="s">
        <v>49</v>
      </c>
      <c r="D18" s="3" t="s">
        <v>43</v>
      </c>
      <c r="E18" s="3" t="s">
        <v>30</v>
      </c>
      <c r="F18" s="4">
        <v>46149</v>
      </c>
      <c r="G18" s="3" t="s">
        <v>50</v>
      </c>
      <c r="H18" s="6">
        <v>-560000</v>
      </c>
      <c r="I18" s="3" t="s">
        <v>18</v>
      </c>
      <c r="J18" s="3" t="s">
        <v>24</v>
      </c>
      <c r="K18" s="3" t="s">
        <v>15</v>
      </c>
      <c r="L18" s="3" t="s">
        <v>51</v>
      </c>
      <c r="M18" s="4">
        <v>46184</v>
      </c>
      <c r="N18" s="3" t="s">
        <v>52</v>
      </c>
      <c r="O18" s="3" t="s">
        <v>48</v>
      </c>
      <c r="P18" t="str">
        <f t="shared" si="0"/>
        <v>450012695420</v>
      </c>
      <c r="Q18" s="7" cm="1">
        <f t="array" ref="Q18:S18">VLOOKUP(P18,Hoja1!C:F,{2,3,4},FALSE)</f>
        <v>46169</v>
      </c>
      <c r="R18" t="str">
        <v>C01</v>
      </c>
      <c r="S18" t="str">
        <v>1000001560 MARADONA PRADO ISABEL MARGARIT</v>
      </c>
      <c r="T18" t="str">
        <f>VLOOKUP(P18,Hoja2!C:D,2,FALSE)</f>
        <v>AZAPANA</v>
      </c>
    </row>
    <row r="19" spans="1:20" x14ac:dyDescent="0.3">
      <c r="A19" s="2" t="s">
        <v>15</v>
      </c>
      <c r="B19" s="3" t="s">
        <v>15</v>
      </c>
      <c r="C19" s="3" t="s">
        <v>53</v>
      </c>
      <c r="D19" s="3" t="s">
        <v>43</v>
      </c>
      <c r="E19" s="3" t="s">
        <v>30</v>
      </c>
      <c r="F19" s="4">
        <v>46205</v>
      </c>
      <c r="G19" s="3" t="s">
        <v>17</v>
      </c>
      <c r="H19" s="5">
        <v>411800</v>
      </c>
      <c r="I19" s="3" t="s">
        <v>18</v>
      </c>
      <c r="J19" s="3" t="s">
        <v>19</v>
      </c>
      <c r="K19" s="3" t="s">
        <v>15</v>
      </c>
      <c r="L19" s="3" t="s">
        <v>54</v>
      </c>
      <c r="M19" s="4">
        <v>46209</v>
      </c>
      <c r="N19" s="3" t="s">
        <v>55</v>
      </c>
      <c r="O19" s="3" t="s">
        <v>22</v>
      </c>
      <c r="P19" t="str">
        <f t="shared" si="0"/>
        <v>450012326210</v>
      </c>
      <c r="Q19" s="7" cm="1">
        <f t="array" ref="Q19:S19">VLOOKUP(P19,Hoja1!C:F,{2,3,4},FALSE)</f>
        <v>46233</v>
      </c>
      <c r="R19" t="str">
        <v>C25</v>
      </c>
      <c r="S19" t="str">
        <v>1000012132 PRODUCTOS SERVICIOS Y DISTRIBUCIONE</v>
      </c>
      <c r="T19" t="str">
        <f>VLOOKUP(P19,Hoja2!C:D,2,FALSE)</f>
        <v>MPITTIA</v>
      </c>
    </row>
    <row r="20" spans="1:20" x14ac:dyDescent="0.3">
      <c r="A20" s="2" t="s">
        <v>15</v>
      </c>
      <c r="B20" s="3" t="s">
        <v>15</v>
      </c>
      <c r="C20" s="3" t="s">
        <v>56</v>
      </c>
      <c r="D20" s="3" t="s">
        <v>43</v>
      </c>
      <c r="E20" s="3" t="s">
        <v>30</v>
      </c>
      <c r="F20" s="4">
        <v>46219</v>
      </c>
      <c r="G20" s="3" t="s">
        <v>17</v>
      </c>
      <c r="H20" s="5">
        <v>118860</v>
      </c>
      <c r="I20" s="3" t="s">
        <v>18</v>
      </c>
      <c r="J20" s="3" t="s">
        <v>24</v>
      </c>
      <c r="K20" s="3" t="s">
        <v>15</v>
      </c>
      <c r="L20" s="3" t="s">
        <v>44</v>
      </c>
      <c r="M20" s="4">
        <v>46232</v>
      </c>
      <c r="N20" s="3" t="s">
        <v>57</v>
      </c>
      <c r="O20" s="3" t="s">
        <v>22</v>
      </c>
      <c r="P20" t="str">
        <f t="shared" si="0"/>
        <v>450012303610</v>
      </c>
      <c r="Q20" s="7" cm="1">
        <f t="array" ref="Q20:S20">VLOOKUP(P20,Hoja1!C:F,{2,3,4},FALSE)</f>
        <v>46282</v>
      </c>
      <c r="R20" t="str">
        <v>C01</v>
      </c>
      <c r="S20" t="str">
        <v>1000008967 JACARANDA S.A.</v>
      </c>
      <c r="T20" t="str">
        <f>VLOOKUP(P20,Hoja2!C:D,2,FALSE)</f>
        <v>GLUNA</v>
      </c>
    </row>
    <row r="21" spans="1:20" x14ac:dyDescent="0.3">
      <c r="A21" s="2" t="s">
        <v>15</v>
      </c>
      <c r="B21" s="3" t="s">
        <v>15</v>
      </c>
      <c r="C21" s="3" t="s">
        <v>60</v>
      </c>
      <c r="D21" s="3" t="s">
        <v>43</v>
      </c>
      <c r="E21" s="3" t="s">
        <v>30</v>
      </c>
      <c r="F21" s="4">
        <v>46266</v>
      </c>
      <c r="G21" s="3" t="s">
        <v>17</v>
      </c>
      <c r="H21" s="5">
        <v>1582519.68</v>
      </c>
      <c r="I21" s="3" t="s">
        <v>18</v>
      </c>
      <c r="J21" s="3" t="s">
        <v>19</v>
      </c>
      <c r="K21" s="3" t="s">
        <v>15</v>
      </c>
      <c r="L21" s="3" t="s">
        <v>58</v>
      </c>
      <c r="M21" s="4">
        <v>46273</v>
      </c>
      <c r="N21" s="3" t="s">
        <v>61</v>
      </c>
      <c r="O21" s="3" t="s">
        <v>22</v>
      </c>
      <c r="P21" t="str">
        <f t="shared" si="0"/>
        <v>450013722710</v>
      </c>
      <c r="Q21" s="7" cm="1">
        <f t="array" ref="Q21:S21">VLOOKUP(P21,Hoja1!C:F,{2,3,4},FALSE)</f>
        <v>46325</v>
      </c>
      <c r="R21" t="str">
        <v>C25</v>
      </c>
      <c r="S21" t="str">
        <v>1000012097 TRANSPORTE TMS S. A. S.</v>
      </c>
      <c r="T21" t="str">
        <f>VLOOKUP(P21,Hoja2!C:D,2,FALSE)</f>
        <v>MPITTIA</v>
      </c>
    </row>
    <row r="22" spans="1:20" x14ac:dyDescent="0.3">
      <c r="A22" s="2" t="s">
        <v>15</v>
      </c>
      <c r="B22" s="3" t="s">
        <v>15</v>
      </c>
      <c r="C22" s="3" t="s">
        <v>62</v>
      </c>
      <c r="D22" s="3" t="s">
        <v>43</v>
      </c>
      <c r="E22" s="3" t="s">
        <v>30</v>
      </c>
      <c r="F22" s="4">
        <v>46265</v>
      </c>
      <c r="G22" s="3" t="s">
        <v>17</v>
      </c>
      <c r="H22" s="5">
        <v>19810</v>
      </c>
      <c r="I22" s="3" t="s">
        <v>18</v>
      </c>
      <c r="J22" s="3" t="s">
        <v>24</v>
      </c>
      <c r="K22" s="3" t="s">
        <v>15</v>
      </c>
      <c r="L22" s="3" t="s">
        <v>44</v>
      </c>
      <c r="M22" s="4">
        <v>46286</v>
      </c>
      <c r="N22" s="3" t="s">
        <v>57</v>
      </c>
      <c r="O22" s="3" t="s">
        <v>22</v>
      </c>
      <c r="P22" t="str">
        <f t="shared" si="0"/>
        <v>450012303610</v>
      </c>
      <c r="Q22" s="7" cm="1">
        <f t="array" ref="Q22:S22">VLOOKUP(P22,Hoja1!C:F,{2,3,4},FALSE)</f>
        <v>46282</v>
      </c>
      <c r="R22" t="str">
        <v>C01</v>
      </c>
      <c r="S22" t="str">
        <v>1000008967 JACARANDA S.A.</v>
      </c>
      <c r="T22" t="str">
        <f>VLOOKUP(P22,Hoja2!C:D,2,FALSE)</f>
        <v>GLUNA</v>
      </c>
    </row>
    <row r="23" spans="1:20" x14ac:dyDescent="0.3">
      <c r="A23" s="2" t="s">
        <v>15</v>
      </c>
      <c r="B23" s="3" t="s">
        <v>15</v>
      </c>
      <c r="C23" s="3" t="s">
        <v>396</v>
      </c>
      <c r="D23" s="3" t="s">
        <v>15</v>
      </c>
      <c r="E23" s="3" t="s">
        <v>30</v>
      </c>
      <c r="F23" s="4">
        <v>46275</v>
      </c>
      <c r="G23" s="3" t="s">
        <v>50</v>
      </c>
      <c r="H23" s="6">
        <v>-126446.84</v>
      </c>
      <c r="I23" s="3" t="s">
        <v>18</v>
      </c>
      <c r="J23" s="3" t="s">
        <v>24</v>
      </c>
      <c r="K23" s="3" t="s">
        <v>15</v>
      </c>
      <c r="L23" s="3" t="s">
        <v>80</v>
      </c>
      <c r="M23" s="4">
        <v>46287</v>
      </c>
      <c r="N23" s="3" t="s">
        <v>397</v>
      </c>
      <c r="O23" s="3" t="s">
        <v>22</v>
      </c>
      <c r="P23" t="str">
        <f t="shared" si="0"/>
        <v>450013892310</v>
      </c>
      <c r="Q23" s="7" cm="1">
        <f t="array" ref="Q23:S23">VLOOKUP(P23,Hoja1!C:F,{2,3,4},FALSE)</f>
        <v>46303</v>
      </c>
      <c r="R23" t="str">
        <v>C01</v>
      </c>
      <c r="S23" t="str">
        <v>1000011519 SALLAGO FEDERICO MIGUEL</v>
      </c>
      <c r="T23" t="str">
        <f>VLOOKUP(P23,Hoja2!C:D,2,FALSE)</f>
        <v>AZAPANA</v>
      </c>
    </row>
    <row r="24" spans="1:20" x14ac:dyDescent="0.3">
      <c r="A24" s="2" t="s">
        <v>15</v>
      </c>
      <c r="B24" s="3" t="s">
        <v>15</v>
      </c>
      <c r="C24" s="3" t="s">
        <v>396</v>
      </c>
      <c r="D24" s="3" t="s">
        <v>15</v>
      </c>
      <c r="E24" s="3" t="s">
        <v>30</v>
      </c>
      <c r="F24" s="4">
        <v>46275</v>
      </c>
      <c r="G24" s="3" t="s">
        <v>50</v>
      </c>
      <c r="H24" s="6">
        <v>-126446.84</v>
      </c>
      <c r="I24" s="3" t="s">
        <v>18</v>
      </c>
      <c r="J24" s="3" t="s">
        <v>24</v>
      </c>
      <c r="K24" s="3" t="s">
        <v>15</v>
      </c>
      <c r="L24" s="3" t="s">
        <v>80</v>
      </c>
      <c r="M24" s="4">
        <v>46287</v>
      </c>
      <c r="N24" s="3" t="s">
        <v>397</v>
      </c>
      <c r="O24" s="3" t="s">
        <v>48</v>
      </c>
      <c r="P24" t="str">
        <f t="shared" si="0"/>
        <v>450013892320</v>
      </c>
      <c r="Q24" s="7" cm="1">
        <f t="array" ref="Q24:S24">VLOOKUP(P24,Hoja1!C:F,{2,3,4},FALSE)</f>
        <v>46303</v>
      </c>
      <c r="R24" t="str">
        <v>C01</v>
      </c>
      <c r="S24" t="str">
        <v>1000011519 SALLAGO FEDERICO MIGUEL</v>
      </c>
      <c r="T24" t="str">
        <f>VLOOKUP(P24,Hoja2!C:D,2,FALSE)</f>
        <v>AZAPANA</v>
      </c>
    </row>
    <row r="25" spans="1:20" x14ac:dyDescent="0.3">
      <c r="A25" s="2" t="s">
        <v>15</v>
      </c>
      <c r="B25" s="3" t="s">
        <v>15</v>
      </c>
      <c r="C25" s="3" t="s">
        <v>396</v>
      </c>
      <c r="D25" s="3" t="s">
        <v>15</v>
      </c>
      <c r="E25" s="3" t="s">
        <v>30</v>
      </c>
      <c r="F25" s="4">
        <v>46275</v>
      </c>
      <c r="G25" s="3" t="s">
        <v>50</v>
      </c>
      <c r="H25" s="6">
        <v>-252893.68</v>
      </c>
      <c r="I25" s="3" t="s">
        <v>18</v>
      </c>
      <c r="J25" s="3" t="s">
        <v>24</v>
      </c>
      <c r="K25" s="3" t="s">
        <v>15</v>
      </c>
      <c r="L25" s="3" t="s">
        <v>80</v>
      </c>
      <c r="M25" s="4">
        <v>46287</v>
      </c>
      <c r="N25" s="3" t="s">
        <v>397</v>
      </c>
      <c r="O25" s="3" t="s">
        <v>39</v>
      </c>
      <c r="P25" t="str">
        <f t="shared" si="0"/>
        <v>450013892330</v>
      </c>
      <c r="Q25" s="7" cm="1">
        <f t="array" ref="Q25:S25">VLOOKUP(P25,Hoja1!C:F,{2,3,4},FALSE)</f>
        <v>46303</v>
      </c>
      <c r="R25" t="str">
        <v>C01</v>
      </c>
      <c r="S25" t="str">
        <v>1000011519 SALLAGO FEDERICO MIGUEL</v>
      </c>
      <c r="T25" t="str">
        <f>VLOOKUP(P25,Hoja2!C:D,2,FALSE)</f>
        <v>AZAPANA</v>
      </c>
    </row>
    <row r="26" spans="1:20" x14ac:dyDescent="0.3">
      <c r="A26" s="2" t="s">
        <v>15</v>
      </c>
      <c r="B26" s="3" t="s">
        <v>15</v>
      </c>
      <c r="C26" s="3" t="s">
        <v>396</v>
      </c>
      <c r="D26" s="3" t="s">
        <v>15</v>
      </c>
      <c r="E26" s="3" t="s">
        <v>30</v>
      </c>
      <c r="F26" s="4">
        <v>46275</v>
      </c>
      <c r="G26" s="3" t="s">
        <v>50</v>
      </c>
      <c r="H26" s="6">
        <v>-126446.84</v>
      </c>
      <c r="I26" s="3" t="s">
        <v>18</v>
      </c>
      <c r="J26" s="3" t="s">
        <v>24</v>
      </c>
      <c r="K26" s="3" t="s">
        <v>15</v>
      </c>
      <c r="L26" s="3" t="s">
        <v>80</v>
      </c>
      <c r="M26" s="4">
        <v>46287</v>
      </c>
      <c r="N26" s="3" t="s">
        <v>397</v>
      </c>
      <c r="O26" s="3" t="s">
        <v>32</v>
      </c>
      <c r="P26" t="str">
        <f t="shared" si="0"/>
        <v>450013892340</v>
      </c>
      <c r="Q26" s="7" cm="1">
        <f t="array" ref="Q26:S26">VLOOKUP(P26,Hoja1!C:F,{2,3,4},FALSE)</f>
        <v>46303</v>
      </c>
      <c r="R26" t="str">
        <v>C01</v>
      </c>
      <c r="S26" t="str">
        <v>1000011519 SALLAGO FEDERICO MIGUEL</v>
      </c>
      <c r="T26" t="str">
        <f>VLOOKUP(P26,Hoja2!C:D,2,FALSE)</f>
        <v>AZAPANA</v>
      </c>
    </row>
    <row r="27" spans="1:20" x14ac:dyDescent="0.3">
      <c r="A27" s="2" t="s">
        <v>15</v>
      </c>
      <c r="B27" s="3" t="s">
        <v>15</v>
      </c>
      <c r="C27" s="3" t="s">
        <v>396</v>
      </c>
      <c r="D27" s="3" t="s">
        <v>15</v>
      </c>
      <c r="E27" s="3" t="s">
        <v>30</v>
      </c>
      <c r="F27" s="4">
        <v>46275</v>
      </c>
      <c r="G27" s="3" t="s">
        <v>50</v>
      </c>
      <c r="H27" s="6">
        <v>-126446.84</v>
      </c>
      <c r="I27" s="3" t="s">
        <v>18</v>
      </c>
      <c r="J27" s="3" t="s">
        <v>24</v>
      </c>
      <c r="K27" s="3" t="s">
        <v>15</v>
      </c>
      <c r="L27" s="3" t="s">
        <v>80</v>
      </c>
      <c r="M27" s="4">
        <v>46287</v>
      </c>
      <c r="N27" s="3" t="s">
        <v>397</v>
      </c>
      <c r="O27" s="3" t="s">
        <v>38</v>
      </c>
      <c r="P27" t="str">
        <f t="shared" si="0"/>
        <v>450013892350</v>
      </c>
      <c r="Q27" s="7" cm="1">
        <f t="array" ref="Q27:S27">VLOOKUP(P27,Hoja1!C:F,{2,3,4},FALSE)</f>
        <v>46303</v>
      </c>
      <c r="R27" t="str">
        <v>C01</v>
      </c>
      <c r="S27" t="str">
        <v>1000011519 SALLAGO FEDERICO MIGUEL</v>
      </c>
      <c r="T27" t="str">
        <f>VLOOKUP(P27,Hoja2!C:D,2,FALSE)</f>
        <v>AZAPANA</v>
      </c>
    </row>
    <row r="28" spans="1:20" x14ac:dyDescent="0.3">
      <c r="A28" s="2" t="s">
        <v>15</v>
      </c>
      <c r="B28" s="3" t="s">
        <v>15</v>
      </c>
      <c r="C28" s="3" t="s">
        <v>396</v>
      </c>
      <c r="D28" s="3" t="s">
        <v>15</v>
      </c>
      <c r="E28" s="3" t="s">
        <v>30</v>
      </c>
      <c r="F28" s="4">
        <v>46275</v>
      </c>
      <c r="G28" s="3" t="s">
        <v>50</v>
      </c>
      <c r="H28" s="6">
        <v>-252893.68</v>
      </c>
      <c r="I28" s="3" t="s">
        <v>18</v>
      </c>
      <c r="J28" s="3" t="s">
        <v>24</v>
      </c>
      <c r="K28" s="3" t="s">
        <v>15</v>
      </c>
      <c r="L28" s="3" t="s">
        <v>80</v>
      </c>
      <c r="M28" s="4">
        <v>46287</v>
      </c>
      <c r="N28" s="3" t="s">
        <v>397</v>
      </c>
      <c r="O28" s="3" t="s">
        <v>66</v>
      </c>
      <c r="P28" t="str">
        <f t="shared" si="0"/>
        <v>450013892360</v>
      </c>
      <c r="Q28" s="7" cm="1">
        <f t="array" ref="Q28:S28">VLOOKUP(P28,Hoja1!C:F,{2,3,4},FALSE)</f>
        <v>46303</v>
      </c>
      <c r="R28" t="str">
        <v>C01</v>
      </c>
      <c r="S28" t="str">
        <v>1000011519 SALLAGO FEDERICO MIGUEL</v>
      </c>
      <c r="T28" t="str">
        <f>VLOOKUP(P28,Hoja2!C:D,2,FALSE)</f>
        <v>AZAPANA</v>
      </c>
    </row>
    <row r="29" spans="1:20" x14ac:dyDescent="0.3">
      <c r="A29" s="2" t="s">
        <v>15</v>
      </c>
      <c r="B29" s="3" t="s">
        <v>15</v>
      </c>
      <c r="C29" s="3" t="s">
        <v>396</v>
      </c>
      <c r="D29" s="3" t="s">
        <v>15</v>
      </c>
      <c r="E29" s="3" t="s">
        <v>30</v>
      </c>
      <c r="F29" s="4">
        <v>46275</v>
      </c>
      <c r="G29" s="3" t="s">
        <v>50</v>
      </c>
      <c r="H29" s="6">
        <v>-505787.36</v>
      </c>
      <c r="I29" s="3" t="s">
        <v>18</v>
      </c>
      <c r="J29" s="3" t="s">
        <v>24</v>
      </c>
      <c r="K29" s="3" t="s">
        <v>15</v>
      </c>
      <c r="L29" s="3" t="s">
        <v>80</v>
      </c>
      <c r="M29" s="4">
        <v>46287</v>
      </c>
      <c r="N29" s="3" t="s">
        <v>397</v>
      </c>
      <c r="O29" s="3" t="s">
        <v>85</v>
      </c>
      <c r="P29" t="str">
        <f t="shared" si="0"/>
        <v>450013892370</v>
      </c>
      <c r="Q29" s="7" cm="1">
        <f t="array" ref="Q29:S29">VLOOKUP(P29,Hoja1!C:F,{2,3,4},FALSE)</f>
        <v>46303</v>
      </c>
      <c r="R29" t="str">
        <v>C01</v>
      </c>
      <c r="S29" t="str">
        <v>1000011519 SALLAGO FEDERICO MIGUEL</v>
      </c>
      <c r="T29" t="str">
        <f>VLOOKUP(P29,Hoja2!C:D,2,FALSE)</f>
        <v>AZAPANA</v>
      </c>
    </row>
    <row r="30" spans="1:20" x14ac:dyDescent="0.3">
      <c r="A30" s="2" t="s">
        <v>15</v>
      </c>
      <c r="B30" s="3" t="s">
        <v>15</v>
      </c>
      <c r="C30" s="3" t="s">
        <v>398</v>
      </c>
      <c r="D30" s="3" t="s">
        <v>43</v>
      </c>
      <c r="E30" s="3" t="s">
        <v>30</v>
      </c>
      <c r="F30" s="4">
        <v>46297</v>
      </c>
      <c r="G30" s="3" t="s">
        <v>17</v>
      </c>
      <c r="H30" s="5">
        <v>2570547.84</v>
      </c>
      <c r="I30" s="3" t="s">
        <v>18</v>
      </c>
      <c r="J30" s="3" t="s">
        <v>19</v>
      </c>
      <c r="K30" s="3" t="s">
        <v>15</v>
      </c>
      <c r="L30" s="3" t="s">
        <v>58</v>
      </c>
      <c r="M30" s="4">
        <v>46304</v>
      </c>
      <c r="N30" s="3" t="s">
        <v>61</v>
      </c>
      <c r="O30" s="3" t="s">
        <v>22</v>
      </c>
      <c r="P30" t="str">
        <f t="shared" si="0"/>
        <v>450013722710</v>
      </c>
      <c r="Q30" s="7" cm="1">
        <f t="array" ref="Q30:S30">VLOOKUP(P30,Hoja1!C:F,{2,3,4},FALSE)</f>
        <v>46325</v>
      </c>
      <c r="R30" t="str">
        <v>C25</v>
      </c>
      <c r="S30" t="str">
        <v>1000012097 TRANSPORTE TMS S. A. S.</v>
      </c>
      <c r="T30" t="str">
        <f>VLOOKUP(P30,Hoja2!C:D,2,FALSE)</f>
        <v>MPITTIA</v>
      </c>
    </row>
    <row r="31" spans="1:20" x14ac:dyDescent="0.3">
      <c r="A31" s="2" t="s">
        <v>15</v>
      </c>
      <c r="B31" s="3" t="s">
        <v>15</v>
      </c>
      <c r="C31" s="3" t="s">
        <v>461</v>
      </c>
      <c r="D31" s="3" t="s">
        <v>15</v>
      </c>
      <c r="E31" s="3" t="s">
        <v>30</v>
      </c>
      <c r="F31" s="4">
        <v>46309</v>
      </c>
      <c r="G31" s="3" t="s">
        <v>17</v>
      </c>
      <c r="H31" s="5">
        <v>57851.24</v>
      </c>
      <c r="I31" s="3" t="s">
        <v>18</v>
      </c>
      <c r="J31" s="3" t="s">
        <v>24</v>
      </c>
      <c r="K31" s="3" t="s">
        <v>15</v>
      </c>
      <c r="L31" s="3" t="s">
        <v>462</v>
      </c>
      <c r="M31" s="4">
        <v>46310</v>
      </c>
      <c r="N31" s="3" t="s">
        <v>463</v>
      </c>
      <c r="O31" s="3" t="s">
        <v>22</v>
      </c>
      <c r="P31" t="str">
        <f t="shared" si="0"/>
        <v>450013462810</v>
      </c>
      <c r="Q31" s="7" cm="1">
        <f t="array" ref="Q31:S31">VLOOKUP(P31,Hoja1!C:F,{2,3,4},FALSE)</f>
        <v>46314</v>
      </c>
      <c r="R31" t="str">
        <v>C01</v>
      </c>
      <c r="S31" t="str">
        <v>1000013440 JUAN ANTONIO GUZMAN E HIJOS SRL</v>
      </c>
      <c r="T31" t="str">
        <f>VLOOKUP(P31,Hoja2!C:D,2,FALSE)</f>
        <v>AZAPANA</v>
      </c>
    </row>
    <row r="32" spans="1:20" x14ac:dyDescent="0.3">
      <c r="A32" s="2" t="s">
        <v>15</v>
      </c>
      <c r="B32" s="3" t="s">
        <v>15</v>
      </c>
      <c r="C32" s="3" t="s">
        <v>104</v>
      </c>
      <c r="D32" s="3" t="s">
        <v>43</v>
      </c>
      <c r="E32" s="3" t="s">
        <v>101</v>
      </c>
      <c r="F32" s="4">
        <v>45937</v>
      </c>
      <c r="G32" s="3" t="s">
        <v>50</v>
      </c>
      <c r="H32" s="6">
        <v>-35000</v>
      </c>
      <c r="I32" s="3" t="s">
        <v>18</v>
      </c>
      <c r="J32" s="3" t="s">
        <v>15</v>
      </c>
      <c r="K32" s="3" t="s">
        <v>15</v>
      </c>
      <c r="L32" s="3" t="s">
        <v>105</v>
      </c>
      <c r="M32" s="4">
        <v>45937</v>
      </c>
      <c r="N32" s="3" t="s">
        <v>106</v>
      </c>
      <c r="O32" s="3" t="s">
        <v>22</v>
      </c>
      <c r="P32" t="str">
        <f t="shared" si="0"/>
        <v>450010984110</v>
      </c>
      <c r="Q32" s="7" cm="1">
        <f t="array" ref="Q32:S32">VLOOKUP(P32,Hoja1!C:F,{2,3,4},FALSE)</f>
        <v>45940</v>
      </c>
      <c r="R32" t="str">
        <v>C27</v>
      </c>
      <c r="S32" t="str">
        <v>1000000295 BOLLINI S.A</v>
      </c>
      <c r="T32" t="str">
        <f>VLOOKUP(P32,Hoja2!C:D,2,FALSE)</f>
        <v>JESPARZA</v>
      </c>
    </row>
    <row r="33" spans="1:20" x14ac:dyDescent="0.3">
      <c r="A33" s="2" t="s">
        <v>15</v>
      </c>
      <c r="B33" s="3" t="s">
        <v>15</v>
      </c>
      <c r="C33" s="3" t="s">
        <v>104</v>
      </c>
      <c r="D33" s="3" t="s">
        <v>43</v>
      </c>
      <c r="E33" s="3" t="s">
        <v>101</v>
      </c>
      <c r="F33" s="4">
        <v>45937</v>
      </c>
      <c r="G33" s="3" t="s">
        <v>50</v>
      </c>
      <c r="H33" s="6">
        <v>-46280.959999999999</v>
      </c>
      <c r="I33" s="3" t="s">
        <v>18</v>
      </c>
      <c r="J33" s="3" t="s">
        <v>15</v>
      </c>
      <c r="K33" s="3" t="s">
        <v>15</v>
      </c>
      <c r="L33" s="3" t="s">
        <v>105</v>
      </c>
      <c r="M33" s="4">
        <v>45937</v>
      </c>
      <c r="N33" s="3" t="s">
        <v>106</v>
      </c>
      <c r="O33" s="3" t="s">
        <v>48</v>
      </c>
      <c r="P33" t="str">
        <f t="shared" si="0"/>
        <v>450010984120</v>
      </c>
      <c r="Q33" s="7" cm="1">
        <f t="array" ref="Q33:S33">VLOOKUP(P33,Hoja1!C:F,{2,3,4},FALSE)</f>
        <v>45940</v>
      </c>
      <c r="R33" t="str">
        <v>C27</v>
      </c>
      <c r="S33" t="str">
        <v>1000000295 BOLLINI S.A</v>
      </c>
      <c r="T33" t="str">
        <f>VLOOKUP(P33,Hoja2!C:D,2,FALSE)</f>
        <v>JESPARZA</v>
      </c>
    </row>
    <row r="34" spans="1:20" x14ac:dyDescent="0.3">
      <c r="A34" s="2" t="s">
        <v>15</v>
      </c>
      <c r="B34" s="3" t="s">
        <v>15</v>
      </c>
      <c r="C34" s="3" t="s">
        <v>104</v>
      </c>
      <c r="D34" s="3" t="s">
        <v>43</v>
      </c>
      <c r="E34" s="3" t="s">
        <v>101</v>
      </c>
      <c r="F34" s="4">
        <v>45937</v>
      </c>
      <c r="G34" s="3" t="s">
        <v>50</v>
      </c>
      <c r="H34" s="6">
        <v>-1983.6</v>
      </c>
      <c r="I34" s="3" t="s">
        <v>18</v>
      </c>
      <c r="J34" s="3" t="s">
        <v>15</v>
      </c>
      <c r="K34" s="3" t="s">
        <v>15</v>
      </c>
      <c r="L34" s="3" t="s">
        <v>105</v>
      </c>
      <c r="M34" s="4">
        <v>45937</v>
      </c>
      <c r="N34" s="3" t="s">
        <v>106</v>
      </c>
      <c r="O34" s="3" t="s">
        <v>39</v>
      </c>
      <c r="P34" t="str">
        <f t="shared" si="0"/>
        <v>450010984130</v>
      </c>
      <c r="Q34" s="7" cm="1">
        <f t="array" ref="Q34:S34">VLOOKUP(P34,Hoja1!C:F,{2,3,4},FALSE)</f>
        <v>45940</v>
      </c>
      <c r="R34" t="str">
        <v>C27</v>
      </c>
      <c r="S34" t="str">
        <v>1000000295 BOLLINI S.A</v>
      </c>
      <c r="T34" t="str">
        <f>VLOOKUP(P34,Hoja2!C:D,2,FALSE)</f>
        <v>JESPARZA</v>
      </c>
    </row>
    <row r="35" spans="1:20" x14ac:dyDescent="0.3">
      <c r="A35" s="2" t="s">
        <v>15</v>
      </c>
      <c r="B35" s="3" t="s">
        <v>15</v>
      </c>
      <c r="C35" s="3" t="s">
        <v>108</v>
      </c>
      <c r="D35" s="3" t="s">
        <v>15</v>
      </c>
      <c r="E35" s="3" t="s">
        <v>101</v>
      </c>
      <c r="F35" s="4">
        <v>46093</v>
      </c>
      <c r="G35" s="3" t="s">
        <v>50</v>
      </c>
      <c r="H35" s="6">
        <v>-3821769.9</v>
      </c>
      <c r="I35" s="3" t="s">
        <v>18</v>
      </c>
      <c r="J35" s="3" t="s">
        <v>15</v>
      </c>
      <c r="K35" s="3" t="s">
        <v>15</v>
      </c>
      <c r="L35" s="3" t="s">
        <v>20</v>
      </c>
      <c r="M35" s="4">
        <v>46093</v>
      </c>
      <c r="N35" s="3" t="s">
        <v>26</v>
      </c>
      <c r="O35" s="3" t="s">
        <v>32</v>
      </c>
      <c r="P35" t="str">
        <f t="shared" si="0"/>
        <v>450011474340</v>
      </c>
      <c r="Q35" s="7" cm="1">
        <f t="array" ref="Q35:S35">VLOOKUP(P35,Hoja1!C:F,{2,3,4},FALSE)</f>
        <v>46290</v>
      </c>
      <c r="R35" t="str">
        <v>CGT</v>
      </c>
      <c r="S35" t="str">
        <v>1000001583 HELING S.A.</v>
      </c>
      <c r="T35" t="str">
        <f>VLOOKUP(P35,Hoja2!C:D,2,FALSE)</f>
        <v>EFUNES</v>
      </c>
    </row>
    <row r="36" spans="1:20" x14ac:dyDescent="0.3">
      <c r="A36" s="2" t="s">
        <v>15</v>
      </c>
      <c r="B36" s="3" t="s">
        <v>15</v>
      </c>
      <c r="C36" s="3" t="s">
        <v>108</v>
      </c>
      <c r="D36" s="3" t="s">
        <v>15</v>
      </c>
      <c r="E36" s="3" t="s">
        <v>101</v>
      </c>
      <c r="F36" s="4">
        <v>46093</v>
      </c>
      <c r="G36" s="3" t="s">
        <v>50</v>
      </c>
      <c r="H36" s="6">
        <v>-2872870</v>
      </c>
      <c r="I36" s="3" t="s">
        <v>18</v>
      </c>
      <c r="J36" s="3" t="s">
        <v>15</v>
      </c>
      <c r="K36" s="3" t="s">
        <v>15</v>
      </c>
      <c r="L36" s="3" t="s">
        <v>20</v>
      </c>
      <c r="M36" s="4">
        <v>46093</v>
      </c>
      <c r="N36" s="3" t="s">
        <v>26</v>
      </c>
      <c r="O36" s="3" t="s">
        <v>38</v>
      </c>
      <c r="P36" t="str">
        <f t="shared" si="0"/>
        <v>450011474350</v>
      </c>
      <c r="Q36" s="7" cm="1">
        <f t="array" ref="Q36:S36">VLOOKUP(P36,Hoja1!C:F,{2,3,4},FALSE)</f>
        <v>46290</v>
      </c>
      <c r="R36" t="str">
        <v>CGT</v>
      </c>
      <c r="S36" t="str">
        <v>1000001583 HELING S.A.</v>
      </c>
      <c r="T36" t="str">
        <f>VLOOKUP(P36,Hoja2!C:D,2,FALSE)</f>
        <v>EFUNES</v>
      </c>
    </row>
    <row r="37" spans="1:20" x14ac:dyDescent="0.3">
      <c r="A37" s="2" t="s">
        <v>15</v>
      </c>
      <c r="B37" s="3" t="s">
        <v>15</v>
      </c>
      <c r="C37" s="3" t="s">
        <v>108</v>
      </c>
      <c r="D37" s="3" t="s">
        <v>15</v>
      </c>
      <c r="E37" s="3" t="s">
        <v>101</v>
      </c>
      <c r="F37" s="4">
        <v>46093</v>
      </c>
      <c r="G37" s="3" t="s">
        <v>50</v>
      </c>
      <c r="H37" s="6">
        <v>-41745</v>
      </c>
      <c r="I37" s="3" t="s">
        <v>18</v>
      </c>
      <c r="J37" s="3" t="s">
        <v>15</v>
      </c>
      <c r="K37" s="3" t="s">
        <v>15</v>
      </c>
      <c r="L37" s="3" t="s">
        <v>20</v>
      </c>
      <c r="M37" s="4">
        <v>46093</v>
      </c>
      <c r="N37" s="3" t="s">
        <v>26</v>
      </c>
      <c r="O37" s="3" t="s">
        <v>66</v>
      </c>
      <c r="P37" t="str">
        <f t="shared" si="0"/>
        <v>450011474360</v>
      </c>
      <c r="Q37" s="7" cm="1">
        <f t="array" ref="Q37:S37">VLOOKUP(P37,Hoja1!C:F,{2,3,4},FALSE)</f>
        <v>46290</v>
      </c>
      <c r="R37" t="str">
        <v>CGT</v>
      </c>
      <c r="S37" t="str">
        <v>1000001583 HELING S.A.</v>
      </c>
      <c r="T37" t="str">
        <f>VLOOKUP(P37,Hoja2!C:D,2,FALSE)</f>
        <v>EFUNES</v>
      </c>
    </row>
    <row r="38" spans="1:20" x14ac:dyDescent="0.3">
      <c r="A38" s="2" t="s">
        <v>15</v>
      </c>
      <c r="B38" s="3" t="s">
        <v>15</v>
      </c>
      <c r="C38" s="3" t="s">
        <v>108</v>
      </c>
      <c r="D38" s="3" t="s">
        <v>15</v>
      </c>
      <c r="E38" s="3" t="s">
        <v>101</v>
      </c>
      <c r="F38" s="4">
        <v>46093</v>
      </c>
      <c r="G38" s="3" t="s">
        <v>50</v>
      </c>
      <c r="H38" s="6">
        <v>-13953.5</v>
      </c>
      <c r="I38" s="3" t="s">
        <v>18</v>
      </c>
      <c r="J38" s="3" t="s">
        <v>15</v>
      </c>
      <c r="K38" s="3" t="s">
        <v>15</v>
      </c>
      <c r="L38" s="3" t="s">
        <v>20</v>
      </c>
      <c r="M38" s="4">
        <v>46093</v>
      </c>
      <c r="N38" s="3" t="s">
        <v>26</v>
      </c>
      <c r="O38" s="3" t="s">
        <v>40</v>
      </c>
      <c r="P38" t="str">
        <f t="shared" si="0"/>
        <v>4500114743170</v>
      </c>
      <c r="Q38" s="7" cm="1">
        <f t="array" ref="Q38:S38">VLOOKUP(P38,Hoja1!C:F,{2,3,4},FALSE)</f>
        <v>46290</v>
      </c>
      <c r="R38" t="str">
        <v>CGT</v>
      </c>
      <c r="S38" t="str">
        <v>1000001583 HELING S.A.</v>
      </c>
      <c r="T38" t="str">
        <f>VLOOKUP(P38,Hoja2!C:D,2,FALSE)</f>
        <v>EFUNES</v>
      </c>
    </row>
    <row r="39" spans="1:20" x14ac:dyDescent="0.3">
      <c r="A39" s="2" t="s">
        <v>15</v>
      </c>
      <c r="B39" s="3" t="s">
        <v>15</v>
      </c>
      <c r="C39" s="3" t="s">
        <v>108</v>
      </c>
      <c r="D39" s="3" t="s">
        <v>15</v>
      </c>
      <c r="E39" s="3" t="s">
        <v>101</v>
      </c>
      <c r="F39" s="4">
        <v>46093</v>
      </c>
      <c r="G39" s="3" t="s">
        <v>50</v>
      </c>
      <c r="H39" s="6">
        <v>-114141.5</v>
      </c>
      <c r="I39" s="3" t="s">
        <v>18</v>
      </c>
      <c r="J39" s="3" t="s">
        <v>15</v>
      </c>
      <c r="K39" s="3" t="s">
        <v>15</v>
      </c>
      <c r="L39" s="3" t="s">
        <v>20</v>
      </c>
      <c r="M39" s="4">
        <v>46093</v>
      </c>
      <c r="N39" s="3" t="s">
        <v>26</v>
      </c>
      <c r="O39" s="3" t="s">
        <v>27</v>
      </c>
      <c r="P39" t="str">
        <f t="shared" si="0"/>
        <v>4500114743320</v>
      </c>
      <c r="Q39" s="7" cm="1">
        <f t="array" ref="Q39:S39">VLOOKUP(P39,Hoja1!C:F,{2,3,4},FALSE)</f>
        <v>46290</v>
      </c>
      <c r="R39" t="str">
        <v>CGT</v>
      </c>
      <c r="S39" t="str">
        <v>1000001583 HELING S.A.</v>
      </c>
      <c r="T39" t="str">
        <f>VLOOKUP(P39,Hoja2!C:D,2,FALSE)</f>
        <v>EFUNES</v>
      </c>
    </row>
    <row r="40" spans="1:20" x14ac:dyDescent="0.3">
      <c r="A40" s="2" t="s">
        <v>15</v>
      </c>
      <c r="B40" s="3" t="s">
        <v>15</v>
      </c>
      <c r="C40" s="3" t="s">
        <v>111</v>
      </c>
      <c r="D40" s="3" t="s">
        <v>43</v>
      </c>
      <c r="E40" s="3" t="s">
        <v>101</v>
      </c>
      <c r="F40" s="4">
        <v>46100</v>
      </c>
      <c r="G40" s="3" t="s">
        <v>50</v>
      </c>
      <c r="H40" s="6">
        <v>-59456.97</v>
      </c>
      <c r="I40" s="3" t="s">
        <v>18</v>
      </c>
      <c r="J40" s="3" t="s">
        <v>15</v>
      </c>
      <c r="K40" s="3" t="s">
        <v>15</v>
      </c>
      <c r="L40" s="3" t="s">
        <v>44</v>
      </c>
      <c r="M40" s="4">
        <v>46100</v>
      </c>
      <c r="N40" s="3" t="s">
        <v>45</v>
      </c>
      <c r="O40" s="3" t="s">
        <v>22</v>
      </c>
      <c r="P40" t="str">
        <f t="shared" si="0"/>
        <v>450010951410</v>
      </c>
      <c r="Q40" s="7" cm="1">
        <f t="array" ref="Q40:S40">VLOOKUP(P40,Hoja1!C:F,{2,3,4},FALSE)</f>
        <v>46162</v>
      </c>
      <c r="R40" t="str">
        <v>C01</v>
      </c>
      <c r="S40" t="str">
        <v>1000008967 JACARANDA S.A.</v>
      </c>
      <c r="T40" t="str">
        <f>VLOOKUP(P40,Hoja2!C:D,2,FALSE)</f>
        <v>MMOHR</v>
      </c>
    </row>
    <row r="41" spans="1:20" x14ac:dyDescent="0.3">
      <c r="A41" s="2" t="s">
        <v>15</v>
      </c>
      <c r="B41" s="3" t="s">
        <v>15</v>
      </c>
      <c r="C41" s="3" t="s">
        <v>114</v>
      </c>
      <c r="D41" s="3" t="s">
        <v>43</v>
      </c>
      <c r="E41" s="3" t="s">
        <v>101</v>
      </c>
      <c r="F41" s="4">
        <v>46117</v>
      </c>
      <c r="G41" s="3" t="s">
        <v>50</v>
      </c>
      <c r="H41" s="6">
        <v>-13621.57</v>
      </c>
      <c r="I41" s="3" t="s">
        <v>18</v>
      </c>
      <c r="J41" s="3" t="s">
        <v>15</v>
      </c>
      <c r="K41" s="3" t="s">
        <v>15</v>
      </c>
      <c r="L41" s="3" t="s">
        <v>44</v>
      </c>
      <c r="M41" s="4">
        <v>46117</v>
      </c>
      <c r="N41" s="3" t="s">
        <v>45</v>
      </c>
      <c r="O41" s="3" t="s">
        <v>22</v>
      </c>
      <c r="P41" t="str">
        <f t="shared" si="0"/>
        <v>450010951410</v>
      </c>
      <c r="Q41" s="7" cm="1">
        <f t="array" ref="Q41:S41">VLOOKUP(P41,Hoja1!C:F,{2,3,4},FALSE)</f>
        <v>46162</v>
      </c>
      <c r="R41" t="str">
        <v>C01</v>
      </c>
      <c r="S41" t="str">
        <v>1000008967 JACARANDA S.A.</v>
      </c>
      <c r="T41" t="str">
        <f>VLOOKUP(P41,Hoja2!C:D,2,FALSE)</f>
        <v>MMOHR</v>
      </c>
    </row>
    <row r="42" spans="1:20" x14ac:dyDescent="0.3">
      <c r="A42" s="2" t="s">
        <v>15</v>
      </c>
      <c r="B42" s="3" t="s">
        <v>15</v>
      </c>
      <c r="C42" s="3" t="s">
        <v>115</v>
      </c>
      <c r="D42" s="3" t="s">
        <v>43</v>
      </c>
      <c r="E42" s="3" t="s">
        <v>101</v>
      </c>
      <c r="F42" s="4">
        <v>46117</v>
      </c>
      <c r="G42" s="3" t="s">
        <v>50</v>
      </c>
      <c r="H42" s="6">
        <v>-97855.46</v>
      </c>
      <c r="I42" s="3" t="s">
        <v>18</v>
      </c>
      <c r="J42" s="3" t="s">
        <v>15</v>
      </c>
      <c r="K42" s="3" t="s">
        <v>15</v>
      </c>
      <c r="L42" s="3" t="s">
        <v>44</v>
      </c>
      <c r="M42" s="4">
        <v>46117</v>
      </c>
      <c r="N42" s="3" t="s">
        <v>57</v>
      </c>
      <c r="O42" s="3" t="s">
        <v>22</v>
      </c>
      <c r="P42" t="str">
        <f t="shared" si="0"/>
        <v>450012303610</v>
      </c>
      <c r="Q42" s="7" cm="1">
        <f t="array" ref="Q42:S42">VLOOKUP(P42,Hoja1!C:F,{2,3,4},FALSE)</f>
        <v>46282</v>
      </c>
      <c r="R42" t="str">
        <v>C01</v>
      </c>
      <c r="S42" t="str">
        <v>1000008967 JACARANDA S.A.</v>
      </c>
      <c r="T42" t="str">
        <f>VLOOKUP(P42,Hoja2!C:D,2,FALSE)</f>
        <v>GLUNA</v>
      </c>
    </row>
    <row r="43" spans="1:20" x14ac:dyDescent="0.3">
      <c r="A43" s="2" t="s">
        <v>15</v>
      </c>
      <c r="B43" s="3" t="s">
        <v>15</v>
      </c>
      <c r="C43" s="3" t="s">
        <v>117</v>
      </c>
      <c r="D43" s="3" t="s">
        <v>15</v>
      </c>
      <c r="E43" s="3" t="s">
        <v>101</v>
      </c>
      <c r="F43" s="4">
        <v>46160</v>
      </c>
      <c r="G43" s="3" t="s">
        <v>50</v>
      </c>
      <c r="H43" s="6">
        <v>-65447.5</v>
      </c>
      <c r="I43" s="3" t="s">
        <v>18</v>
      </c>
      <c r="J43" s="3" t="s">
        <v>15</v>
      </c>
      <c r="K43" s="3" t="s">
        <v>15</v>
      </c>
      <c r="L43" s="3" t="s">
        <v>118</v>
      </c>
      <c r="M43" s="4">
        <v>46161</v>
      </c>
      <c r="N43" s="3" t="s">
        <v>119</v>
      </c>
      <c r="O43" s="3" t="s">
        <v>22</v>
      </c>
      <c r="P43" t="str">
        <f t="shared" si="0"/>
        <v>450012687210</v>
      </c>
      <c r="Q43" s="7" cm="1">
        <f t="array" ref="Q43:S43">VLOOKUP(P43,Hoja1!C:F,{2,3,4},FALSE)</f>
        <v>46167</v>
      </c>
      <c r="R43" t="str">
        <v>C03</v>
      </c>
      <c r="S43" t="str">
        <v>1000000062 FINNING ARGENTINA S.A.</v>
      </c>
      <c r="T43" t="str">
        <f>VLOOKUP(P43,Hoja2!C:D,2,FALSE)</f>
        <v>RPEREZ</v>
      </c>
    </row>
    <row r="44" spans="1:20" x14ac:dyDescent="0.3">
      <c r="A44" s="2" t="s">
        <v>15</v>
      </c>
      <c r="B44" s="3" t="s">
        <v>15</v>
      </c>
      <c r="C44" s="3" t="s">
        <v>120</v>
      </c>
      <c r="D44" s="3" t="s">
        <v>43</v>
      </c>
      <c r="E44" s="3" t="s">
        <v>101</v>
      </c>
      <c r="F44" s="4">
        <v>46171</v>
      </c>
      <c r="G44" s="3" t="s">
        <v>50</v>
      </c>
      <c r="H44" s="6">
        <v>-57851.3</v>
      </c>
      <c r="I44" s="3" t="s">
        <v>18</v>
      </c>
      <c r="J44" s="3" t="s">
        <v>15</v>
      </c>
      <c r="K44" s="3" t="s">
        <v>15</v>
      </c>
      <c r="L44" s="3" t="s">
        <v>121</v>
      </c>
      <c r="M44" s="4">
        <v>46171</v>
      </c>
      <c r="N44" s="3" t="s">
        <v>122</v>
      </c>
      <c r="O44" s="3" t="s">
        <v>22</v>
      </c>
      <c r="P44" t="str">
        <f t="shared" si="0"/>
        <v>450011392010</v>
      </c>
      <c r="Q44" s="7" cm="1">
        <f t="array" ref="Q44:S44">VLOOKUP(P44,Hoja1!C:F,{2,3,4},FALSE)</f>
        <v>46325</v>
      </c>
      <c r="R44" t="str">
        <v>C25</v>
      </c>
      <c r="S44" t="str">
        <v>1000012293 ZAMBRANA SAMUEL</v>
      </c>
      <c r="T44" t="str">
        <f>VLOOKUP(P44,Hoja2!C:D,2,FALSE)</f>
        <v>MPITTIA</v>
      </c>
    </row>
    <row r="45" spans="1:20" x14ac:dyDescent="0.3">
      <c r="A45" s="2" t="s">
        <v>15</v>
      </c>
      <c r="B45" s="3" t="s">
        <v>15</v>
      </c>
      <c r="C45" s="3" t="s">
        <v>123</v>
      </c>
      <c r="D45" s="3" t="s">
        <v>15</v>
      </c>
      <c r="E45" s="3" t="s">
        <v>101</v>
      </c>
      <c r="F45" s="4">
        <v>46169</v>
      </c>
      <c r="G45" s="3" t="s">
        <v>50</v>
      </c>
      <c r="H45" s="6">
        <v>-805609</v>
      </c>
      <c r="I45" s="3" t="s">
        <v>18</v>
      </c>
      <c r="J45" s="3" t="s">
        <v>15</v>
      </c>
      <c r="K45" s="3" t="s">
        <v>15</v>
      </c>
      <c r="L45" s="3" t="s">
        <v>20</v>
      </c>
      <c r="M45" s="4">
        <v>46173</v>
      </c>
      <c r="N45" s="3" t="s">
        <v>25</v>
      </c>
      <c r="O45" s="3" t="s">
        <v>22</v>
      </c>
      <c r="P45" t="str">
        <f t="shared" si="0"/>
        <v>450012711610</v>
      </c>
      <c r="Q45" s="7" cm="1">
        <f t="array" ref="Q45:S45">VLOOKUP(P45,Hoja1!C:F,{2,3,4},FALSE)</f>
        <v>46210</v>
      </c>
      <c r="R45" t="str">
        <v>CGT</v>
      </c>
      <c r="S45" t="str">
        <v>1000001583 HELING S.A.</v>
      </c>
      <c r="T45" t="str">
        <f>VLOOKUP(P45,Hoja2!C:D,2,FALSE)</f>
        <v>WVENTURINI</v>
      </c>
    </row>
    <row r="46" spans="1:20" x14ac:dyDescent="0.3">
      <c r="A46" s="2" t="s">
        <v>15</v>
      </c>
      <c r="B46" s="3" t="s">
        <v>15</v>
      </c>
      <c r="C46" s="3" t="s">
        <v>124</v>
      </c>
      <c r="D46" s="3" t="s">
        <v>15</v>
      </c>
      <c r="E46" s="3" t="s">
        <v>101</v>
      </c>
      <c r="F46" s="4">
        <v>46174</v>
      </c>
      <c r="G46" s="3" t="s">
        <v>50</v>
      </c>
      <c r="H46" s="6">
        <v>-512862.99</v>
      </c>
      <c r="I46" s="3" t="s">
        <v>18</v>
      </c>
      <c r="J46" s="3" t="s">
        <v>15</v>
      </c>
      <c r="K46" s="3" t="s">
        <v>15</v>
      </c>
      <c r="L46" s="3" t="s">
        <v>118</v>
      </c>
      <c r="M46" s="4">
        <v>46175</v>
      </c>
      <c r="N46" s="3" t="s">
        <v>119</v>
      </c>
      <c r="O46" s="3" t="s">
        <v>48</v>
      </c>
      <c r="P46" t="str">
        <f t="shared" si="0"/>
        <v>450012687220</v>
      </c>
      <c r="Q46" s="7" cm="1">
        <f t="array" ref="Q46:S46">VLOOKUP(P46,Hoja1!C:F,{2,3,4},FALSE)</f>
        <v>46178</v>
      </c>
      <c r="R46" t="str">
        <v>C03</v>
      </c>
      <c r="S46" t="str">
        <v>1000000062 FINNING ARGENTINA S.A.</v>
      </c>
      <c r="T46" t="str">
        <f>VLOOKUP(P46,Hoja2!C:D,2,FALSE)</f>
        <v>RPEREZ</v>
      </c>
    </row>
    <row r="47" spans="1:20" x14ac:dyDescent="0.3">
      <c r="A47" s="2" t="s">
        <v>15</v>
      </c>
      <c r="B47" s="3" t="s">
        <v>15</v>
      </c>
      <c r="C47" s="3" t="s">
        <v>125</v>
      </c>
      <c r="D47" s="3" t="s">
        <v>43</v>
      </c>
      <c r="E47" s="3" t="s">
        <v>101</v>
      </c>
      <c r="F47" s="4">
        <v>46181</v>
      </c>
      <c r="G47" s="3" t="s">
        <v>50</v>
      </c>
      <c r="H47" s="6">
        <v>-59504</v>
      </c>
      <c r="I47" s="3" t="s">
        <v>18</v>
      </c>
      <c r="J47" s="3" t="s">
        <v>15</v>
      </c>
      <c r="K47" s="3" t="s">
        <v>15</v>
      </c>
      <c r="L47" s="3" t="s">
        <v>126</v>
      </c>
      <c r="M47" s="4">
        <v>46181</v>
      </c>
      <c r="N47" s="3" t="s">
        <v>127</v>
      </c>
      <c r="O47" s="3" t="s">
        <v>22</v>
      </c>
      <c r="P47" t="str">
        <f t="shared" si="0"/>
        <v>450012967410</v>
      </c>
      <c r="Q47" s="7" cm="1">
        <f t="array" ref="Q47:S47">VLOOKUP(P47,Hoja1!C:F,{2,3,4},FALSE)</f>
        <v>46198</v>
      </c>
      <c r="R47" t="str">
        <v>C01</v>
      </c>
      <c r="S47" t="str">
        <v>1000010146 QUANTUM S.R.L.</v>
      </c>
      <c r="T47" t="str">
        <f>VLOOKUP(P47,Hoja2!C:D,2,FALSE)</f>
        <v>AZAPANA</v>
      </c>
    </row>
    <row r="48" spans="1:20" x14ac:dyDescent="0.3">
      <c r="A48" s="2" t="s">
        <v>15</v>
      </c>
      <c r="B48" s="3" t="s">
        <v>15</v>
      </c>
      <c r="C48" s="3" t="s">
        <v>128</v>
      </c>
      <c r="D48" s="3" t="s">
        <v>43</v>
      </c>
      <c r="E48" s="3" t="s">
        <v>101</v>
      </c>
      <c r="F48" s="4">
        <v>46193</v>
      </c>
      <c r="G48" s="3" t="s">
        <v>50</v>
      </c>
      <c r="H48" s="6">
        <v>-516528.95</v>
      </c>
      <c r="I48" s="3" t="s">
        <v>18</v>
      </c>
      <c r="J48" s="3" t="s">
        <v>15</v>
      </c>
      <c r="K48" s="3" t="s">
        <v>15</v>
      </c>
      <c r="L48" s="3" t="s">
        <v>129</v>
      </c>
      <c r="M48" s="4">
        <v>46193</v>
      </c>
      <c r="N48" s="3" t="s">
        <v>130</v>
      </c>
      <c r="O48" s="3" t="s">
        <v>22</v>
      </c>
      <c r="P48" t="str">
        <f t="shared" si="0"/>
        <v>450012975410</v>
      </c>
      <c r="Q48" s="7" cm="1">
        <f t="array" ref="Q48:S48">VLOOKUP(P48,Hoja1!C:F,{2,3,4},FALSE)</f>
        <v>46264</v>
      </c>
      <c r="R48" t="str">
        <v>C01</v>
      </c>
      <c r="S48" t="str">
        <v>1000008707 PLANTA REVESA SRL</v>
      </c>
      <c r="T48" t="str">
        <f>VLOOKUP(P48,Hoja2!C:D,2,FALSE)</f>
        <v>AZAPANA</v>
      </c>
    </row>
    <row r="49" spans="1:20" x14ac:dyDescent="0.3">
      <c r="A49" s="2" t="s">
        <v>15</v>
      </c>
      <c r="B49" s="3" t="s">
        <v>15</v>
      </c>
      <c r="C49" s="3" t="s">
        <v>131</v>
      </c>
      <c r="D49" s="3" t="s">
        <v>43</v>
      </c>
      <c r="E49" s="3" t="s">
        <v>101</v>
      </c>
      <c r="F49" s="4">
        <v>46200</v>
      </c>
      <c r="G49" s="3" t="s">
        <v>50</v>
      </c>
      <c r="H49" s="6">
        <v>-206611.58</v>
      </c>
      <c r="I49" s="3" t="s">
        <v>18</v>
      </c>
      <c r="J49" s="3" t="s">
        <v>15</v>
      </c>
      <c r="K49" s="3" t="s">
        <v>15</v>
      </c>
      <c r="L49" s="3" t="s">
        <v>129</v>
      </c>
      <c r="M49" s="4">
        <v>46200</v>
      </c>
      <c r="N49" s="3" t="s">
        <v>130</v>
      </c>
      <c r="O49" s="3" t="s">
        <v>22</v>
      </c>
      <c r="P49" t="str">
        <f t="shared" si="0"/>
        <v>450012975410</v>
      </c>
      <c r="Q49" s="7" cm="1">
        <f t="array" ref="Q49:S49">VLOOKUP(P49,Hoja1!C:F,{2,3,4},FALSE)</f>
        <v>46264</v>
      </c>
      <c r="R49" t="str">
        <v>C01</v>
      </c>
      <c r="S49" t="str">
        <v>1000008707 PLANTA REVESA SRL</v>
      </c>
      <c r="T49" t="str">
        <f>VLOOKUP(P49,Hoja2!C:D,2,FALSE)</f>
        <v>AZAPANA</v>
      </c>
    </row>
    <row r="50" spans="1:20" x14ac:dyDescent="0.3">
      <c r="A50" s="2" t="s">
        <v>15</v>
      </c>
      <c r="B50" s="3" t="s">
        <v>15</v>
      </c>
      <c r="C50" s="3" t="s">
        <v>132</v>
      </c>
      <c r="D50" s="3" t="s">
        <v>15</v>
      </c>
      <c r="E50" s="3" t="s">
        <v>101</v>
      </c>
      <c r="F50" s="4">
        <v>46205</v>
      </c>
      <c r="G50" s="3" t="s">
        <v>50</v>
      </c>
      <c r="H50" s="6">
        <v>-107438.02</v>
      </c>
      <c r="I50" s="3" t="s">
        <v>18</v>
      </c>
      <c r="J50" s="3" t="s">
        <v>15</v>
      </c>
      <c r="K50" s="3" t="s">
        <v>15</v>
      </c>
      <c r="L50" s="3" t="s">
        <v>133</v>
      </c>
      <c r="M50" s="4">
        <v>46205</v>
      </c>
      <c r="N50" s="3" t="s">
        <v>134</v>
      </c>
      <c r="O50" s="3" t="s">
        <v>22</v>
      </c>
      <c r="P50" t="str">
        <f t="shared" si="0"/>
        <v>450013180710</v>
      </c>
      <c r="Q50" s="7" cm="1">
        <f t="array" ref="Q50:S50">VLOOKUP(P50,Hoja1!C:F,{2,3,4},FALSE)</f>
        <v>46224</v>
      </c>
      <c r="R50" t="str">
        <v>C01</v>
      </c>
      <c r="S50" t="str">
        <v>1000003790 NSA ECO SRL</v>
      </c>
      <c r="T50" t="str">
        <f>VLOOKUP(P50,Hoja2!C:D,2,FALSE)</f>
        <v>AZAPANA</v>
      </c>
    </row>
    <row r="51" spans="1:20" x14ac:dyDescent="0.3">
      <c r="A51" s="2" t="s">
        <v>15</v>
      </c>
      <c r="B51" s="3" t="s">
        <v>15</v>
      </c>
      <c r="C51" s="3" t="s">
        <v>135</v>
      </c>
      <c r="D51" s="3" t="s">
        <v>43</v>
      </c>
      <c r="E51" s="3" t="s">
        <v>101</v>
      </c>
      <c r="F51" s="4">
        <v>46206</v>
      </c>
      <c r="G51" s="3" t="s">
        <v>50</v>
      </c>
      <c r="H51" s="6">
        <v>-655400</v>
      </c>
      <c r="I51" s="3" t="s">
        <v>18</v>
      </c>
      <c r="J51" s="3" t="s">
        <v>15</v>
      </c>
      <c r="K51" s="3" t="s">
        <v>15</v>
      </c>
      <c r="L51" s="3" t="s">
        <v>54</v>
      </c>
      <c r="M51" s="4">
        <v>46206</v>
      </c>
      <c r="N51" s="3" t="s">
        <v>55</v>
      </c>
      <c r="O51" s="3" t="s">
        <v>22</v>
      </c>
      <c r="P51" t="str">
        <f t="shared" si="0"/>
        <v>450012326210</v>
      </c>
      <c r="Q51" s="7" cm="1">
        <f t="array" ref="Q51:S51">VLOOKUP(P51,Hoja1!C:F,{2,3,4},FALSE)</f>
        <v>46233</v>
      </c>
      <c r="R51" t="str">
        <v>C25</v>
      </c>
      <c r="S51" t="str">
        <v>1000012132 PRODUCTOS SERVICIOS Y DISTRIBUCIONE</v>
      </c>
      <c r="T51" t="str">
        <f>VLOOKUP(P51,Hoja2!C:D,2,FALSE)</f>
        <v>MPITTIA</v>
      </c>
    </row>
    <row r="52" spans="1:20" x14ac:dyDescent="0.3">
      <c r="A52" s="2" t="s">
        <v>15</v>
      </c>
      <c r="B52" s="3" t="s">
        <v>15</v>
      </c>
      <c r="C52" s="3" t="s">
        <v>140</v>
      </c>
      <c r="D52" s="3" t="s">
        <v>43</v>
      </c>
      <c r="E52" s="3" t="s">
        <v>101</v>
      </c>
      <c r="F52" s="4">
        <v>46227</v>
      </c>
      <c r="G52" s="3" t="s">
        <v>50</v>
      </c>
      <c r="H52" s="6">
        <v>-103305.79</v>
      </c>
      <c r="I52" s="3" t="s">
        <v>18</v>
      </c>
      <c r="J52" s="3" t="s">
        <v>15</v>
      </c>
      <c r="K52" s="3" t="s">
        <v>15</v>
      </c>
      <c r="L52" s="3" t="s">
        <v>129</v>
      </c>
      <c r="M52" s="4">
        <v>46227</v>
      </c>
      <c r="N52" s="3" t="s">
        <v>130</v>
      </c>
      <c r="O52" s="3" t="s">
        <v>22</v>
      </c>
      <c r="P52" t="str">
        <f t="shared" si="0"/>
        <v>450012975410</v>
      </c>
      <c r="Q52" s="7" cm="1">
        <f t="array" ref="Q52:S52">VLOOKUP(P52,Hoja1!C:F,{2,3,4},FALSE)</f>
        <v>46264</v>
      </c>
      <c r="R52" t="str">
        <v>C01</v>
      </c>
      <c r="S52" t="str">
        <v>1000008707 PLANTA REVESA SRL</v>
      </c>
      <c r="T52" t="str">
        <f>VLOOKUP(P52,Hoja2!C:D,2,FALSE)</f>
        <v>AZAPANA</v>
      </c>
    </row>
    <row r="53" spans="1:20" x14ac:dyDescent="0.3">
      <c r="A53" s="2" t="s">
        <v>15</v>
      </c>
      <c r="B53" s="3" t="s">
        <v>15</v>
      </c>
      <c r="C53" s="3" t="s">
        <v>141</v>
      </c>
      <c r="D53" s="3" t="s">
        <v>15</v>
      </c>
      <c r="E53" s="3" t="s">
        <v>101</v>
      </c>
      <c r="F53" s="4">
        <v>46231</v>
      </c>
      <c r="G53" s="3" t="s">
        <v>50</v>
      </c>
      <c r="H53" s="6">
        <v>-144000</v>
      </c>
      <c r="I53" s="3" t="s">
        <v>18</v>
      </c>
      <c r="J53" s="3" t="s">
        <v>15</v>
      </c>
      <c r="K53" s="3" t="s">
        <v>15</v>
      </c>
      <c r="L53" s="3" t="s">
        <v>35</v>
      </c>
      <c r="M53" s="4">
        <v>46231</v>
      </c>
      <c r="N53" s="3" t="s">
        <v>142</v>
      </c>
      <c r="O53" s="3" t="s">
        <v>39</v>
      </c>
      <c r="P53" t="str">
        <f t="shared" si="0"/>
        <v>450013381430</v>
      </c>
      <c r="Q53" s="7" cm="1">
        <f t="array" ref="Q53:S53">VLOOKUP(P53,Hoja1!C:F,{2,3,4},FALSE)</f>
        <v>46237</v>
      </c>
      <c r="R53" t="str">
        <v>C01</v>
      </c>
      <c r="S53" t="str">
        <v>1000007611 ANTONIO B ATENOR E HIJOS S R L</v>
      </c>
      <c r="T53" t="str">
        <f>VLOOKUP(P53,Hoja2!C:D,2,FALSE)</f>
        <v>AZAPANA</v>
      </c>
    </row>
    <row r="54" spans="1:20" x14ac:dyDescent="0.3">
      <c r="A54" s="2" t="s">
        <v>15</v>
      </c>
      <c r="B54" s="3" t="s">
        <v>15</v>
      </c>
      <c r="C54" s="3" t="s">
        <v>141</v>
      </c>
      <c r="D54" s="3" t="s">
        <v>15</v>
      </c>
      <c r="E54" s="3" t="s">
        <v>101</v>
      </c>
      <c r="F54" s="4">
        <v>46231</v>
      </c>
      <c r="G54" s="3" t="s">
        <v>50</v>
      </c>
      <c r="H54" s="6">
        <v>-144000</v>
      </c>
      <c r="I54" s="3" t="s">
        <v>18</v>
      </c>
      <c r="J54" s="3" t="s">
        <v>15</v>
      </c>
      <c r="K54" s="3" t="s">
        <v>15</v>
      </c>
      <c r="L54" s="3" t="s">
        <v>35</v>
      </c>
      <c r="M54" s="4">
        <v>46231</v>
      </c>
      <c r="N54" s="3" t="s">
        <v>142</v>
      </c>
      <c r="O54" s="3" t="s">
        <v>32</v>
      </c>
      <c r="P54" t="str">
        <f t="shared" si="0"/>
        <v>450013381440</v>
      </c>
      <c r="Q54" s="7" cm="1">
        <f t="array" ref="Q54:S54">VLOOKUP(P54,Hoja1!C:F,{2,3,4},FALSE)</f>
        <v>46237</v>
      </c>
      <c r="R54" t="str">
        <v>C01</v>
      </c>
      <c r="S54" t="str">
        <v>1000007611 ANTONIO B ATENOR E HIJOS S R L</v>
      </c>
      <c r="T54" t="str">
        <f>VLOOKUP(P54,Hoja2!C:D,2,FALSE)</f>
        <v>AZAPANA</v>
      </c>
    </row>
    <row r="55" spans="1:20" x14ac:dyDescent="0.3">
      <c r="A55" s="2" t="s">
        <v>15</v>
      </c>
      <c r="B55" s="3" t="s">
        <v>15</v>
      </c>
      <c r="C55" s="3" t="s">
        <v>143</v>
      </c>
      <c r="D55" s="3" t="s">
        <v>43</v>
      </c>
      <c r="E55" s="3" t="s">
        <v>101</v>
      </c>
      <c r="F55" s="4">
        <v>46231</v>
      </c>
      <c r="G55" s="3" t="s">
        <v>50</v>
      </c>
      <c r="H55" s="6">
        <v>-8264.4</v>
      </c>
      <c r="I55" s="3" t="s">
        <v>18</v>
      </c>
      <c r="J55" s="3" t="s">
        <v>15</v>
      </c>
      <c r="K55" s="3" t="s">
        <v>15</v>
      </c>
      <c r="L55" s="3" t="s">
        <v>121</v>
      </c>
      <c r="M55" s="4">
        <v>46231</v>
      </c>
      <c r="N55" s="3" t="s">
        <v>144</v>
      </c>
      <c r="O55" s="3" t="s">
        <v>22</v>
      </c>
      <c r="P55" t="str">
        <f t="shared" si="0"/>
        <v>450013402210</v>
      </c>
      <c r="Q55" s="7" cm="1">
        <f t="array" ref="Q55:S55">VLOOKUP(P55,Hoja1!C:F,{2,3,4},FALSE)</f>
        <v>46325</v>
      </c>
      <c r="R55" t="str">
        <v>C25</v>
      </c>
      <c r="S55" t="str">
        <v>1000012293 ZAMBRANA SAMUEL</v>
      </c>
      <c r="T55" t="str">
        <f>VLOOKUP(P55,Hoja2!C:D,2,FALSE)</f>
        <v>ALOPEZ</v>
      </c>
    </row>
    <row r="56" spans="1:20" x14ac:dyDescent="0.3">
      <c r="A56" s="2" t="s">
        <v>15</v>
      </c>
      <c r="B56" s="3" t="s">
        <v>15</v>
      </c>
      <c r="C56" s="3" t="s">
        <v>145</v>
      </c>
      <c r="D56" s="3" t="s">
        <v>43</v>
      </c>
      <c r="E56" s="3" t="s">
        <v>101</v>
      </c>
      <c r="F56" s="4">
        <v>46232</v>
      </c>
      <c r="G56" s="3" t="s">
        <v>50</v>
      </c>
      <c r="H56" s="6">
        <v>-139860.57999999999</v>
      </c>
      <c r="I56" s="3" t="s">
        <v>18</v>
      </c>
      <c r="J56" s="3" t="s">
        <v>15</v>
      </c>
      <c r="K56" s="3" t="s">
        <v>15</v>
      </c>
      <c r="L56" s="3" t="s">
        <v>44</v>
      </c>
      <c r="M56" s="4">
        <v>46232</v>
      </c>
      <c r="N56" s="3" t="s">
        <v>57</v>
      </c>
      <c r="O56" s="3" t="s">
        <v>22</v>
      </c>
      <c r="P56" t="str">
        <f t="shared" si="0"/>
        <v>450012303610</v>
      </c>
      <c r="Q56" s="7" cm="1">
        <f t="array" ref="Q56:S56">VLOOKUP(P56,Hoja1!C:F,{2,3,4},FALSE)</f>
        <v>46282</v>
      </c>
      <c r="R56" t="str">
        <v>C01</v>
      </c>
      <c r="S56" t="str">
        <v>1000008967 JACARANDA S.A.</v>
      </c>
      <c r="T56" t="str">
        <f>VLOOKUP(P56,Hoja2!C:D,2,FALSE)</f>
        <v>GLUNA</v>
      </c>
    </row>
    <row r="57" spans="1:20" x14ac:dyDescent="0.3">
      <c r="A57" s="2" t="s">
        <v>15</v>
      </c>
      <c r="B57" s="3" t="s">
        <v>15</v>
      </c>
      <c r="C57" s="3" t="s">
        <v>146</v>
      </c>
      <c r="D57" s="3" t="s">
        <v>43</v>
      </c>
      <c r="E57" s="3" t="s">
        <v>101</v>
      </c>
      <c r="F57" s="4">
        <v>46232</v>
      </c>
      <c r="G57" s="3" t="s">
        <v>50</v>
      </c>
      <c r="H57" s="6">
        <v>-28925.65</v>
      </c>
      <c r="I57" s="3" t="s">
        <v>18</v>
      </c>
      <c r="J57" s="3" t="s">
        <v>15</v>
      </c>
      <c r="K57" s="3" t="s">
        <v>15</v>
      </c>
      <c r="L57" s="3" t="s">
        <v>121</v>
      </c>
      <c r="M57" s="4">
        <v>46232</v>
      </c>
      <c r="N57" s="3" t="s">
        <v>122</v>
      </c>
      <c r="O57" s="3" t="s">
        <v>22</v>
      </c>
      <c r="P57" t="str">
        <f t="shared" si="0"/>
        <v>450011392010</v>
      </c>
      <c r="Q57" s="7" cm="1">
        <f t="array" ref="Q57:S57">VLOOKUP(P57,Hoja1!C:F,{2,3,4},FALSE)</f>
        <v>46325</v>
      </c>
      <c r="R57" t="str">
        <v>C25</v>
      </c>
      <c r="S57" t="str">
        <v>1000012293 ZAMBRANA SAMUEL</v>
      </c>
      <c r="T57" t="str">
        <f>VLOOKUP(P57,Hoja2!C:D,2,FALSE)</f>
        <v>MPITTIA</v>
      </c>
    </row>
    <row r="58" spans="1:20" x14ac:dyDescent="0.3">
      <c r="A58" s="2" t="s">
        <v>15</v>
      </c>
      <c r="B58" s="3" t="s">
        <v>15</v>
      </c>
      <c r="C58" s="3" t="s">
        <v>147</v>
      </c>
      <c r="D58" s="3" t="s">
        <v>43</v>
      </c>
      <c r="E58" s="3" t="s">
        <v>101</v>
      </c>
      <c r="F58" s="4">
        <v>46237</v>
      </c>
      <c r="G58" s="3" t="s">
        <v>50</v>
      </c>
      <c r="H58" s="6">
        <v>-18181.8</v>
      </c>
      <c r="I58" s="3" t="s">
        <v>18</v>
      </c>
      <c r="J58" s="3" t="s">
        <v>15</v>
      </c>
      <c r="K58" s="3" t="s">
        <v>15</v>
      </c>
      <c r="L58" s="3" t="s">
        <v>148</v>
      </c>
      <c r="M58" s="4">
        <v>46237</v>
      </c>
      <c r="N58" s="3" t="s">
        <v>149</v>
      </c>
      <c r="O58" s="3" t="s">
        <v>22</v>
      </c>
      <c r="P58" t="str">
        <f t="shared" si="0"/>
        <v>450012989010</v>
      </c>
      <c r="Q58" s="7" cm="1">
        <f t="array" ref="Q58:S58">VLOOKUP(P58,Hoja1!C:F,{2,3,4},FALSE)</f>
        <v>46252</v>
      </c>
      <c r="R58" t="str">
        <v>C01</v>
      </c>
      <c r="S58" t="str">
        <v>1000007890 GASOL S.R.L.</v>
      </c>
      <c r="T58" t="str">
        <f>VLOOKUP(P58,Hoja2!C:D,2,FALSE)</f>
        <v>AZAPANA</v>
      </c>
    </row>
    <row r="59" spans="1:20" x14ac:dyDescent="0.3">
      <c r="A59" s="2" t="s">
        <v>15</v>
      </c>
      <c r="B59" s="3" t="s">
        <v>15</v>
      </c>
      <c r="C59" s="3" t="s">
        <v>150</v>
      </c>
      <c r="D59" s="3" t="s">
        <v>15</v>
      </c>
      <c r="E59" s="3" t="s">
        <v>101</v>
      </c>
      <c r="F59" s="4">
        <v>46237</v>
      </c>
      <c r="G59" s="3" t="s">
        <v>50</v>
      </c>
      <c r="H59" s="6">
        <v>-107641.63</v>
      </c>
      <c r="I59" s="3" t="s">
        <v>18</v>
      </c>
      <c r="J59" s="3" t="s">
        <v>15</v>
      </c>
      <c r="K59" s="3" t="s">
        <v>15</v>
      </c>
      <c r="L59" s="3" t="s">
        <v>151</v>
      </c>
      <c r="M59" s="4">
        <v>46237</v>
      </c>
      <c r="N59" s="3" t="s">
        <v>152</v>
      </c>
      <c r="O59" s="3" t="s">
        <v>22</v>
      </c>
      <c r="P59" t="str">
        <f t="shared" si="0"/>
        <v>450013370910</v>
      </c>
      <c r="Q59" s="7" cm="1">
        <f t="array" ref="Q59:S59">VLOOKUP(P59,Hoja1!C:F,{2,3,4},FALSE)</f>
        <v>46247</v>
      </c>
      <c r="R59" t="str">
        <v>C01</v>
      </c>
      <c r="S59" t="str">
        <v>1000000566 AUTOLUX SA</v>
      </c>
      <c r="T59" t="str">
        <f>VLOOKUP(P59,Hoja2!C:D,2,FALSE)</f>
        <v>AZAPANA</v>
      </c>
    </row>
    <row r="60" spans="1:20" x14ac:dyDescent="0.3">
      <c r="A60" s="2" t="s">
        <v>15</v>
      </c>
      <c r="B60" s="3" t="s">
        <v>15</v>
      </c>
      <c r="C60" s="3" t="s">
        <v>150</v>
      </c>
      <c r="D60" s="3" t="s">
        <v>15</v>
      </c>
      <c r="E60" s="3" t="s">
        <v>101</v>
      </c>
      <c r="F60" s="4">
        <v>46237</v>
      </c>
      <c r="G60" s="3" t="s">
        <v>50</v>
      </c>
      <c r="H60" s="6">
        <v>-74991.19</v>
      </c>
      <c r="I60" s="3" t="s">
        <v>18</v>
      </c>
      <c r="J60" s="3" t="s">
        <v>15</v>
      </c>
      <c r="K60" s="3" t="s">
        <v>15</v>
      </c>
      <c r="L60" s="3" t="s">
        <v>151</v>
      </c>
      <c r="M60" s="4">
        <v>46237</v>
      </c>
      <c r="N60" s="3" t="s">
        <v>152</v>
      </c>
      <c r="O60" s="3" t="s">
        <v>48</v>
      </c>
      <c r="P60" t="str">
        <f t="shared" si="0"/>
        <v>450013370920</v>
      </c>
      <c r="Q60" s="7" cm="1">
        <f t="array" ref="Q60:S60">VLOOKUP(P60,Hoja1!C:F,{2,3,4},FALSE)</f>
        <v>46247</v>
      </c>
      <c r="R60" t="str">
        <v>C01</v>
      </c>
      <c r="S60" t="str">
        <v>1000000566 AUTOLUX SA</v>
      </c>
      <c r="T60" t="str">
        <f>VLOOKUP(P60,Hoja2!C:D,2,FALSE)</f>
        <v>AZAPANA</v>
      </c>
    </row>
    <row r="61" spans="1:20" x14ac:dyDescent="0.3">
      <c r="A61" s="2" t="s">
        <v>15</v>
      </c>
      <c r="B61" s="3" t="s">
        <v>15</v>
      </c>
      <c r="C61" s="3" t="s">
        <v>153</v>
      </c>
      <c r="D61" s="3" t="s">
        <v>43</v>
      </c>
      <c r="E61" s="3" t="s">
        <v>101</v>
      </c>
      <c r="F61" s="4">
        <v>46238</v>
      </c>
      <c r="G61" s="3" t="s">
        <v>50</v>
      </c>
      <c r="H61" s="6">
        <v>-9044537.5800000001</v>
      </c>
      <c r="I61" s="3" t="s">
        <v>18</v>
      </c>
      <c r="J61" s="3" t="s">
        <v>15</v>
      </c>
      <c r="K61" s="3" t="s">
        <v>15</v>
      </c>
      <c r="L61" s="3" t="s">
        <v>54</v>
      </c>
      <c r="M61" s="4">
        <v>46238</v>
      </c>
      <c r="N61" s="3" t="s">
        <v>154</v>
      </c>
      <c r="O61" s="3" t="s">
        <v>22</v>
      </c>
      <c r="P61" t="str">
        <f t="shared" si="0"/>
        <v>450012853310</v>
      </c>
      <c r="Q61" s="7" cm="1">
        <f t="array" ref="Q61:S61">VLOOKUP(P61,Hoja1!C:F,{2,3,4},FALSE)</f>
        <v>46326</v>
      </c>
      <c r="R61" t="str">
        <v>C25</v>
      </c>
      <c r="S61" t="str">
        <v>1000012132 PRODUCTOS SERVICIOS Y DISTRIBUCIONE</v>
      </c>
      <c r="T61" t="str">
        <f>VLOOKUP(P61,Hoja2!C:D,2,FALSE)</f>
        <v>MPITTIA</v>
      </c>
    </row>
    <row r="62" spans="1:20" x14ac:dyDescent="0.3">
      <c r="A62" s="2" t="s">
        <v>15</v>
      </c>
      <c r="B62" s="3" t="s">
        <v>15</v>
      </c>
      <c r="C62" s="3" t="s">
        <v>158</v>
      </c>
      <c r="D62" s="3" t="s">
        <v>43</v>
      </c>
      <c r="E62" s="3" t="s">
        <v>101</v>
      </c>
      <c r="F62" s="4">
        <v>46252</v>
      </c>
      <c r="G62" s="3" t="s">
        <v>50</v>
      </c>
      <c r="H62" s="6">
        <v>-9090.9</v>
      </c>
      <c r="I62" s="3" t="s">
        <v>18</v>
      </c>
      <c r="J62" s="3" t="s">
        <v>15</v>
      </c>
      <c r="K62" s="3" t="s">
        <v>15</v>
      </c>
      <c r="L62" s="3" t="s">
        <v>148</v>
      </c>
      <c r="M62" s="4">
        <v>46252</v>
      </c>
      <c r="N62" s="3" t="s">
        <v>149</v>
      </c>
      <c r="O62" s="3" t="s">
        <v>22</v>
      </c>
      <c r="P62" t="str">
        <f t="shared" si="0"/>
        <v>450012989010</v>
      </c>
      <c r="Q62" s="7" cm="1">
        <f t="array" ref="Q62:S62">VLOOKUP(P62,Hoja1!C:F,{2,3,4},FALSE)</f>
        <v>46252</v>
      </c>
      <c r="R62" t="str">
        <v>C01</v>
      </c>
      <c r="S62" t="str">
        <v>1000007890 GASOL S.R.L.</v>
      </c>
      <c r="T62" t="str">
        <f>VLOOKUP(P62,Hoja2!C:D,2,FALSE)</f>
        <v>AZAPANA</v>
      </c>
    </row>
    <row r="63" spans="1:20" x14ac:dyDescent="0.3">
      <c r="A63" s="2" t="s">
        <v>15</v>
      </c>
      <c r="B63" s="3" t="s">
        <v>15</v>
      </c>
      <c r="C63" s="3" t="s">
        <v>159</v>
      </c>
      <c r="D63" s="3" t="s">
        <v>15</v>
      </c>
      <c r="E63" s="3" t="s">
        <v>101</v>
      </c>
      <c r="F63" s="4">
        <v>46253</v>
      </c>
      <c r="G63" s="3" t="s">
        <v>50</v>
      </c>
      <c r="H63" s="6">
        <v>-149400</v>
      </c>
      <c r="I63" s="3" t="s">
        <v>18</v>
      </c>
      <c r="J63" s="3" t="s">
        <v>15</v>
      </c>
      <c r="K63" s="3" t="s">
        <v>15</v>
      </c>
      <c r="L63" s="3" t="s">
        <v>35</v>
      </c>
      <c r="M63" s="4">
        <v>46253</v>
      </c>
      <c r="N63" s="3" t="s">
        <v>160</v>
      </c>
      <c r="O63" s="3" t="s">
        <v>66</v>
      </c>
      <c r="P63" t="str">
        <f t="shared" si="0"/>
        <v>450013075060</v>
      </c>
      <c r="Q63" s="7" cm="1">
        <f t="array" ref="Q63:S63">VLOOKUP(P63,Hoja1!C:F,{2,3,4},FALSE)</f>
        <v>46258</v>
      </c>
      <c r="R63" t="str">
        <v>C01</v>
      </c>
      <c r="S63" t="str">
        <v>1000007611 ANTONIO B ATENOR E HIJOS S R L</v>
      </c>
      <c r="T63" t="str">
        <f>VLOOKUP(P63,Hoja2!C:D,2,FALSE)</f>
        <v>AZAPANA</v>
      </c>
    </row>
    <row r="64" spans="1:20" x14ac:dyDescent="0.3">
      <c r="A64" s="2" t="s">
        <v>15</v>
      </c>
      <c r="B64" s="3" t="s">
        <v>15</v>
      </c>
      <c r="C64" s="3" t="s">
        <v>162</v>
      </c>
      <c r="D64" s="3" t="s">
        <v>15</v>
      </c>
      <c r="E64" s="3" t="s">
        <v>101</v>
      </c>
      <c r="F64" s="4">
        <v>46256</v>
      </c>
      <c r="G64" s="3" t="s">
        <v>50</v>
      </c>
      <c r="H64" s="6">
        <v>-1152805.8700000001</v>
      </c>
      <c r="I64" s="3" t="s">
        <v>18</v>
      </c>
      <c r="J64" s="3" t="s">
        <v>15</v>
      </c>
      <c r="K64" s="3" t="s">
        <v>15</v>
      </c>
      <c r="L64" s="3" t="s">
        <v>95</v>
      </c>
      <c r="M64" s="4">
        <v>46256</v>
      </c>
      <c r="N64" s="3" t="s">
        <v>163</v>
      </c>
      <c r="O64" s="3" t="s">
        <v>48</v>
      </c>
      <c r="P64" t="str">
        <f t="shared" si="0"/>
        <v>450013566920</v>
      </c>
      <c r="Q64" s="7" cm="1">
        <f t="array" ref="Q64:S64">VLOOKUP(P64,Hoja1!C:F,{2,3,4},FALSE)</f>
        <v>46270</v>
      </c>
      <c r="R64" t="str">
        <v>L01</v>
      </c>
      <c r="S64" t="str">
        <v>1000012974 BLEXA S. A.</v>
      </c>
      <c r="T64" t="str">
        <f>VLOOKUP(P64,Hoja2!C:D,2,FALSE)</f>
        <v>FBERARDO</v>
      </c>
    </row>
    <row r="65" spans="1:20" x14ac:dyDescent="0.3">
      <c r="A65" s="2" t="s">
        <v>15</v>
      </c>
      <c r="B65" s="3" t="s">
        <v>15</v>
      </c>
      <c r="C65" s="3" t="s">
        <v>164</v>
      </c>
      <c r="D65" s="3" t="s">
        <v>15</v>
      </c>
      <c r="E65" s="3" t="s">
        <v>101</v>
      </c>
      <c r="F65" s="4">
        <v>46259</v>
      </c>
      <c r="G65" s="3" t="s">
        <v>50</v>
      </c>
      <c r="H65" s="6">
        <v>-13419</v>
      </c>
      <c r="I65" s="3" t="s">
        <v>18</v>
      </c>
      <c r="J65" s="3" t="s">
        <v>15</v>
      </c>
      <c r="K65" s="3" t="s">
        <v>15</v>
      </c>
      <c r="L65" s="3" t="s">
        <v>165</v>
      </c>
      <c r="M65" s="4">
        <v>46259</v>
      </c>
      <c r="N65" s="3" t="s">
        <v>166</v>
      </c>
      <c r="O65" s="3" t="s">
        <v>22</v>
      </c>
      <c r="P65" t="str">
        <f t="shared" si="0"/>
        <v>450013642610</v>
      </c>
      <c r="Q65" s="7" cm="1">
        <f t="array" ref="Q65:S65">VLOOKUP(P65,Hoja1!C:F,{2,3,4},FALSE)</f>
        <v>46276</v>
      </c>
      <c r="R65" t="str">
        <v>C01</v>
      </c>
      <c r="S65" t="str">
        <v>1000007766 HERSAPEL SOCIEDAD DE RESPONSABILIDA</v>
      </c>
      <c r="T65" t="str">
        <f>VLOOKUP(P65,Hoja2!C:D,2,FALSE)</f>
        <v>AZAPANA</v>
      </c>
    </row>
    <row r="66" spans="1:20" x14ac:dyDescent="0.3">
      <c r="A66" s="2" t="s">
        <v>15</v>
      </c>
      <c r="B66" s="3" t="s">
        <v>15</v>
      </c>
      <c r="C66" s="3" t="s">
        <v>164</v>
      </c>
      <c r="D66" s="3" t="s">
        <v>43</v>
      </c>
      <c r="E66" s="3" t="s">
        <v>101</v>
      </c>
      <c r="F66" s="4">
        <v>46259</v>
      </c>
      <c r="G66" s="3" t="s">
        <v>50</v>
      </c>
      <c r="H66" s="6">
        <v>-35525</v>
      </c>
      <c r="I66" s="3" t="s">
        <v>18</v>
      </c>
      <c r="J66" s="3" t="s">
        <v>15</v>
      </c>
      <c r="K66" s="3" t="s">
        <v>15</v>
      </c>
      <c r="L66" s="3" t="s">
        <v>165</v>
      </c>
      <c r="M66" s="4">
        <v>46259</v>
      </c>
      <c r="N66" s="3" t="s">
        <v>166</v>
      </c>
      <c r="O66" s="3" t="s">
        <v>32</v>
      </c>
      <c r="P66" t="str">
        <f t="shared" si="0"/>
        <v>450013642640</v>
      </c>
      <c r="Q66" s="7" cm="1">
        <f t="array" ref="Q66:S66">VLOOKUP(P66,Hoja1!C:F,{2,3,4},FALSE)</f>
        <v>46276</v>
      </c>
      <c r="R66" t="str">
        <v>C01</v>
      </c>
      <c r="S66" t="str">
        <v>1000007766 HERSAPEL SOCIEDAD DE RESPONSABILIDA</v>
      </c>
      <c r="T66" t="str">
        <f>VLOOKUP(P66,Hoja2!C:D,2,FALSE)</f>
        <v>AZAPANA</v>
      </c>
    </row>
    <row r="67" spans="1:20" x14ac:dyDescent="0.3">
      <c r="A67" s="2" t="s">
        <v>15</v>
      </c>
      <c r="B67" s="3" t="s">
        <v>15</v>
      </c>
      <c r="C67" s="3" t="s">
        <v>164</v>
      </c>
      <c r="D67" s="3" t="s">
        <v>43</v>
      </c>
      <c r="E67" s="3" t="s">
        <v>101</v>
      </c>
      <c r="F67" s="4">
        <v>46259</v>
      </c>
      <c r="G67" s="3" t="s">
        <v>50</v>
      </c>
      <c r="H67" s="6">
        <v>-4773.1000000000004</v>
      </c>
      <c r="I67" s="3" t="s">
        <v>18</v>
      </c>
      <c r="J67" s="3" t="s">
        <v>15</v>
      </c>
      <c r="K67" s="3" t="s">
        <v>15</v>
      </c>
      <c r="L67" s="3" t="s">
        <v>165</v>
      </c>
      <c r="M67" s="4">
        <v>46259</v>
      </c>
      <c r="N67" s="3" t="s">
        <v>166</v>
      </c>
      <c r="O67" s="3" t="s">
        <v>38</v>
      </c>
      <c r="P67" t="str">
        <f t="shared" ref="P67:P130" si="1">_xlfn.CONCAT(N67:O67)</f>
        <v>450013642650</v>
      </c>
      <c r="Q67" s="7" cm="1">
        <f t="array" ref="Q67:S67">VLOOKUP(P67,Hoja1!C:F,{2,3,4},FALSE)</f>
        <v>46276</v>
      </c>
      <c r="R67" t="str">
        <v>C01</v>
      </c>
      <c r="S67" t="str">
        <v>1000007766 HERSAPEL SOCIEDAD DE RESPONSABILIDA</v>
      </c>
      <c r="T67" t="str">
        <f>VLOOKUP(P67,Hoja2!C:D,2,FALSE)</f>
        <v>AZAPANA</v>
      </c>
    </row>
    <row r="68" spans="1:20" x14ac:dyDescent="0.3">
      <c r="A68" s="2" t="s">
        <v>15</v>
      </c>
      <c r="B68" s="3" t="s">
        <v>15</v>
      </c>
      <c r="C68" s="3" t="s">
        <v>167</v>
      </c>
      <c r="D68" s="3" t="s">
        <v>15</v>
      </c>
      <c r="E68" s="3" t="s">
        <v>101</v>
      </c>
      <c r="F68" s="4">
        <v>46260</v>
      </c>
      <c r="G68" s="3" t="s">
        <v>50</v>
      </c>
      <c r="H68" s="6">
        <v>-123638.39999999999</v>
      </c>
      <c r="I68" s="3" t="s">
        <v>18</v>
      </c>
      <c r="J68" s="3" t="s">
        <v>15</v>
      </c>
      <c r="K68" s="3" t="s">
        <v>15</v>
      </c>
      <c r="L68" s="3" t="s">
        <v>70</v>
      </c>
      <c r="M68" s="4">
        <v>46260</v>
      </c>
      <c r="N68" s="3" t="s">
        <v>168</v>
      </c>
      <c r="O68" s="3" t="s">
        <v>22</v>
      </c>
      <c r="P68" t="str">
        <f t="shared" si="1"/>
        <v>450013654410</v>
      </c>
      <c r="Q68" s="7" cm="1">
        <f t="array" ref="Q68:S68">VLOOKUP(P68,Hoja1!C:F,{2,3,4},FALSE)</f>
        <v>46277</v>
      </c>
      <c r="R68" t="str">
        <v>C01</v>
      </c>
      <c r="S68" t="str">
        <v>1000007451 FLORES CARLOS FELIPE Y OTROS S H</v>
      </c>
      <c r="T68" t="str">
        <f>VLOOKUP(P68,Hoja2!C:D,2,FALSE)</f>
        <v>AZAPANA</v>
      </c>
    </row>
    <row r="69" spans="1:20" x14ac:dyDescent="0.3">
      <c r="A69" s="2" t="s">
        <v>15</v>
      </c>
      <c r="B69" s="3" t="s">
        <v>15</v>
      </c>
      <c r="C69" s="3" t="s">
        <v>167</v>
      </c>
      <c r="D69" s="3" t="s">
        <v>15</v>
      </c>
      <c r="E69" s="3" t="s">
        <v>101</v>
      </c>
      <c r="F69" s="4">
        <v>46260</v>
      </c>
      <c r="G69" s="3" t="s">
        <v>50</v>
      </c>
      <c r="H69" s="6">
        <v>-73126.8</v>
      </c>
      <c r="I69" s="3" t="s">
        <v>18</v>
      </c>
      <c r="J69" s="3" t="s">
        <v>15</v>
      </c>
      <c r="K69" s="3" t="s">
        <v>15</v>
      </c>
      <c r="L69" s="3" t="s">
        <v>70</v>
      </c>
      <c r="M69" s="4">
        <v>46260</v>
      </c>
      <c r="N69" s="3" t="s">
        <v>168</v>
      </c>
      <c r="O69" s="3" t="s">
        <v>48</v>
      </c>
      <c r="P69" t="str">
        <f t="shared" si="1"/>
        <v>450013654420</v>
      </c>
      <c r="Q69" s="7" cm="1">
        <f t="array" ref="Q69:S69">VLOOKUP(P69,Hoja1!C:F,{2,3,4},FALSE)</f>
        <v>46277</v>
      </c>
      <c r="R69" t="str">
        <v>C01</v>
      </c>
      <c r="S69" t="str">
        <v>1000007451 FLORES CARLOS FELIPE Y OTROS S H</v>
      </c>
      <c r="T69" t="str">
        <f>VLOOKUP(P69,Hoja2!C:D,2,FALSE)</f>
        <v>AZAPANA</v>
      </c>
    </row>
    <row r="70" spans="1:20" x14ac:dyDescent="0.3">
      <c r="A70" s="2" t="s">
        <v>15</v>
      </c>
      <c r="B70" s="3" t="s">
        <v>15</v>
      </c>
      <c r="C70" s="3" t="s">
        <v>167</v>
      </c>
      <c r="D70" s="3" t="s">
        <v>15</v>
      </c>
      <c r="E70" s="3" t="s">
        <v>101</v>
      </c>
      <c r="F70" s="4">
        <v>46260</v>
      </c>
      <c r="G70" s="3" t="s">
        <v>50</v>
      </c>
      <c r="H70" s="6">
        <v>-16634.46</v>
      </c>
      <c r="I70" s="3" t="s">
        <v>18</v>
      </c>
      <c r="J70" s="3" t="s">
        <v>15</v>
      </c>
      <c r="K70" s="3" t="s">
        <v>15</v>
      </c>
      <c r="L70" s="3" t="s">
        <v>70</v>
      </c>
      <c r="M70" s="4">
        <v>46260</v>
      </c>
      <c r="N70" s="3" t="s">
        <v>168</v>
      </c>
      <c r="O70" s="3" t="s">
        <v>39</v>
      </c>
      <c r="P70" t="str">
        <f t="shared" si="1"/>
        <v>450013654430</v>
      </c>
      <c r="Q70" s="7" cm="1">
        <f t="array" ref="Q70:S70">VLOOKUP(P70,Hoja1!C:F,{2,3,4},FALSE)</f>
        <v>46277</v>
      </c>
      <c r="R70" t="str">
        <v>C01</v>
      </c>
      <c r="S70" t="str">
        <v>1000007451 FLORES CARLOS FELIPE Y OTROS S H</v>
      </c>
      <c r="T70" t="str">
        <f>VLOOKUP(P70,Hoja2!C:D,2,FALSE)</f>
        <v>AZAPANA</v>
      </c>
    </row>
    <row r="71" spans="1:20" x14ac:dyDescent="0.3">
      <c r="A71" s="2" t="s">
        <v>15</v>
      </c>
      <c r="B71" s="3" t="s">
        <v>15</v>
      </c>
      <c r="C71" s="3" t="s">
        <v>167</v>
      </c>
      <c r="D71" s="3" t="s">
        <v>15</v>
      </c>
      <c r="E71" s="3" t="s">
        <v>101</v>
      </c>
      <c r="F71" s="4">
        <v>46260</v>
      </c>
      <c r="G71" s="3" t="s">
        <v>50</v>
      </c>
      <c r="H71" s="6">
        <v>-46089.2</v>
      </c>
      <c r="I71" s="3" t="s">
        <v>18</v>
      </c>
      <c r="J71" s="3" t="s">
        <v>15</v>
      </c>
      <c r="K71" s="3" t="s">
        <v>15</v>
      </c>
      <c r="L71" s="3" t="s">
        <v>70</v>
      </c>
      <c r="M71" s="4">
        <v>46260</v>
      </c>
      <c r="N71" s="3" t="s">
        <v>168</v>
      </c>
      <c r="O71" s="3" t="s">
        <v>32</v>
      </c>
      <c r="P71" t="str">
        <f t="shared" si="1"/>
        <v>450013654440</v>
      </c>
      <c r="Q71" s="7" cm="1">
        <f t="array" ref="Q71:S71">VLOOKUP(P71,Hoja1!C:F,{2,3,4},FALSE)</f>
        <v>46277</v>
      </c>
      <c r="R71" t="str">
        <v>C01</v>
      </c>
      <c r="S71" t="str">
        <v>1000007451 FLORES CARLOS FELIPE Y OTROS S H</v>
      </c>
      <c r="T71" t="str">
        <f>VLOOKUP(P71,Hoja2!C:D,2,FALSE)</f>
        <v>AZAPANA</v>
      </c>
    </row>
    <row r="72" spans="1:20" x14ac:dyDescent="0.3">
      <c r="A72" s="2" t="s">
        <v>15</v>
      </c>
      <c r="B72" s="3" t="s">
        <v>15</v>
      </c>
      <c r="C72" s="3" t="s">
        <v>167</v>
      </c>
      <c r="D72" s="3" t="s">
        <v>43</v>
      </c>
      <c r="E72" s="3" t="s">
        <v>101</v>
      </c>
      <c r="F72" s="4">
        <v>46260</v>
      </c>
      <c r="G72" s="3" t="s">
        <v>50</v>
      </c>
      <c r="H72" s="6">
        <v>-35067.08</v>
      </c>
      <c r="I72" s="3" t="s">
        <v>18</v>
      </c>
      <c r="J72" s="3" t="s">
        <v>15</v>
      </c>
      <c r="K72" s="3" t="s">
        <v>15</v>
      </c>
      <c r="L72" s="3" t="s">
        <v>70</v>
      </c>
      <c r="M72" s="4">
        <v>46260</v>
      </c>
      <c r="N72" s="3" t="s">
        <v>168</v>
      </c>
      <c r="O72" s="3" t="s">
        <v>38</v>
      </c>
      <c r="P72" t="str">
        <f t="shared" si="1"/>
        <v>450013654450</v>
      </c>
      <c r="Q72" s="7" cm="1">
        <f t="array" ref="Q72:S72">VLOOKUP(P72,Hoja1!C:F,{2,3,4},FALSE)</f>
        <v>46277</v>
      </c>
      <c r="R72" t="str">
        <v>C01</v>
      </c>
      <c r="S72" t="str">
        <v>1000007451 FLORES CARLOS FELIPE Y OTROS S H</v>
      </c>
      <c r="T72" t="str">
        <f>VLOOKUP(P72,Hoja2!C:D,2,FALSE)</f>
        <v>AZAPANA</v>
      </c>
    </row>
    <row r="73" spans="1:20" x14ac:dyDescent="0.3">
      <c r="A73" s="2" t="s">
        <v>15</v>
      </c>
      <c r="B73" s="3" t="s">
        <v>15</v>
      </c>
      <c r="C73" s="3" t="s">
        <v>167</v>
      </c>
      <c r="D73" s="3" t="s">
        <v>15</v>
      </c>
      <c r="E73" s="3" t="s">
        <v>101</v>
      </c>
      <c r="F73" s="4">
        <v>46260</v>
      </c>
      <c r="G73" s="3" t="s">
        <v>50</v>
      </c>
      <c r="H73" s="6">
        <v>-103832.54</v>
      </c>
      <c r="I73" s="3" t="s">
        <v>18</v>
      </c>
      <c r="J73" s="3" t="s">
        <v>15</v>
      </c>
      <c r="K73" s="3" t="s">
        <v>15</v>
      </c>
      <c r="L73" s="3" t="s">
        <v>70</v>
      </c>
      <c r="M73" s="4">
        <v>46260</v>
      </c>
      <c r="N73" s="3" t="s">
        <v>168</v>
      </c>
      <c r="O73" s="3" t="s">
        <v>66</v>
      </c>
      <c r="P73" t="str">
        <f t="shared" si="1"/>
        <v>450013654460</v>
      </c>
      <c r="Q73" s="7" cm="1">
        <f t="array" ref="Q73:S73">VLOOKUP(P73,Hoja1!C:F,{2,3,4},FALSE)</f>
        <v>46277</v>
      </c>
      <c r="R73" t="str">
        <v>C01</v>
      </c>
      <c r="S73" t="str">
        <v>1000007451 FLORES CARLOS FELIPE Y OTROS S H</v>
      </c>
      <c r="T73" t="str">
        <f>VLOOKUP(P73,Hoja2!C:D,2,FALSE)</f>
        <v>AZAPANA</v>
      </c>
    </row>
    <row r="74" spans="1:20" x14ac:dyDescent="0.3">
      <c r="A74" s="2" t="s">
        <v>15</v>
      </c>
      <c r="B74" s="3" t="s">
        <v>15</v>
      </c>
      <c r="C74" s="3" t="s">
        <v>167</v>
      </c>
      <c r="D74" s="3" t="s">
        <v>15</v>
      </c>
      <c r="E74" s="3" t="s">
        <v>101</v>
      </c>
      <c r="F74" s="4">
        <v>46260</v>
      </c>
      <c r="G74" s="3" t="s">
        <v>50</v>
      </c>
      <c r="H74" s="6">
        <v>-245730</v>
      </c>
      <c r="I74" s="3" t="s">
        <v>18</v>
      </c>
      <c r="J74" s="3" t="s">
        <v>15</v>
      </c>
      <c r="K74" s="3" t="s">
        <v>15</v>
      </c>
      <c r="L74" s="3" t="s">
        <v>70</v>
      </c>
      <c r="M74" s="4">
        <v>46260</v>
      </c>
      <c r="N74" s="3" t="s">
        <v>168</v>
      </c>
      <c r="O74" s="3" t="s">
        <v>169</v>
      </c>
      <c r="P74" t="str">
        <f t="shared" si="1"/>
        <v>450013654480</v>
      </c>
      <c r="Q74" s="7" cm="1">
        <f t="array" ref="Q74:S74">VLOOKUP(P74,Hoja1!C:F,{2,3,4},FALSE)</f>
        <v>46277</v>
      </c>
      <c r="R74" t="str">
        <v>C01</v>
      </c>
      <c r="S74" t="str">
        <v>1000007451 FLORES CARLOS FELIPE Y OTROS S H</v>
      </c>
      <c r="T74" t="str">
        <f>VLOOKUP(P74,Hoja2!C:D,2,FALSE)</f>
        <v>AZAPANA</v>
      </c>
    </row>
    <row r="75" spans="1:20" x14ac:dyDescent="0.3">
      <c r="A75" s="2" t="s">
        <v>15</v>
      </c>
      <c r="B75" s="3" t="s">
        <v>15</v>
      </c>
      <c r="C75" s="3" t="s">
        <v>167</v>
      </c>
      <c r="D75" s="3" t="s">
        <v>15</v>
      </c>
      <c r="E75" s="3" t="s">
        <v>101</v>
      </c>
      <c r="F75" s="4">
        <v>46260</v>
      </c>
      <c r="G75" s="3" t="s">
        <v>50</v>
      </c>
      <c r="H75" s="6">
        <v>-98351.2</v>
      </c>
      <c r="I75" s="3" t="s">
        <v>18</v>
      </c>
      <c r="J75" s="3" t="s">
        <v>15</v>
      </c>
      <c r="K75" s="3" t="s">
        <v>15</v>
      </c>
      <c r="L75" s="3" t="s">
        <v>70</v>
      </c>
      <c r="M75" s="4">
        <v>46260</v>
      </c>
      <c r="N75" s="3" t="s">
        <v>168</v>
      </c>
      <c r="O75" s="3" t="s">
        <v>87</v>
      </c>
      <c r="P75" t="str">
        <f t="shared" si="1"/>
        <v>4500136544110</v>
      </c>
      <c r="Q75" s="7" cm="1">
        <f t="array" ref="Q75:S75">VLOOKUP(P75,Hoja1!C:F,{2,3,4},FALSE)</f>
        <v>46277</v>
      </c>
      <c r="R75" t="str">
        <v>C01</v>
      </c>
      <c r="S75" t="str">
        <v>1000007451 FLORES CARLOS FELIPE Y OTROS S H</v>
      </c>
      <c r="T75" t="str">
        <f>VLOOKUP(P75,Hoja2!C:D,2,FALSE)</f>
        <v>AZAPANA</v>
      </c>
    </row>
    <row r="76" spans="1:20" x14ac:dyDescent="0.3">
      <c r="A76" s="2" t="s">
        <v>15</v>
      </c>
      <c r="B76" s="3" t="s">
        <v>15</v>
      </c>
      <c r="C76" s="3" t="s">
        <v>167</v>
      </c>
      <c r="D76" s="3" t="s">
        <v>15</v>
      </c>
      <c r="E76" s="3" t="s">
        <v>101</v>
      </c>
      <c r="F76" s="4">
        <v>46260</v>
      </c>
      <c r="G76" s="3" t="s">
        <v>50</v>
      </c>
      <c r="H76" s="6">
        <v>-70134.16</v>
      </c>
      <c r="I76" s="3" t="s">
        <v>18</v>
      </c>
      <c r="J76" s="3" t="s">
        <v>15</v>
      </c>
      <c r="K76" s="3" t="s">
        <v>15</v>
      </c>
      <c r="L76" s="3" t="s">
        <v>70</v>
      </c>
      <c r="M76" s="4">
        <v>46260</v>
      </c>
      <c r="N76" s="3" t="s">
        <v>168</v>
      </c>
      <c r="O76" s="3" t="s">
        <v>40</v>
      </c>
      <c r="P76" t="str">
        <f t="shared" si="1"/>
        <v>4500136544170</v>
      </c>
      <c r="Q76" s="7" cm="1">
        <f t="array" ref="Q76:S76">VLOOKUP(P76,Hoja1!C:F,{2,3,4},FALSE)</f>
        <v>46277</v>
      </c>
      <c r="R76" t="str">
        <v>C01</v>
      </c>
      <c r="S76" t="str">
        <v>1000007451 FLORES CARLOS FELIPE Y OTROS S H</v>
      </c>
      <c r="T76" t="str">
        <f>VLOOKUP(P76,Hoja2!C:D,2,FALSE)</f>
        <v>AZAPANA</v>
      </c>
    </row>
    <row r="77" spans="1:20" x14ac:dyDescent="0.3">
      <c r="A77" s="2" t="s">
        <v>15</v>
      </c>
      <c r="B77" s="3" t="s">
        <v>15</v>
      </c>
      <c r="C77" s="3" t="s">
        <v>170</v>
      </c>
      <c r="D77" s="3" t="s">
        <v>15</v>
      </c>
      <c r="E77" s="3" t="s">
        <v>101</v>
      </c>
      <c r="F77" s="4">
        <v>46263</v>
      </c>
      <c r="G77" s="3" t="s">
        <v>50</v>
      </c>
      <c r="H77" s="6">
        <v>-15895</v>
      </c>
      <c r="I77" s="3" t="s">
        <v>18</v>
      </c>
      <c r="J77" s="3" t="s">
        <v>15</v>
      </c>
      <c r="K77" s="3" t="s">
        <v>15</v>
      </c>
      <c r="L77" s="3" t="s">
        <v>105</v>
      </c>
      <c r="M77" s="4">
        <v>46263</v>
      </c>
      <c r="N77" s="3" t="s">
        <v>171</v>
      </c>
      <c r="O77" s="3" t="s">
        <v>22</v>
      </c>
      <c r="P77" t="str">
        <f t="shared" si="1"/>
        <v>450013704610</v>
      </c>
      <c r="Q77" s="7" cm="1">
        <f t="array" ref="Q77:S77">VLOOKUP(P77,Hoja1!C:F,{2,3,4},FALSE)</f>
        <v>46281</v>
      </c>
      <c r="R77" t="str">
        <v>C01</v>
      </c>
      <c r="S77" t="str">
        <v>1000000295 BOLLINI S.A</v>
      </c>
      <c r="T77" t="str">
        <f>VLOOKUP(P77,Hoja2!C:D,2,FALSE)</f>
        <v>AZAPANA</v>
      </c>
    </row>
    <row r="78" spans="1:20" x14ac:dyDescent="0.3">
      <c r="A78" s="2" t="s">
        <v>15</v>
      </c>
      <c r="B78" s="3" t="s">
        <v>15</v>
      </c>
      <c r="C78" s="3" t="s">
        <v>170</v>
      </c>
      <c r="D78" s="3" t="s">
        <v>15</v>
      </c>
      <c r="E78" s="3" t="s">
        <v>101</v>
      </c>
      <c r="F78" s="4">
        <v>46263</v>
      </c>
      <c r="G78" s="3" t="s">
        <v>50</v>
      </c>
      <c r="H78" s="6">
        <v>-9265</v>
      </c>
      <c r="I78" s="3" t="s">
        <v>18</v>
      </c>
      <c r="J78" s="3" t="s">
        <v>15</v>
      </c>
      <c r="K78" s="3" t="s">
        <v>15</v>
      </c>
      <c r="L78" s="3" t="s">
        <v>105</v>
      </c>
      <c r="M78" s="4">
        <v>46263</v>
      </c>
      <c r="N78" s="3" t="s">
        <v>171</v>
      </c>
      <c r="O78" s="3" t="s">
        <v>48</v>
      </c>
      <c r="P78" t="str">
        <f t="shared" si="1"/>
        <v>450013704620</v>
      </c>
      <c r="Q78" s="7" cm="1">
        <f t="array" ref="Q78:S78">VLOOKUP(P78,Hoja1!C:F,{2,3,4},FALSE)</f>
        <v>46281</v>
      </c>
      <c r="R78" t="str">
        <v>C01</v>
      </c>
      <c r="S78" t="str">
        <v>1000000295 BOLLINI S.A</v>
      </c>
      <c r="T78" t="str">
        <f>VLOOKUP(P78,Hoja2!C:D,2,FALSE)</f>
        <v>AZAPANA</v>
      </c>
    </row>
    <row r="79" spans="1:20" x14ac:dyDescent="0.3">
      <c r="A79" s="2" t="s">
        <v>15</v>
      </c>
      <c r="B79" s="3" t="s">
        <v>15</v>
      </c>
      <c r="C79" s="3" t="s">
        <v>170</v>
      </c>
      <c r="D79" s="3" t="s">
        <v>15</v>
      </c>
      <c r="E79" s="3" t="s">
        <v>101</v>
      </c>
      <c r="F79" s="4">
        <v>46263</v>
      </c>
      <c r="G79" s="3" t="s">
        <v>50</v>
      </c>
      <c r="H79" s="6">
        <v>-9265</v>
      </c>
      <c r="I79" s="3" t="s">
        <v>18</v>
      </c>
      <c r="J79" s="3" t="s">
        <v>15</v>
      </c>
      <c r="K79" s="3" t="s">
        <v>15</v>
      </c>
      <c r="L79" s="3" t="s">
        <v>105</v>
      </c>
      <c r="M79" s="4">
        <v>46263</v>
      </c>
      <c r="N79" s="3" t="s">
        <v>171</v>
      </c>
      <c r="O79" s="3" t="s">
        <v>39</v>
      </c>
      <c r="P79" t="str">
        <f t="shared" si="1"/>
        <v>450013704630</v>
      </c>
      <c r="Q79" s="7" cm="1">
        <f t="array" ref="Q79:S79">VLOOKUP(P79,Hoja1!C:F,{2,3,4},FALSE)</f>
        <v>46281</v>
      </c>
      <c r="R79" t="str">
        <v>C01</v>
      </c>
      <c r="S79" t="str">
        <v>1000000295 BOLLINI S.A</v>
      </c>
      <c r="T79" t="str">
        <f>VLOOKUP(P79,Hoja2!C:D,2,FALSE)</f>
        <v>AZAPANA</v>
      </c>
    </row>
    <row r="80" spans="1:20" x14ac:dyDescent="0.3">
      <c r="A80" s="2" t="s">
        <v>15</v>
      </c>
      <c r="B80" s="3" t="s">
        <v>15</v>
      </c>
      <c r="C80" s="3" t="s">
        <v>170</v>
      </c>
      <c r="D80" s="3" t="s">
        <v>15</v>
      </c>
      <c r="E80" s="3" t="s">
        <v>101</v>
      </c>
      <c r="F80" s="4">
        <v>46263</v>
      </c>
      <c r="G80" s="3" t="s">
        <v>50</v>
      </c>
      <c r="H80" s="6">
        <v>-155295</v>
      </c>
      <c r="I80" s="3" t="s">
        <v>18</v>
      </c>
      <c r="J80" s="3" t="s">
        <v>15</v>
      </c>
      <c r="K80" s="3" t="s">
        <v>15</v>
      </c>
      <c r="L80" s="3" t="s">
        <v>105</v>
      </c>
      <c r="M80" s="4">
        <v>46263</v>
      </c>
      <c r="N80" s="3" t="s">
        <v>171</v>
      </c>
      <c r="O80" s="3" t="s">
        <v>32</v>
      </c>
      <c r="P80" t="str">
        <f t="shared" si="1"/>
        <v>450013704640</v>
      </c>
      <c r="Q80" s="7" cm="1">
        <f t="array" ref="Q80:S80">VLOOKUP(P80,Hoja1!C:F,{2,3,4},FALSE)</f>
        <v>46281</v>
      </c>
      <c r="R80" t="str">
        <v>C01</v>
      </c>
      <c r="S80" t="str">
        <v>1000000295 BOLLINI S.A</v>
      </c>
      <c r="T80" t="str">
        <f>VLOOKUP(P80,Hoja2!C:D,2,FALSE)</f>
        <v>AZAPANA</v>
      </c>
    </row>
    <row r="81" spans="1:20" x14ac:dyDescent="0.3">
      <c r="A81" s="2" t="s">
        <v>15</v>
      </c>
      <c r="B81" s="3" t="s">
        <v>15</v>
      </c>
      <c r="C81" s="3" t="s">
        <v>170</v>
      </c>
      <c r="D81" s="3" t="s">
        <v>43</v>
      </c>
      <c r="E81" s="3" t="s">
        <v>101</v>
      </c>
      <c r="F81" s="4">
        <v>46263</v>
      </c>
      <c r="G81" s="3" t="s">
        <v>50</v>
      </c>
      <c r="H81" s="6">
        <v>-79201.600000000006</v>
      </c>
      <c r="I81" s="3" t="s">
        <v>18</v>
      </c>
      <c r="J81" s="3" t="s">
        <v>15</v>
      </c>
      <c r="K81" s="3" t="s">
        <v>15</v>
      </c>
      <c r="L81" s="3" t="s">
        <v>105</v>
      </c>
      <c r="M81" s="4">
        <v>46263</v>
      </c>
      <c r="N81" s="3" t="s">
        <v>171</v>
      </c>
      <c r="O81" s="3" t="s">
        <v>66</v>
      </c>
      <c r="P81" t="str">
        <f t="shared" si="1"/>
        <v>450013704660</v>
      </c>
      <c r="Q81" s="7" cm="1">
        <f t="array" ref="Q81:S81">VLOOKUP(P81,Hoja1!C:F,{2,3,4},FALSE)</f>
        <v>46280</v>
      </c>
      <c r="R81" t="str">
        <v>C01</v>
      </c>
      <c r="S81" t="str">
        <v>1000000295 BOLLINI S.A</v>
      </c>
      <c r="T81" t="str">
        <f>VLOOKUP(P81,Hoja2!C:D,2,FALSE)</f>
        <v>AZAPANA</v>
      </c>
    </row>
    <row r="82" spans="1:20" x14ac:dyDescent="0.3">
      <c r="A82" s="2" t="s">
        <v>15</v>
      </c>
      <c r="B82" s="3" t="s">
        <v>15</v>
      </c>
      <c r="C82" s="3" t="s">
        <v>172</v>
      </c>
      <c r="D82" s="3" t="s">
        <v>15</v>
      </c>
      <c r="E82" s="3" t="s">
        <v>101</v>
      </c>
      <c r="F82" s="4">
        <v>46263</v>
      </c>
      <c r="G82" s="3" t="s">
        <v>50</v>
      </c>
      <c r="H82" s="6">
        <v>-70383</v>
      </c>
      <c r="I82" s="3" t="s">
        <v>18</v>
      </c>
      <c r="J82" s="3" t="s">
        <v>15</v>
      </c>
      <c r="K82" s="3" t="s">
        <v>15</v>
      </c>
      <c r="L82" s="3" t="s">
        <v>70</v>
      </c>
      <c r="M82" s="4">
        <v>46263</v>
      </c>
      <c r="N82" s="3" t="s">
        <v>173</v>
      </c>
      <c r="O82" s="3" t="s">
        <v>66</v>
      </c>
      <c r="P82" t="str">
        <f t="shared" si="1"/>
        <v>450013689660</v>
      </c>
      <c r="Q82" s="7" cm="1">
        <f t="array" ref="Q82:S82">VLOOKUP(P82,Hoja1!C:F,{2,3,4},FALSE)</f>
        <v>46281</v>
      </c>
      <c r="R82" t="str">
        <v>C01</v>
      </c>
      <c r="S82" t="str">
        <v>1000007451 FLORES CARLOS FELIPE Y OTROS S H</v>
      </c>
      <c r="T82" t="str">
        <f>VLOOKUP(P82,Hoja2!C:D,2,FALSE)</f>
        <v>AZAPANA</v>
      </c>
    </row>
    <row r="83" spans="1:20" x14ac:dyDescent="0.3">
      <c r="A83" s="2" t="s">
        <v>15</v>
      </c>
      <c r="B83" s="3" t="s">
        <v>15</v>
      </c>
      <c r="C83" s="3" t="s">
        <v>174</v>
      </c>
      <c r="D83" s="3" t="s">
        <v>43</v>
      </c>
      <c r="E83" s="3" t="s">
        <v>101</v>
      </c>
      <c r="F83" s="4">
        <v>46262</v>
      </c>
      <c r="G83" s="3" t="s">
        <v>50</v>
      </c>
      <c r="H83" s="6">
        <v>-91400</v>
      </c>
      <c r="I83" s="3" t="s">
        <v>18</v>
      </c>
      <c r="J83" s="3" t="s">
        <v>15</v>
      </c>
      <c r="K83" s="3" t="s">
        <v>15</v>
      </c>
      <c r="L83" s="3" t="s">
        <v>78</v>
      </c>
      <c r="M83" s="4">
        <v>46267</v>
      </c>
      <c r="N83" s="3" t="s">
        <v>175</v>
      </c>
      <c r="O83" s="3" t="s">
        <v>39</v>
      </c>
      <c r="P83" t="str">
        <f t="shared" si="1"/>
        <v>450013662530</v>
      </c>
      <c r="Q83" s="7" cm="1">
        <f t="array" ref="Q83:S83">VLOOKUP(P83,Hoja1!C:F,{2,3,4},FALSE)</f>
        <v>46269</v>
      </c>
      <c r="R83" t="str">
        <v>C28</v>
      </c>
      <c r="S83" t="str">
        <v>1000012043 PROAR IMAGEN PROMOCIONAL SRL</v>
      </c>
      <c r="T83" t="str">
        <f>VLOOKUP(P83,Hoja2!C:D,2,FALSE)</f>
        <v>GJULIANI</v>
      </c>
    </row>
    <row r="84" spans="1:20" x14ac:dyDescent="0.3">
      <c r="A84" s="2" t="s">
        <v>15</v>
      </c>
      <c r="B84" s="3" t="s">
        <v>15</v>
      </c>
      <c r="C84" s="3" t="s">
        <v>174</v>
      </c>
      <c r="D84" s="3" t="s">
        <v>43</v>
      </c>
      <c r="E84" s="3" t="s">
        <v>101</v>
      </c>
      <c r="F84" s="4">
        <v>46262</v>
      </c>
      <c r="G84" s="3" t="s">
        <v>50</v>
      </c>
      <c r="H84" s="6">
        <v>-87360</v>
      </c>
      <c r="I84" s="3" t="s">
        <v>18</v>
      </c>
      <c r="J84" s="3" t="s">
        <v>15</v>
      </c>
      <c r="K84" s="3" t="s">
        <v>15</v>
      </c>
      <c r="L84" s="3" t="s">
        <v>78</v>
      </c>
      <c r="M84" s="4">
        <v>46267</v>
      </c>
      <c r="N84" s="3" t="s">
        <v>175</v>
      </c>
      <c r="O84" s="3" t="s">
        <v>32</v>
      </c>
      <c r="P84" t="str">
        <f t="shared" si="1"/>
        <v>450013662540</v>
      </c>
      <c r="Q84" s="7" cm="1">
        <f t="array" ref="Q84:S84">VLOOKUP(P84,Hoja1!C:F,{2,3,4},FALSE)</f>
        <v>46269</v>
      </c>
      <c r="R84" t="str">
        <v>C28</v>
      </c>
      <c r="S84" t="str">
        <v>1000012043 PROAR IMAGEN PROMOCIONAL SRL</v>
      </c>
      <c r="T84" t="str">
        <f>VLOOKUP(P84,Hoja2!C:D,2,FALSE)</f>
        <v>GJULIANI</v>
      </c>
    </row>
    <row r="85" spans="1:20" x14ac:dyDescent="0.3">
      <c r="A85" s="2" t="s">
        <v>15</v>
      </c>
      <c r="B85" s="3" t="s">
        <v>15</v>
      </c>
      <c r="C85" s="3" t="s">
        <v>176</v>
      </c>
      <c r="D85" s="3" t="s">
        <v>43</v>
      </c>
      <c r="E85" s="3" t="s">
        <v>101</v>
      </c>
      <c r="F85" s="4">
        <v>46270</v>
      </c>
      <c r="G85" s="3" t="s">
        <v>50</v>
      </c>
      <c r="H85" s="6">
        <v>-29284.799999999999</v>
      </c>
      <c r="I85" s="3" t="s">
        <v>18</v>
      </c>
      <c r="J85" s="3" t="s">
        <v>15</v>
      </c>
      <c r="K85" s="3" t="s">
        <v>15</v>
      </c>
      <c r="L85" s="3" t="s">
        <v>165</v>
      </c>
      <c r="M85" s="4">
        <v>46270</v>
      </c>
      <c r="N85" s="3" t="s">
        <v>166</v>
      </c>
      <c r="O85" s="3" t="s">
        <v>39</v>
      </c>
      <c r="P85" t="str">
        <f t="shared" si="1"/>
        <v>450013642630</v>
      </c>
      <c r="Q85" s="7" cm="1">
        <f t="array" ref="Q85:S85">VLOOKUP(P85,Hoja1!C:F,{2,3,4},FALSE)</f>
        <v>46276</v>
      </c>
      <c r="R85" t="str">
        <v>C01</v>
      </c>
      <c r="S85" t="str">
        <v>1000007766 HERSAPEL SOCIEDAD DE RESPONSABILIDA</v>
      </c>
      <c r="T85" t="str">
        <f>VLOOKUP(P85,Hoja2!C:D,2,FALSE)</f>
        <v>AZAPANA</v>
      </c>
    </row>
    <row r="86" spans="1:20" x14ac:dyDescent="0.3">
      <c r="A86" s="2" t="s">
        <v>15</v>
      </c>
      <c r="B86" s="3" t="s">
        <v>15</v>
      </c>
      <c r="C86" s="3" t="s">
        <v>179</v>
      </c>
      <c r="D86" s="3" t="s">
        <v>43</v>
      </c>
      <c r="E86" s="3" t="s">
        <v>101</v>
      </c>
      <c r="F86" s="4">
        <v>46273</v>
      </c>
      <c r="G86" s="3" t="s">
        <v>50</v>
      </c>
      <c r="H86" s="6">
        <v>-1314579.8400000001</v>
      </c>
      <c r="I86" s="3" t="s">
        <v>18</v>
      </c>
      <c r="J86" s="3" t="s">
        <v>15</v>
      </c>
      <c r="K86" s="3" t="s">
        <v>15</v>
      </c>
      <c r="L86" s="3" t="s">
        <v>58</v>
      </c>
      <c r="M86" s="4">
        <v>46273</v>
      </c>
      <c r="N86" s="3" t="s">
        <v>61</v>
      </c>
      <c r="O86" s="3" t="s">
        <v>22</v>
      </c>
      <c r="P86" t="str">
        <f t="shared" si="1"/>
        <v>450013722710</v>
      </c>
      <c r="Q86" s="7" cm="1">
        <f t="array" ref="Q86:S86">VLOOKUP(P86,Hoja1!C:F,{2,3,4},FALSE)</f>
        <v>46325</v>
      </c>
      <c r="R86" t="str">
        <v>C25</v>
      </c>
      <c r="S86" t="str">
        <v>1000012097 TRANSPORTE TMS S. A. S.</v>
      </c>
      <c r="T86" t="str">
        <f>VLOOKUP(P86,Hoja2!C:D,2,FALSE)</f>
        <v>MPITTIA</v>
      </c>
    </row>
    <row r="87" spans="1:20" x14ac:dyDescent="0.3">
      <c r="A87" s="2" t="s">
        <v>15</v>
      </c>
      <c r="B87" s="3" t="s">
        <v>15</v>
      </c>
      <c r="C87" s="3" t="s">
        <v>180</v>
      </c>
      <c r="D87" s="3" t="s">
        <v>43</v>
      </c>
      <c r="E87" s="3" t="s">
        <v>101</v>
      </c>
      <c r="F87" s="4">
        <v>46273</v>
      </c>
      <c r="G87" s="3" t="s">
        <v>50</v>
      </c>
      <c r="H87" s="6">
        <v>-391820</v>
      </c>
      <c r="I87" s="3" t="s">
        <v>18</v>
      </c>
      <c r="J87" s="3" t="s">
        <v>15</v>
      </c>
      <c r="K87" s="3" t="s">
        <v>15</v>
      </c>
      <c r="L87" s="3" t="s">
        <v>80</v>
      </c>
      <c r="M87" s="4">
        <v>46273</v>
      </c>
      <c r="N87" s="3" t="s">
        <v>181</v>
      </c>
      <c r="O87" s="3" t="s">
        <v>48</v>
      </c>
      <c r="P87" t="str">
        <f t="shared" si="1"/>
        <v>450013788820</v>
      </c>
      <c r="Q87" s="7" cm="1">
        <f t="array" ref="Q87:S87">VLOOKUP(P87,Hoja1!C:F,{2,3,4},FALSE)</f>
        <v>46283</v>
      </c>
      <c r="R87" t="str">
        <v>C01</v>
      </c>
      <c r="S87" t="str">
        <v>1000011519 SALLAGO FEDERICO MIGUEL</v>
      </c>
      <c r="T87" t="str">
        <f>VLOOKUP(P87,Hoja2!C:D,2,FALSE)</f>
        <v>AZAPANA</v>
      </c>
    </row>
    <row r="88" spans="1:20" x14ac:dyDescent="0.3">
      <c r="A88" s="2" t="s">
        <v>15</v>
      </c>
      <c r="B88" s="3" t="s">
        <v>15</v>
      </c>
      <c r="C88" s="3" t="s">
        <v>182</v>
      </c>
      <c r="D88" s="3" t="s">
        <v>43</v>
      </c>
      <c r="E88" s="3" t="s">
        <v>101</v>
      </c>
      <c r="F88" s="4">
        <v>46273</v>
      </c>
      <c r="G88" s="3" t="s">
        <v>50</v>
      </c>
      <c r="H88" s="6">
        <v>-1180609.92</v>
      </c>
      <c r="I88" s="3" t="s">
        <v>18</v>
      </c>
      <c r="J88" s="3" t="s">
        <v>15</v>
      </c>
      <c r="K88" s="3" t="s">
        <v>15</v>
      </c>
      <c r="L88" s="3" t="s">
        <v>58</v>
      </c>
      <c r="M88" s="4">
        <v>46273</v>
      </c>
      <c r="N88" s="3" t="s">
        <v>61</v>
      </c>
      <c r="O88" s="3" t="s">
        <v>22</v>
      </c>
      <c r="P88" t="str">
        <f t="shared" si="1"/>
        <v>450013722710</v>
      </c>
      <c r="Q88" s="7" cm="1">
        <f t="array" ref="Q88:S88">VLOOKUP(P88,Hoja1!C:F,{2,3,4},FALSE)</f>
        <v>46325</v>
      </c>
      <c r="R88" t="str">
        <v>C25</v>
      </c>
      <c r="S88" t="str">
        <v>1000012097 TRANSPORTE TMS S. A. S.</v>
      </c>
      <c r="T88" t="str">
        <f>VLOOKUP(P88,Hoja2!C:D,2,FALSE)</f>
        <v>MPITTIA</v>
      </c>
    </row>
    <row r="89" spans="1:20" x14ac:dyDescent="0.3">
      <c r="A89" s="2" t="s">
        <v>15</v>
      </c>
      <c r="B89" s="3" t="s">
        <v>15</v>
      </c>
      <c r="C89" s="3" t="s">
        <v>184</v>
      </c>
      <c r="D89" s="3" t="s">
        <v>15</v>
      </c>
      <c r="E89" s="3" t="s">
        <v>101</v>
      </c>
      <c r="F89" s="4">
        <v>46272</v>
      </c>
      <c r="G89" s="3" t="s">
        <v>50</v>
      </c>
      <c r="H89" s="6">
        <v>-210616.77</v>
      </c>
      <c r="I89" s="3" t="s">
        <v>18</v>
      </c>
      <c r="J89" s="3" t="s">
        <v>15</v>
      </c>
      <c r="K89" s="3" t="s">
        <v>15</v>
      </c>
      <c r="L89" s="3" t="s">
        <v>185</v>
      </c>
      <c r="M89" s="4">
        <v>46276</v>
      </c>
      <c r="N89" s="3" t="s">
        <v>186</v>
      </c>
      <c r="O89" s="3" t="s">
        <v>22</v>
      </c>
      <c r="P89" t="str">
        <f t="shared" si="1"/>
        <v>450013714610</v>
      </c>
      <c r="Q89" s="7" cm="1">
        <f t="array" ref="Q89:S89">VLOOKUP(P89,Hoja1!C:F,{2,3,4},FALSE)</f>
        <v>46280</v>
      </c>
      <c r="R89" t="str">
        <v>F06</v>
      </c>
      <c r="S89" t="str">
        <v>1000000561 ESCANDINAVIA DEL PLATA SA</v>
      </c>
      <c r="T89" t="str">
        <f>VLOOKUP(P89,Hoja2!C:D,2,FALSE)</f>
        <v>RPEREZ</v>
      </c>
    </row>
    <row r="90" spans="1:20" x14ac:dyDescent="0.3">
      <c r="A90" s="2" t="s">
        <v>15</v>
      </c>
      <c r="B90" s="3" t="s">
        <v>15</v>
      </c>
      <c r="C90" s="3" t="s">
        <v>189</v>
      </c>
      <c r="D90" s="3" t="s">
        <v>15</v>
      </c>
      <c r="E90" s="3" t="s">
        <v>101</v>
      </c>
      <c r="F90" s="4">
        <v>46279</v>
      </c>
      <c r="G90" s="3" t="s">
        <v>50</v>
      </c>
      <c r="H90" s="6">
        <v>-122280.8</v>
      </c>
      <c r="I90" s="3" t="s">
        <v>18</v>
      </c>
      <c r="J90" s="3" t="s">
        <v>15</v>
      </c>
      <c r="K90" s="3" t="s">
        <v>15</v>
      </c>
      <c r="L90" s="3" t="s">
        <v>75</v>
      </c>
      <c r="M90" s="4">
        <v>46279</v>
      </c>
      <c r="N90" s="3" t="s">
        <v>190</v>
      </c>
      <c r="O90" s="3" t="s">
        <v>39</v>
      </c>
      <c r="P90" t="str">
        <f t="shared" si="1"/>
        <v>450013833930</v>
      </c>
      <c r="Q90" s="7" cm="1">
        <f t="array" ref="Q90:S90">VLOOKUP(P90,Hoja1!C:F,{2,3,4},FALSE)</f>
        <v>46286</v>
      </c>
      <c r="R90" t="str">
        <v>C01</v>
      </c>
      <c r="S90" t="str">
        <v>1000012333 GO CLEAN S.A.S.</v>
      </c>
      <c r="T90" t="str">
        <f>VLOOKUP(P90,Hoja2!C:D,2,FALSE)</f>
        <v>AZAPANA</v>
      </c>
    </row>
    <row r="91" spans="1:20" x14ac:dyDescent="0.3">
      <c r="A91" s="2" t="s">
        <v>15</v>
      </c>
      <c r="B91" s="3" t="s">
        <v>15</v>
      </c>
      <c r="C91" s="3" t="s">
        <v>201</v>
      </c>
      <c r="D91" s="3" t="s">
        <v>15</v>
      </c>
      <c r="E91" s="3" t="s">
        <v>101</v>
      </c>
      <c r="F91" s="4">
        <v>46287</v>
      </c>
      <c r="G91" s="3" t="s">
        <v>50</v>
      </c>
      <c r="H91" s="6">
        <v>-122280.8</v>
      </c>
      <c r="I91" s="3" t="s">
        <v>18</v>
      </c>
      <c r="J91" s="3" t="s">
        <v>15</v>
      </c>
      <c r="K91" s="3" t="s">
        <v>15</v>
      </c>
      <c r="L91" s="3" t="s">
        <v>75</v>
      </c>
      <c r="M91" s="4">
        <v>46287</v>
      </c>
      <c r="N91" s="3" t="s">
        <v>202</v>
      </c>
      <c r="O91" s="3" t="s">
        <v>22</v>
      </c>
      <c r="P91" t="str">
        <f t="shared" si="1"/>
        <v>450013915110</v>
      </c>
      <c r="Q91" s="7" cm="1">
        <f t="array" ref="Q91:S91">VLOOKUP(P91,Hoja1!C:F,{2,3,4},FALSE)</f>
        <v>46293</v>
      </c>
      <c r="R91" t="str">
        <v>C01</v>
      </c>
      <c r="S91" t="str">
        <v>1000012333 GO CLEAN S.A.S.</v>
      </c>
      <c r="T91" t="str">
        <f>VLOOKUP(P91,Hoja2!C:D,2,FALSE)</f>
        <v>AZAPANA</v>
      </c>
    </row>
    <row r="92" spans="1:20" x14ac:dyDescent="0.3">
      <c r="A92" s="2" t="s">
        <v>15</v>
      </c>
      <c r="B92" s="3" t="s">
        <v>15</v>
      </c>
      <c r="C92" s="3" t="s">
        <v>203</v>
      </c>
      <c r="D92" s="3" t="s">
        <v>15</v>
      </c>
      <c r="E92" s="3" t="s">
        <v>101</v>
      </c>
      <c r="F92" s="4">
        <v>46287</v>
      </c>
      <c r="G92" s="3" t="s">
        <v>50</v>
      </c>
      <c r="H92" s="6">
        <v>-429752.8</v>
      </c>
      <c r="I92" s="3" t="s">
        <v>18</v>
      </c>
      <c r="J92" s="3" t="s">
        <v>15</v>
      </c>
      <c r="K92" s="3" t="s">
        <v>15</v>
      </c>
      <c r="L92" s="3" t="s">
        <v>83</v>
      </c>
      <c r="M92" s="4">
        <v>46287</v>
      </c>
      <c r="N92" s="3" t="s">
        <v>204</v>
      </c>
      <c r="O92" s="3" t="s">
        <v>48</v>
      </c>
      <c r="P92" t="str">
        <f t="shared" si="1"/>
        <v>450013897620</v>
      </c>
      <c r="Q92" s="7" cm="1">
        <f t="array" ref="Q92:S92">VLOOKUP(P92,Hoja1!C:F,{2,3,4},FALSE)</f>
        <v>46293</v>
      </c>
      <c r="R92" t="str">
        <v>C01</v>
      </c>
      <c r="S92" t="str">
        <v>1000010215 ARZE MIGUEL ANGEL</v>
      </c>
      <c r="T92" t="str">
        <f>VLOOKUP(P92,Hoja2!C:D,2,FALSE)</f>
        <v>AZAPANA</v>
      </c>
    </row>
    <row r="93" spans="1:20" x14ac:dyDescent="0.3">
      <c r="A93" s="2" t="s">
        <v>15</v>
      </c>
      <c r="B93" s="3" t="s">
        <v>15</v>
      </c>
      <c r="C93" s="3" t="s">
        <v>210</v>
      </c>
      <c r="D93" s="3" t="s">
        <v>15</v>
      </c>
      <c r="E93" s="3" t="s">
        <v>101</v>
      </c>
      <c r="F93" s="4">
        <v>46289</v>
      </c>
      <c r="G93" s="3" t="s">
        <v>50</v>
      </c>
      <c r="H93" s="6">
        <v>-157407.60999999999</v>
      </c>
      <c r="I93" s="3" t="s">
        <v>18</v>
      </c>
      <c r="J93" s="3" t="s">
        <v>15</v>
      </c>
      <c r="K93" s="3" t="s">
        <v>15</v>
      </c>
      <c r="L93" s="3" t="s">
        <v>138</v>
      </c>
      <c r="M93" s="4">
        <v>46289</v>
      </c>
      <c r="N93" s="3" t="s">
        <v>211</v>
      </c>
      <c r="O93" s="3" t="s">
        <v>22</v>
      </c>
      <c r="P93" t="str">
        <f t="shared" si="1"/>
        <v>450013916410</v>
      </c>
      <c r="Q93" s="7" cm="1">
        <f t="array" ref="Q93:S93">VLOOKUP(P93,Hoja1!C:F,{2,3,4},FALSE)</f>
        <v>46298</v>
      </c>
      <c r="R93" t="str">
        <v>F03</v>
      </c>
      <c r="S93" t="str">
        <v>1000000012 IGARRETA MAQUINAS S.A.</v>
      </c>
      <c r="T93" t="str">
        <f>VLOOKUP(P93,Hoja2!C:D,2,FALSE)</f>
        <v>RPEREZ</v>
      </c>
    </row>
    <row r="94" spans="1:20" x14ac:dyDescent="0.3">
      <c r="A94" s="2" t="s">
        <v>15</v>
      </c>
      <c r="B94" s="3" t="s">
        <v>15</v>
      </c>
      <c r="C94" s="3" t="s">
        <v>210</v>
      </c>
      <c r="D94" s="3" t="s">
        <v>15</v>
      </c>
      <c r="E94" s="3" t="s">
        <v>101</v>
      </c>
      <c r="F94" s="4">
        <v>46289</v>
      </c>
      <c r="G94" s="3" t="s">
        <v>50</v>
      </c>
      <c r="H94" s="6">
        <v>-142201.92000000001</v>
      </c>
      <c r="I94" s="3" t="s">
        <v>18</v>
      </c>
      <c r="J94" s="3" t="s">
        <v>15</v>
      </c>
      <c r="K94" s="3" t="s">
        <v>15</v>
      </c>
      <c r="L94" s="3" t="s">
        <v>138</v>
      </c>
      <c r="M94" s="4">
        <v>46289</v>
      </c>
      <c r="N94" s="3" t="s">
        <v>211</v>
      </c>
      <c r="O94" s="3" t="s">
        <v>48</v>
      </c>
      <c r="P94" t="str">
        <f t="shared" si="1"/>
        <v>450013916420</v>
      </c>
      <c r="Q94" s="7" cm="1">
        <f t="array" ref="Q94:S94">VLOOKUP(P94,Hoja1!C:F,{2,3,4},FALSE)</f>
        <v>46298</v>
      </c>
      <c r="R94" t="str">
        <v>F03</v>
      </c>
      <c r="S94" t="str">
        <v>1000000012 IGARRETA MAQUINAS S.A.</v>
      </c>
      <c r="T94" t="str">
        <f>VLOOKUP(P94,Hoja2!C:D,2,FALSE)</f>
        <v>RPEREZ</v>
      </c>
    </row>
    <row r="95" spans="1:20" x14ac:dyDescent="0.3">
      <c r="A95" s="2" t="s">
        <v>15</v>
      </c>
      <c r="B95" s="3" t="s">
        <v>15</v>
      </c>
      <c r="C95" s="3" t="s">
        <v>212</v>
      </c>
      <c r="D95" s="3" t="s">
        <v>15</v>
      </c>
      <c r="E95" s="3" t="s">
        <v>101</v>
      </c>
      <c r="F95" s="4">
        <v>46289</v>
      </c>
      <c r="G95" s="3" t="s">
        <v>50</v>
      </c>
      <c r="H95" s="6">
        <v>-139429.44</v>
      </c>
      <c r="I95" s="3" t="s">
        <v>18</v>
      </c>
      <c r="J95" s="3" t="s">
        <v>15</v>
      </c>
      <c r="K95" s="3" t="s">
        <v>15</v>
      </c>
      <c r="L95" s="3" t="s">
        <v>70</v>
      </c>
      <c r="M95" s="4">
        <v>46289</v>
      </c>
      <c r="N95" s="3" t="s">
        <v>213</v>
      </c>
      <c r="O95" s="3" t="s">
        <v>48</v>
      </c>
      <c r="P95" t="str">
        <f t="shared" si="1"/>
        <v>450013930220</v>
      </c>
      <c r="Q95" s="7" cm="1">
        <f t="array" ref="Q95:S95">VLOOKUP(P95,Hoja1!C:F,{2,3,4},FALSE)</f>
        <v>46295</v>
      </c>
      <c r="R95" t="str">
        <v>C01</v>
      </c>
      <c r="S95" t="str">
        <v>1000007451 FLORES CARLOS FELIPE Y OTROS S H</v>
      </c>
      <c r="T95" t="str">
        <f>VLOOKUP(P95,Hoja2!C:D,2,FALSE)</f>
        <v>AZAPANA</v>
      </c>
    </row>
    <row r="96" spans="1:20" x14ac:dyDescent="0.3">
      <c r="A96" s="2" t="s">
        <v>15</v>
      </c>
      <c r="B96" s="3" t="s">
        <v>15</v>
      </c>
      <c r="C96" s="3" t="s">
        <v>212</v>
      </c>
      <c r="D96" s="3" t="s">
        <v>43</v>
      </c>
      <c r="E96" s="3" t="s">
        <v>101</v>
      </c>
      <c r="F96" s="4">
        <v>46289</v>
      </c>
      <c r="G96" s="3" t="s">
        <v>50</v>
      </c>
      <c r="H96" s="6">
        <v>-158904.70000000001</v>
      </c>
      <c r="I96" s="3" t="s">
        <v>18</v>
      </c>
      <c r="J96" s="3" t="s">
        <v>15</v>
      </c>
      <c r="K96" s="3" t="s">
        <v>15</v>
      </c>
      <c r="L96" s="3" t="s">
        <v>70</v>
      </c>
      <c r="M96" s="4">
        <v>46289</v>
      </c>
      <c r="N96" s="3" t="s">
        <v>213</v>
      </c>
      <c r="O96" s="3" t="s">
        <v>89</v>
      </c>
      <c r="P96" t="str">
        <f t="shared" si="1"/>
        <v>4500139302100</v>
      </c>
      <c r="Q96" s="7" cm="1">
        <f t="array" ref="Q96:S96">VLOOKUP(P96,Hoja1!C:F,{2,3,4},FALSE)</f>
        <v>46307</v>
      </c>
      <c r="R96" t="str">
        <v>C01</v>
      </c>
      <c r="S96" t="str">
        <v>1000007451 FLORES CARLOS FELIPE Y OTROS S H</v>
      </c>
      <c r="T96" t="str">
        <f>VLOOKUP(P96,Hoja2!C:D,2,FALSE)</f>
        <v>AZAPANA</v>
      </c>
    </row>
    <row r="97" spans="1:20" x14ac:dyDescent="0.3">
      <c r="A97" s="2" t="s">
        <v>15</v>
      </c>
      <c r="B97" s="3" t="s">
        <v>15</v>
      </c>
      <c r="C97" s="3" t="s">
        <v>212</v>
      </c>
      <c r="D97" s="3" t="s">
        <v>15</v>
      </c>
      <c r="E97" s="3" t="s">
        <v>101</v>
      </c>
      <c r="F97" s="4">
        <v>46289</v>
      </c>
      <c r="G97" s="3" t="s">
        <v>50</v>
      </c>
      <c r="H97" s="6">
        <v>-100176</v>
      </c>
      <c r="I97" s="3" t="s">
        <v>18</v>
      </c>
      <c r="J97" s="3" t="s">
        <v>15</v>
      </c>
      <c r="K97" s="3" t="s">
        <v>15</v>
      </c>
      <c r="L97" s="3" t="s">
        <v>70</v>
      </c>
      <c r="M97" s="4">
        <v>46289</v>
      </c>
      <c r="N97" s="3" t="s">
        <v>213</v>
      </c>
      <c r="O97" s="3" t="s">
        <v>87</v>
      </c>
      <c r="P97" t="str">
        <f t="shared" si="1"/>
        <v>4500139302110</v>
      </c>
      <c r="Q97" s="7" cm="1">
        <f t="array" ref="Q97:S97">VLOOKUP(P97,Hoja1!C:F,{2,3,4},FALSE)</f>
        <v>46304</v>
      </c>
      <c r="R97" t="str">
        <v>C01</v>
      </c>
      <c r="S97" t="str">
        <v>1000007451 FLORES CARLOS FELIPE Y OTROS S H</v>
      </c>
      <c r="T97" t="str">
        <f>VLOOKUP(P97,Hoja2!C:D,2,FALSE)</f>
        <v>AZAPANA</v>
      </c>
    </row>
    <row r="98" spans="1:20" x14ac:dyDescent="0.3">
      <c r="A98" s="2" t="s">
        <v>15</v>
      </c>
      <c r="B98" s="3" t="s">
        <v>15</v>
      </c>
      <c r="C98" s="3" t="s">
        <v>212</v>
      </c>
      <c r="D98" s="3" t="s">
        <v>15</v>
      </c>
      <c r="E98" s="3" t="s">
        <v>101</v>
      </c>
      <c r="F98" s="4">
        <v>46289</v>
      </c>
      <c r="G98" s="3" t="s">
        <v>50</v>
      </c>
      <c r="H98" s="6">
        <v>-129076</v>
      </c>
      <c r="I98" s="3" t="s">
        <v>18</v>
      </c>
      <c r="J98" s="3" t="s">
        <v>15</v>
      </c>
      <c r="K98" s="3" t="s">
        <v>15</v>
      </c>
      <c r="L98" s="3" t="s">
        <v>70</v>
      </c>
      <c r="M98" s="4">
        <v>46289</v>
      </c>
      <c r="N98" s="3" t="s">
        <v>213</v>
      </c>
      <c r="O98" s="3" t="s">
        <v>88</v>
      </c>
      <c r="P98" t="str">
        <f t="shared" si="1"/>
        <v>4500139302120</v>
      </c>
      <c r="Q98" s="7" cm="1">
        <f t="array" ref="Q98:S98">VLOOKUP(P98,Hoja1!C:F,{2,3,4},FALSE)</f>
        <v>46304</v>
      </c>
      <c r="R98" t="str">
        <v>C01</v>
      </c>
      <c r="S98" t="str">
        <v>1000007451 FLORES CARLOS FELIPE Y OTROS S H</v>
      </c>
      <c r="T98" t="str">
        <f>VLOOKUP(P98,Hoja2!C:D,2,FALSE)</f>
        <v>AZAPANA</v>
      </c>
    </row>
    <row r="99" spans="1:20" x14ac:dyDescent="0.3">
      <c r="A99" s="2" t="s">
        <v>15</v>
      </c>
      <c r="B99" s="3" t="s">
        <v>15</v>
      </c>
      <c r="C99" s="3" t="s">
        <v>215</v>
      </c>
      <c r="D99" s="3" t="s">
        <v>15</v>
      </c>
      <c r="E99" s="3" t="s">
        <v>101</v>
      </c>
      <c r="F99" s="4">
        <v>46289</v>
      </c>
      <c r="G99" s="3" t="s">
        <v>50</v>
      </c>
      <c r="H99" s="6">
        <v>-9840</v>
      </c>
      <c r="I99" s="3" t="s">
        <v>18</v>
      </c>
      <c r="J99" s="3" t="s">
        <v>15</v>
      </c>
      <c r="K99" s="3" t="s">
        <v>15</v>
      </c>
      <c r="L99" s="3" t="s">
        <v>105</v>
      </c>
      <c r="M99" s="4">
        <v>46289</v>
      </c>
      <c r="N99" s="3" t="s">
        <v>216</v>
      </c>
      <c r="O99" s="3" t="s">
        <v>22</v>
      </c>
      <c r="P99" t="str">
        <f t="shared" si="1"/>
        <v>450013928510</v>
      </c>
      <c r="Q99" s="7" cm="1">
        <f t="array" ref="Q99:S99">VLOOKUP(P99,Hoja1!C:F,{2,3,4},FALSE)</f>
        <v>46293</v>
      </c>
      <c r="R99" t="str">
        <v>C01</v>
      </c>
      <c r="S99" t="str">
        <v>1000000295 BOLLINI S.A</v>
      </c>
      <c r="T99" t="str">
        <f>VLOOKUP(P99,Hoja2!C:D,2,FALSE)</f>
        <v>AZAPANA</v>
      </c>
    </row>
    <row r="100" spans="1:20" x14ac:dyDescent="0.3">
      <c r="A100" s="2" t="s">
        <v>15</v>
      </c>
      <c r="B100" s="3" t="s">
        <v>15</v>
      </c>
      <c r="C100" s="3" t="s">
        <v>215</v>
      </c>
      <c r="D100" s="3" t="s">
        <v>43</v>
      </c>
      <c r="E100" s="3" t="s">
        <v>101</v>
      </c>
      <c r="F100" s="4">
        <v>46289</v>
      </c>
      <c r="G100" s="3" t="s">
        <v>50</v>
      </c>
      <c r="H100" s="6">
        <v>-40000</v>
      </c>
      <c r="I100" s="3" t="s">
        <v>18</v>
      </c>
      <c r="J100" s="3" t="s">
        <v>15</v>
      </c>
      <c r="K100" s="3" t="s">
        <v>15</v>
      </c>
      <c r="L100" s="3" t="s">
        <v>105</v>
      </c>
      <c r="M100" s="4">
        <v>46289</v>
      </c>
      <c r="N100" s="3" t="s">
        <v>216</v>
      </c>
      <c r="O100" s="3" t="s">
        <v>85</v>
      </c>
      <c r="P100" t="str">
        <f t="shared" si="1"/>
        <v>450013928570</v>
      </c>
      <c r="Q100" s="7" cm="1">
        <f t="array" ref="Q100:S100">VLOOKUP(P100,Hoja1!C:F,{2,3,4},FALSE)</f>
        <v>46290</v>
      </c>
      <c r="R100" t="str">
        <v>C01</v>
      </c>
      <c r="S100" t="str">
        <v>1000000295 BOLLINI S.A</v>
      </c>
      <c r="T100" t="str">
        <f>VLOOKUP(P100,Hoja2!C:D,2,FALSE)</f>
        <v>AZAPANA</v>
      </c>
    </row>
    <row r="101" spans="1:20" x14ac:dyDescent="0.3">
      <c r="A101" s="2" t="s">
        <v>15</v>
      </c>
      <c r="B101" s="3" t="s">
        <v>15</v>
      </c>
      <c r="C101" s="3" t="s">
        <v>217</v>
      </c>
      <c r="D101" s="3" t="s">
        <v>15</v>
      </c>
      <c r="E101" s="3" t="s">
        <v>101</v>
      </c>
      <c r="F101" s="4">
        <v>46289</v>
      </c>
      <c r="G101" s="3" t="s">
        <v>50</v>
      </c>
      <c r="H101" s="6">
        <v>-400725</v>
      </c>
      <c r="I101" s="3" t="s">
        <v>18</v>
      </c>
      <c r="J101" s="3" t="s">
        <v>15</v>
      </c>
      <c r="K101" s="3" t="s">
        <v>15</v>
      </c>
      <c r="L101" s="3" t="s">
        <v>20</v>
      </c>
      <c r="M101" s="4">
        <v>46289</v>
      </c>
      <c r="N101" s="3" t="s">
        <v>26</v>
      </c>
      <c r="O101" s="3" t="s">
        <v>39</v>
      </c>
      <c r="P101" t="str">
        <f t="shared" si="1"/>
        <v>450011474330</v>
      </c>
      <c r="Q101" s="7" cm="1">
        <f t="array" ref="Q101:S101">VLOOKUP(P101,Hoja1!C:F,{2,3,4},FALSE)</f>
        <v>46290</v>
      </c>
      <c r="R101" t="str">
        <v>CGT</v>
      </c>
      <c r="S101" t="str">
        <v>1000001583 HELING S.A.</v>
      </c>
      <c r="T101" t="str">
        <f>VLOOKUP(P101,Hoja2!C:D,2,FALSE)</f>
        <v>EFUNES</v>
      </c>
    </row>
    <row r="102" spans="1:20" x14ac:dyDescent="0.3">
      <c r="A102" s="2" t="s">
        <v>15</v>
      </c>
      <c r="B102" s="3" t="s">
        <v>15</v>
      </c>
      <c r="C102" s="3" t="s">
        <v>217</v>
      </c>
      <c r="D102" s="3" t="s">
        <v>15</v>
      </c>
      <c r="E102" s="3" t="s">
        <v>101</v>
      </c>
      <c r="F102" s="4">
        <v>46289</v>
      </c>
      <c r="G102" s="3" t="s">
        <v>50</v>
      </c>
      <c r="H102" s="6">
        <v>-424641.1</v>
      </c>
      <c r="I102" s="3" t="s">
        <v>18</v>
      </c>
      <c r="J102" s="3" t="s">
        <v>15</v>
      </c>
      <c r="K102" s="3" t="s">
        <v>15</v>
      </c>
      <c r="L102" s="3" t="s">
        <v>20</v>
      </c>
      <c r="M102" s="4">
        <v>46289</v>
      </c>
      <c r="N102" s="3" t="s">
        <v>26</v>
      </c>
      <c r="O102" s="3" t="s">
        <v>32</v>
      </c>
      <c r="P102" t="str">
        <f t="shared" si="1"/>
        <v>450011474340</v>
      </c>
      <c r="Q102" s="7" cm="1">
        <f t="array" ref="Q102:S102">VLOOKUP(P102,Hoja1!C:F,{2,3,4},FALSE)</f>
        <v>46290</v>
      </c>
      <c r="R102" t="str">
        <v>CGT</v>
      </c>
      <c r="S102" t="str">
        <v>1000001583 HELING S.A.</v>
      </c>
      <c r="T102" t="str">
        <f>VLOOKUP(P102,Hoja2!C:D,2,FALSE)</f>
        <v>EFUNES</v>
      </c>
    </row>
    <row r="103" spans="1:20" x14ac:dyDescent="0.3">
      <c r="A103" s="2" t="s">
        <v>15</v>
      </c>
      <c r="B103" s="3" t="s">
        <v>15</v>
      </c>
      <c r="C103" s="3" t="s">
        <v>217</v>
      </c>
      <c r="D103" s="3" t="s">
        <v>15</v>
      </c>
      <c r="E103" s="3" t="s">
        <v>101</v>
      </c>
      <c r="F103" s="4">
        <v>46289</v>
      </c>
      <c r="G103" s="3" t="s">
        <v>50</v>
      </c>
      <c r="H103" s="6">
        <v>-51969</v>
      </c>
      <c r="I103" s="3" t="s">
        <v>18</v>
      </c>
      <c r="J103" s="3" t="s">
        <v>15</v>
      </c>
      <c r="K103" s="3" t="s">
        <v>15</v>
      </c>
      <c r="L103" s="3" t="s">
        <v>20</v>
      </c>
      <c r="M103" s="4">
        <v>46289</v>
      </c>
      <c r="N103" s="3" t="s">
        <v>26</v>
      </c>
      <c r="O103" s="3" t="s">
        <v>41</v>
      </c>
      <c r="P103" t="str">
        <f t="shared" si="1"/>
        <v>4500114743480</v>
      </c>
      <c r="Q103" s="7" cm="1">
        <f t="array" ref="Q103:S103">VLOOKUP(P103,Hoja1!C:F,{2,3,4},FALSE)</f>
        <v>46290</v>
      </c>
      <c r="R103" t="str">
        <v>CGT</v>
      </c>
      <c r="S103" t="str">
        <v>1000001583 HELING S.A.</v>
      </c>
      <c r="T103" t="str">
        <f>VLOOKUP(P103,Hoja2!C:D,2,FALSE)</f>
        <v>EFUNES</v>
      </c>
    </row>
    <row r="104" spans="1:20" x14ac:dyDescent="0.3">
      <c r="A104" s="2" t="s">
        <v>15</v>
      </c>
      <c r="B104" s="3" t="s">
        <v>15</v>
      </c>
      <c r="C104" s="3" t="s">
        <v>222</v>
      </c>
      <c r="D104" s="3" t="s">
        <v>43</v>
      </c>
      <c r="E104" s="3" t="s">
        <v>101</v>
      </c>
      <c r="F104" s="4">
        <v>46294</v>
      </c>
      <c r="G104" s="3" t="s">
        <v>50</v>
      </c>
      <c r="H104" s="6">
        <v>-57851.3</v>
      </c>
      <c r="I104" s="3" t="s">
        <v>18</v>
      </c>
      <c r="J104" s="3" t="s">
        <v>15</v>
      </c>
      <c r="K104" s="3" t="s">
        <v>15</v>
      </c>
      <c r="L104" s="3" t="s">
        <v>121</v>
      </c>
      <c r="M104" s="4">
        <v>46294</v>
      </c>
      <c r="N104" s="3" t="s">
        <v>122</v>
      </c>
      <c r="O104" s="3" t="s">
        <v>22</v>
      </c>
      <c r="P104" t="str">
        <f t="shared" si="1"/>
        <v>450011392010</v>
      </c>
      <c r="Q104" s="7" cm="1">
        <f t="array" ref="Q104:S104">VLOOKUP(P104,Hoja1!C:F,{2,3,4},FALSE)</f>
        <v>46325</v>
      </c>
      <c r="R104" t="str">
        <v>C25</v>
      </c>
      <c r="S104" t="str">
        <v>1000012293 ZAMBRANA SAMUEL</v>
      </c>
      <c r="T104" t="str">
        <f>VLOOKUP(P104,Hoja2!C:D,2,FALSE)</f>
        <v>MPITTIA</v>
      </c>
    </row>
    <row r="105" spans="1:20" x14ac:dyDescent="0.3">
      <c r="A105" s="2" t="s">
        <v>15</v>
      </c>
      <c r="B105" s="3" t="s">
        <v>15</v>
      </c>
      <c r="C105" s="3" t="s">
        <v>223</v>
      </c>
      <c r="D105" s="3" t="s">
        <v>15</v>
      </c>
      <c r="E105" s="3" t="s">
        <v>101</v>
      </c>
      <c r="F105" s="4">
        <v>46294</v>
      </c>
      <c r="G105" s="3" t="s">
        <v>50</v>
      </c>
      <c r="H105" s="6">
        <v>-577904</v>
      </c>
      <c r="I105" s="3" t="s">
        <v>18</v>
      </c>
      <c r="J105" s="3" t="s">
        <v>15</v>
      </c>
      <c r="K105" s="3" t="s">
        <v>15</v>
      </c>
      <c r="L105" s="3" t="s">
        <v>112</v>
      </c>
      <c r="M105" s="4">
        <v>46294</v>
      </c>
      <c r="N105" s="3" t="s">
        <v>224</v>
      </c>
      <c r="O105" s="3" t="s">
        <v>22</v>
      </c>
      <c r="P105" t="str">
        <f t="shared" si="1"/>
        <v>450013943710</v>
      </c>
      <c r="Q105" s="7" cm="1">
        <f t="array" ref="Q105:S105">VLOOKUP(P105,Hoja1!C:F,{2,3,4},FALSE)</f>
        <v>46304</v>
      </c>
      <c r="R105" t="str">
        <v>C29</v>
      </c>
      <c r="S105" t="str">
        <v>1000001123 HAULOTTE ARGENTINA S.A.</v>
      </c>
      <c r="T105" t="str">
        <f>VLOOKUP(P105,Hoja2!C:D,2,FALSE)</f>
        <v>MFREIJOMIL</v>
      </c>
    </row>
    <row r="106" spans="1:20" x14ac:dyDescent="0.3">
      <c r="A106" s="2" t="s">
        <v>15</v>
      </c>
      <c r="B106" s="3" t="s">
        <v>15</v>
      </c>
      <c r="C106" s="3" t="s">
        <v>225</v>
      </c>
      <c r="D106" s="3" t="s">
        <v>43</v>
      </c>
      <c r="E106" s="3" t="s">
        <v>101</v>
      </c>
      <c r="F106" s="4">
        <v>46295</v>
      </c>
      <c r="G106" s="3" t="s">
        <v>50</v>
      </c>
      <c r="H106" s="6">
        <v>-4687186</v>
      </c>
      <c r="I106" s="3" t="s">
        <v>18</v>
      </c>
      <c r="J106" s="3" t="s">
        <v>15</v>
      </c>
      <c r="K106" s="3" t="s">
        <v>15</v>
      </c>
      <c r="L106" s="3" t="s">
        <v>155</v>
      </c>
      <c r="M106" s="4">
        <v>46295</v>
      </c>
      <c r="N106" s="3" t="s">
        <v>226</v>
      </c>
      <c r="O106" s="3" t="s">
        <v>22</v>
      </c>
      <c r="P106" t="str">
        <f t="shared" si="1"/>
        <v>450013937910</v>
      </c>
      <c r="Q106" s="7" cm="1">
        <f t="array" ref="Q106:S106">VLOOKUP(P106,Hoja1!C:F,{2,3,4},FALSE)</f>
        <v>46296</v>
      </c>
      <c r="R106" t="str">
        <v>C01</v>
      </c>
      <c r="S106" t="str">
        <v>1000007607 TUKUY S.R.L.</v>
      </c>
      <c r="T106" t="str">
        <f>VLOOKUP(P106,Hoja2!C:D,2,FALSE)</f>
        <v>AZAPANA</v>
      </c>
    </row>
    <row r="107" spans="1:20" x14ac:dyDescent="0.3">
      <c r="A107" s="2" t="s">
        <v>15</v>
      </c>
      <c r="B107" s="3" t="s">
        <v>15</v>
      </c>
      <c r="C107" s="3" t="s">
        <v>227</v>
      </c>
      <c r="D107" s="3" t="s">
        <v>15</v>
      </c>
      <c r="E107" s="3" t="s">
        <v>101</v>
      </c>
      <c r="F107" s="4">
        <v>46295</v>
      </c>
      <c r="G107" s="3" t="s">
        <v>50</v>
      </c>
      <c r="H107" s="6">
        <v>-111570.24000000001</v>
      </c>
      <c r="I107" s="3" t="s">
        <v>18</v>
      </c>
      <c r="J107" s="3" t="s">
        <v>15</v>
      </c>
      <c r="K107" s="3" t="s">
        <v>15</v>
      </c>
      <c r="L107" s="3" t="s">
        <v>133</v>
      </c>
      <c r="M107" s="4">
        <v>46295</v>
      </c>
      <c r="N107" s="3" t="s">
        <v>228</v>
      </c>
      <c r="O107" s="3" t="s">
        <v>22</v>
      </c>
      <c r="P107" t="str">
        <f t="shared" si="1"/>
        <v>450013985310</v>
      </c>
      <c r="Q107" s="7" cm="1">
        <f t="array" ref="Q107:S107">VLOOKUP(P107,Hoja1!C:F,{2,3,4},FALSE)</f>
        <v>46295</v>
      </c>
      <c r="R107" t="str">
        <v>C01</v>
      </c>
      <c r="S107" t="str">
        <v>1000003790 NSA ECO SRL</v>
      </c>
      <c r="T107" t="str">
        <f>VLOOKUP(P107,Hoja2!C:D,2,FALSE)</f>
        <v>AZAPANA</v>
      </c>
    </row>
    <row r="108" spans="1:20" x14ac:dyDescent="0.3">
      <c r="A108" s="2" t="s">
        <v>15</v>
      </c>
      <c r="B108" s="3" t="s">
        <v>15</v>
      </c>
      <c r="C108" s="3" t="s">
        <v>229</v>
      </c>
      <c r="D108" s="3" t="s">
        <v>15</v>
      </c>
      <c r="E108" s="3" t="s">
        <v>101</v>
      </c>
      <c r="F108" s="4">
        <v>46296</v>
      </c>
      <c r="G108" s="3" t="s">
        <v>50</v>
      </c>
      <c r="H108" s="6">
        <v>-122280.8</v>
      </c>
      <c r="I108" s="3" t="s">
        <v>18</v>
      </c>
      <c r="J108" s="3" t="s">
        <v>15</v>
      </c>
      <c r="K108" s="3" t="s">
        <v>15</v>
      </c>
      <c r="L108" s="3" t="s">
        <v>75</v>
      </c>
      <c r="M108" s="4">
        <v>46296</v>
      </c>
      <c r="N108" s="3" t="s">
        <v>230</v>
      </c>
      <c r="O108" s="3" t="s">
        <v>169</v>
      </c>
      <c r="P108" t="str">
        <f t="shared" si="1"/>
        <v>450013987880</v>
      </c>
      <c r="Q108" s="7" cm="1">
        <f t="array" ref="Q108:S108">VLOOKUP(P108,Hoja1!C:F,{2,3,4},FALSE)</f>
        <v>46300</v>
      </c>
      <c r="R108" t="str">
        <v>C01</v>
      </c>
      <c r="S108" t="str">
        <v>1000012333 GO CLEAN S.A.S.</v>
      </c>
      <c r="T108" t="str">
        <f>VLOOKUP(P108,Hoja2!C:D,2,FALSE)</f>
        <v>AZAPANA</v>
      </c>
    </row>
    <row r="109" spans="1:20" x14ac:dyDescent="0.3">
      <c r="A109" s="2" t="s">
        <v>15</v>
      </c>
      <c r="B109" s="3" t="s">
        <v>15</v>
      </c>
      <c r="C109" s="3" t="s">
        <v>229</v>
      </c>
      <c r="D109" s="3" t="s">
        <v>43</v>
      </c>
      <c r="E109" s="3" t="s">
        <v>101</v>
      </c>
      <c r="F109" s="4">
        <v>46296</v>
      </c>
      <c r="G109" s="3" t="s">
        <v>50</v>
      </c>
      <c r="H109" s="6">
        <v>-136363.64000000001</v>
      </c>
      <c r="I109" s="3" t="s">
        <v>18</v>
      </c>
      <c r="J109" s="3" t="s">
        <v>15</v>
      </c>
      <c r="K109" s="3" t="s">
        <v>15</v>
      </c>
      <c r="L109" s="3" t="s">
        <v>75</v>
      </c>
      <c r="M109" s="4">
        <v>46296</v>
      </c>
      <c r="N109" s="3" t="s">
        <v>230</v>
      </c>
      <c r="O109" s="3" t="s">
        <v>90</v>
      </c>
      <c r="P109" t="str">
        <f t="shared" si="1"/>
        <v>450013987890</v>
      </c>
      <c r="Q109" s="7" cm="1">
        <f t="array" ref="Q109:S109">VLOOKUP(P109,Hoja1!C:F,{2,3,4},FALSE)</f>
        <v>46300</v>
      </c>
      <c r="R109" t="str">
        <v>C01</v>
      </c>
      <c r="S109" t="str">
        <v>1000012333 GO CLEAN S.A.S.</v>
      </c>
      <c r="T109" t="str">
        <f>VLOOKUP(P109,Hoja2!C:D,2,FALSE)</f>
        <v>AZAPANA</v>
      </c>
    </row>
    <row r="110" spans="1:20" x14ac:dyDescent="0.3">
      <c r="A110" s="2" t="s">
        <v>15</v>
      </c>
      <c r="B110" s="3" t="s">
        <v>15</v>
      </c>
      <c r="C110" s="3" t="s">
        <v>232</v>
      </c>
      <c r="D110" s="3" t="s">
        <v>43</v>
      </c>
      <c r="E110" s="3" t="s">
        <v>101</v>
      </c>
      <c r="F110" s="4">
        <v>46298</v>
      </c>
      <c r="G110" s="3" t="s">
        <v>50</v>
      </c>
      <c r="H110" s="6">
        <v>-467168.03</v>
      </c>
      <c r="I110" s="3" t="s">
        <v>18</v>
      </c>
      <c r="J110" s="3" t="s">
        <v>15</v>
      </c>
      <c r="K110" s="3" t="s">
        <v>15</v>
      </c>
      <c r="L110" s="3" t="s">
        <v>233</v>
      </c>
      <c r="M110" s="4">
        <v>46298</v>
      </c>
      <c r="N110" s="3" t="s">
        <v>234</v>
      </c>
      <c r="O110" s="3" t="s">
        <v>22</v>
      </c>
      <c r="P110" t="str">
        <f t="shared" si="1"/>
        <v>450013924510</v>
      </c>
      <c r="Q110" s="7" cm="1">
        <f t="array" ref="Q110:S110">VLOOKUP(P110,Hoja1!C:F,{2,3,4},FALSE)</f>
        <v>46356</v>
      </c>
      <c r="R110" t="str">
        <v>C25</v>
      </c>
      <c r="S110" t="str">
        <v>1000007795 JAWIT S.A.</v>
      </c>
      <c r="T110" t="str">
        <f>VLOOKUP(P110,Hoja2!C:D,2,FALSE)</f>
        <v>MPITTIA</v>
      </c>
    </row>
    <row r="111" spans="1:20" x14ac:dyDescent="0.3">
      <c r="A111" s="2" t="s">
        <v>15</v>
      </c>
      <c r="B111" s="3" t="s">
        <v>15</v>
      </c>
      <c r="C111" s="3" t="s">
        <v>239</v>
      </c>
      <c r="D111" s="3" t="s">
        <v>15</v>
      </c>
      <c r="E111" s="3" t="s">
        <v>101</v>
      </c>
      <c r="F111" s="4">
        <v>46298</v>
      </c>
      <c r="G111" s="3" t="s">
        <v>50</v>
      </c>
      <c r="H111" s="6">
        <v>-48138.8</v>
      </c>
      <c r="I111" s="3" t="s">
        <v>18</v>
      </c>
      <c r="J111" s="3" t="s">
        <v>15</v>
      </c>
      <c r="K111" s="3" t="s">
        <v>15</v>
      </c>
      <c r="L111" s="3" t="s">
        <v>240</v>
      </c>
      <c r="M111" s="4">
        <v>46298</v>
      </c>
      <c r="N111" s="3" t="s">
        <v>241</v>
      </c>
      <c r="O111" s="3" t="s">
        <v>89</v>
      </c>
      <c r="P111" t="str">
        <f t="shared" si="1"/>
        <v>4500140013100</v>
      </c>
      <c r="Q111" s="7" cm="1">
        <f t="array" ref="Q111:S111">VLOOKUP(P111,Hoja1!C:F,{2,3,4},FALSE)</f>
        <v>46300</v>
      </c>
      <c r="R111" t="str">
        <v>C01</v>
      </c>
      <c r="S111" t="str">
        <v>1000008136 LIBRERIA SAN PABLO S.R.L.</v>
      </c>
      <c r="T111" t="str">
        <f>VLOOKUP(P111,Hoja2!C:D,2,FALSE)</f>
        <v>AZAPANA</v>
      </c>
    </row>
    <row r="112" spans="1:20" x14ac:dyDescent="0.3">
      <c r="A112" s="2" t="s">
        <v>15</v>
      </c>
      <c r="B112" s="3" t="s">
        <v>15</v>
      </c>
      <c r="C112" s="3" t="s">
        <v>239</v>
      </c>
      <c r="D112" s="3" t="s">
        <v>15</v>
      </c>
      <c r="E112" s="3" t="s">
        <v>101</v>
      </c>
      <c r="F112" s="4">
        <v>46298</v>
      </c>
      <c r="G112" s="3" t="s">
        <v>50</v>
      </c>
      <c r="H112" s="6">
        <v>-31465</v>
      </c>
      <c r="I112" s="3" t="s">
        <v>18</v>
      </c>
      <c r="J112" s="3" t="s">
        <v>15</v>
      </c>
      <c r="K112" s="3" t="s">
        <v>15</v>
      </c>
      <c r="L112" s="3" t="s">
        <v>240</v>
      </c>
      <c r="M112" s="4">
        <v>46298</v>
      </c>
      <c r="N112" s="3" t="s">
        <v>241</v>
      </c>
      <c r="O112" s="3" t="s">
        <v>87</v>
      </c>
      <c r="P112" t="str">
        <f t="shared" si="1"/>
        <v>4500140013110</v>
      </c>
      <c r="Q112" s="7" cm="1">
        <f t="array" ref="Q112:S112">VLOOKUP(P112,Hoja1!C:F,{2,3,4},FALSE)</f>
        <v>46300</v>
      </c>
      <c r="R112" t="str">
        <v>C01</v>
      </c>
      <c r="S112" t="str">
        <v>1000008136 LIBRERIA SAN PABLO S.R.L.</v>
      </c>
      <c r="T112" t="str">
        <f>VLOOKUP(P112,Hoja2!C:D,2,FALSE)</f>
        <v>AZAPANA</v>
      </c>
    </row>
    <row r="113" spans="1:20" x14ac:dyDescent="0.3">
      <c r="A113" s="2" t="s">
        <v>15</v>
      </c>
      <c r="B113" s="3" t="s">
        <v>15</v>
      </c>
      <c r="C113" s="3" t="s">
        <v>242</v>
      </c>
      <c r="D113" s="3" t="s">
        <v>15</v>
      </c>
      <c r="E113" s="3" t="s">
        <v>101</v>
      </c>
      <c r="F113" s="4">
        <v>46298</v>
      </c>
      <c r="G113" s="3" t="s">
        <v>50</v>
      </c>
      <c r="H113" s="6">
        <v>-22050.53</v>
      </c>
      <c r="I113" s="3" t="s">
        <v>18</v>
      </c>
      <c r="J113" s="3" t="s">
        <v>15</v>
      </c>
      <c r="K113" s="3" t="s">
        <v>15</v>
      </c>
      <c r="L113" s="3" t="s">
        <v>64</v>
      </c>
      <c r="M113" s="4">
        <v>46298</v>
      </c>
      <c r="N113" s="3" t="s">
        <v>243</v>
      </c>
      <c r="O113" s="3" t="s">
        <v>22</v>
      </c>
      <c r="P113" t="str">
        <f t="shared" si="1"/>
        <v>450014013010</v>
      </c>
      <c r="Q113" s="7" cm="1">
        <f t="array" ref="Q113:S113">VLOOKUP(P113,Hoja1!C:F,{2,3,4},FALSE)</f>
        <v>46311</v>
      </c>
      <c r="R113" t="str">
        <v>C01</v>
      </c>
      <c r="S113" t="str">
        <v>1000000907 SERVICIOS VIALES DE STA. FE SA</v>
      </c>
      <c r="T113" t="str">
        <f>VLOOKUP(P113,Hoja2!C:D,2,FALSE)</f>
        <v>AZAPANA</v>
      </c>
    </row>
    <row r="114" spans="1:20" x14ac:dyDescent="0.3">
      <c r="A114" s="2" t="s">
        <v>15</v>
      </c>
      <c r="B114" s="3" t="s">
        <v>15</v>
      </c>
      <c r="C114" s="3" t="s">
        <v>242</v>
      </c>
      <c r="D114" s="3" t="s">
        <v>15</v>
      </c>
      <c r="E114" s="3" t="s">
        <v>101</v>
      </c>
      <c r="F114" s="4">
        <v>46298</v>
      </c>
      <c r="G114" s="3" t="s">
        <v>50</v>
      </c>
      <c r="H114" s="6">
        <v>-81655.14</v>
      </c>
      <c r="I114" s="3" t="s">
        <v>18</v>
      </c>
      <c r="J114" s="3" t="s">
        <v>15</v>
      </c>
      <c r="K114" s="3" t="s">
        <v>15</v>
      </c>
      <c r="L114" s="3" t="s">
        <v>64</v>
      </c>
      <c r="M114" s="4">
        <v>46298</v>
      </c>
      <c r="N114" s="3" t="s">
        <v>243</v>
      </c>
      <c r="O114" s="3" t="s">
        <v>48</v>
      </c>
      <c r="P114" t="str">
        <f t="shared" si="1"/>
        <v>450014013020</v>
      </c>
      <c r="Q114" s="7" cm="1">
        <f t="array" ref="Q114:S114">VLOOKUP(P114,Hoja1!C:F,{2,3,4},FALSE)</f>
        <v>46311</v>
      </c>
      <c r="R114" t="str">
        <v>C01</v>
      </c>
      <c r="S114" t="str">
        <v>1000000907 SERVICIOS VIALES DE STA. FE SA</v>
      </c>
      <c r="T114" t="str">
        <f>VLOOKUP(P114,Hoja2!C:D,2,FALSE)</f>
        <v>AZAPANA</v>
      </c>
    </row>
    <row r="115" spans="1:20" x14ac:dyDescent="0.3">
      <c r="A115" s="2" t="s">
        <v>15</v>
      </c>
      <c r="B115" s="3" t="s">
        <v>15</v>
      </c>
      <c r="C115" s="3" t="s">
        <v>245</v>
      </c>
      <c r="D115" s="3" t="s">
        <v>15</v>
      </c>
      <c r="E115" s="3" t="s">
        <v>101</v>
      </c>
      <c r="F115" s="4">
        <v>46298</v>
      </c>
      <c r="G115" s="3" t="s">
        <v>50</v>
      </c>
      <c r="H115" s="6">
        <v>-380364.79999999999</v>
      </c>
      <c r="I115" s="3" t="s">
        <v>18</v>
      </c>
      <c r="J115" s="3" t="s">
        <v>15</v>
      </c>
      <c r="K115" s="3" t="s">
        <v>15</v>
      </c>
      <c r="L115" s="3" t="s">
        <v>70</v>
      </c>
      <c r="M115" s="4">
        <v>46298</v>
      </c>
      <c r="N115" s="3" t="s">
        <v>246</v>
      </c>
      <c r="O115" s="3" t="s">
        <v>22</v>
      </c>
      <c r="P115" t="str">
        <f t="shared" si="1"/>
        <v>450014001110</v>
      </c>
      <c r="Q115" s="7" cm="1">
        <f t="array" ref="Q115:S115">VLOOKUP(P115,Hoja1!C:F,{2,3,4},FALSE)</f>
        <v>46300</v>
      </c>
      <c r="R115" t="str">
        <v>C01</v>
      </c>
      <c r="S115" t="str">
        <v>1000007451 FLORES CARLOS FELIPE Y OTROS S H</v>
      </c>
      <c r="T115" t="str">
        <f>VLOOKUP(P115,Hoja2!C:D,2,FALSE)</f>
        <v>AZAPANA</v>
      </c>
    </row>
    <row r="116" spans="1:20" x14ac:dyDescent="0.3">
      <c r="A116" s="2" t="s">
        <v>15</v>
      </c>
      <c r="B116" s="3" t="s">
        <v>15</v>
      </c>
      <c r="C116" s="3" t="s">
        <v>245</v>
      </c>
      <c r="D116" s="3" t="s">
        <v>15</v>
      </c>
      <c r="E116" s="3" t="s">
        <v>101</v>
      </c>
      <c r="F116" s="4">
        <v>46298</v>
      </c>
      <c r="G116" s="3" t="s">
        <v>50</v>
      </c>
      <c r="H116" s="6">
        <v>-332819.20000000001</v>
      </c>
      <c r="I116" s="3" t="s">
        <v>18</v>
      </c>
      <c r="J116" s="3" t="s">
        <v>15</v>
      </c>
      <c r="K116" s="3" t="s">
        <v>15</v>
      </c>
      <c r="L116" s="3" t="s">
        <v>70</v>
      </c>
      <c r="M116" s="4">
        <v>46298</v>
      </c>
      <c r="N116" s="3" t="s">
        <v>246</v>
      </c>
      <c r="O116" s="3" t="s">
        <v>48</v>
      </c>
      <c r="P116" t="str">
        <f t="shared" si="1"/>
        <v>450014001120</v>
      </c>
      <c r="Q116" s="7" cm="1">
        <f t="array" ref="Q116:S116">VLOOKUP(P116,Hoja1!C:F,{2,3,4},FALSE)</f>
        <v>46300</v>
      </c>
      <c r="R116" t="str">
        <v>C01</v>
      </c>
      <c r="S116" t="str">
        <v>1000007451 FLORES CARLOS FELIPE Y OTROS S H</v>
      </c>
      <c r="T116" t="str">
        <f>VLOOKUP(P116,Hoja2!C:D,2,FALSE)</f>
        <v>AZAPANA</v>
      </c>
    </row>
    <row r="117" spans="1:20" x14ac:dyDescent="0.3">
      <c r="A117" s="2" t="s">
        <v>15</v>
      </c>
      <c r="B117" s="3" t="s">
        <v>15</v>
      </c>
      <c r="C117" s="3" t="s">
        <v>245</v>
      </c>
      <c r="D117" s="3" t="s">
        <v>15</v>
      </c>
      <c r="E117" s="3" t="s">
        <v>101</v>
      </c>
      <c r="F117" s="4">
        <v>46298</v>
      </c>
      <c r="G117" s="3" t="s">
        <v>50</v>
      </c>
      <c r="H117" s="6">
        <v>-237728</v>
      </c>
      <c r="I117" s="3" t="s">
        <v>18</v>
      </c>
      <c r="J117" s="3" t="s">
        <v>15</v>
      </c>
      <c r="K117" s="3" t="s">
        <v>15</v>
      </c>
      <c r="L117" s="3" t="s">
        <v>70</v>
      </c>
      <c r="M117" s="4">
        <v>46298</v>
      </c>
      <c r="N117" s="3" t="s">
        <v>246</v>
      </c>
      <c r="O117" s="3" t="s">
        <v>39</v>
      </c>
      <c r="P117" t="str">
        <f t="shared" si="1"/>
        <v>450014001130</v>
      </c>
      <c r="Q117" s="7" cm="1">
        <f t="array" ref="Q117:S117">VLOOKUP(P117,Hoja1!C:F,{2,3,4},FALSE)</f>
        <v>46300</v>
      </c>
      <c r="R117" t="str">
        <v>C01</v>
      </c>
      <c r="S117" t="str">
        <v>1000007451 FLORES CARLOS FELIPE Y OTROS S H</v>
      </c>
      <c r="T117" t="str">
        <f>VLOOKUP(P117,Hoja2!C:D,2,FALSE)</f>
        <v>AZAPANA</v>
      </c>
    </row>
    <row r="118" spans="1:20" x14ac:dyDescent="0.3">
      <c r="A118" s="2" t="s">
        <v>15</v>
      </c>
      <c r="B118" s="3" t="s">
        <v>15</v>
      </c>
      <c r="C118" s="3" t="s">
        <v>245</v>
      </c>
      <c r="D118" s="3" t="s">
        <v>15</v>
      </c>
      <c r="E118" s="3" t="s">
        <v>101</v>
      </c>
      <c r="F118" s="4">
        <v>46298</v>
      </c>
      <c r="G118" s="3" t="s">
        <v>50</v>
      </c>
      <c r="H118" s="6">
        <v>-104296.28</v>
      </c>
      <c r="I118" s="3" t="s">
        <v>18</v>
      </c>
      <c r="J118" s="3" t="s">
        <v>15</v>
      </c>
      <c r="K118" s="3" t="s">
        <v>15</v>
      </c>
      <c r="L118" s="3" t="s">
        <v>70</v>
      </c>
      <c r="M118" s="4">
        <v>46298</v>
      </c>
      <c r="N118" s="3" t="s">
        <v>246</v>
      </c>
      <c r="O118" s="3" t="s">
        <v>32</v>
      </c>
      <c r="P118" t="str">
        <f t="shared" si="1"/>
        <v>450014001140</v>
      </c>
      <c r="Q118" s="7" cm="1">
        <f t="array" ref="Q118:S118">VLOOKUP(P118,Hoja1!C:F,{2,3,4},FALSE)</f>
        <v>46300</v>
      </c>
      <c r="R118" t="str">
        <v>C01</v>
      </c>
      <c r="S118" t="str">
        <v>1000007451 FLORES CARLOS FELIPE Y OTROS S H</v>
      </c>
      <c r="T118" t="str">
        <f>VLOOKUP(P118,Hoja2!C:D,2,FALSE)</f>
        <v>AZAPANA</v>
      </c>
    </row>
    <row r="119" spans="1:20" x14ac:dyDescent="0.3">
      <c r="A119" s="2" t="s">
        <v>15</v>
      </c>
      <c r="B119" s="3" t="s">
        <v>15</v>
      </c>
      <c r="C119" s="3" t="s">
        <v>245</v>
      </c>
      <c r="D119" s="3" t="s">
        <v>15</v>
      </c>
      <c r="E119" s="3" t="s">
        <v>101</v>
      </c>
      <c r="F119" s="4">
        <v>46298</v>
      </c>
      <c r="G119" s="3" t="s">
        <v>50</v>
      </c>
      <c r="H119" s="6">
        <v>-104296.28</v>
      </c>
      <c r="I119" s="3" t="s">
        <v>18</v>
      </c>
      <c r="J119" s="3" t="s">
        <v>15</v>
      </c>
      <c r="K119" s="3" t="s">
        <v>15</v>
      </c>
      <c r="L119" s="3" t="s">
        <v>70</v>
      </c>
      <c r="M119" s="4">
        <v>46298</v>
      </c>
      <c r="N119" s="3" t="s">
        <v>246</v>
      </c>
      <c r="O119" s="3" t="s">
        <v>38</v>
      </c>
      <c r="P119" t="str">
        <f t="shared" si="1"/>
        <v>450014001150</v>
      </c>
      <c r="Q119" s="7" cm="1">
        <f t="array" ref="Q119:S119">VLOOKUP(P119,Hoja1!C:F,{2,3,4},FALSE)</f>
        <v>46300</v>
      </c>
      <c r="R119" t="str">
        <v>C01</v>
      </c>
      <c r="S119" t="str">
        <v>1000007451 FLORES CARLOS FELIPE Y OTROS S H</v>
      </c>
      <c r="T119" t="str">
        <f>VLOOKUP(P119,Hoja2!C:D,2,FALSE)</f>
        <v>AZAPANA</v>
      </c>
    </row>
    <row r="120" spans="1:20" x14ac:dyDescent="0.3">
      <c r="A120" s="2" t="s">
        <v>15</v>
      </c>
      <c r="B120" s="3" t="s">
        <v>15</v>
      </c>
      <c r="C120" s="3" t="s">
        <v>245</v>
      </c>
      <c r="D120" s="3" t="s">
        <v>15</v>
      </c>
      <c r="E120" s="3" t="s">
        <v>101</v>
      </c>
      <c r="F120" s="4">
        <v>46298</v>
      </c>
      <c r="G120" s="3" t="s">
        <v>50</v>
      </c>
      <c r="H120" s="6">
        <v>-156444.42000000001</v>
      </c>
      <c r="I120" s="3" t="s">
        <v>18</v>
      </c>
      <c r="J120" s="3" t="s">
        <v>15</v>
      </c>
      <c r="K120" s="3" t="s">
        <v>15</v>
      </c>
      <c r="L120" s="3" t="s">
        <v>70</v>
      </c>
      <c r="M120" s="4">
        <v>46298</v>
      </c>
      <c r="N120" s="3" t="s">
        <v>246</v>
      </c>
      <c r="O120" s="3" t="s">
        <v>66</v>
      </c>
      <c r="P120" t="str">
        <f t="shared" si="1"/>
        <v>450014001160</v>
      </c>
      <c r="Q120" s="7" cm="1">
        <f t="array" ref="Q120:S120">VLOOKUP(P120,Hoja1!C:F,{2,3,4},FALSE)</f>
        <v>46300</v>
      </c>
      <c r="R120" t="str">
        <v>C01</v>
      </c>
      <c r="S120" t="str">
        <v>1000007451 FLORES CARLOS FELIPE Y OTROS S H</v>
      </c>
      <c r="T120" t="str">
        <f>VLOOKUP(P120,Hoja2!C:D,2,FALSE)</f>
        <v>AZAPANA</v>
      </c>
    </row>
    <row r="121" spans="1:20" x14ac:dyDescent="0.3">
      <c r="A121" s="2" t="s">
        <v>15</v>
      </c>
      <c r="B121" s="3" t="s">
        <v>15</v>
      </c>
      <c r="C121" s="3" t="s">
        <v>245</v>
      </c>
      <c r="D121" s="3" t="s">
        <v>15</v>
      </c>
      <c r="E121" s="3" t="s">
        <v>101</v>
      </c>
      <c r="F121" s="4">
        <v>46298</v>
      </c>
      <c r="G121" s="3" t="s">
        <v>50</v>
      </c>
      <c r="H121" s="6">
        <v>-238311.5</v>
      </c>
      <c r="I121" s="3" t="s">
        <v>18</v>
      </c>
      <c r="J121" s="3" t="s">
        <v>15</v>
      </c>
      <c r="K121" s="3" t="s">
        <v>15</v>
      </c>
      <c r="L121" s="3" t="s">
        <v>70</v>
      </c>
      <c r="M121" s="4">
        <v>46298</v>
      </c>
      <c r="N121" s="3" t="s">
        <v>246</v>
      </c>
      <c r="O121" s="3" t="s">
        <v>194</v>
      </c>
      <c r="P121" t="str">
        <f t="shared" si="1"/>
        <v>4500140011140</v>
      </c>
      <c r="Q121" s="7" cm="1">
        <f t="array" ref="Q121:S121">VLOOKUP(P121,Hoja1!C:F,{2,3,4},FALSE)</f>
        <v>46300</v>
      </c>
      <c r="R121" t="str">
        <v>C01</v>
      </c>
      <c r="S121" t="str">
        <v>1000007451 FLORES CARLOS FELIPE Y OTROS S H</v>
      </c>
      <c r="T121" t="str">
        <f>VLOOKUP(P121,Hoja2!C:D,2,FALSE)</f>
        <v>AZAPANA</v>
      </c>
    </row>
    <row r="122" spans="1:20" x14ac:dyDescent="0.3">
      <c r="A122" s="2" t="s">
        <v>15</v>
      </c>
      <c r="B122" s="3" t="s">
        <v>15</v>
      </c>
      <c r="C122" s="3" t="s">
        <v>250</v>
      </c>
      <c r="D122" s="3" t="s">
        <v>43</v>
      </c>
      <c r="E122" s="3" t="s">
        <v>101</v>
      </c>
      <c r="F122" s="4">
        <v>46299</v>
      </c>
      <c r="G122" s="3" t="s">
        <v>50</v>
      </c>
      <c r="H122" s="6">
        <v>-2528682.2400000002</v>
      </c>
      <c r="I122" s="3" t="s">
        <v>18</v>
      </c>
      <c r="J122" s="3" t="s">
        <v>15</v>
      </c>
      <c r="K122" s="3" t="s">
        <v>15</v>
      </c>
      <c r="L122" s="3" t="s">
        <v>58</v>
      </c>
      <c r="M122" s="4">
        <v>46299</v>
      </c>
      <c r="N122" s="3" t="s">
        <v>61</v>
      </c>
      <c r="O122" s="3" t="s">
        <v>22</v>
      </c>
      <c r="P122" t="str">
        <f t="shared" si="1"/>
        <v>450013722710</v>
      </c>
      <c r="Q122" s="7" cm="1">
        <f t="array" ref="Q122:S122">VLOOKUP(P122,Hoja1!C:F,{2,3,4},FALSE)</f>
        <v>46325</v>
      </c>
      <c r="R122" t="str">
        <v>C25</v>
      </c>
      <c r="S122" t="str">
        <v>1000012097 TRANSPORTE TMS S. A. S.</v>
      </c>
      <c r="T122" t="str">
        <f>VLOOKUP(P122,Hoja2!C:D,2,FALSE)</f>
        <v>MPITTIA</v>
      </c>
    </row>
    <row r="123" spans="1:20" x14ac:dyDescent="0.3">
      <c r="A123" s="2" t="s">
        <v>15</v>
      </c>
      <c r="B123" s="3" t="s">
        <v>15</v>
      </c>
      <c r="C123" s="3" t="s">
        <v>373</v>
      </c>
      <c r="D123" s="3" t="s">
        <v>15</v>
      </c>
      <c r="E123" s="3" t="s">
        <v>101</v>
      </c>
      <c r="F123" s="4">
        <v>46301</v>
      </c>
      <c r="G123" s="3" t="s">
        <v>50</v>
      </c>
      <c r="H123" s="6">
        <v>-260514.45</v>
      </c>
      <c r="I123" s="3" t="s">
        <v>18</v>
      </c>
      <c r="J123" s="3" t="s">
        <v>15</v>
      </c>
      <c r="K123" s="3" t="s">
        <v>15</v>
      </c>
      <c r="L123" s="3" t="s">
        <v>374</v>
      </c>
      <c r="M123" s="4">
        <v>46301</v>
      </c>
      <c r="N123" s="3" t="s">
        <v>375</v>
      </c>
      <c r="O123" s="3" t="s">
        <v>48</v>
      </c>
      <c r="P123" t="str">
        <f t="shared" si="1"/>
        <v>450013909320</v>
      </c>
      <c r="Q123" s="7" cm="1">
        <f t="array" ref="Q123:S123">VLOOKUP(P123,Hoja1!C:F,{2,3,4},FALSE)</f>
        <v>46308</v>
      </c>
      <c r="R123" t="str">
        <v>F13</v>
      </c>
      <c r="S123" t="str">
        <v>1000000077 HUGO SANCHEZ S.A.</v>
      </c>
      <c r="T123" t="str">
        <f>VLOOKUP(P123,Hoja2!C:D,2,FALSE)</f>
        <v>EFUNES</v>
      </c>
    </row>
    <row r="124" spans="1:20" x14ac:dyDescent="0.3">
      <c r="A124" s="2" t="s">
        <v>15</v>
      </c>
      <c r="B124" s="3" t="s">
        <v>15</v>
      </c>
      <c r="C124" s="3" t="s">
        <v>378</v>
      </c>
      <c r="D124" s="3" t="s">
        <v>43</v>
      </c>
      <c r="E124" s="3" t="s">
        <v>101</v>
      </c>
      <c r="F124" s="4">
        <v>46298</v>
      </c>
      <c r="G124" s="3" t="s">
        <v>50</v>
      </c>
      <c r="H124" s="6">
        <v>-57500.88</v>
      </c>
      <c r="I124" s="3" t="s">
        <v>18</v>
      </c>
      <c r="J124" s="3" t="s">
        <v>15</v>
      </c>
      <c r="K124" s="3" t="s">
        <v>15</v>
      </c>
      <c r="L124" s="3" t="s">
        <v>75</v>
      </c>
      <c r="M124" s="4">
        <v>46302</v>
      </c>
      <c r="N124" s="3" t="s">
        <v>379</v>
      </c>
      <c r="O124" s="3" t="s">
        <v>22</v>
      </c>
      <c r="P124" t="str">
        <f t="shared" si="1"/>
        <v>450014036010</v>
      </c>
      <c r="Q124" s="7" cm="1">
        <f t="array" ref="Q124:S124">VLOOKUP(P124,Hoja1!C:F,{2,3,4},FALSE)</f>
        <v>46314</v>
      </c>
      <c r="R124" t="str">
        <v>C01</v>
      </c>
      <c r="S124" t="str">
        <v>1000012333 GO CLEAN S.A.S.</v>
      </c>
      <c r="T124" t="str">
        <f>VLOOKUP(P124,Hoja2!C:D,2,FALSE)</f>
        <v>AZAPANA</v>
      </c>
    </row>
    <row r="125" spans="1:20" x14ac:dyDescent="0.3">
      <c r="A125" s="2" t="s">
        <v>15</v>
      </c>
      <c r="B125" s="3" t="s">
        <v>15</v>
      </c>
      <c r="C125" s="3" t="s">
        <v>384</v>
      </c>
      <c r="D125" s="3" t="s">
        <v>15</v>
      </c>
      <c r="E125" s="3" t="s">
        <v>101</v>
      </c>
      <c r="F125" s="4">
        <v>46302</v>
      </c>
      <c r="G125" s="3" t="s">
        <v>50</v>
      </c>
      <c r="H125" s="6">
        <v>-22550.639999999999</v>
      </c>
      <c r="I125" s="3" t="s">
        <v>18</v>
      </c>
      <c r="J125" s="3" t="s">
        <v>15</v>
      </c>
      <c r="K125" s="3" t="s">
        <v>15</v>
      </c>
      <c r="L125" s="3" t="s">
        <v>64</v>
      </c>
      <c r="M125" s="4">
        <v>46302</v>
      </c>
      <c r="N125" s="3" t="s">
        <v>385</v>
      </c>
      <c r="O125" s="3" t="s">
        <v>32</v>
      </c>
      <c r="P125" t="str">
        <f t="shared" si="1"/>
        <v>450014042340</v>
      </c>
      <c r="Q125" s="7" cm="1">
        <f t="array" ref="Q125:S125">VLOOKUP(P125,Hoja1!C:F,{2,3,4},FALSE)</f>
        <v>46313</v>
      </c>
      <c r="R125" t="str">
        <v>C01</v>
      </c>
      <c r="S125" t="str">
        <v>1000000907 SERVICIOS VIALES DE STA. FE SA</v>
      </c>
      <c r="T125" t="str">
        <f>VLOOKUP(P125,Hoja2!C:D,2,FALSE)</f>
        <v>AZAPANA</v>
      </c>
    </row>
    <row r="126" spans="1:20" x14ac:dyDescent="0.3">
      <c r="A126" s="2" t="s">
        <v>15</v>
      </c>
      <c r="B126" s="3" t="s">
        <v>15</v>
      </c>
      <c r="C126" s="3" t="s">
        <v>384</v>
      </c>
      <c r="D126" s="3" t="s">
        <v>15</v>
      </c>
      <c r="E126" s="3" t="s">
        <v>101</v>
      </c>
      <c r="F126" s="4">
        <v>46302</v>
      </c>
      <c r="G126" s="3" t="s">
        <v>50</v>
      </c>
      <c r="H126" s="6">
        <v>-20156.150000000001</v>
      </c>
      <c r="I126" s="3" t="s">
        <v>18</v>
      </c>
      <c r="J126" s="3" t="s">
        <v>15</v>
      </c>
      <c r="K126" s="3" t="s">
        <v>15</v>
      </c>
      <c r="L126" s="3" t="s">
        <v>64</v>
      </c>
      <c r="M126" s="4">
        <v>46302</v>
      </c>
      <c r="N126" s="3" t="s">
        <v>385</v>
      </c>
      <c r="O126" s="3" t="s">
        <v>38</v>
      </c>
      <c r="P126" t="str">
        <f t="shared" si="1"/>
        <v>450014042350</v>
      </c>
      <c r="Q126" s="7" cm="1">
        <f t="array" ref="Q126:S126">VLOOKUP(P126,Hoja1!C:F,{2,3,4},FALSE)</f>
        <v>46315</v>
      </c>
      <c r="R126" t="str">
        <v>C01</v>
      </c>
      <c r="S126" t="str">
        <v>1000000907 SERVICIOS VIALES DE STA. FE SA</v>
      </c>
      <c r="T126" t="str">
        <f>VLOOKUP(P126,Hoja2!C:D,2,FALSE)</f>
        <v>AZAPANA</v>
      </c>
    </row>
    <row r="127" spans="1:20" x14ac:dyDescent="0.3">
      <c r="A127" s="2" t="s">
        <v>15</v>
      </c>
      <c r="B127" s="3" t="s">
        <v>15</v>
      </c>
      <c r="C127" s="3" t="s">
        <v>384</v>
      </c>
      <c r="D127" s="3" t="s">
        <v>15</v>
      </c>
      <c r="E127" s="3" t="s">
        <v>101</v>
      </c>
      <c r="F127" s="4">
        <v>46302</v>
      </c>
      <c r="G127" s="3" t="s">
        <v>50</v>
      </c>
      <c r="H127" s="6">
        <v>-53906.34</v>
      </c>
      <c r="I127" s="3" t="s">
        <v>18</v>
      </c>
      <c r="J127" s="3" t="s">
        <v>15</v>
      </c>
      <c r="K127" s="3" t="s">
        <v>15</v>
      </c>
      <c r="L127" s="3" t="s">
        <v>64</v>
      </c>
      <c r="M127" s="4">
        <v>46302</v>
      </c>
      <c r="N127" s="3" t="s">
        <v>385</v>
      </c>
      <c r="O127" s="3" t="s">
        <v>66</v>
      </c>
      <c r="P127" t="str">
        <f t="shared" si="1"/>
        <v>450014042360</v>
      </c>
      <c r="Q127" s="7" cm="1">
        <f t="array" ref="Q127:S127">VLOOKUP(P127,Hoja1!C:F,{2,3,4},FALSE)</f>
        <v>46315</v>
      </c>
      <c r="R127" t="str">
        <v>C01</v>
      </c>
      <c r="S127" t="str">
        <v>1000000907 SERVICIOS VIALES DE STA. FE SA</v>
      </c>
      <c r="T127" t="str">
        <f>VLOOKUP(P127,Hoja2!C:D,2,FALSE)</f>
        <v>AZAPANA</v>
      </c>
    </row>
    <row r="128" spans="1:20" x14ac:dyDescent="0.3">
      <c r="A128" s="2" t="s">
        <v>15</v>
      </c>
      <c r="B128" s="3" t="s">
        <v>15</v>
      </c>
      <c r="C128" s="3" t="s">
        <v>384</v>
      </c>
      <c r="D128" s="3" t="s">
        <v>15</v>
      </c>
      <c r="E128" s="3" t="s">
        <v>101</v>
      </c>
      <c r="F128" s="4">
        <v>46302</v>
      </c>
      <c r="G128" s="3" t="s">
        <v>50</v>
      </c>
      <c r="H128" s="6">
        <v>-58831.71</v>
      </c>
      <c r="I128" s="3" t="s">
        <v>18</v>
      </c>
      <c r="J128" s="3" t="s">
        <v>15</v>
      </c>
      <c r="K128" s="3" t="s">
        <v>15</v>
      </c>
      <c r="L128" s="3" t="s">
        <v>64</v>
      </c>
      <c r="M128" s="4">
        <v>46302</v>
      </c>
      <c r="N128" s="3" t="s">
        <v>385</v>
      </c>
      <c r="O128" s="3" t="s">
        <v>85</v>
      </c>
      <c r="P128" t="str">
        <f t="shared" si="1"/>
        <v>450014042370</v>
      </c>
      <c r="Q128" s="7" cm="1">
        <f t="array" ref="Q128:S128">VLOOKUP(P128,Hoja1!C:F,{2,3,4},FALSE)</f>
        <v>46315</v>
      </c>
      <c r="R128" t="str">
        <v>C01</v>
      </c>
      <c r="S128" t="str">
        <v>1000000907 SERVICIOS VIALES DE STA. FE SA</v>
      </c>
      <c r="T128" t="str">
        <f>VLOOKUP(P128,Hoja2!C:D,2,FALSE)</f>
        <v>AZAPANA</v>
      </c>
    </row>
    <row r="129" spans="1:20" x14ac:dyDescent="0.3">
      <c r="A129" s="2" t="s">
        <v>15</v>
      </c>
      <c r="B129" s="3" t="s">
        <v>15</v>
      </c>
      <c r="C129" s="3" t="s">
        <v>386</v>
      </c>
      <c r="D129" s="3" t="s">
        <v>15</v>
      </c>
      <c r="E129" s="3" t="s">
        <v>101</v>
      </c>
      <c r="F129" s="4">
        <v>46302</v>
      </c>
      <c r="G129" s="3" t="s">
        <v>50</v>
      </c>
      <c r="H129" s="6">
        <v>-44101.05</v>
      </c>
      <c r="I129" s="3" t="s">
        <v>18</v>
      </c>
      <c r="J129" s="3" t="s">
        <v>15</v>
      </c>
      <c r="K129" s="3" t="s">
        <v>15</v>
      </c>
      <c r="L129" s="3" t="s">
        <v>64</v>
      </c>
      <c r="M129" s="4">
        <v>46302</v>
      </c>
      <c r="N129" s="3" t="s">
        <v>243</v>
      </c>
      <c r="O129" s="3" t="s">
        <v>22</v>
      </c>
      <c r="P129" t="str">
        <f t="shared" si="1"/>
        <v>450014013010</v>
      </c>
      <c r="Q129" s="7" cm="1">
        <f t="array" ref="Q129:S129">VLOOKUP(P129,Hoja1!C:F,{2,3,4},FALSE)</f>
        <v>46311</v>
      </c>
      <c r="R129" t="str">
        <v>C01</v>
      </c>
      <c r="S129" t="str">
        <v>1000000907 SERVICIOS VIALES DE STA. FE SA</v>
      </c>
      <c r="T129" t="str">
        <f>VLOOKUP(P129,Hoja2!C:D,2,FALSE)</f>
        <v>AZAPANA</v>
      </c>
    </row>
    <row r="130" spans="1:20" x14ac:dyDescent="0.3">
      <c r="A130" s="2" t="s">
        <v>15</v>
      </c>
      <c r="B130" s="3" t="s">
        <v>15</v>
      </c>
      <c r="C130" s="3" t="s">
        <v>386</v>
      </c>
      <c r="D130" s="3" t="s">
        <v>15</v>
      </c>
      <c r="E130" s="3" t="s">
        <v>101</v>
      </c>
      <c r="F130" s="4">
        <v>46302</v>
      </c>
      <c r="G130" s="3" t="s">
        <v>50</v>
      </c>
      <c r="H130" s="6">
        <v>-163310.28</v>
      </c>
      <c r="I130" s="3" t="s">
        <v>18</v>
      </c>
      <c r="J130" s="3" t="s">
        <v>15</v>
      </c>
      <c r="K130" s="3" t="s">
        <v>15</v>
      </c>
      <c r="L130" s="3" t="s">
        <v>64</v>
      </c>
      <c r="M130" s="4">
        <v>46302</v>
      </c>
      <c r="N130" s="3" t="s">
        <v>243</v>
      </c>
      <c r="O130" s="3" t="s">
        <v>48</v>
      </c>
      <c r="P130" t="str">
        <f t="shared" si="1"/>
        <v>450014013020</v>
      </c>
      <c r="Q130" s="7" cm="1">
        <f t="array" ref="Q130:S130">VLOOKUP(P130,Hoja1!C:F,{2,3,4},FALSE)</f>
        <v>46311</v>
      </c>
      <c r="R130" t="str">
        <v>C01</v>
      </c>
      <c r="S130" t="str">
        <v>1000000907 SERVICIOS VIALES DE STA. FE SA</v>
      </c>
      <c r="T130" t="str">
        <f>VLOOKUP(P130,Hoja2!C:D,2,FALSE)</f>
        <v>AZAPANA</v>
      </c>
    </row>
    <row r="131" spans="1:20" x14ac:dyDescent="0.3">
      <c r="A131" s="2" t="s">
        <v>15</v>
      </c>
      <c r="B131" s="3" t="s">
        <v>15</v>
      </c>
      <c r="C131" s="3" t="s">
        <v>387</v>
      </c>
      <c r="D131" s="3" t="s">
        <v>15</v>
      </c>
      <c r="E131" s="3" t="s">
        <v>101</v>
      </c>
      <c r="F131" s="4">
        <v>46142</v>
      </c>
      <c r="G131" s="3" t="s">
        <v>50</v>
      </c>
      <c r="H131" s="6">
        <v>-27383.040000000001</v>
      </c>
      <c r="I131" s="3" t="s">
        <v>18</v>
      </c>
      <c r="J131" s="3" t="s">
        <v>15</v>
      </c>
      <c r="K131" s="3" t="s">
        <v>15</v>
      </c>
      <c r="L131" s="3" t="s">
        <v>388</v>
      </c>
      <c r="M131" s="4">
        <v>46303</v>
      </c>
      <c r="N131" s="3" t="s">
        <v>389</v>
      </c>
      <c r="O131" s="3" t="s">
        <v>22</v>
      </c>
      <c r="P131" t="str">
        <f t="shared" ref="P131:P194" si="2">_xlfn.CONCAT(N131:O131)</f>
        <v>450014046210</v>
      </c>
      <c r="Q131" s="7" cm="1">
        <f t="array" ref="Q131:S131">VLOOKUP(P131,Hoja1!C:F,{2,3,4},FALSE)</f>
        <v>46305</v>
      </c>
      <c r="R131" t="str">
        <v>C38</v>
      </c>
      <c r="S131" t="str">
        <v>1000006823 SPEED BUSINESS S. A.</v>
      </c>
      <c r="T131" t="e">
        <f>VLOOKUP(P131,Hoja2!C:D,2,FALSE)</f>
        <v>#N/A</v>
      </c>
    </row>
    <row r="132" spans="1:20" x14ac:dyDescent="0.3">
      <c r="A132" s="2" t="s">
        <v>15</v>
      </c>
      <c r="B132" s="3" t="s">
        <v>15</v>
      </c>
      <c r="C132" s="3" t="s">
        <v>387</v>
      </c>
      <c r="D132" s="3" t="s">
        <v>15</v>
      </c>
      <c r="E132" s="3" t="s">
        <v>101</v>
      </c>
      <c r="F132" s="4">
        <v>46142</v>
      </c>
      <c r="G132" s="3" t="s">
        <v>50</v>
      </c>
      <c r="H132" s="6">
        <v>-62735.37</v>
      </c>
      <c r="I132" s="3" t="s">
        <v>18</v>
      </c>
      <c r="J132" s="3" t="s">
        <v>15</v>
      </c>
      <c r="K132" s="3" t="s">
        <v>15</v>
      </c>
      <c r="L132" s="3" t="s">
        <v>388</v>
      </c>
      <c r="M132" s="4">
        <v>46303</v>
      </c>
      <c r="N132" s="3" t="s">
        <v>389</v>
      </c>
      <c r="O132" s="3" t="s">
        <v>22</v>
      </c>
      <c r="P132" t="str">
        <f t="shared" si="2"/>
        <v>450014046210</v>
      </c>
      <c r="Q132" s="7" cm="1">
        <f t="array" ref="Q132:S132">VLOOKUP(P132,Hoja1!C:F,{2,3,4},FALSE)</f>
        <v>46305</v>
      </c>
      <c r="R132" t="str">
        <v>C38</v>
      </c>
      <c r="S132" t="str">
        <v>1000006823 SPEED BUSINESS S. A.</v>
      </c>
      <c r="T132" t="e">
        <f>VLOOKUP(P132,Hoja2!C:D,2,FALSE)</f>
        <v>#N/A</v>
      </c>
    </row>
    <row r="133" spans="1:20" x14ac:dyDescent="0.3">
      <c r="A133" s="2" t="s">
        <v>15</v>
      </c>
      <c r="B133" s="3" t="s">
        <v>15</v>
      </c>
      <c r="C133" s="3" t="s">
        <v>387</v>
      </c>
      <c r="D133" s="3" t="s">
        <v>15</v>
      </c>
      <c r="E133" s="3" t="s">
        <v>101</v>
      </c>
      <c r="F133" s="4">
        <v>46142</v>
      </c>
      <c r="G133" s="3" t="s">
        <v>50</v>
      </c>
      <c r="H133" s="6">
        <v>-102511.13</v>
      </c>
      <c r="I133" s="3" t="s">
        <v>18</v>
      </c>
      <c r="J133" s="3" t="s">
        <v>15</v>
      </c>
      <c r="K133" s="3" t="s">
        <v>15</v>
      </c>
      <c r="L133" s="3" t="s">
        <v>388</v>
      </c>
      <c r="M133" s="4">
        <v>46303</v>
      </c>
      <c r="N133" s="3" t="s">
        <v>389</v>
      </c>
      <c r="O133" s="3" t="s">
        <v>22</v>
      </c>
      <c r="P133" t="str">
        <f t="shared" si="2"/>
        <v>450014046210</v>
      </c>
      <c r="Q133" s="7" cm="1">
        <f t="array" ref="Q133:S133">VLOOKUP(P133,Hoja1!C:F,{2,3,4},FALSE)</f>
        <v>46305</v>
      </c>
      <c r="R133" t="str">
        <v>C38</v>
      </c>
      <c r="S133" t="str">
        <v>1000006823 SPEED BUSINESS S. A.</v>
      </c>
      <c r="T133" t="e">
        <f>VLOOKUP(P133,Hoja2!C:D,2,FALSE)</f>
        <v>#N/A</v>
      </c>
    </row>
    <row r="134" spans="1:20" x14ac:dyDescent="0.3">
      <c r="A134" s="2" t="s">
        <v>15</v>
      </c>
      <c r="B134" s="3" t="s">
        <v>15</v>
      </c>
      <c r="C134" s="3" t="s">
        <v>387</v>
      </c>
      <c r="D134" s="3" t="s">
        <v>15</v>
      </c>
      <c r="E134" s="3" t="s">
        <v>101</v>
      </c>
      <c r="F134" s="4">
        <v>46142</v>
      </c>
      <c r="G134" s="3" t="s">
        <v>50</v>
      </c>
      <c r="H134" s="6">
        <v>-47367.9</v>
      </c>
      <c r="I134" s="3" t="s">
        <v>18</v>
      </c>
      <c r="J134" s="3" t="s">
        <v>15</v>
      </c>
      <c r="K134" s="3" t="s">
        <v>15</v>
      </c>
      <c r="L134" s="3" t="s">
        <v>388</v>
      </c>
      <c r="M134" s="4">
        <v>46303</v>
      </c>
      <c r="N134" s="3" t="s">
        <v>389</v>
      </c>
      <c r="O134" s="3" t="s">
        <v>22</v>
      </c>
      <c r="P134" t="str">
        <f t="shared" si="2"/>
        <v>450014046210</v>
      </c>
      <c r="Q134" s="7" cm="1">
        <f t="array" ref="Q134:S134">VLOOKUP(P134,Hoja1!C:F,{2,3,4},FALSE)</f>
        <v>46305</v>
      </c>
      <c r="R134" t="str">
        <v>C38</v>
      </c>
      <c r="S134" t="str">
        <v>1000006823 SPEED BUSINESS S. A.</v>
      </c>
      <c r="T134" t="e">
        <f>VLOOKUP(P134,Hoja2!C:D,2,FALSE)</f>
        <v>#N/A</v>
      </c>
    </row>
    <row r="135" spans="1:20" x14ac:dyDescent="0.3">
      <c r="A135" s="2" t="s">
        <v>15</v>
      </c>
      <c r="B135" s="3" t="s">
        <v>15</v>
      </c>
      <c r="C135" s="3" t="s">
        <v>387</v>
      </c>
      <c r="D135" s="3" t="s">
        <v>15</v>
      </c>
      <c r="E135" s="3" t="s">
        <v>101</v>
      </c>
      <c r="F135" s="4">
        <v>46142</v>
      </c>
      <c r="G135" s="3" t="s">
        <v>50</v>
      </c>
      <c r="H135" s="6">
        <v>-31868.22</v>
      </c>
      <c r="I135" s="3" t="s">
        <v>18</v>
      </c>
      <c r="J135" s="3" t="s">
        <v>15</v>
      </c>
      <c r="K135" s="3" t="s">
        <v>15</v>
      </c>
      <c r="L135" s="3" t="s">
        <v>388</v>
      </c>
      <c r="M135" s="4">
        <v>46303</v>
      </c>
      <c r="N135" s="3" t="s">
        <v>389</v>
      </c>
      <c r="O135" s="3" t="s">
        <v>22</v>
      </c>
      <c r="P135" t="str">
        <f t="shared" si="2"/>
        <v>450014046210</v>
      </c>
      <c r="Q135" s="7" cm="1">
        <f t="array" ref="Q135:S135">VLOOKUP(P135,Hoja1!C:F,{2,3,4},FALSE)</f>
        <v>46305</v>
      </c>
      <c r="R135" t="str">
        <v>C38</v>
      </c>
      <c r="S135" t="str">
        <v>1000006823 SPEED BUSINESS S. A.</v>
      </c>
      <c r="T135" t="e">
        <f>VLOOKUP(P135,Hoja2!C:D,2,FALSE)</f>
        <v>#N/A</v>
      </c>
    </row>
    <row r="136" spans="1:20" x14ac:dyDescent="0.3">
      <c r="A136" s="2" t="s">
        <v>15</v>
      </c>
      <c r="B136" s="3" t="s">
        <v>15</v>
      </c>
      <c r="C136" s="3" t="s">
        <v>387</v>
      </c>
      <c r="D136" s="3" t="s">
        <v>15</v>
      </c>
      <c r="E136" s="3" t="s">
        <v>101</v>
      </c>
      <c r="F136" s="4">
        <v>46142</v>
      </c>
      <c r="G136" s="3" t="s">
        <v>50</v>
      </c>
      <c r="H136" s="6">
        <v>-66042.95</v>
      </c>
      <c r="I136" s="3" t="s">
        <v>18</v>
      </c>
      <c r="J136" s="3" t="s">
        <v>15</v>
      </c>
      <c r="K136" s="3" t="s">
        <v>15</v>
      </c>
      <c r="L136" s="3" t="s">
        <v>388</v>
      </c>
      <c r="M136" s="4">
        <v>46303</v>
      </c>
      <c r="N136" s="3" t="s">
        <v>389</v>
      </c>
      <c r="O136" s="3" t="s">
        <v>22</v>
      </c>
      <c r="P136" t="str">
        <f t="shared" si="2"/>
        <v>450014046210</v>
      </c>
      <c r="Q136" s="7" cm="1">
        <f t="array" ref="Q136:S136">VLOOKUP(P136,Hoja1!C:F,{2,3,4},FALSE)</f>
        <v>46305</v>
      </c>
      <c r="R136" t="str">
        <v>C38</v>
      </c>
      <c r="S136" t="str">
        <v>1000006823 SPEED BUSINESS S. A.</v>
      </c>
      <c r="T136" t="e">
        <f>VLOOKUP(P136,Hoja2!C:D,2,FALSE)</f>
        <v>#N/A</v>
      </c>
    </row>
    <row r="137" spans="1:20" x14ac:dyDescent="0.3">
      <c r="A137" s="2" t="s">
        <v>15</v>
      </c>
      <c r="B137" s="3" t="s">
        <v>15</v>
      </c>
      <c r="C137" s="3" t="s">
        <v>387</v>
      </c>
      <c r="D137" s="3" t="s">
        <v>15</v>
      </c>
      <c r="E137" s="3" t="s">
        <v>101</v>
      </c>
      <c r="F137" s="4">
        <v>46142</v>
      </c>
      <c r="G137" s="3" t="s">
        <v>50</v>
      </c>
      <c r="H137" s="6">
        <v>-43937.84</v>
      </c>
      <c r="I137" s="3" t="s">
        <v>18</v>
      </c>
      <c r="J137" s="3" t="s">
        <v>15</v>
      </c>
      <c r="K137" s="3" t="s">
        <v>15</v>
      </c>
      <c r="L137" s="3" t="s">
        <v>388</v>
      </c>
      <c r="M137" s="4">
        <v>46303</v>
      </c>
      <c r="N137" s="3" t="s">
        <v>389</v>
      </c>
      <c r="O137" s="3" t="s">
        <v>22</v>
      </c>
      <c r="P137" t="str">
        <f t="shared" si="2"/>
        <v>450014046210</v>
      </c>
      <c r="Q137" s="7" cm="1">
        <f t="array" ref="Q137:S137">VLOOKUP(P137,Hoja1!C:F,{2,3,4},FALSE)</f>
        <v>46305</v>
      </c>
      <c r="R137" t="str">
        <v>C38</v>
      </c>
      <c r="S137" t="str">
        <v>1000006823 SPEED BUSINESS S. A.</v>
      </c>
      <c r="T137" t="e">
        <f>VLOOKUP(P137,Hoja2!C:D,2,FALSE)</f>
        <v>#N/A</v>
      </c>
    </row>
    <row r="138" spans="1:20" x14ac:dyDescent="0.3">
      <c r="A138" s="2" t="s">
        <v>15</v>
      </c>
      <c r="B138" s="3" t="s">
        <v>15</v>
      </c>
      <c r="C138" s="3" t="s">
        <v>387</v>
      </c>
      <c r="D138" s="3" t="s">
        <v>15</v>
      </c>
      <c r="E138" s="3" t="s">
        <v>101</v>
      </c>
      <c r="F138" s="4">
        <v>46142</v>
      </c>
      <c r="G138" s="3" t="s">
        <v>50</v>
      </c>
      <c r="H138" s="6">
        <v>-33937.839999999997</v>
      </c>
      <c r="I138" s="3" t="s">
        <v>18</v>
      </c>
      <c r="J138" s="3" t="s">
        <v>15</v>
      </c>
      <c r="K138" s="3" t="s">
        <v>15</v>
      </c>
      <c r="L138" s="3" t="s">
        <v>388</v>
      </c>
      <c r="M138" s="4">
        <v>46303</v>
      </c>
      <c r="N138" s="3" t="s">
        <v>389</v>
      </c>
      <c r="O138" s="3" t="s">
        <v>22</v>
      </c>
      <c r="P138" t="str">
        <f t="shared" si="2"/>
        <v>450014046210</v>
      </c>
      <c r="Q138" s="7" cm="1">
        <f t="array" ref="Q138:S138">VLOOKUP(P138,Hoja1!C:F,{2,3,4},FALSE)</f>
        <v>46305</v>
      </c>
      <c r="R138" t="str">
        <v>C38</v>
      </c>
      <c r="S138" t="str">
        <v>1000006823 SPEED BUSINESS S. A.</v>
      </c>
      <c r="T138" t="e">
        <f>VLOOKUP(P138,Hoja2!C:D,2,FALSE)</f>
        <v>#N/A</v>
      </c>
    </row>
    <row r="139" spans="1:20" x14ac:dyDescent="0.3">
      <c r="A139" s="2" t="s">
        <v>15</v>
      </c>
      <c r="B139" s="3" t="s">
        <v>15</v>
      </c>
      <c r="C139" s="3" t="s">
        <v>402</v>
      </c>
      <c r="D139" s="3" t="s">
        <v>43</v>
      </c>
      <c r="E139" s="3" t="s">
        <v>101</v>
      </c>
      <c r="F139" s="4">
        <v>46304</v>
      </c>
      <c r="G139" s="3" t="s">
        <v>50</v>
      </c>
      <c r="H139" s="6">
        <v>-2500000</v>
      </c>
      <c r="I139" s="3" t="s">
        <v>18</v>
      </c>
      <c r="J139" s="3" t="s">
        <v>15</v>
      </c>
      <c r="K139" s="3" t="s">
        <v>15</v>
      </c>
      <c r="L139" s="3" t="s">
        <v>236</v>
      </c>
      <c r="M139" s="4">
        <v>46304</v>
      </c>
      <c r="N139" s="3" t="s">
        <v>237</v>
      </c>
      <c r="O139" s="3" t="s">
        <v>22</v>
      </c>
      <c r="P139" t="str">
        <f t="shared" si="2"/>
        <v>450013952410</v>
      </c>
      <c r="Q139" s="7" cm="1">
        <f t="array" ref="Q139:S139">VLOOKUP(P139,Hoja1!C:F,{2,3,4},FALSE)</f>
        <v>46325</v>
      </c>
      <c r="R139" t="str">
        <v>C15</v>
      </c>
      <c r="S139" t="str">
        <v>1000013466 INTREC SAS</v>
      </c>
      <c r="T139" t="str">
        <f>VLOOKUP(P139,Hoja2!C:D,2,FALSE)</f>
        <v>GDIAZ</v>
      </c>
    </row>
    <row r="140" spans="1:20" x14ac:dyDescent="0.3">
      <c r="A140" s="2" t="s">
        <v>15</v>
      </c>
      <c r="B140" s="3" t="s">
        <v>15</v>
      </c>
      <c r="C140" s="3" t="s">
        <v>403</v>
      </c>
      <c r="D140" s="3" t="s">
        <v>43</v>
      </c>
      <c r="E140" s="3" t="s">
        <v>101</v>
      </c>
      <c r="F140" s="4">
        <v>46304</v>
      </c>
      <c r="G140" s="3" t="s">
        <v>50</v>
      </c>
      <c r="H140" s="6">
        <v>-951930</v>
      </c>
      <c r="I140" s="3" t="s">
        <v>18</v>
      </c>
      <c r="J140" s="3" t="s">
        <v>15</v>
      </c>
      <c r="K140" s="3" t="s">
        <v>15</v>
      </c>
      <c r="L140" s="3" t="s">
        <v>404</v>
      </c>
      <c r="M140" s="4">
        <v>46304</v>
      </c>
      <c r="N140" s="3" t="s">
        <v>405</v>
      </c>
      <c r="O140" s="3" t="s">
        <v>22</v>
      </c>
      <c r="P140" t="str">
        <f t="shared" si="2"/>
        <v>450014024510</v>
      </c>
      <c r="Q140" s="7" cm="1">
        <f t="array" ref="Q140:S140">VLOOKUP(P140,Hoja1!C:F,{2,3,4},FALSE)</f>
        <v>46387</v>
      </c>
      <c r="R140" t="str">
        <v>C25</v>
      </c>
      <c r="S140" t="str">
        <v>1000010140 JUVEGUMER S. A. S.</v>
      </c>
      <c r="T140" t="str">
        <f>VLOOKUP(P140,Hoja2!C:D,2,FALSE)</f>
        <v>MPITTIA</v>
      </c>
    </row>
    <row r="141" spans="1:20" x14ac:dyDescent="0.3">
      <c r="A141" s="2" t="s">
        <v>15</v>
      </c>
      <c r="B141" s="3" t="s">
        <v>15</v>
      </c>
      <c r="C141" s="3" t="s">
        <v>406</v>
      </c>
      <c r="D141" s="3" t="s">
        <v>43</v>
      </c>
      <c r="E141" s="3" t="s">
        <v>101</v>
      </c>
      <c r="F141" s="4">
        <v>46304</v>
      </c>
      <c r="G141" s="3" t="s">
        <v>50</v>
      </c>
      <c r="H141" s="6">
        <v>-3626400</v>
      </c>
      <c r="I141" s="3" t="s">
        <v>18</v>
      </c>
      <c r="J141" s="3" t="s">
        <v>15</v>
      </c>
      <c r="K141" s="3" t="s">
        <v>15</v>
      </c>
      <c r="L141" s="3" t="s">
        <v>404</v>
      </c>
      <c r="M141" s="4">
        <v>46304</v>
      </c>
      <c r="N141" s="3" t="s">
        <v>407</v>
      </c>
      <c r="O141" s="3" t="s">
        <v>22</v>
      </c>
      <c r="P141" t="str">
        <f t="shared" si="2"/>
        <v>450013980310</v>
      </c>
      <c r="Q141" s="7" cm="1">
        <f t="array" ref="Q141:S141">VLOOKUP(P141,Hoja1!C:F,{2,3,4},FALSE)</f>
        <v>46288</v>
      </c>
      <c r="R141" t="str">
        <v>C25</v>
      </c>
      <c r="S141" t="str">
        <v>1000010140 JUVEGUMER S. A. S.</v>
      </c>
      <c r="T141" t="str">
        <f>VLOOKUP(P141,Hoja2!C:D,2,FALSE)</f>
        <v>MPITTIA</v>
      </c>
    </row>
    <row r="142" spans="1:20" x14ac:dyDescent="0.3">
      <c r="A142" s="2" t="s">
        <v>15</v>
      </c>
      <c r="B142" s="3" t="s">
        <v>15</v>
      </c>
      <c r="C142" s="3" t="s">
        <v>408</v>
      </c>
      <c r="D142" s="3" t="s">
        <v>43</v>
      </c>
      <c r="E142" s="3" t="s">
        <v>101</v>
      </c>
      <c r="F142" s="4">
        <v>46304</v>
      </c>
      <c r="G142" s="3" t="s">
        <v>50</v>
      </c>
      <c r="H142" s="6">
        <v>-392860</v>
      </c>
      <c r="I142" s="3" t="s">
        <v>18</v>
      </c>
      <c r="J142" s="3" t="s">
        <v>15</v>
      </c>
      <c r="K142" s="3" t="s">
        <v>15</v>
      </c>
      <c r="L142" s="3" t="s">
        <v>404</v>
      </c>
      <c r="M142" s="4">
        <v>46304</v>
      </c>
      <c r="N142" s="3" t="s">
        <v>409</v>
      </c>
      <c r="O142" s="3" t="s">
        <v>22</v>
      </c>
      <c r="P142" t="str">
        <f t="shared" si="2"/>
        <v>450013310910</v>
      </c>
      <c r="Q142" s="7" cm="1">
        <f t="array" ref="Q142:S142">VLOOKUP(P142,Hoja1!C:F,{2,3,4},FALSE)</f>
        <v>46352</v>
      </c>
      <c r="R142" t="str">
        <v>C25</v>
      </c>
      <c r="S142" t="str">
        <v>1000010140 JUVEGUMER S. A. S.</v>
      </c>
      <c r="T142" t="str">
        <f>VLOOKUP(P142,Hoja2!C:D,2,FALSE)</f>
        <v>MPITTIA</v>
      </c>
    </row>
    <row r="143" spans="1:20" x14ac:dyDescent="0.3">
      <c r="A143" s="2" t="s">
        <v>15</v>
      </c>
      <c r="B143" s="3" t="s">
        <v>15</v>
      </c>
      <c r="C143" s="3" t="s">
        <v>410</v>
      </c>
      <c r="D143" s="3" t="s">
        <v>15</v>
      </c>
      <c r="E143" s="3" t="s">
        <v>101</v>
      </c>
      <c r="F143" s="4">
        <v>46305</v>
      </c>
      <c r="G143" s="3" t="s">
        <v>50</v>
      </c>
      <c r="H143" s="6">
        <v>-161345</v>
      </c>
      <c r="I143" s="3" t="s">
        <v>18</v>
      </c>
      <c r="J143" s="3" t="s">
        <v>15</v>
      </c>
      <c r="K143" s="3" t="s">
        <v>15</v>
      </c>
      <c r="L143" s="3" t="s">
        <v>70</v>
      </c>
      <c r="M143" s="4">
        <v>46305</v>
      </c>
      <c r="N143" s="3" t="s">
        <v>411</v>
      </c>
      <c r="O143" s="3" t="s">
        <v>169</v>
      </c>
      <c r="P143" t="str">
        <f t="shared" si="2"/>
        <v>450014038580</v>
      </c>
      <c r="Q143" s="7" cm="1">
        <f t="array" ref="Q143:S143">VLOOKUP(P143,Hoja1!C:F,{2,3,4},FALSE)</f>
        <v>46315</v>
      </c>
      <c r="R143" t="str">
        <v>C01</v>
      </c>
      <c r="S143" t="str">
        <v>1000007451 FLORES CARLOS FELIPE Y OTROS S H</v>
      </c>
      <c r="T143" t="str">
        <f>VLOOKUP(P143,Hoja2!C:D,2,FALSE)</f>
        <v>AZAPANA</v>
      </c>
    </row>
    <row r="144" spans="1:20" x14ac:dyDescent="0.3">
      <c r="A144" s="2" t="s">
        <v>15</v>
      </c>
      <c r="B144" s="3" t="s">
        <v>15</v>
      </c>
      <c r="C144" s="3" t="s">
        <v>410</v>
      </c>
      <c r="D144" s="3" t="s">
        <v>15</v>
      </c>
      <c r="E144" s="3" t="s">
        <v>101</v>
      </c>
      <c r="F144" s="4">
        <v>46305</v>
      </c>
      <c r="G144" s="3" t="s">
        <v>50</v>
      </c>
      <c r="H144" s="6">
        <v>-193614</v>
      </c>
      <c r="I144" s="3" t="s">
        <v>18</v>
      </c>
      <c r="J144" s="3" t="s">
        <v>15</v>
      </c>
      <c r="K144" s="3" t="s">
        <v>15</v>
      </c>
      <c r="L144" s="3" t="s">
        <v>70</v>
      </c>
      <c r="M144" s="4">
        <v>46305</v>
      </c>
      <c r="N144" s="3" t="s">
        <v>411</v>
      </c>
      <c r="O144" s="3" t="s">
        <v>90</v>
      </c>
      <c r="P144" t="str">
        <f t="shared" si="2"/>
        <v>450014038590</v>
      </c>
      <c r="Q144" s="7" cm="1">
        <f t="array" ref="Q144:S144">VLOOKUP(P144,Hoja1!C:F,{2,3,4},FALSE)</f>
        <v>46315</v>
      </c>
      <c r="R144" t="str">
        <v>C01</v>
      </c>
      <c r="S144" t="str">
        <v>1000007451 FLORES CARLOS FELIPE Y OTROS S H</v>
      </c>
      <c r="T144" t="str">
        <f>VLOOKUP(P144,Hoja2!C:D,2,FALSE)</f>
        <v>AZAPANA</v>
      </c>
    </row>
    <row r="145" spans="1:20" x14ac:dyDescent="0.3">
      <c r="A145" s="2" t="s">
        <v>15</v>
      </c>
      <c r="B145" s="3" t="s">
        <v>15</v>
      </c>
      <c r="C145" s="3" t="s">
        <v>410</v>
      </c>
      <c r="D145" s="3" t="s">
        <v>15</v>
      </c>
      <c r="E145" s="3" t="s">
        <v>101</v>
      </c>
      <c r="F145" s="4">
        <v>46305</v>
      </c>
      <c r="G145" s="3" t="s">
        <v>50</v>
      </c>
      <c r="H145" s="6">
        <v>-64538</v>
      </c>
      <c r="I145" s="3" t="s">
        <v>18</v>
      </c>
      <c r="J145" s="3" t="s">
        <v>15</v>
      </c>
      <c r="K145" s="3" t="s">
        <v>15</v>
      </c>
      <c r="L145" s="3" t="s">
        <v>70</v>
      </c>
      <c r="M145" s="4">
        <v>46305</v>
      </c>
      <c r="N145" s="3" t="s">
        <v>411</v>
      </c>
      <c r="O145" s="3" t="s">
        <v>87</v>
      </c>
      <c r="P145" t="str">
        <f t="shared" si="2"/>
        <v>4500140385110</v>
      </c>
      <c r="Q145" s="7" cm="1">
        <f t="array" ref="Q145:S145">VLOOKUP(P145,Hoja1!C:F,{2,3,4},FALSE)</f>
        <v>46315</v>
      </c>
      <c r="R145" t="str">
        <v>C01</v>
      </c>
      <c r="S145" t="str">
        <v>1000007451 FLORES CARLOS FELIPE Y OTROS S H</v>
      </c>
      <c r="T145" t="str">
        <f>VLOOKUP(P145,Hoja2!C:D,2,FALSE)</f>
        <v>AZAPANA</v>
      </c>
    </row>
    <row r="146" spans="1:20" x14ac:dyDescent="0.3">
      <c r="A146" s="2" t="s">
        <v>15</v>
      </c>
      <c r="B146" s="3" t="s">
        <v>15</v>
      </c>
      <c r="C146" s="3" t="s">
        <v>410</v>
      </c>
      <c r="D146" s="3" t="s">
        <v>15</v>
      </c>
      <c r="E146" s="3" t="s">
        <v>101</v>
      </c>
      <c r="F146" s="4">
        <v>46305</v>
      </c>
      <c r="G146" s="3" t="s">
        <v>50</v>
      </c>
      <c r="H146" s="6">
        <v>-64538</v>
      </c>
      <c r="I146" s="3" t="s">
        <v>18</v>
      </c>
      <c r="J146" s="3" t="s">
        <v>15</v>
      </c>
      <c r="K146" s="3" t="s">
        <v>15</v>
      </c>
      <c r="L146" s="3" t="s">
        <v>70</v>
      </c>
      <c r="M146" s="4">
        <v>46305</v>
      </c>
      <c r="N146" s="3" t="s">
        <v>411</v>
      </c>
      <c r="O146" s="3" t="s">
        <v>88</v>
      </c>
      <c r="P146" t="str">
        <f t="shared" si="2"/>
        <v>4500140385120</v>
      </c>
      <c r="Q146" s="7" cm="1">
        <f t="array" ref="Q146:S146">VLOOKUP(P146,Hoja1!C:F,{2,3,4},FALSE)</f>
        <v>46315</v>
      </c>
      <c r="R146" t="str">
        <v>C01</v>
      </c>
      <c r="S146" t="str">
        <v>1000007451 FLORES CARLOS FELIPE Y OTROS S H</v>
      </c>
      <c r="T146" t="str">
        <f>VLOOKUP(P146,Hoja2!C:D,2,FALSE)</f>
        <v>AZAPANA</v>
      </c>
    </row>
    <row r="147" spans="1:20" x14ac:dyDescent="0.3">
      <c r="A147" s="2" t="s">
        <v>15</v>
      </c>
      <c r="B147" s="3" t="s">
        <v>15</v>
      </c>
      <c r="C147" s="3" t="s">
        <v>410</v>
      </c>
      <c r="D147" s="3" t="s">
        <v>15</v>
      </c>
      <c r="E147" s="3" t="s">
        <v>101</v>
      </c>
      <c r="F147" s="4">
        <v>46305</v>
      </c>
      <c r="G147" s="3" t="s">
        <v>50</v>
      </c>
      <c r="H147" s="6">
        <v>-66450</v>
      </c>
      <c r="I147" s="3" t="s">
        <v>18</v>
      </c>
      <c r="J147" s="3" t="s">
        <v>15</v>
      </c>
      <c r="K147" s="3" t="s">
        <v>15</v>
      </c>
      <c r="L147" s="3" t="s">
        <v>70</v>
      </c>
      <c r="M147" s="4">
        <v>46305</v>
      </c>
      <c r="N147" s="3" t="s">
        <v>411</v>
      </c>
      <c r="O147" s="3" t="s">
        <v>194</v>
      </c>
      <c r="P147" t="str">
        <f t="shared" si="2"/>
        <v>4500140385140</v>
      </c>
      <c r="Q147" s="7" cm="1">
        <f t="array" ref="Q147:S147">VLOOKUP(P147,Hoja1!C:F,{2,3,4},FALSE)</f>
        <v>46315</v>
      </c>
      <c r="R147" t="str">
        <v>C01</v>
      </c>
      <c r="S147" t="str">
        <v>1000007451 FLORES CARLOS FELIPE Y OTROS S H</v>
      </c>
      <c r="T147" t="str">
        <f>VLOOKUP(P147,Hoja2!C:D,2,FALSE)</f>
        <v>AZAPANA</v>
      </c>
    </row>
    <row r="148" spans="1:20" x14ac:dyDescent="0.3">
      <c r="A148" s="2" t="s">
        <v>15</v>
      </c>
      <c r="B148" s="3" t="s">
        <v>15</v>
      </c>
      <c r="C148" s="3" t="s">
        <v>410</v>
      </c>
      <c r="D148" s="3" t="s">
        <v>15</v>
      </c>
      <c r="E148" s="3" t="s">
        <v>101</v>
      </c>
      <c r="F148" s="4">
        <v>46305</v>
      </c>
      <c r="G148" s="3" t="s">
        <v>50</v>
      </c>
      <c r="H148" s="6">
        <v>-99675</v>
      </c>
      <c r="I148" s="3" t="s">
        <v>18</v>
      </c>
      <c r="J148" s="3" t="s">
        <v>15</v>
      </c>
      <c r="K148" s="3" t="s">
        <v>15</v>
      </c>
      <c r="L148" s="3" t="s">
        <v>70</v>
      </c>
      <c r="M148" s="4">
        <v>46305</v>
      </c>
      <c r="N148" s="3" t="s">
        <v>411</v>
      </c>
      <c r="O148" s="3" t="s">
        <v>195</v>
      </c>
      <c r="P148" t="str">
        <f t="shared" si="2"/>
        <v>4500140385150</v>
      </c>
      <c r="Q148" s="7" cm="1">
        <f t="array" ref="Q148:S148">VLOOKUP(P148,Hoja1!C:F,{2,3,4},FALSE)</f>
        <v>46315</v>
      </c>
      <c r="R148" t="str">
        <v>C01</v>
      </c>
      <c r="S148" t="str">
        <v>1000007451 FLORES CARLOS FELIPE Y OTROS S H</v>
      </c>
      <c r="T148" t="str">
        <f>VLOOKUP(P148,Hoja2!C:D,2,FALSE)</f>
        <v>AZAPANA</v>
      </c>
    </row>
    <row r="149" spans="1:20" x14ac:dyDescent="0.3">
      <c r="A149" s="2" t="s">
        <v>15</v>
      </c>
      <c r="B149" s="3" t="s">
        <v>15</v>
      </c>
      <c r="C149" s="3" t="s">
        <v>410</v>
      </c>
      <c r="D149" s="3" t="s">
        <v>15</v>
      </c>
      <c r="E149" s="3" t="s">
        <v>101</v>
      </c>
      <c r="F149" s="4">
        <v>46305</v>
      </c>
      <c r="G149" s="3" t="s">
        <v>50</v>
      </c>
      <c r="H149" s="6">
        <v>-99675</v>
      </c>
      <c r="I149" s="3" t="s">
        <v>18</v>
      </c>
      <c r="J149" s="3" t="s">
        <v>15</v>
      </c>
      <c r="K149" s="3" t="s">
        <v>15</v>
      </c>
      <c r="L149" s="3" t="s">
        <v>70</v>
      </c>
      <c r="M149" s="4">
        <v>46305</v>
      </c>
      <c r="N149" s="3" t="s">
        <v>411</v>
      </c>
      <c r="O149" s="3" t="s">
        <v>198</v>
      </c>
      <c r="P149" t="str">
        <f t="shared" si="2"/>
        <v>4500140385160</v>
      </c>
      <c r="Q149" s="7" cm="1">
        <f t="array" ref="Q149:S149">VLOOKUP(P149,Hoja1!C:F,{2,3,4},FALSE)</f>
        <v>46315</v>
      </c>
      <c r="R149" t="str">
        <v>C01</v>
      </c>
      <c r="S149" t="str">
        <v>1000007451 FLORES CARLOS FELIPE Y OTROS S H</v>
      </c>
      <c r="T149" t="str">
        <f>VLOOKUP(P149,Hoja2!C:D,2,FALSE)</f>
        <v>AZAPANA</v>
      </c>
    </row>
    <row r="150" spans="1:20" x14ac:dyDescent="0.3">
      <c r="A150" s="2" t="s">
        <v>15</v>
      </c>
      <c r="B150" s="3" t="s">
        <v>15</v>
      </c>
      <c r="C150" s="3" t="s">
        <v>410</v>
      </c>
      <c r="D150" s="3" t="s">
        <v>15</v>
      </c>
      <c r="E150" s="3" t="s">
        <v>101</v>
      </c>
      <c r="F150" s="4">
        <v>46305</v>
      </c>
      <c r="G150" s="3" t="s">
        <v>50</v>
      </c>
      <c r="H150" s="6">
        <v>-95091.199999999997</v>
      </c>
      <c r="I150" s="3" t="s">
        <v>18</v>
      </c>
      <c r="J150" s="3" t="s">
        <v>15</v>
      </c>
      <c r="K150" s="3" t="s">
        <v>15</v>
      </c>
      <c r="L150" s="3" t="s">
        <v>70</v>
      </c>
      <c r="M150" s="4">
        <v>46305</v>
      </c>
      <c r="N150" s="3" t="s">
        <v>411</v>
      </c>
      <c r="O150" s="3" t="s">
        <v>288</v>
      </c>
      <c r="P150" t="str">
        <f t="shared" si="2"/>
        <v>4500140385180</v>
      </c>
      <c r="Q150" s="7" cm="1">
        <f t="array" ref="Q150:S150">VLOOKUP(P150,Hoja1!C:F,{2,3,4},FALSE)</f>
        <v>46315</v>
      </c>
      <c r="R150" t="str">
        <v>C01</v>
      </c>
      <c r="S150" t="str">
        <v>1000007451 FLORES CARLOS FELIPE Y OTROS S H</v>
      </c>
      <c r="T150" t="str">
        <f>VLOOKUP(P150,Hoja2!C:D,2,FALSE)</f>
        <v>AZAPANA</v>
      </c>
    </row>
    <row r="151" spans="1:20" x14ac:dyDescent="0.3">
      <c r="A151" s="2" t="s">
        <v>15</v>
      </c>
      <c r="B151" s="3" t="s">
        <v>15</v>
      </c>
      <c r="C151" s="3" t="s">
        <v>410</v>
      </c>
      <c r="D151" s="3" t="s">
        <v>15</v>
      </c>
      <c r="E151" s="3" t="s">
        <v>101</v>
      </c>
      <c r="F151" s="4">
        <v>46305</v>
      </c>
      <c r="G151" s="3" t="s">
        <v>50</v>
      </c>
      <c r="H151" s="6">
        <v>-95091.199999999997</v>
      </c>
      <c r="I151" s="3" t="s">
        <v>18</v>
      </c>
      <c r="J151" s="3" t="s">
        <v>15</v>
      </c>
      <c r="K151" s="3" t="s">
        <v>15</v>
      </c>
      <c r="L151" s="3" t="s">
        <v>70</v>
      </c>
      <c r="M151" s="4">
        <v>46305</v>
      </c>
      <c r="N151" s="3" t="s">
        <v>411</v>
      </c>
      <c r="O151" s="3" t="s">
        <v>290</v>
      </c>
      <c r="P151" t="str">
        <f t="shared" si="2"/>
        <v>4500140385200</v>
      </c>
      <c r="Q151" s="7" cm="1">
        <f t="array" ref="Q151:S151">VLOOKUP(P151,Hoja1!C:F,{2,3,4},FALSE)</f>
        <v>46315</v>
      </c>
      <c r="R151" t="str">
        <v>C01</v>
      </c>
      <c r="S151" t="str">
        <v>1000007451 FLORES CARLOS FELIPE Y OTROS S H</v>
      </c>
      <c r="T151" t="str">
        <f>VLOOKUP(P151,Hoja2!C:D,2,FALSE)</f>
        <v>AZAPANA</v>
      </c>
    </row>
    <row r="152" spans="1:20" x14ac:dyDescent="0.3">
      <c r="A152" s="2" t="s">
        <v>15</v>
      </c>
      <c r="B152" s="3" t="s">
        <v>15</v>
      </c>
      <c r="C152" s="3" t="s">
        <v>410</v>
      </c>
      <c r="D152" s="3" t="s">
        <v>15</v>
      </c>
      <c r="E152" s="3" t="s">
        <v>101</v>
      </c>
      <c r="F152" s="4">
        <v>46305</v>
      </c>
      <c r="G152" s="3" t="s">
        <v>50</v>
      </c>
      <c r="H152" s="6">
        <v>-47545.599999999999</v>
      </c>
      <c r="I152" s="3" t="s">
        <v>18</v>
      </c>
      <c r="J152" s="3" t="s">
        <v>15</v>
      </c>
      <c r="K152" s="3" t="s">
        <v>15</v>
      </c>
      <c r="L152" s="3" t="s">
        <v>70</v>
      </c>
      <c r="M152" s="4">
        <v>46305</v>
      </c>
      <c r="N152" s="3" t="s">
        <v>411</v>
      </c>
      <c r="O152" s="3" t="s">
        <v>291</v>
      </c>
      <c r="P152" t="str">
        <f t="shared" si="2"/>
        <v>4500140385210</v>
      </c>
      <c r="Q152" s="7" cm="1">
        <f t="array" ref="Q152:S152">VLOOKUP(P152,Hoja1!C:F,{2,3,4},FALSE)</f>
        <v>46315</v>
      </c>
      <c r="R152" t="str">
        <v>C01</v>
      </c>
      <c r="S152" t="str">
        <v>1000007451 FLORES CARLOS FELIPE Y OTROS S H</v>
      </c>
      <c r="T152" t="str">
        <f>VLOOKUP(P152,Hoja2!C:D,2,FALSE)</f>
        <v>AZAPANA</v>
      </c>
    </row>
    <row r="153" spans="1:20" x14ac:dyDescent="0.3">
      <c r="A153" s="2" t="s">
        <v>15</v>
      </c>
      <c r="B153" s="3" t="s">
        <v>15</v>
      </c>
      <c r="C153" s="3" t="s">
        <v>412</v>
      </c>
      <c r="D153" s="3" t="s">
        <v>15</v>
      </c>
      <c r="E153" s="3" t="s">
        <v>101</v>
      </c>
      <c r="F153" s="4">
        <v>46304</v>
      </c>
      <c r="G153" s="3" t="s">
        <v>50</v>
      </c>
      <c r="H153" s="6">
        <v>-302078</v>
      </c>
      <c r="I153" s="3" t="s">
        <v>18</v>
      </c>
      <c r="J153" s="3" t="s">
        <v>15</v>
      </c>
      <c r="K153" s="3" t="s">
        <v>15</v>
      </c>
      <c r="L153" s="3" t="s">
        <v>70</v>
      </c>
      <c r="M153" s="4">
        <v>46305</v>
      </c>
      <c r="N153" s="3" t="s">
        <v>413</v>
      </c>
      <c r="O153" s="3" t="s">
        <v>38</v>
      </c>
      <c r="P153" t="str">
        <f t="shared" si="2"/>
        <v>450014039250</v>
      </c>
      <c r="Q153" s="7" cm="1">
        <f t="array" ref="Q153:S153">VLOOKUP(P153,Hoja1!C:F,{2,3,4},FALSE)</f>
        <v>46313</v>
      </c>
      <c r="R153" t="str">
        <v>C01</v>
      </c>
      <c r="S153" t="str">
        <v>1000007451 FLORES CARLOS FELIPE Y OTROS S H</v>
      </c>
      <c r="T153" t="str">
        <f>VLOOKUP(P153,Hoja2!C:D,2,FALSE)</f>
        <v>AZAPANA</v>
      </c>
    </row>
    <row r="154" spans="1:20" x14ac:dyDescent="0.3">
      <c r="A154" s="2" t="s">
        <v>15</v>
      </c>
      <c r="B154" s="3" t="s">
        <v>15</v>
      </c>
      <c r="C154" s="3" t="s">
        <v>412</v>
      </c>
      <c r="D154" s="3" t="s">
        <v>15</v>
      </c>
      <c r="E154" s="3" t="s">
        <v>101</v>
      </c>
      <c r="F154" s="4">
        <v>46304</v>
      </c>
      <c r="G154" s="3" t="s">
        <v>50</v>
      </c>
      <c r="H154" s="6">
        <v>-142932.29999999999</v>
      </c>
      <c r="I154" s="3" t="s">
        <v>18</v>
      </c>
      <c r="J154" s="3" t="s">
        <v>15</v>
      </c>
      <c r="K154" s="3" t="s">
        <v>15</v>
      </c>
      <c r="L154" s="3" t="s">
        <v>70</v>
      </c>
      <c r="M154" s="4">
        <v>46305</v>
      </c>
      <c r="N154" s="3" t="s">
        <v>413</v>
      </c>
      <c r="O154" s="3" t="s">
        <v>85</v>
      </c>
      <c r="P154" t="str">
        <f t="shared" si="2"/>
        <v>450014039270</v>
      </c>
      <c r="Q154" s="7" cm="1">
        <f t="array" ref="Q154:S154">VLOOKUP(P154,Hoja1!C:F,{2,3,4},FALSE)</f>
        <v>46313</v>
      </c>
      <c r="R154" t="str">
        <v>C01</v>
      </c>
      <c r="S154" t="str">
        <v>1000007451 FLORES CARLOS FELIPE Y OTROS S H</v>
      </c>
      <c r="T154" t="str">
        <f>VLOOKUP(P154,Hoja2!C:D,2,FALSE)</f>
        <v>AZAPANA</v>
      </c>
    </row>
    <row r="155" spans="1:20" x14ac:dyDescent="0.3">
      <c r="A155" s="2" t="s">
        <v>15</v>
      </c>
      <c r="B155" s="3" t="s">
        <v>15</v>
      </c>
      <c r="C155" s="3" t="s">
        <v>412</v>
      </c>
      <c r="D155" s="3" t="s">
        <v>15</v>
      </c>
      <c r="E155" s="3" t="s">
        <v>101</v>
      </c>
      <c r="F155" s="4">
        <v>46304</v>
      </c>
      <c r="G155" s="3" t="s">
        <v>50</v>
      </c>
      <c r="H155" s="6">
        <v>-114631</v>
      </c>
      <c r="I155" s="3" t="s">
        <v>18</v>
      </c>
      <c r="J155" s="3" t="s">
        <v>15</v>
      </c>
      <c r="K155" s="3" t="s">
        <v>15</v>
      </c>
      <c r="L155" s="3" t="s">
        <v>70</v>
      </c>
      <c r="M155" s="4">
        <v>46305</v>
      </c>
      <c r="N155" s="3" t="s">
        <v>413</v>
      </c>
      <c r="O155" s="3" t="s">
        <v>90</v>
      </c>
      <c r="P155" t="str">
        <f t="shared" si="2"/>
        <v>450014039290</v>
      </c>
      <c r="Q155" s="7" cm="1">
        <f t="array" ref="Q155:S155">VLOOKUP(P155,Hoja1!C:F,{2,3,4},FALSE)</f>
        <v>46313</v>
      </c>
      <c r="R155" t="str">
        <v>C01</v>
      </c>
      <c r="S155" t="str">
        <v>1000007451 FLORES CARLOS FELIPE Y OTROS S H</v>
      </c>
      <c r="T155" t="str">
        <f>VLOOKUP(P155,Hoja2!C:D,2,FALSE)</f>
        <v>AZAPANA</v>
      </c>
    </row>
    <row r="156" spans="1:20" x14ac:dyDescent="0.3">
      <c r="A156" s="2" t="s">
        <v>15</v>
      </c>
      <c r="B156" s="3" t="s">
        <v>15</v>
      </c>
      <c r="C156" s="3" t="s">
        <v>414</v>
      </c>
      <c r="D156" s="3" t="s">
        <v>15</v>
      </c>
      <c r="E156" s="3" t="s">
        <v>101</v>
      </c>
      <c r="F156" s="4">
        <v>46304</v>
      </c>
      <c r="G156" s="3" t="s">
        <v>50</v>
      </c>
      <c r="H156" s="6">
        <v>-208592.56</v>
      </c>
      <c r="I156" s="3" t="s">
        <v>18</v>
      </c>
      <c r="J156" s="3" t="s">
        <v>15</v>
      </c>
      <c r="K156" s="3" t="s">
        <v>15</v>
      </c>
      <c r="L156" s="3" t="s">
        <v>70</v>
      </c>
      <c r="M156" s="4">
        <v>46305</v>
      </c>
      <c r="N156" s="3" t="s">
        <v>415</v>
      </c>
      <c r="O156" s="3" t="s">
        <v>22</v>
      </c>
      <c r="P156" t="str">
        <f t="shared" si="2"/>
        <v>450014038310</v>
      </c>
      <c r="Q156" s="7" cm="1">
        <f t="array" ref="Q156:S156">VLOOKUP(P156,Hoja1!C:F,{2,3,4},FALSE)</f>
        <v>46315</v>
      </c>
      <c r="R156" t="str">
        <v>C01</v>
      </c>
      <c r="S156" t="str">
        <v>1000007451 FLORES CARLOS FELIPE Y OTROS S H</v>
      </c>
      <c r="T156" t="str">
        <f>VLOOKUP(P156,Hoja2!C:D,2,FALSE)</f>
        <v>AZAPANA</v>
      </c>
    </row>
    <row r="157" spans="1:20" x14ac:dyDescent="0.3">
      <c r="A157" s="2" t="s">
        <v>15</v>
      </c>
      <c r="B157" s="3" t="s">
        <v>15</v>
      </c>
      <c r="C157" s="3" t="s">
        <v>414</v>
      </c>
      <c r="D157" s="3" t="s">
        <v>15</v>
      </c>
      <c r="E157" s="3" t="s">
        <v>101</v>
      </c>
      <c r="F157" s="4">
        <v>46304</v>
      </c>
      <c r="G157" s="3" t="s">
        <v>50</v>
      </c>
      <c r="H157" s="6">
        <v>-208592.56</v>
      </c>
      <c r="I157" s="3" t="s">
        <v>18</v>
      </c>
      <c r="J157" s="3" t="s">
        <v>15</v>
      </c>
      <c r="K157" s="3" t="s">
        <v>15</v>
      </c>
      <c r="L157" s="3" t="s">
        <v>70</v>
      </c>
      <c r="M157" s="4">
        <v>46305</v>
      </c>
      <c r="N157" s="3" t="s">
        <v>415</v>
      </c>
      <c r="O157" s="3" t="s">
        <v>48</v>
      </c>
      <c r="P157" t="str">
        <f t="shared" si="2"/>
        <v>450014038320</v>
      </c>
      <c r="Q157" s="7" cm="1">
        <f t="array" ref="Q157:S157">VLOOKUP(P157,Hoja1!C:F,{2,3,4},FALSE)</f>
        <v>46315</v>
      </c>
      <c r="R157" t="str">
        <v>C01</v>
      </c>
      <c r="S157" t="str">
        <v>1000007451 FLORES CARLOS FELIPE Y OTROS S H</v>
      </c>
      <c r="T157" t="str">
        <f>VLOOKUP(P157,Hoja2!C:D,2,FALSE)</f>
        <v>AZAPANA</v>
      </c>
    </row>
    <row r="158" spans="1:20" x14ac:dyDescent="0.3">
      <c r="A158" s="2" t="s">
        <v>15</v>
      </c>
      <c r="B158" s="3" t="s">
        <v>15</v>
      </c>
      <c r="C158" s="3" t="s">
        <v>414</v>
      </c>
      <c r="D158" s="3" t="s">
        <v>15</v>
      </c>
      <c r="E158" s="3" t="s">
        <v>101</v>
      </c>
      <c r="F158" s="4">
        <v>46304</v>
      </c>
      <c r="G158" s="3" t="s">
        <v>50</v>
      </c>
      <c r="H158" s="6">
        <v>-469333.26</v>
      </c>
      <c r="I158" s="3" t="s">
        <v>18</v>
      </c>
      <c r="J158" s="3" t="s">
        <v>15</v>
      </c>
      <c r="K158" s="3" t="s">
        <v>15</v>
      </c>
      <c r="L158" s="3" t="s">
        <v>70</v>
      </c>
      <c r="M158" s="4">
        <v>46305</v>
      </c>
      <c r="N158" s="3" t="s">
        <v>415</v>
      </c>
      <c r="O158" s="3" t="s">
        <v>39</v>
      </c>
      <c r="P158" t="str">
        <f t="shared" si="2"/>
        <v>450014038330</v>
      </c>
      <c r="Q158" s="7" cm="1">
        <f t="array" ref="Q158:S158">VLOOKUP(P158,Hoja1!C:F,{2,3,4},FALSE)</f>
        <v>46315</v>
      </c>
      <c r="R158" t="str">
        <v>C01</v>
      </c>
      <c r="S158" t="str">
        <v>1000007451 FLORES CARLOS FELIPE Y OTROS S H</v>
      </c>
      <c r="T158" t="str">
        <f>VLOOKUP(P158,Hoja2!C:D,2,FALSE)</f>
        <v>AZAPANA</v>
      </c>
    </row>
    <row r="159" spans="1:20" x14ac:dyDescent="0.3">
      <c r="A159" s="2" t="s">
        <v>15</v>
      </c>
      <c r="B159" s="3" t="s">
        <v>15</v>
      </c>
      <c r="C159" s="3" t="s">
        <v>414</v>
      </c>
      <c r="D159" s="3" t="s">
        <v>15</v>
      </c>
      <c r="E159" s="3" t="s">
        <v>101</v>
      </c>
      <c r="F159" s="4">
        <v>46304</v>
      </c>
      <c r="G159" s="3" t="s">
        <v>50</v>
      </c>
      <c r="H159" s="6">
        <v>-312888.84000000003</v>
      </c>
      <c r="I159" s="3" t="s">
        <v>18</v>
      </c>
      <c r="J159" s="3" t="s">
        <v>15</v>
      </c>
      <c r="K159" s="3" t="s">
        <v>15</v>
      </c>
      <c r="L159" s="3" t="s">
        <v>70</v>
      </c>
      <c r="M159" s="4">
        <v>46305</v>
      </c>
      <c r="N159" s="3" t="s">
        <v>415</v>
      </c>
      <c r="O159" s="3" t="s">
        <v>32</v>
      </c>
      <c r="P159" t="str">
        <f t="shared" si="2"/>
        <v>450014038340</v>
      </c>
      <c r="Q159" s="7" cm="1">
        <f t="array" ref="Q159:S159">VLOOKUP(P159,Hoja1!C:F,{2,3,4},FALSE)</f>
        <v>46315</v>
      </c>
      <c r="R159" t="str">
        <v>C01</v>
      </c>
      <c r="S159" t="str">
        <v>1000007451 FLORES CARLOS FELIPE Y OTROS S H</v>
      </c>
      <c r="T159" t="str">
        <f>VLOOKUP(P159,Hoja2!C:D,2,FALSE)</f>
        <v>AZAPANA</v>
      </c>
    </row>
    <row r="160" spans="1:20" x14ac:dyDescent="0.3">
      <c r="A160" s="2" t="s">
        <v>15</v>
      </c>
      <c r="B160" s="3" t="s">
        <v>15</v>
      </c>
      <c r="C160" s="3" t="s">
        <v>414</v>
      </c>
      <c r="D160" s="3" t="s">
        <v>15</v>
      </c>
      <c r="E160" s="3" t="s">
        <v>101</v>
      </c>
      <c r="F160" s="4">
        <v>46304</v>
      </c>
      <c r="G160" s="3" t="s">
        <v>50</v>
      </c>
      <c r="H160" s="6">
        <v>-104296.28</v>
      </c>
      <c r="I160" s="3" t="s">
        <v>18</v>
      </c>
      <c r="J160" s="3" t="s">
        <v>15</v>
      </c>
      <c r="K160" s="3" t="s">
        <v>15</v>
      </c>
      <c r="L160" s="3" t="s">
        <v>70</v>
      </c>
      <c r="M160" s="4">
        <v>46305</v>
      </c>
      <c r="N160" s="3" t="s">
        <v>415</v>
      </c>
      <c r="O160" s="3" t="s">
        <v>38</v>
      </c>
      <c r="P160" t="str">
        <f t="shared" si="2"/>
        <v>450014038350</v>
      </c>
      <c r="Q160" s="7" cm="1">
        <f t="array" ref="Q160:S160">VLOOKUP(P160,Hoja1!C:F,{2,3,4},FALSE)</f>
        <v>46315</v>
      </c>
      <c r="R160" t="str">
        <v>C01</v>
      </c>
      <c r="S160" t="str">
        <v>1000007451 FLORES CARLOS FELIPE Y OTROS S H</v>
      </c>
      <c r="T160" t="str">
        <f>VLOOKUP(P160,Hoja2!C:D,2,FALSE)</f>
        <v>AZAPANA</v>
      </c>
    </row>
    <row r="161" spans="1:20" x14ac:dyDescent="0.3">
      <c r="A161" s="2" t="s">
        <v>15</v>
      </c>
      <c r="B161" s="3" t="s">
        <v>15</v>
      </c>
      <c r="C161" s="3" t="s">
        <v>414</v>
      </c>
      <c r="D161" s="3" t="s">
        <v>15</v>
      </c>
      <c r="E161" s="3" t="s">
        <v>101</v>
      </c>
      <c r="F161" s="4">
        <v>46304</v>
      </c>
      <c r="G161" s="3" t="s">
        <v>50</v>
      </c>
      <c r="H161" s="6">
        <v>-62091.360000000001</v>
      </c>
      <c r="I161" s="3" t="s">
        <v>18</v>
      </c>
      <c r="J161" s="3" t="s">
        <v>15</v>
      </c>
      <c r="K161" s="3" t="s">
        <v>15</v>
      </c>
      <c r="L161" s="3" t="s">
        <v>70</v>
      </c>
      <c r="M161" s="4">
        <v>46305</v>
      </c>
      <c r="N161" s="3" t="s">
        <v>415</v>
      </c>
      <c r="O161" s="3" t="s">
        <v>66</v>
      </c>
      <c r="P161" t="str">
        <f t="shared" si="2"/>
        <v>450014038360</v>
      </c>
      <c r="Q161" s="7" cm="1">
        <f t="array" ref="Q161:S161">VLOOKUP(P161,Hoja1!C:F,{2,3,4},FALSE)</f>
        <v>46315</v>
      </c>
      <c r="R161" t="str">
        <v>C01</v>
      </c>
      <c r="S161" t="str">
        <v>1000007451 FLORES CARLOS FELIPE Y OTROS S H</v>
      </c>
      <c r="T161" t="str">
        <f>VLOOKUP(P161,Hoja2!C:D,2,FALSE)</f>
        <v>AZAPANA</v>
      </c>
    </row>
    <row r="162" spans="1:20" x14ac:dyDescent="0.3">
      <c r="A162" s="2" t="s">
        <v>15</v>
      </c>
      <c r="B162" s="3" t="s">
        <v>15</v>
      </c>
      <c r="C162" s="3" t="s">
        <v>414</v>
      </c>
      <c r="D162" s="3" t="s">
        <v>15</v>
      </c>
      <c r="E162" s="3" t="s">
        <v>101</v>
      </c>
      <c r="F162" s="4">
        <v>46304</v>
      </c>
      <c r="G162" s="3" t="s">
        <v>50</v>
      </c>
      <c r="H162" s="6">
        <v>-18372.900000000001</v>
      </c>
      <c r="I162" s="3" t="s">
        <v>18</v>
      </c>
      <c r="J162" s="3" t="s">
        <v>15</v>
      </c>
      <c r="K162" s="3" t="s">
        <v>15</v>
      </c>
      <c r="L162" s="3" t="s">
        <v>70</v>
      </c>
      <c r="M162" s="4">
        <v>46305</v>
      </c>
      <c r="N162" s="3" t="s">
        <v>415</v>
      </c>
      <c r="O162" s="3" t="s">
        <v>85</v>
      </c>
      <c r="P162" t="str">
        <f t="shared" si="2"/>
        <v>450014038370</v>
      </c>
      <c r="Q162" s="7" cm="1">
        <f t="array" ref="Q162:S162">VLOOKUP(P162,Hoja1!C:F,{2,3,4},FALSE)</f>
        <v>46315</v>
      </c>
      <c r="R162" t="str">
        <v>C01</v>
      </c>
      <c r="S162" t="str">
        <v>1000007451 FLORES CARLOS FELIPE Y OTROS S H</v>
      </c>
      <c r="T162" t="str">
        <f>VLOOKUP(P162,Hoja2!C:D,2,FALSE)</f>
        <v>AZAPANA</v>
      </c>
    </row>
    <row r="163" spans="1:20" x14ac:dyDescent="0.3">
      <c r="A163" s="2" t="s">
        <v>15</v>
      </c>
      <c r="B163" s="3" t="s">
        <v>15</v>
      </c>
      <c r="C163" s="3" t="s">
        <v>414</v>
      </c>
      <c r="D163" s="3" t="s">
        <v>15</v>
      </c>
      <c r="E163" s="3" t="s">
        <v>101</v>
      </c>
      <c r="F163" s="4">
        <v>46304</v>
      </c>
      <c r="G163" s="3" t="s">
        <v>50</v>
      </c>
      <c r="H163" s="6">
        <v>-103433.99</v>
      </c>
      <c r="I163" s="3" t="s">
        <v>18</v>
      </c>
      <c r="J163" s="3" t="s">
        <v>15</v>
      </c>
      <c r="K163" s="3" t="s">
        <v>15</v>
      </c>
      <c r="L163" s="3" t="s">
        <v>70</v>
      </c>
      <c r="M163" s="4">
        <v>46305</v>
      </c>
      <c r="N163" s="3" t="s">
        <v>415</v>
      </c>
      <c r="O163" s="3" t="s">
        <v>193</v>
      </c>
      <c r="P163" t="str">
        <f t="shared" si="2"/>
        <v>4500140383130</v>
      </c>
      <c r="Q163" s="7" cm="1">
        <f t="array" ref="Q163:S163">VLOOKUP(P163,Hoja1!C:F,{2,3,4},FALSE)</f>
        <v>46315</v>
      </c>
      <c r="R163" t="str">
        <v>C01</v>
      </c>
      <c r="S163" t="str">
        <v>1000007451 FLORES CARLOS FELIPE Y OTROS S H</v>
      </c>
      <c r="T163" t="str">
        <f>VLOOKUP(P163,Hoja2!C:D,2,FALSE)</f>
        <v>AZAPANA</v>
      </c>
    </row>
    <row r="164" spans="1:20" x14ac:dyDescent="0.3">
      <c r="A164" s="2" t="s">
        <v>15</v>
      </c>
      <c r="B164" s="3" t="s">
        <v>15</v>
      </c>
      <c r="C164" s="3" t="s">
        <v>414</v>
      </c>
      <c r="D164" s="3" t="s">
        <v>15</v>
      </c>
      <c r="E164" s="3" t="s">
        <v>101</v>
      </c>
      <c r="F164" s="4">
        <v>46304</v>
      </c>
      <c r="G164" s="3" t="s">
        <v>50</v>
      </c>
      <c r="H164" s="6">
        <v>-20697.12</v>
      </c>
      <c r="I164" s="3" t="s">
        <v>18</v>
      </c>
      <c r="J164" s="3" t="s">
        <v>15</v>
      </c>
      <c r="K164" s="3" t="s">
        <v>15</v>
      </c>
      <c r="L164" s="3" t="s">
        <v>70</v>
      </c>
      <c r="M164" s="4">
        <v>46305</v>
      </c>
      <c r="N164" s="3" t="s">
        <v>415</v>
      </c>
      <c r="O164" s="3" t="s">
        <v>40</v>
      </c>
      <c r="P164" t="str">
        <f t="shared" si="2"/>
        <v>4500140383170</v>
      </c>
      <c r="Q164" s="7" cm="1">
        <f t="array" ref="Q164:S164">VLOOKUP(P164,Hoja1!C:F,{2,3,4},FALSE)</f>
        <v>46315</v>
      </c>
      <c r="R164" t="str">
        <v>C01</v>
      </c>
      <c r="S164" t="str">
        <v>1000007451 FLORES CARLOS FELIPE Y OTROS S H</v>
      </c>
      <c r="T164" t="str">
        <f>VLOOKUP(P164,Hoja2!C:D,2,FALSE)</f>
        <v>AZAPANA</v>
      </c>
    </row>
    <row r="165" spans="1:20" x14ac:dyDescent="0.3">
      <c r="A165" s="2" t="s">
        <v>15</v>
      </c>
      <c r="B165" s="3" t="s">
        <v>15</v>
      </c>
      <c r="C165" s="3" t="s">
        <v>414</v>
      </c>
      <c r="D165" s="3" t="s">
        <v>15</v>
      </c>
      <c r="E165" s="3" t="s">
        <v>101</v>
      </c>
      <c r="F165" s="4">
        <v>46304</v>
      </c>
      <c r="G165" s="3" t="s">
        <v>50</v>
      </c>
      <c r="H165" s="6">
        <v>-312706.17</v>
      </c>
      <c r="I165" s="3" t="s">
        <v>18</v>
      </c>
      <c r="J165" s="3" t="s">
        <v>15</v>
      </c>
      <c r="K165" s="3" t="s">
        <v>15</v>
      </c>
      <c r="L165" s="3" t="s">
        <v>70</v>
      </c>
      <c r="M165" s="4">
        <v>46305</v>
      </c>
      <c r="N165" s="3" t="s">
        <v>415</v>
      </c>
      <c r="O165" s="3" t="s">
        <v>288</v>
      </c>
      <c r="P165" t="str">
        <f t="shared" si="2"/>
        <v>4500140383180</v>
      </c>
      <c r="Q165" s="7" cm="1">
        <f t="array" ref="Q165:S165">VLOOKUP(P165,Hoja1!C:F,{2,3,4},FALSE)</f>
        <v>46313</v>
      </c>
      <c r="R165" t="str">
        <v>C01</v>
      </c>
      <c r="S165" t="str">
        <v>1000007451 FLORES CARLOS FELIPE Y OTROS S H</v>
      </c>
      <c r="T165" t="str">
        <f>VLOOKUP(P165,Hoja2!C:D,2,FALSE)</f>
        <v>AZAPANA</v>
      </c>
    </row>
    <row r="166" spans="1:20" x14ac:dyDescent="0.3">
      <c r="A166" s="2" t="s">
        <v>15</v>
      </c>
      <c r="B166" s="3" t="s">
        <v>15</v>
      </c>
      <c r="C166" s="3" t="s">
        <v>416</v>
      </c>
      <c r="D166" s="3" t="s">
        <v>15</v>
      </c>
      <c r="E166" s="3" t="s">
        <v>101</v>
      </c>
      <c r="F166" s="4">
        <v>46305</v>
      </c>
      <c r="G166" s="3" t="s">
        <v>50</v>
      </c>
      <c r="H166" s="6">
        <v>-41183.199999999997</v>
      </c>
      <c r="I166" s="3" t="s">
        <v>18</v>
      </c>
      <c r="J166" s="3" t="s">
        <v>15</v>
      </c>
      <c r="K166" s="3" t="s">
        <v>15</v>
      </c>
      <c r="L166" s="3" t="s">
        <v>35</v>
      </c>
      <c r="M166" s="4">
        <v>46305</v>
      </c>
      <c r="N166" s="3" t="s">
        <v>417</v>
      </c>
      <c r="O166" s="3" t="s">
        <v>169</v>
      </c>
      <c r="P166" t="str">
        <f t="shared" si="2"/>
        <v>450014050980</v>
      </c>
      <c r="Q166" s="7" cm="1">
        <f t="array" ref="Q166:S166">VLOOKUP(P166,Hoja1!C:F,{2,3,4},FALSE)</f>
        <v>46313</v>
      </c>
      <c r="R166" t="str">
        <v>C01</v>
      </c>
      <c r="S166" t="str">
        <v>1000007611 ANTONIO B ATENOR E HIJOS S R L</v>
      </c>
      <c r="T166" t="str">
        <f>VLOOKUP(P166,Hoja2!C:D,2,FALSE)</f>
        <v>AZAPANA</v>
      </c>
    </row>
    <row r="167" spans="1:20" x14ac:dyDescent="0.3">
      <c r="A167" s="2" t="s">
        <v>15</v>
      </c>
      <c r="B167" s="3" t="s">
        <v>15</v>
      </c>
      <c r="C167" s="3" t="s">
        <v>419</v>
      </c>
      <c r="D167" s="3" t="s">
        <v>15</v>
      </c>
      <c r="E167" s="3" t="s">
        <v>101</v>
      </c>
      <c r="F167" s="4">
        <v>46305</v>
      </c>
      <c r="G167" s="3" t="s">
        <v>50</v>
      </c>
      <c r="H167" s="6">
        <v>-7872</v>
      </c>
      <c r="I167" s="3" t="s">
        <v>18</v>
      </c>
      <c r="J167" s="3" t="s">
        <v>15</v>
      </c>
      <c r="K167" s="3" t="s">
        <v>15</v>
      </c>
      <c r="L167" s="3" t="s">
        <v>105</v>
      </c>
      <c r="M167" s="4">
        <v>46305</v>
      </c>
      <c r="N167" s="3" t="s">
        <v>420</v>
      </c>
      <c r="O167" s="3" t="s">
        <v>48</v>
      </c>
      <c r="P167" t="str">
        <f t="shared" si="2"/>
        <v>450014041420</v>
      </c>
      <c r="Q167" s="7" cm="1">
        <f t="array" ref="Q167:S167">VLOOKUP(P167,Hoja1!C:F,{2,3,4},FALSE)</f>
        <v>46308</v>
      </c>
      <c r="R167" t="str">
        <v>C27</v>
      </c>
      <c r="S167" t="str">
        <v>1000000295 BOLLINI S.A</v>
      </c>
      <c r="T167" t="str">
        <f>VLOOKUP(P167,Hoja2!C:D,2,FALSE)</f>
        <v>PRODRIGUEZ</v>
      </c>
    </row>
    <row r="168" spans="1:20" x14ac:dyDescent="0.3">
      <c r="A168" s="2" t="s">
        <v>15</v>
      </c>
      <c r="B168" s="3" t="s">
        <v>15</v>
      </c>
      <c r="C168" s="3" t="s">
        <v>419</v>
      </c>
      <c r="D168" s="3" t="s">
        <v>15</v>
      </c>
      <c r="E168" s="3" t="s">
        <v>101</v>
      </c>
      <c r="F168" s="4">
        <v>46305</v>
      </c>
      <c r="G168" s="3" t="s">
        <v>50</v>
      </c>
      <c r="H168" s="6">
        <v>-3936</v>
      </c>
      <c r="I168" s="3" t="s">
        <v>18</v>
      </c>
      <c r="J168" s="3" t="s">
        <v>15</v>
      </c>
      <c r="K168" s="3" t="s">
        <v>15</v>
      </c>
      <c r="L168" s="3" t="s">
        <v>105</v>
      </c>
      <c r="M168" s="4">
        <v>46305</v>
      </c>
      <c r="N168" s="3" t="s">
        <v>420</v>
      </c>
      <c r="O168" s="3" t="s">
        <v>39</v>
      </c>
      <c r="P168" t="str">
        <f t="shared" si="2"/>
        <v>450014041430</v>
      </c>
      <c r="Q168" s="7" cm="1">
        <f t="array" ref="Q168:S168">VLOOKUP(P168,Hoja1!C:F,{2,3,4},FALSE)</f>
        <v>46308</v>
      </c>
      <c r="R168" t="str">
        <v>C27</v>
      </c>
      <c r="S168" t="str">
        <v>1000000295 BOLLINI S.A</v>
      </c>
      <c r="T168" t="str">
        <f>VLOOKUP(P168,Hoja2!C:D,2,FALSE)</f>
        <v>PRODRIGUEZ</v>
      </c>
    </row>
    <row r="169" spans="1:20" x14ac:dyDescent="0.3">
      <c r="A169" s="2" t="s">
        <v>15</v>
      </c>
      <c r="B169" s="3" t="s">
        <v>15</v>
      </c>
      <c r="C169" s="3" t="s">
        <v>419</v>
      </c>
      <c r="D169" s="3" t="s">
        <v>15</v>
      </c>
      <c r="E169" s="3" t="s">
        <v>101</v>
      </c>
      <c r="F169" s="4">
        <v>46305</v>
      </c>
      <c r="G169" s="3" t="s">
        <v>50</v>
      </c>
      <c r="H169" s="6">
        <v>-3936</v>
      </c>
      <c r="I169" s="3" t="s">
        <v>18</v>
      </c>
      <c r="J169" s="3" t="s">
        <v>15</v>
      </c>
      <c r="K169" s="3" t="s">
        <v>15</v>
      </c>
      <c r="L169" s="3" t="s">
        <v>105</v>
      </c>
      <c r="M169" s="4">
        <v>46305</v>
      </c>
      <c r="N169" s="3" t="s">
        <v>420</v>
      </c>
      <c r="O169" s="3" t="s">
        <v>32</v>
      </c>
      <c r="P169" t="str">
        <f t="shared" si="2"/>
        <v>450014041440</v>
      </c>
      <c r="Q169" s="7" cm="1">
        <f t="array" ref="Q169:S169">VLOOKUP(P169,Hoja1!C:F,{2,3,4},FALSE)</f>
        <v>46308</v>
      </c>
      <c r="R169" t="str">
        <v>C27</v>
      </c>
      <c r="S169" t="str">
        <v>1000000295 BOLLINI S.A</v>
      </c>
      <c r="T169" t="str">
        <f>VLOOKUP(P169,Hoja2!C:D,2,FALSE)</f>
        <v>PRODRIGUEZ</v>
      </c>
    </row>
    <row r="170" spans="1:20" x14ac:dyDescent="0.3">
      <c r="A170" s="2" t="s">
        <v>15</v>
      </c>
      <c r="B170" s="3" t="s">
        <v>15</v>
      </c>
      <c r="C170" s="3" t="s">
        <v>419</v>
      </c>
      <c r="D170" s="3" t="s">
        <v>15</v>
      </c>
      <c r="E170" s="3" t="s">
        <v>101</v>
      </c>
      <c r="F170" s="4">
        <v>46305</v>
      </c>
      <c r="G170" s="3" t="s">
        <v>50</v>
      </c>
      <c r="H170" s="6">
        <v>-16576</v>
      </c>
      <c r="I170" s="3" t="s">
        <v>18</v>
      </c>
      <c r="J170" s="3" t="s">
        <v>15</v>
      </c>
      <c r="K170" s="3" t="s">
        <v>15</v>
      </c>
      <c r="L170" s="3" t="s">
        <v>105</v>
      </c>
      <c r="M170" s="4">
        <v>46305</v>
      </c>
      <c r="N170" s="3" t="s">
        <v>420</v>
      </c>
      <c r="O170" s="3" t="s">
        <v>66</v>
      </c>
      <c r="P170" t="str">
        <f t="shared" si="2"/>
        <v>450014041460</v>
      </c>
      <c r="Q170" s="7" cm="1">
        <f t="array" ref="Q170:S170">VLOOKUP(P170,Hoja1!C:F,{2,3,4},FALSE)</f>
        <v>46308</v>
      </c>
      <c r="R170" t="str">
        <v>C27</v>
      </c>
      <c r="S170" t="str">
        <v>1000000295 BOLLINI S.A</v>
      </c>
      <c r="T170" t="str">
        <f>VLOOKUP(P170,Hoja2!C:D,2,FALSE)</f>
        <v>PRODRIGUEZ</v>
      </c>
    </row>
    <row r="171" spans="1:20" x14ac:dyDescent="0.3">
      <c r="A171" s="2" t="s">
        <v>15</v>
      </c>
      <c r="B171" s="3" t="s">
        <v>15</v>
      </c>
      <c r="C171" s="3" t="s">
        <v>419</v>
      </c>
      <c r="D171" s="3" t="s">
        <v>43</v>
      </c>
      <c r="E171" s="3" t="s">
        <v>101</v>
      </c>
      <c r="F171" s="4">
        <v>46305</v>
      </c>
      <c r="G171" s="3" t="s">
        <v>50</v>
      </c>
      <c r="H171" s="6">
        <v>-8572</v>
      </c>
      <c r="I171" s="3" t="s">
        <v>18</v>
      </c>
      <c r="J171" s="3" t="s">
        <v>15</v>
      </c>
      <c r="K171" s="3" t="s">
        <v>15</v>
      </c>
      <c r="L171" s="3" t="s">
        <v>105</v>
      </c>
      <c r="M171" s="4">
        <v>46305</v>
      </c>
      <c r="N171" s="3" t="s">
        <v>420</v>
      </c>
      <c r="O171" s="3" t="s">
        <v>85</v>
      </c>
      <c r="P171" t="str">
        <f t="shared" si="2"/>
        <v>450014041470</v>
      </c>
      <c r="Q171" s="7" cm="1">
        <f t="array" ref="Q171:S171">VLOOKUP(P171,Hoja1!C:F,{2,3,4},FALSE)</f>
        <v>46308</v>
      </c>
      <c r="R171" t="str">
        <v>C27</v>
      </c>
      <c r="S171" t="str">
        <v>1000000295 BOLLINI S.A</v>
      </c>
      <c r="T171" t="str">
        <f>VLOOKUP(P171,Hoja2!C:D,2,FALSE)</f>
        <v>PRODRIGUEZ</v>
      </c>
    </row>
    <row r="172" spans="1:20" x14ac:dyDescent="0.3">
      <c r="A172" s="2" t="s">
        <v>15</v>
      </c>
      <c r="B172" s="3" t="s">
        <v>15</v>
      </c>
      <c r="C172" s="3" t="s">
        <v>419</v>
      </c>
      <c r="D172" s="3" t="s">
        <v>15</v>
      </c>
      <c r="E172" s="3" t="s">
        <v>101</v>
      </c>
      <c r="F172" s="4">
        <v>46305</v>
      </c>
      <c r="G172" s="3" t="s">
        <v>50</v>
      </c>
      <c r="H172" s="6">
        <v>-79300</v>
      </c>
      <c r="I172" s="3" t="s">
        <v>18</v>
      </c>
      <c r="J172" s="3" t="s">
        <v>15</v>
      </c>
      <c r="K172" s="3" t="s">
        <v>15</v>
      </c>
      <c r="L172" s="3" t="s">
        <v>105</v>
      </c>
      <c r="M172" s="4">
        <v>46305</v>
      </c>
      <c r="N172" s="3" t="s">
        <v>420</v>
      </c>
      <c r="O172" s="3" t="s">
        <v>169</v>
      </c>
      <c r="P172" t="str">
        <f t="shared" si="2"/>
        <v>450014041480</v>
      </c>
      <c r="Q172" s="7" cm="1">
        <f t="array" ref="Q172:S172">VLOOKUP(P172,Hoja1!C:F,{2,3,4},FALSE)</f>
        <v>46308</v>
      </c>
      <c r="R172" t="str">
        <v>C27</v>
      </c>
      <c r="S172" t="str">
        <v>1000000295 BOLLINI S.A</v>
      </c>
      <c r="T172" t="str">
        <f>VLOOKUP(P172,Hoja2!C:D,2,FALSE)</f>
        <v>PRODRIGUEZ</v>
      </c>
    </row>
    <row r="173" spans="1:20" x14ac:dyDescent="0.3">
      <c r="A173" s="2" t="s">
        <v>15</v>
      </c>
      <c r="B173" s="3" t="s">
        <v>15</v>
      </c>
      <c r="C173" s="3" t="s">
        <v>421</v>
      </c>
      <c r="D173" s="3" t="s">
        <v>43</v>
      </c>
      <c r="E173" s="3" t="s">
        <v>101</v>
      </c>
      <c r="F173" s="4">
        <v>46305</v>
      </c>
      <c r="G173" s="3" t="s">
        <v>50</v>
      </c>
      <c r="H173" s="6">
        <v>-18578</v>
      </c>
      <c r="I173" s="3" t="s">
        <v>18</v>
      </c>
      <c r="J173" s="3" t="s">
        <v>15</v>
      </c>
      <c r="K173" s="3" t="s">
        <v>15</v>
      </c>
      <c r="L173" s="3" t="s">
        <v>105</v>
      </c>
      <c r="M173" s="4">
        <v>46305</v>
      </c>
      <c r="N173" s="3" t="s">
        <v>422</v>
      </c>
      <c r="O173" s="3" t="s">
        <v>22</v>
      </c>
      <c r="P173" t="str">
        <f t="shared" si="2"/>
        <v>450014064210</v>
      </c>
      <c r="Q173" s="7" cm="1">
        <f t="array" ref="Q173:S173">VLOOKUP(P173,Hoja1!C:F,{2,3,4},FALSE)</f>
        <v>46317</v>
      </c>
      <c r="R173" t="str">
        <v>C01</v>
      </c>
      <c r="S173" t="str">
        <v>1000000295 BOLLINI S.A</v>
      </c>
      <c r="T173" t="str">
        <f>VLOOKUP(P173,Hoja2!C:D,2,FALSE)</f>
        <v>AZAPANA</v>
      </c>
    </row>
    <row r="174" spans="1:20" x14ac:dyDescent="0.3">
      <c r="A174" s="2" t="s">
        <v>15</v>
      </c>
      <c r="B174" s="3" t="s">
        <v>15</v>
      </c>
      <c r="C174" s="3" t="s">
        <v>421</v>
      </c>
      <c r="D174" s="3" t="s">
        <v>43</v>
      </c>
      <c r="E174" s="3" t="s">
        <v>101</v>
      </c>
      <c r="F174" s="4">
        <v>46305</v>
      </c>
      <c r="G174" s="3" t="s">
        <v>50</v>
      </c>
      <c r="H174" s="6">
        <v>-57468</v>
      </c>
      <c r="I174" s="3" t="s">
        <v>18</v>
      </c>
      <c r="J174" s="3" t="s">
        <v>15</v>
      </c>
      <c r="K174" s="3" t="s">
        <v>15</v>
      </c>
      <c r="L174" s="3" t="s">
        <v>105</v>
      </c>
      <c r="M174" s="4">
        <v>46305</v>
      </c>
      <c r="N174" s="3" t="s">
        <v>422</v>
      </c>
      <c r="O174" s="3" t="s">
        <v>48</v>
      </c>
      <c r="P174" t="str">
        <f t="shared" si="2"/>
        <v>450014064220</v>
      </c>
      <c r="Q174" s="7" cm="1">
        <f t="array" ref="Q174:S174">VLOOKUP(P174,Hoja1!C:F,{2,3,4},FALSE)</f>
        <v>46317</v>
      </c>
      <c r="R174" t="str">
        <v>C01</v>
      </c>
      <c r="S174" t="str">
        <v>1000000295 BOLLINI S.A</v>
      </c>
      <c r="T174" t="str">
        <f>VLOOKUP(P174,Hoja2!C:D,2,FALSE)</f>
        <v>AZAPANA</v>
      </c>
    </row>
    <row r="175" spans="1:20" x14ac:dyDescent="0.3">
      <c r="A175" s="2" t="s">
        <v>15</v>
      </c>
      <c r="B175" s="3" t="s">
        <v>15</v>
      </c>
      <c r="C175" s="3" t="s">
        <v>421</v>
      </c>
      <c r="D175" s="3" t="s">
        <v>43</v>
      </c>
      <c r="E175" s="3" t="s">
        <v>101</v>
      </c>
      <c r="F175" s="4">
        <v>46305</v>
      </c>
      <c r="G175" s="3" t="s">
        <v>50</v>
      </c>
      <c r="H175" s="6">
        <v>-67936</v>
      </c>
      <c r="I175" s="3" t="s">
        <v>18</v>
      </c>
      <c r="J175" s="3" t="s">
        <v>15</v>
      </c>
      <c r="K175" s="3" t="s">
        <v>15</v>
      </c>
      <c r="L175" s="3" t="s">
        <v>105</v>
      </c>
      <c r="M175" s="4">
        <v>46305</v>
      </c>
      <c r="N175" s="3" t="s">
        <v>422</v>
      </c>
      <c r="O175" s="3" t="s">
        <v>39</v>
      </c>
      <c r="P175" t="str">
        <f t="shared" si="2"/>
        <v>450014064230</v>
      </c>
      <c r="Q175" s="7" cm="1">
        <f t="array" ref="Q175:S175">VLOOKUP(P175,Hoja1!C:F,{2,3,4},FALSE)</f>
        <v>46317</v>
      </c>
      <c r="R175" t="str">
        <v>C01</v>
      </c>
      <c r="S175" t="str">
        <v>1000000295 BOLLINI S.A</v>
      </c>
      <c r="T175" t="str">
        <f>VLOOKUP(P175,Hoja2!C:D,2,FALSE)</f>
        <v>AZAPANA</v>
      </c>
    </row>
    <row r="176" spans="1:20" x14ac:dyDescent="0.3">
      <c r="A176" s="2" t="s">
        <v>15</v>
      </c>
      <c r="B176" s="3" t="s">
        <v>15</v>
      </c>
      <c r="C176" s="3" t="s">
        <v>421</v>
      </c>
      <c r="D176" s="3" t="s">
        <v>43</v>
      </c>
      <c r="E176" s="3" t="s">
        <v>101</v>
      </c>
      <c r="F176" s="4">
        <v>46305</v>
      </c>
      <c r="G176" s="3" t="s">
        <v>50</v>
      </c>
      <c r="H176" s="6">
        <v>-19228.099999999999</v>
      </c>
      <c r="I176" s="3" t="s">
        <v>18</v>
      </c>
      <c r="J176" s="3" t="s">
        <v>15</v>
      </c>
      <c r="K176" s="3" t="s">
        <v>15</v>
      </c>
      <c r="L176" s="3" t="s">
        <v>105</v>
      </c>
      <c r="M176" s="4">
        <v>46305</v>
      </c>
      <c r="N176" s="3" t="s">
        <v>422</v>
      </c>
      <c r="O176" s="3" t="s">
        <v>32</v>
      </c>
      <c r="P176" t="str">
        <f t="shared" si="2"/>
        <v>450014064240</v>
      </c>
      <c r="Q176" s="7" cm="1">
        <f t="array" ref="Q176:S176">VLOOKUP(P176,Hoja1!C:F,{2,3,4},FALSE)</f>
        <v>46317</v>
      </c>
      <c r="R176" t="str">
        <v>C01</v>
      </c>
      <c r="S176" t="str">
        <v>1000000295 BOLLINI S.A</v>
      </c>
      <c r="T176" t="str">
        <f>VLOOKUP(P176,Hoja2!C:D,2,FALSE)</f>
        <v>AZAPANA</v>
      </c>
    </row>
    <row r="177" spans="1:20" x14ac:dyDescent="0.3">
      <c r="A177" s="2" t="s">
        <v>15</v>
      </c>
      <c r="B177" s="3" t="s">
        <v>15</v>
      </c>
      <c r="C177" s="3" t="s">
        <v>421</v>
      </c>
      <c r="D177" s="3" t="s">
        <v>43</v>
      </c>
      <c r="E177" s="3" t="s">
        <v>101</v>
      </c>
      <c r="F177" s="4">
        <v>46305</v>
      </c>
      <c r="G177" s="3" t="s">
        <v>50</v>
      </c>
      <c r="H177" s="6">
        <v>-25032.5</v>
      </c>
      <c r="I177" s="3" t="s">
        <v>18</v>
      </c>
      <c r="J177" s="3" t="s">
        <v>15</v>
      </c>
      <c r="K177" s="3" t="s">
        <v>15</v>
      </c>
      <c r="L177" s="3" t="s">
        <v>105</v>
      </c>
      <c r="M177" s="4">
        <v>46305</v>
      </c>
      <c r="N177" s="3" t="s">
        <v>422</v>
      </c>
      <c r="O177" s="3" t="s">
        <v>38</v>
      </c>
      <c r="P177" t="str">
        <f t="shared" si="2"/>
        <v>450014064250</v>
      </c>
      <c r="Q177" s="7" cm="1">
        <f t="array" ref="Q177:S177">VLOOKUP(P177,Hoja1!C:F,{2,3,4},FALSE)</f>
        <v>46317</v>
      </c>
      <c r="R177" t="str">
        <v>C01</v>
      </c>
      <c r="S177" t="str">
        <v>1000000295 BOLLINI S.A</v>
      </c>
      <c r="T177" t="str">
        <f>VLOOKUP(P177,Hoja2!C:D,2,FALSE)</f>
        <v>AZAPANA</v>
      </c>
    </row>
    <row r="178" spans="1:20" x14ac:dyDescent="0.3">
      <c r="A178" s="2" t="s">
        <v>15</v>
      </c>
      <c r="B178" s="3" t="s">
        <v>15</v>
      </c>
      <c r="C178" s="3" t="s">
        <v>421</v>
      </c>
      <c r="D178" s="3" t="s">
        <v>15</v>
      </c>
      <c r="E178" s="3" t="s">
        <v>101</v>
      </c>
      <c r="F178" s="4">
        <v>46305</v>
      </c>
      <c r="G178" s="3" t="s">
        <v>50</v>
      </c>
      <c r="H178" s="6">
        <v>-57670.720000000001</v>
      </c>
      <c r="I178" s="3" t="s">
        <v>18</v>
      </c>
      <c r="J178" s="3" t="s">
        <v>15</v>
      </c>
      <c r="K178" s="3" t="s">
        <v>15</v>
      </c>
      <c r="L178" s="3" t="s">
        <v>105</v>
      </c>
      <c r="M178" s="4">
        <v>46305</v>
      </c>
      <c r="N178" s="3" t="s">
        <v>422</v>
      </c>
      <c r="O178" s="3" t="s">
        <v>169</v>
      </c>
      <c r="P178" t="str">
        <f t="shared" si="2"/>
        <v>450014064280</v>
      </c>
      <c r="Q178" s="7" cm="1">
        <f t="array" ref="Q178:S178">VLOOKUP(P178,Hoja1!C:F,{2,3,4},FALSE)</f>
        <v>46317</v>
      </c>
      <c r="R178" t="str">
        <v>C01</v>
      </c>
      <c r="S178" t="str">
        <v>1000000295 BOLLINI S.A</v>
      </c>
      <c r="T178" t="str">
        <f>VLOOKUP(P178,Hoja2!C:D,2,FALSE)</f>
        <v>AZAPANA</v>
      </c>
    </row>
    <row r="179" spans="1:20" x14ac:dyDescent="0.3">
      <c r="A179" s="2" t="s">
        <v>15</v>
      </c>
      <c r="B179" s="3" t="s">
        <v>15</v>
      </c>
      <c r="C179" s="3" t="s">
        <v>421</v>
      </c>
      <c r="D179" s="3" t="s">
        <v>15</v>
      </c>
      <c r="E179" s="3" t="s">
        <v>101</v>
      </c>
      <c r="F179" s="4">
        <v>46305</v>
      </c>
      <c r="G179" s="3" t="s">
        <v>50</v>
      </c>
      <c r="H179" s="6">
        <v>-68060</v>
      </c>
      <c r="I179" s="3" t="s">
        <v>18</v>
      </c>
      <c r="J179" s="3" t="s">
        <v>15</v>
      </c>
      <c r="K179" s="3" t="s">
        <v>15</v>
      </c>
      <c r="L179" s="3" t="s">
        <v>105</v>
      </c>
      <c r="M179" s="4">
        <v>46305</v>
      </c>
      <c r="N179" s="3" t="s">
        <v>422</v>
      </c>
      <c r="O179" s="3" t="s">
        <v>90</v>
      </c>
      <c r="P179" t="str">
        <f t="shared" si="2"/>
        <v>450014064290</v>
      </c>
      <c r="Q179" s="7" cm="1">
        <f t="array" ref="Q179:S179">VLOOKUP(P179,Hoja1!C:F,{2,3,4},FALSE)</f>
        <v>46317</v>
      </c>
      <c r="R179" t="str">
        <v>C01</v>
      </c>
      <c r="S179" t="str">
        <v>1000000295 BOLLINI S.A</v>
      </c>
      <c r="T179" t="str">
        <f>VLOOKUP(P179,Hoja2!C:D,2,FALSE)</f>
        <v>AZAPANA</v>
      </c>
    </row>
    <row r="180" spans="1:20" x14ac:dyDescent="0.3">
      <c r="A180" s="2" t="s">
        <v>15</v>
      </c>
      <c r="B180" s="3" t="s">
        <v>15</v>
      </c>
      <c r="C180" s="3" t="s">
        <v>421</v>
      </c>
      <c r="D180" s="3" t="s">
        <v>15</v>
      </c>
      <c r="E180" s="3" t="s">
        <v>101</v>
      </c>
      <c r="F180" s="4">
        <v>46305</v>
      </c>
      <c r="G180" s="3" t="s">
        <v>50</v>
      </c>
      <c r="H180" s="6">
        <v>-9104</v>
      </c>
      <c r="I180" s="3" t="s">
        <v>18</v>
      </c>
      <c r="J180" s="3" t="s">
        <v>15</v>
      </c>
      <c r="K180" s="3" t="s">
        <v>15</v>
      </c>
      <c r="L180" s="3" t="s">
        <v>105</v>
      </c>
      <c r="M180" s="4">
        <v>46305</v>
      </c>
      <c r="N180" s="3" t="s">
        <v>422</v>
      </c>
      <c r="O180" s="3" t="s">
        <v>193</v>
      </c>
      <c r="P180" t="str">
        <f t="shared" si="2"/>
        <v>4500140642130</v>
      </c>
      <c r="Q180" s="7" cm="1">
        <f t="array" ref="Q180:S180">VLOOKUP(P180,Hoja1!C:F,{2,3,4},FALSE)</f>
        <v>46313</v>
      </c>
      <c r="R180" t="str">
        <v>C01</v>
      </c>
      <c r="S180" t="str">
        <v>1000000295 BOLLINI S.A</v>
      </c>
      <c r="T180" t="str">
        <f>VLOOKUP(P180,Hoja2!C:D,2,FALSE)</f>
        <v>AZAPANA</v>
      </c>
    </row>
    <row r="181" spans="1:20" x14ac:dyDescent="0.3">
      <c r="A181" s="2" t="s">
        <v>15</v>
      </c>
      <c r="B181" s="3" t="s">
        <v>15</v>
      </c>
      <c r="C181" s="3" t="s">
        <v>421</v>
      </c>
      <c r="D181" s="3" t="s">
        <v>15</v>
      </c>
      <c r="E181" s="3" t="s">
        <v>101</v>
      </c>
      <c r="F181" s="4">
        <v>46305</v>
      </c>
      <c r="G181" s="3" t="s">
        <v>50</v>
      </c>
      <c r="H181" s="6">
        <v>-34288</v>
      </c>
      <c r="I181" s="3" t="s">
        <v>18</v>
      </c>
      <c r="J181" s="3" t="s">
        <v>15</v>
      </c>
      <c r="K181" s="3" t="s">
        <v>15</v>
      </c>
      <c r="L181" s="3" t="s">
        <v>105</v>
      </c>
      <c r="M181" s="4">
        <v>46305</v>
      </c>
      <c r="N181" s="3" t="s">
        <v>422</v>
      </c>
      <c r="O181" s="3" t="s">
        <v>290</v>
      </c>
      <c r="P181" t="str">
        <f t="shared" si="2"/>
        <v>4500140642200</v>
      </c>
      <c r="Q181" s="7" cm="1">
        <f t="array" ref="Q181:S181">VLOOKUP(P181,Hoja1!C:F,{2,3,4},FALSE)</f>
        <v>46313</v>
      </c>
      <c r="R181" t="str">
        <v>C01</v>
      </c>
      <c r="S181" t="str">
        <v>1000000295 BOLLINI S.A</v>
      </c>
      <c r="T181" t="str">
        <f>VLOOKUP(P181,Hoja2!C:D,2,FALSE)</f>
        <v>AZAPANA</v>
      </c>
    </row>
    <row r="182" spans="1:20" x14ac:dyDescent="0.3">
      <c r="A182" s="2" t="s">
        <v>15</v>
      </c>
      <c r="B182" s="3" t="s">
        <v>15</v>
      </c>
      <c r="C182" s="3" t="s">
        <v>421</v>
      </c>
      <c r="D182" s="3" t="s">
        <v>15</v>
      </c>
      <c r="E182" s="3" t="s">
        <v>101</v>
      </c>
      <c r="F182" s="4">
        <v>46305</v>
      </c>
      <c r="G182" s="3" t="s">
        <v>50</v>
      </c>
      <c r="H182" s="6">
        <v>-104200</v>
      </c>
      <c r="I182" s="3" t="s">
        <v>18</v>
      </c>
      <c r="J182" s="3" t="s">
        <v>15</v>
      </c>
      <c r="K182" s="3" t="s">
        <v>15</v>
      </c>
      <c r="L182" s="3" t="s">
        <v>105</v>
      </c>
      <c r="M182" s="4">
        <v>46305</v>
      </c>
      <c r="N182" s="3" t="s">
        <v>422</v>
      </c>
      <c r="O182" s="3" t="s">
        <v>27</v>
      </c>
      <c r="P182" t="str">
        <f t="shared" si="2"/>
        <v>4500140642320</v>
      </c>
      <c r="Q182" s="7" cm="1">
        <f t="array" ref="Q182:S182">VLOOKUP(P182,Hoja1!C:F,{2,3,4},FALSE)</f>
        <v>46310</v>
      </c>
      <c r="R182" t="str">
        <v>C01</v>
      </c>
      <c r="S182" t="str">
        <v>1000000295 BOLLINI S.A</v>
      </c>
      <c r="T182" t="str">
        <f>VLOOKUP(P182,Hoja2!C:D,2,FALSE)</f>
        <v>AZAPANA</v>
      </c>
    </row>
    <row r="183" spans="1:20" x14ac:dyDescent="0.3">
      <c r="A183" s="2" t="s">
        <v>15</v>
      </c>
      <c r="B183" s="3" t="s">
        <v>15</v>
      </c>
      <c r="C183" s="3" t="s">
        <v>421</v>
      </c>
      <c r="D183" s="3" t="s">
        <v>15</v>
      </c>
      <c r="E183" s="3" t="s">
        <v>101</v>
      </c>
      <c r="F183" s="4">
        <v>46305</v>
      </c>
      <c r="G183" s="3" t="s">
        <v>50</v>
      </c>
      <c r="H183" s="6">
        <v>-12200</v>
      </c>
      <c r="I183" s="3" t="s">
        <v>18</v>
      </c>
      <c r="J183" s="3" t="s">
        <v>15</v>
      </c>
      <c r="K183" s="3" t="s">
        <v>15</v>
      </c>
      <c r="L183" s="3" t="s">
        <v>105</v>
      </c>
      <c r="M183" s="4">
        <v>46305</v>
      </c>
      <c r="N183" s="3" t="s">
        <v>422</v>
      </c>
      <c r="O183" s="3" t="s">
        <v>296</v>
      </c>
      <c r="P183" t="str">
        <f t="shared" si="2"/>
        <v>4500140642350</v>
      </c>
      <c r="Q183" s="7" cm="1">
        <f t="array" ref="Q183:S183">VLOOKUP(P183,Hoja1!C:F,{2,3,4},FALSE)</f>
        <v>46317</v>
      </c>
      <c r="R183" t="str">
        <v>C01</v>
      </c>
      <c r="S183" t="str">
        <v>1000000295 BOLLINI S.A</v>
      </c>
      <c r="T183" t="str">
        <f>VLOOKUP(P183,Hoja2!C:D,2,FALSE)</f>
        <v>AZAPANA</v>
      </c>
    </row>
    <row r="184" spans="1:20" x14ac:dyDescent="0.3">
      <c r="A184" s="2" t="s">
        <v>15</v>
      </c>
      <c r="B184" s="3" t="s">
        <v>15</v>
      </c>
      <c r="C184" s="3" t="s">
        <v>423</v>
      </c>
      <c r="D184" s="3" t="s">
        <v>43</v>
      </c>
      <c r="E184" s="3" t="s">
        <v>101</v>
      </c>
      <c r="F184" s="4">
        <v>46294</v>
      </c>
      <c r="G184" s="3" t="s">
        <v>50</v>
      </c>
      <c r="H184" s="6">
        <v>-115702.48</v>
      </c>
      <c r="I184" s="3" t="s">
        <v>18</v>
      </c>
      <c r="J184" s="3" t="s">
        <v>15</v>
      </c>
      <c r="K184" s="3" t="s">
        <v>15</v>
      </c>
      <c r="L184" s="3" t="s">
        <v>129</v>
      </c>
      <c r="M184" s="4">
        <v>46307</v>
      </c>
      <c r="N184" s="3" t="s">
        <v>424</v>
      </c>
      <c r="O184" s="3" t="s">
        <v>22</v>
      </c>
      <c r="P184" t="str">
        <f t="shared" si="2"/>
        <v>450013973610</v>
      </c>
      <c r="Q184" s="7" cm="1">
        <f t="array" ref="Q184:S184">VLOOKUP(P184,Hoja1!C:F,{2,3,4},FALSE)</f>
        <v>46314</v>
      </c>
      <c r="R184" t="str">
        <v>C01</v>
      </c>
      <c r="S184" t="str">
        <v>1000008707 PLANTA REVESA SRL</v>
      </c>
      <c r="T184" t="str">
        <f>VLOOKUP(P184,Hoja2!C:D,2,FALSE)</f>
        <v>AZAPANA</v>
      </c>
    </row>
    <row r="185" spans="1:20" x14ac:dyDescent="0.3">
      <c r="A185" s="2" t="s">
        <v>15</v>
      </c>
      <c r="B185" s="3" t="s">
        <v>15</v>
      </c>
      <c r="C185" s="3" t="s">
        <v>425</v>
      </c>
      <c r="D185" s="3" t="s">
        <v>43</v>
      </c>
      <c r="E185" s="3" t="s">
        <v>101</v>
      </c>
      <c r="F185" s="4">
        <v>46297</v>
      </c>
      <c r="G185" s="3" t="s">
        <v>50</v>
      </c>
      <c r="H185" s="6">
        <v>-115702.48</v>
      </c>
      <c r="I185" s="3" t="s">
        <v>18</v>
      </c>
      <c r="J185" s="3" t="s">
        <v>15</v>
      </c>
      <c r="K185" s="3" t="s">
        <v>15</v>
      </c>
      <c r="L185" s="3" t="s">
        <v>129</v>
      </c>
      <c r="M185" s="4">
        <v>46307</v>
      </c>
      <c r="N185" s="3" t="s">
        <v>424</v>
      </c>
      <c r="O185" s="3" t="s">
        <v>22</v>
      </c>
      <c r="P185" t="str">
        <f t="shared" si="2"/>
        <v>450013973610</v>
      </c>
      <c r="Q185" s="7" cm="1">
        <f t="array" ref="Q185:S185">VLOOKUP(P185,Hoja1!C:F,{2,3,4},FALSE)</f>
        <v>46314</v>
      </c>
      <c r="R185" t="str">
        <v>C01</v>
      </c>
      <c r="S185" t="str">
        <v>1000008707 PLANTA REVESA SRL</v>
      </c>
      <c r="T185" t="str">
        <f>VLOOKUP(P185,Hoja2!C:D,2,FALSE)</f>
        <v>AZAPANA</v>
      </c>
    </row>
    <row r="186" spans="1:20" x14ac:dyDescent="0.3">
      <c r="A186" s="2" t="s">
        <v>15</v>
      </c>
      <c r="B186" s="3" t="s">
        <v>15</v>
      </c>
      <c r="C186" s="3" t="s">
        <v>426</v>
      </c>
      <c r="D186" s="3" t="s">
        <v>43</v>
      </c>
      <c r="E186" s="3" t="s">
        <v>101</v>
      </c>
      <c r="F186" s="4">
        <v>46308</v>
      </c>
      <c r="G186" s="3" t="s">
        <v>50</v>
      </c>
      <c r="H186" s="6">
        <v>-1792527.87</v>
      </c>
      <c r="I186" s="3" t="s">
        <v>18</v>
      </c>
      <c r="J186" s="3" t="s">
        <v>15</v>
      </c>
      <c r="K186" s="3" t="s">
        <v>15</v>
      </c>
      <c r="L186" s="3" t="s">
        <v>427</v>
      </c>
      <c r="M186" s="4">
        <v>46308</v>
      </c>
      <c r="N186" s="3" t="s">
        <v>428</v>
      </c>
      <c r="O186" s="3" t="s">
        <v>22</v>
      </c>
      <c r="P186" t="str">
        <f t="shared" si="2"/>
        <v>450012767310</v>
      </c>
      <c r="Q186" s="7" cm="1">
        <f t="array" ref="Q186:S186">VLOOKUP(P186,Hoja1!C:F,{2,3,4},FALSE)</f>
        <v>46329</v>
      </c>
      <c r="R186" t="str">
        <v>C25</v>
      </c>
      <c r="S186" t="str">
        <v>1000012200 SORAIRE GUILLERMO FEDERICO</v>
      </c>
      <c r="T186" t="str">
        <f>VLOOKUP(P186,Hoja2!C:D,2,FALSE)</f>
        <v>MPITTIA</v>
      </c>
    </row>
    <row r="187" spans="1:20" x14ac:dyDescent="0.3">
      <c r="A187" s="2" t="s">
        <v>15</v>
      </c>
      <c r="B187" s="3" t="s">
        <v>15</v>
      </c>
      <c r="C187" s="3" t="s">
        <v>437</v>
      </c>
      <c r="D187" s="3" t="s">
        <v>15</v>
      </c>
      <c r="E187" s="3" t="s">
        <v>101</v>
      </c>
      <c r="F187" s="4">
        <v>46309</v>
      </c>
      <c r="G187" s="3" t="s">
        <v>50</v>
      </c>
      <c r="H187" s="6">
        <v>-58540.56</v>
      </c>
      <c r="I187" s="3" t="s">
        <v>18</v>
      </c>
      <c r="J187" s="3" t="s">
        <v>15</v>
      </c>
      <c r="K187" s="3" t="s">
        <v>15</v>
      </c>
      <c r="L187" s="3" t="s">
        <v>64</v>
      </c>
      <c r="M187" s="4">
        <v>46309</v>
      </c>
      <c r="N187" s="3" t="s">
        <v>438</v>
      </c>
      <c r="O187" s="3" t="s">
        <v>22</v>
      </c>
      <c r="P187" t="str">
        <f t="shared" si="2"/>
        <v>450014068810</v>
      </c>
      <c r="Q187" s="7" cm="1">
        <f t="array" ref="Q187:S187">VLOOKUP(P187,Hoja1!C:F,{2,3,4},FALSE)</f>
        <v>46325</v>
      </c>
      <c r="R187" t="str">
        <v>F04</v>
      </c>
      <c r="S187" t="str">
        <v>1000000907 SERVICIOS VIALES DE STA. FE SA</v>
      </c>
      <c r="T187" t="str">
        <f>VLOOKUP(P187,Hoja2!C:D,2,FALSE)</f>
        <v>RPEREZ</v>
      </c>
    </row>
    <row r="188" spans="1:20" x14ac:dyDescent="0.3">
      <c r="A188" s="2" t="s">
        <v>15</v>
      </c>
      <c r="B188" s="3" t="s">
        <v>15</v>
      </c>
      <c r="C188" s="3" t="s">
        <v>437</v>
      </c>
      <c r="D188" s="3" t="s">
        <v>15</v>
      </c>
      <c r="E188" s="3" t="s">
        <v>101</v>
      </c>
      <c r="F188" s="4">
        <v>46309</v>
      </c>
      <c r="G188" s="3" t="s">
        <v>50</v>
      </c>
      <c r="H188" s="6">
        <v>-53639.56</v>
      </c>
      <c r="I188" s="3" t="s">
        <v>18</v>
      </c>
      <c r="J188" s="3" t="s">
        <v>15</v>
      </c>
      <c r="K188" s="3" t="s">
        <v>15</v>
      </c>
      <c r="L188" s="3" t="s">
        <v>64</v>
      </c>
      <c r="M188" s="4">
        <v>46309</v>
      </c>
      <c r="N188" s="3" t="s">
        <v>438</v>
      </c>
      <c r="O188" s="3" t="s">
        <v>48</v>
      </c>
      <c r="P188" t="str">
        <f t="shared" si="2"/>
        <v>450014068820</v>
      </c>
      <c r="Q188" s="7" cm="1">
        <f t="array" ref="Q188:S188">VLOOKUP(P188,Hoja1!C:F,{2,3,4},FALSE)</f>
        <v>46325</v>
      </c>
      <c r="R188" t="str">
        <v>F04</v>
      </c>
      <c r="S188" t="str">
        <v>1000000907 SERVICIOS VIALES DE STA. FE SA</v>
      </c>
      <c r="T188" t="str">
        <f>VLOOKUP(P188,Hoja2!C:D,2,FALSE)</f>
        <v>RPEREZ</v>
      </c>
    </row>
    <row r="189" spans="1:20" x14ac:dyDescent="0.3">
      <c r="A189" s="2" t="s">
        <v>15</v>
      </c>
      <c r="B189" s="3" t="s">
        <v>15</v>
      </c>
      <c r="C189" s="3" t="s">
        <v>437</v>
      </c>
      <c r="D189" s="3" t="s">
        <v>15</v>
      </c>
      <c r="E189" s="3" t="s">
        <v>101</v>
      </c>
      <c r="F189" s="4">
        <v>46309</v>
      </c>
      <c r="G189" s="3" t="s">
        <v>50</v>
      </c>
      <c r="H189" s="6">
        <v>-40112.800000000003</v>
      </c>
      <c r="I189" s="3" t="s">
        <v>18</v>
      </c>
      <c r="J189" s="3" t="s">
        <v>15</v>
      </c>
      <c r="K189" s="3" t="s">
        <v>15</v>
      </c>
      <c r="L189" s="3" t="s">
        <v>64</v>
      </c>
      <c r="M189" s="4">
        <v>46309</v>
      </c>
      <c r="N189" s="3" t="s">
        <v>438</v>
      </c>
      <c r="O189" s="3" t="s">
        <v>32</v>
      </c>
      <c r="P189" t="str">
        <f t="shared" si="2"/>
        <v>450014068840</v>
      </c>
      <c r="Q189" s="7" cm="1">
        <f t="array" ref="Q189:S189">VLOOKUP(P189,Hoja1!C:F,{2,3,4},FALSE)</f>
        <v>46325</v>
      </c>
      <c r="R189" t="str">
        <v>F04</v>
      </c>
      <c r="S189" t="str">
        <v>1000000907 SERVICIOS VIALES DE STA. FE SA</v>
      </c>
      <c r="T189" t="str">
        <f>VLOOKUP(P189,Hoja2!C:D,2,FALSE)</f>
        <v>RPEREZ</v>
      </c>
    </row>
    <row r="190" spans="1:20" x14ac:dyDescent="0.3">
      <c r="A190" s="2" t="s">
        <v>15</v>
      </c>
      <c r="B190" s="3" t="s">
        <v>15</v>
      </c>
      <c r="C190" s="3" t="s">
        <v>440</v>
      </c>
      <c r="D190" s="3" t="s">
        <v>15</v>
      </c>
      <c r="E190" s="3" t="s">
        <v>101</v>
      </c>
      <c r="F190" s="4">
        <v>46309</v>
      </c>
      <c r="G190" s="3" t="s">
        <v>50</v>
      </c>
      <c r="H190" s="6">
        <v>-16525.599999999999</v>
      </c>
      <c r="I190" s="3" t="s">
        <v>18</v>
      </c>
      <c r="J190" s="3" t="s">
        <v>15</v>
      </c>
      <c r="K190" s="3" t="s">
        <v>15</v>
      </c>
      <c r="L190" s="3" t="s">
        <v>75</v>
      </c>
      <c r="M190" s="4">
        <v>46309</v>
      </c>
      <c r="N190" s="3" t="s">
        <v>441</v>
      </c>
      <c r="O190" s="3" t="s">
        <v>48</v>
      </c>
      <c r="P190" t="str">
        <f t="shared" si="2"/>
        <v>450014064820</v>
      </c>
      <c r="Q190" s="7" cm="1">
        <f t="array" ref="Q190:S190">VLOOKUP(P190,Hoja1!C:F,{2,3,4},FALSE)</f>
        <v>46317</v>
      </c>
      <c r="R190" t="str">
        <v>C01</v>
      </c>
      <c r="S190" t="str">
        <v>1000012333 GO CLEAN S.A.S.</v>
      </c>
      <c r="T190" t="str">
        <f>VLOOKUP(P190,Hoja2!C:D,2,FALSE)</f>
        <v>AZAPANA</v>
      </c>
    </row>
    <row r="191" spans="1:20" x14ac:dyDescent="0.3">
      <c r="A191" s="2" t="s">
        <v>15</v>
      </c>
      <c r="B191" s="3" t="s">
        <v>15</v>
      </c>
      <c r="C191" s="3" t="s">
        <v>442</v>
      </c>
      <c r="D191" s="3" t="s">
        <v>15</v>
      </c>
      <c r="E191" s="3" t="s">
        <v>101</v>
      </c>
      <c r="F191" s="4">
        <v>46309</v>
      </c>
      <c r="G191" s="3" t="s">
        <v>50</v>
      </c>
      <c r="H191" s="6">
        <v>-20130.2</v>
      </c>
      <c r="I191" s="3" t="s">
        <v>18</v>
      </c>
      <c r="J191" s="3" t="s">
        <v>15</v>
      </c>
      <c r="K191" s="3" t="s">
        <v>15</v>
      </c>
      <c r="L191" s="3" t="s">
        <v>165</v>
      </c>
      <c r="M191" s="4">
        <v>46309</v>
      </c>
      <c r="N191" s="3" t="s">
        <v>443</v>
      </c>
      <c r="O191" s="3" t="s">
        <v>22</v>
      </c>
      <c r="P191" t="str">
        <f t="shared" si="2"/>
        <v>450014064710</v>
      </c>
      <c r="Q191" s="7" cm="1">
        <f t="array" ref="Q191:S191">VLOOKUP(P191,Hoja1!C:F,{2,3,4},FALSE)</f>
        <v>46317</v>
      </c>
      <c r="R191" t="str">
        <v>C01</v>
      </c>
      <c r="S191" t="str">
        <v>1000007766 HERSAPEL SOCIEDAD DE RESPONSABILIDA</v>
      </c>
      <c r="T191" t="str">
        <f>VLOOKUP(P191,Hoja2!C:D,2,FALSE)</f>
        <v>AZAPANA</v>
      </c>
    </row>
    <row r="192" spans="1:20" x14ac:dyDescent="0.3">
      <c r="A192" s="2" t="s">
        <v>15</v>
      </c>
      <c r="B192" s="3" t="s">
        <v>15</v>
      </c>
      <c r="C192" s="3" t="s">
        <v>442</v>
      </c>
      <c r="D192" s="3" t="s">
        <v>15</v>
      </c>
      <c r="E192" s="3" t="s">
        <v>101</v>
      </c>
      <c r="F192" s="4">
        <v>46309</v>
      </c>
      <c r="G192" s="3" t="s">
        <v>50</v>
      </c>
      <c r="H192" s="6">
        <v>-9752.06</v>
      </c>
      <c r="I192" s="3" t="s">
        <v>18</v>
      </c>
      <c r="J192" s="3" t="s">
        <v>15</v>
      </c>
      <c r="K192" s="3" t="s">
        <v>15</v>
      </c>
      <c r="L192" s="3" t="s">
        <v>165</v>
      </c>
      <c r="M192" s="4">
        <v>46309</v>
      </c>
      <c r="N192" s="3" t="s">
        <v>443</v>
      </c>
      <c r="O192" s="3" t="s">
        <v>32</v>
      </c>
      <c r="P192" t="str">
        <f t="shared" si="2"/>
        <v>450014064740</v>
      </c>
      <c r="Q192" s="7" cm="1">
        <f t="array" ref="Q192:S192">VLOOKUP(P192,Hoja1!C:F,{2,3,4},FALSE)</f>
        <v>46317</v>
      </c>
      <c r="R192" t="str">
        <v>C01</v>
      </c>
      <c r="S192" t="str">
        <v>1000007766 HERSAPEL SOCIEDAD DE RESPONSABILIDA</v>
      </c>
      <c r="T192" t="str">
        <f>VLOOKUP(P192,Hoja2!C:D,2,FALSE)</f>
        <v>AZAPANA</v>
      </c>
    </row>
    <row r="193" spans="1:20" x14ac:dyDescent="0.3">
      <c r="A193" s="2" t="s">
        <v>15</v>
      </c>
      <c r="B193" s="3" t="s">
        <v>15</v>
      </c>
      <c r="C193" s="3" t="s">
        <v>444</v>
      </c>
      <c r="D193" s="3" t="s">
        <v>15</v>
      </c>
      <c r="E193" s="3" t="s">
        <v>101</v>
      </c>
      <c r="F193" s="4">
        <v>46308</v>
      </c>
      <c r="G193" s="3" t="s">
        <v>50</v>
      </c>
      <c r="H193" s="6">
        <v>-652566.12</v>
      </c>
      <c r="I193" s="3" t="s">
        <v>18</v>
      </c>
      <c r="J193" s="3" t="s">
        <v>15</v>
      </c>
      <c r="K193" s="3" t="s">
        <v>15</v>
      </c>
      <c r="L193" s="3" t="s">
        <v>95</v>
      </c>
      <c r="M193" s="4">
        <v>46309</v>
      </c>
      <c r="N193" s="3" t="s">
        <v>445</v>
      </c>
      <c r="O193" s="3" t="s">
        <v>193</v>
      </c>
      <c r="P193" t="str">
        <f t="shared" si="2"/>
        <v>4500140742130</v>
      </c>
      <c r="Q193" s="7" cm="1">
        <f t="array" ref="Q193:S193">VLOOKUP(P193,Hoja1!C:F,{2,3,4},FALSE)</f>
        <v>46310</v>
      </c>
      <c r="R193" t="str">
        <v>C01</v>
      </c>
      <c r="S193" t="str">
        <v>1000012974 BLEXA S. A.</v>
      </c>
      <c r="T193" t="str">
        <f>VLOOKUP(P193,Hoja2!C:D,2,FALSE)</f>
        <v>AZAPANA</v>
      </c>
    </row>
    <row r="194" spans="1:20" x14ac:dyDescent="0.3">
      <c r="A194" s="2" t="s">
        <v>15</v>
      </c>
      <c r="B194" s="3" t="s">
        <v>15</v>
      </c>
      <c r="C194" s="3" t="s">
        <v>444</v>
      </c>
      <c r="D194" s="3" t="s">
        <v>43</v>
      </c>
      <c r="E194" s="3" t="s">
        <v>101</v>
      </c>
      <c r="F194" s="4">
        <v>46308</v>
      </c>
      <c r="G194" s="3" t="s">
        <v>50</v>
      </c>
      <c r="H194" s="6">
        <v>-46175.199999999997</v>
      </c>
      <c r="I194" s="3" t="s">
        <v>18</v>
      </c>
      <c r="J194" s="3" t="s">
        <v>15</v>
      </c>
      <c r="K194" s="3" t="s">
        <v>15</v>
      </c>
      <c r="L194" s="3" t="s">
        <v>95</v>
      </c>
      <c r="M194" s="4">
        <v>46309</v>
      </c>
      <c r="N194" s="3" t="s">
        <v>445</v>
      </c>
      <c r="O194" s="3" t="s">
        <v>194</v>
      </c>
      <c r="P194" t="str">
        <f t="shared" si="2"/>
        <v>4500140742140</v>
      </c>
      <c r="Q194" s="7" cm="1">
        <f t="array" ref="Q194:S194">VLOOKUP(P194,Hoja1!C:F,{2,3,4},FALSE)</f>
        <v>46310</v>
      </c>
      <c r="R194" t="str">
        <v>C01</v>
      </c>
      <c r="S194" t="str">
        <v>1000012974 BLEXA S. A.</v>
      </c>
      <c r="T194" t="str">
        <f>VLOOKUP(P194,Hoja2!C:D,2,FALSE)</f>
        <v>AZAPANA</v>
      </c>
    </row>
    <row r="195" spans="1:20" x14ac:dyDescent="0.3">
      <c r="A195" s="2" t="s">
        <v>15</v>
      </c>
      <c r="B195" s="3" t="s">
        <v>15</v>
      </c>
      <c r="C195" s="3" t="s">
        <v>446</v>
      </c>
      <c r="D195" s="3" t="s">
        <v>15</v>
      </c>
      <c r="E195" s="3" t="s">
        <v>101</v>
      </c>
      <c r="F195" s="4">
        <v>46309</v>
      </c>
      <c r="G195" s="3" t="s">
        <v>50</v>
      </c>
      <c r="H195" s="6">
        <v>-5509.8</v>
      </c>
      <c r="I195" s="3" t="s">
        <v>18</v>
      </c>
      <c r="J195" s="3" t="s">
        <v>15</v>
      </c>
      <c r="K195" s="3" t="s">
        <v>15</v>
      </c>
      <c r="L195" s="3" t="s">
        <v>447</v>
      </c>
      <c r="M195" s="4">
        <v>46309</v>
      </c>
      <c r="N195" s="3" t="s">
        <v>448</v>
      </c>
      <c r="O195" s="3" t="s">
        <v>22</v>
      </c>
      <c r="P195" t="str">
        <f t="shared" ref="P195:P215" si="3">_xlfn.CONCAT(N195:O195)</f>
        <v>450014037210</v>
      </c>
      <c r="Q195" s="7" cm="1">
        <f t="array" ref="Q195:S195">VLOOKUP(P195,Hoja1!C:F,{2,3,4},FALSE)</f>
        <v>46314</v>
      </c>
      <c r="R195" t="str">
        <v>C22</v>
      </c>
      <c r="S195" t="str">
        <v>1000007461 DISTRIBUIDORA MAESTRO SRL</v>
      </c>
      <c r="T195" t="str">
        <f>VLOOKUP(P195,Hoja2!C:D,2,FALSE)</f>
        <v>LHANCEVICH</v>
      </c>
    </row>
    <row r="196" spans="1:20" x14ac:dyDescent="0.3">
      <c r="A196" s="2" t="s">
        <v>15</v>
      </c>
      <c r="B196" s="3" t="s">
        <v>15</v>
      </c>
      <c r="C196" s="3" t="s">
        <v>446</v>
      </c>
      <c r="D196" s="3" t="s">
        <v>15</v>
      </c>
      <c r="E196" s="3" t="s">
        <v>101</v>
      </c>
      <c r="F196" s="4">
        <v>46309</v>
      </c>
      <c r="G196" s="3" t="s">
        <v>50</v>
      </c>
      <c r="H196" s="6">
        <v>-143254.79999999999</v>
      </c>
      <c r="I196" s="3" t="s">
        <v>18</v>
      </c>
      <c r="J196" s="3" t="s">
        <v>15</v>
      </c>
      <c r="K196" s="3" t="s">
        <v>15</v>
      </c>
      <c r="L196" s="3" t="s">
        <v>447</v>
      </c>
      <c r="M196" s="4">
        <v>46309</v>
      </c>
      <c r="N196" s="3" t="s">
        <v>448</v>
      </c>
      <c r="O196" s="3" t="s">
        <v>48</v>
      </c>
      <c r="P196" t="str">
        <f t="shared" si="3"/>
        <v>450014037220</v>
      </c>
      <c r="Q196" s="7" cm="1">
        <f t="array" ref="Q196:S196">VLOOKUP(P196,Hoja1!C:F,{2,3,4},FALSE)</f>
        <v>46314</v>
      </c>
      <c r="R196" t="str">
        <v>C22</v>
      </c>
      <c r="S196" t="str">
        <v>1000007461 DISTRIBUIDORA MAESTRO SRL</v>
      </c>
      <c r="T196" t="str">
        <f>VLOOKUP(P196,Hoja2!C:D,2,FALSE)</f>
        <v>LHANCEVICH</v>
      </c>
    </row>
    <row r="197" spans="1:20" x14ac:dyDescent="0.3">
      <c r="A197" s="2" t="s">
        <v>15</v>
      </c>
      <c r="B197" s="3" t="s">
        <v>15</v>
      </c>
      <c r="C197" s="3" t="s">
        <v>451</v>
      </c>
      <c r="D197" s="3" t="s">
        <v>43</v>
      </c>
      <c r="E197" s="3" t="s">
        <v>101</v>
      </c>
      <c r="F197" s="4">
        <v>46309</v>
      </c>
      <c r="G197" s="3" t="s">
        <v>50</v>
      </c>
      <c r="H197" s="6">
        <v>-411397.48</v>
      </c>
      <c r="I197" s="3" t="s">
        <v>18</v>
      </c>
      <c r="J197" s="3" t="s">
        <v>15</v>
      </c>
      <c r="K197" s="3" t="s">
        <v>15</v>
      </c>
      <c r="L197" s="3" t="s">
        <v>452</v>
      </c>
      <c r="M197" s="4">
        <v>46309</v>
      </c>
      <c r="N197" s="3" t="s">
        <v>453</v>
      </c>
      <c r="O197" s="3" t="s">
        <v>22</v>
      </c>
      <c r="P197" t="str">
        <f t="shared" si="3"/>
        <v>450014079410</v>
      </c>
      <c r="Q197" s="7" cm="1">
        <f t="array" ref="Q197:S197">VLOOKUP(P197,Hoja1!C:F,{2,3,4},FALSE)</f>
        <v>46322</v>
      </c>
      <c r="R197" t="str">
        <v>C01</v>
      </c>
      <c r="S197" t="str">
        <v>1000008360 GOMEZ ROCO Y CIA S R L</v>
      </c>
      <c r="T197" t="str">
        <f>VLOOKUP(P197,Hoja2!C:D,2,FALSE)</f>
        <v>AZAPANA</v>
      </c>
    </row>
    <row r="198" spans="1:20" x14ac:dyDescent="0.3">
      <c r="A198" s="2" t="s">
        <v>15</v>
      </c>
      <c r="B198" s="3" t="s">
        <v>15</v>
      </c>
      <c r="C198" s="3" t="s">
        <v>451</v>
      </c>
      <c r="D198" s="3" t="s">
        <v>43</v>
      </c>
      <c r="E198" s="3" t="s">
        <v>101</v>
      </c>
      <c r="F198" s="4">
        <v>46309</v>
      </c>
      <c r="G198" s="3" t="s">
        <v>50</v>
      </c>
      <c r="H198" s="6">
        <v>-14763.32</v>
      </c>
      <c r="I198" s="3" t="s">
        <v>18</v>
      </c>
      <c r="J198" s="3" t="s">
        <v>15</v>
      </c>
      <c r="K198" s="3" t="s">
        <v>15</v>
      </c>
      <c r="L198" s="3" t="s">
        <v>452</v>
      </c>
      <c r="M198" s="4">
        <v>46309</v>
      </c>
      <c r="N198" s="3" t="s">
        <v>453</v>
      </c>
      <c r="O198" s="3" t="s">
        <v>48</v>
      </c>
      <c r="P198" t="str">
        <f t="shared" si="3"/>
        <v>450014079420</v>
      </c>
      <c r="Q198" s="7" cm="1">
        <f t="array" ref="Q198:S198">VLOOKUP(P198,Hoja1!C:F,{2,3,4},FALSE)</f>
        <v>46322</v>
      </c>
      <c r="R198" t="str">
        <v>C01</v>
      </c>
      <c r="S198" t="str">
        <v>1000008360 GOMEZ ROCO Y CIA S R L</v>
      </c>
      <c r="T198" t="str">
        <f>VLOOKUP(P198,Hoja2!C:D,2,FALSE)</f>
        <v>AZAPANA</v>
      </c>
    </row>
    <row r="199" spans="1:20" x14ac:dyDescent="0.3">
      <c r="A199" s="2" t="s">
        <v>15</v>
      </c>
      <c r="B199" s="3" t="s">
        <v>15</v>
      </c>
      <c r="C199" s="3" t="s">
        <v>454</v>
      </c>
      <c r="D199" s="3" t="s">
        <v>43</v>
      </c>
      <c r="E199" s="3" t="s">
        <v>101</v>
      </c>
      <c r="F199" s="4">
        <v>46309</v>
      </c>
      <c r="G199" s="3" t="s">
        <v>50</v>
      </c>
      <c r="H199" s="6">
        <v>-118500</v>
      </c>
      <c r="I199" s="3" t="s">
        <v>18</v>
      </c>
      <c r="J199" s="3" t="s">
        <v>15</v>
      </c>
      <c r="K199" s="3" t="s">
        <v>15</v>
      </c>
      <c r="L199" s="3" t="s">
        <v>109</v>
      </c>
      <c r="M199" s="4">
        <v>46309</v>
      </c>
      <c r="N199" s="3" t="s">
        <v>455</v>
      </c>
      <c r="O199" s="3" t="s">
        <v>22</v>
      </c>
      <c r="P199" t="str">
        <f t="shared" si="3"/>
        <v>450013920110</v>
      </c>
      <c r="Q199" s="7" cm="1">
        <f t="array" ref="Q199:S199">VLOOKUP(P199,Hoja1!C:F,{2,3,4},FALSE)</f>
        <v>46302</v>
      </c>
      <c r="R199" t="str">
        <v>C28</v>
      </c>
      <c r="S199" t="str">
        <v>1000010642 SALAS S.R.L</v>
      </c>
      <c r="T199" t="str">
        <f>VLOOKUP(P199,Hoja2!C:D,2,FALSE)</f>
        <v>GJULIANI</v>
      </c>
    </row>
    <row r="200" spans="1:20" x14ac:dyDescent="0.3">
      <c r="A200" s="2" t="s">
        <v>15</v>
      </c>
      <c r="B200" s="3" t="s">
        <v>15</v>
      </c>
      <c r="C200" s="3" t="s">
        <v>454</v>
      </c>
      <c r="D200" s="3" t="s">
        <v>43</v>
      </c>
      <c r="E200" s="3" t="s">
        <v>101</v>
      </c>
      <c r="F200" s="4">
        <v>46309</v>
      </c>
      <c r="G200" s="3" t="s">
        <v>50</v>
      </c>
      <c r="H200" s="6">
        <v>-100495.86</v>
      </c>
      <c r="I200" s="3" t="s">
        <v>18</v>
      </c>
      <c r="J200" s="3" t="s">
        <v>15</v>
      </c>
      <c r="K200" s="3" t="s">
        <v>15</v>
      </c>
      <c r="L200" s="3" t="s">
        <v>109</v>
      </c>
      <c r="M200" s="4">
        <v>46309</v>
      </c>
      <c r="N200" s="3" t="s">
        <v>455</v>
      </c>
      <c r="O200" s="3" t="s">
        <v>48</v>
      </c>
      <c r="P200" t="str">
        <f t="shared" si="3"/>
        <v>450013920120</v>
      </c>
      <c r="Q200" s="7" cm="1">
        <f t="array" ref="Q200:S200">VLOOKUP(P200,Hoja1!C:F,{2,3,4},FALSE)</f>
        <v>46302</v>
      </c>
      <c r="R200" t="str">
        <v>C28</v>
      </c>
      <c r="S200" t="str">
        <v>1000010642 SALAS S.R.L</v>
      </c>
      <c r="T200" t="str">
        <f>VLOOKUP(P200,Hoja2!C:D,2,FALSE)</f>
        <v>GJULIANI</v>
      </c>
    </row>
    <row r="201" spans="1:20" x14ac:dyDescent="0.3">
      <c r="A201" s="2" t="s">
        <v>15</v>
      </c>
      <c r="B201" s="3" t="s">
        <v>15</v>
      </c>
      <c r="C201" s="3" t="s">
        <v>464</v>
      </c>
      <c r="D201" s="3" t="s">
        <v>15</v>
      </c>
      <c r="E201" s="3" t="s">
        <v>101</v>
      </c>
      <c r="F201" s="4">
        <v>46310</v>
      </c>
      <c r="G201" s="3" t="s">
        <v>50</v>
      </c>
      <c r="H201" s="6">
        <v>-95000</v>
      </c>
      <c r="I201" s="3" t="s">
        <v>18</v>
      </c>
      <c r="J201" s="3" t="s">
        <v>15</v>
      </c>
      <c r="K201" s="3" t="s">
        <v>15</v>
      </c>
      <c r="L201" s="3" t="s">
        <v>465</v>
      </c>
      <c r="M201" s="4">
        <v>46310</v>
      </c>
      <c r="N201" s="3" t="s">
        <v>466</v>
      </c>
      <c r="O201" s="3" t="s">
        <v>22</v>
      </c>
      <c r="P201" t="str">
        <f t="shared" si="3"/>
        <v>450014100510</v>
      </c>
      <c r="Q201" s="7" cm="1">
        <f t="array" ref="Q201:S201">VLOOKUP(P201,Hoja1!C:F,{2,3,4},FALSE)</f>
        <v>46310</v>
      </c>
      <c r="R201" t="str">
        <v>C01</v>
      </c>
      <c r="S201" t="str">
        <v>1000012663 COPA JORGE ALEJANDRO</v>
      </c>
      <c r="T201" t="str">
        <f>VLOOKUP(P201,Hoja2!C:D,2,FALSE)</f>
        <v>AZAPANA</v>
      </c>
    </row>
    <row r="202" spans="1:20" x14ac:dyDescent="0.3">
      <c r="A202" s="2" t="s">
        <v>15</v>
      </c>
      <c r="B202" s="3" t="s">
        <v>15</v>
      </c>
      <c r="C202" s="3" t="s">
        <v>467</v>
      </c>
      <c r="D202" s="3" t="s">
        <v>15</v>
      </c>
      <c r="E202" s="3" t="s">
        <v>101</v>
      </c>
      <c r="F202" s="4">
        <v>46311</v>
      </c>
      <c r="G202" s="3" t="s">
        <v>50</v>
      </c>
      <c r="H202" s="6">
        <v>-45549.8</v>
      </c>
      <c r="I202" s="3" t="s">
        <v>18</v>
      </c>
      <c r="J202" s="3" t="s">
        <v>15</v>
      </c>
      <c r="K202" s="3" t="s">
        <v>15</v>
      </c>
      <c r="L202" s="3" t="s">
        <v>105</v>
      </c>
      <c r="M202" s="4">
        <v>46311</v>
      </c>
      <c r="N202" s="3" t="s">
        <v>468</v>
      </c>
      <c r="O202" s="3" t="s">
        <v>89</v>
      </c>
      <c r="P202" t="str">
        <f t="shared" si="3"/>
        <v>4500141053100</v>
      </c>
      <c r="Q202" s="7" cm="1">
        <f t="array" ref="Q202:S202">VLOOKUP(P202,Hoja1!C:F,{2,3,4},FALSE)</f>
        <v>46317</v>
      </c>
      <c r="R202" t="str">
        <v>C01</v>
      </c>
      <c r="S202" t="str">
        <v>1000000295 BOLLINI S.A</v>
      </c>
      <c r="T202" t="str">
        <f>VLOOKUP(P202,Hoja2!C:D,2,FALSE)</f>
        <v>AZAPANA</v>
      </c>
    </row>
    <row r="203" spans="1:20" x14ac:dyDescent="0.3">
      <c r="A203" s="2" t="s">
        <v>15</v>
      </c>
      <c r="B203" s="3" t="s">
        <v>15</v>
      </c>
      <c r="C203" s="3" t="s">
        <v>469</v>
      </c>
      <c r="D203" s="3" t="s">
        <v>43</v>
      </c>
      <c r="E203" s="3" t="s">
        <v>101</v>
      </c>
      <c r="F203" s="4">
        <v>46312</v>
      </c>
      <c r="G203" s="3" t="s">
        <v>50</v>
      </c>
      <c r="H203" s="6">
        <v>-792000</v>
      </c>
      <c r="I203" s="3" t="s">
        <v>18</v>
      </c>
      <c r="J203" s="3" t="s">
        <v>15</v>
      </c>
      <c r="K203" s="3" t="s">
        <v>15</v>
      </c>
      <c r="L203" s="3" t="s">
        <v>427</v>
      </c>
      <c r="M203" s="4">
        <v>46312</v>
      </c>
      <c r="N203" s="3" t="s">
        <v>470</v>
      </c>
      <c r="O203" s="3" t="s">
        <v>22</v>
      </c>
      <c r="P203" t="str">
        <f t="shared" si="3"/>
        <v>450014079210</v>
      </c>
      <c r="Q203" s="7" cm="1">
        <f t="array" ref="Q203:S203">VLOOKUP(P203,Hoja1!C:F,{2,3,4},FALSE)</f>
        <v>46316</v>
      </c>
      <c r="R203" t="str">
        <v>C25</v>
      </c>
      <c r="S203" t="str">
        <v>1000012200 SORAIRE GUILLERMO FEDERICO</v>
      </c>
      <c r="T203" t="str">
        <f>VLOOKUP(P203,Hoja2!C:D,2,FALSE)</f>
        <v>LHANCEVICH</v>
      </c>
    </row>
    <row r="204" spans="1:20" x14ac:dyDescent="0.3">
      <c r="A204" s="2" t="s">
        <v>15</v>
      </c>
      <c r="B204" s="3" t="s">
        <v>15</v>
      </c>
      <c r="C204" s="3" t="s">
        <v>471</v>
      </c>
      <c r="D204" s="3" t="s">
        <v>15</v>
      </c>
      <c r="E204" s="3" t="s">
        <v>101</v>
      </c>
      <c r="F204" s="4">
        <v>46311</v>
      </c>
      <c r="G204" s="3" t="s">
        <v>50</v>
      </c>
      <c r="H204" s="6">
        <v>-354959</v>
      </c>
      <c r="I204" s="3" t="s">
        <v>18</v>
      </c>
      <c r="J204" s="3" t="s">
        <v>15</v>
      </c>
      <c r="K204" s="3" t="s">
        <v>15</v>
      </c>
      <c r="L204" s="3" t="s">
        <v>70</v>
      </c>
      <c r="M204" s="4">
        <v>46312</v>
      </c>
      <c r="N204" s="3" t="s">
        <v>411</v>
      </c>
      <c r="O204" s="3" t="s">
        <v>89</v>
      </c>
      <c r="P204" t="str">
        <f t="shared" si="3"/>
        <v>4500140385100</v>
      </c>
      <c r="Q204" s="7" cm="1">
        <f t="array" ref="Q204:S204">VLOOKUP(P204,Hoja1!C:F,{2,3,4},FALSE)</f>
        <v>46315</v>
      </c>
      <c r="R204" t="str">
        <v>C01</v>
      </c>
      <c r="S204" t="str">
        <v>1000007451 FLORES CARLOS FELIPE Y OTROS S H</v>
      </c>
      <c r="T204" t="str">
        <f>VLOOKUP(P204,Hoja2!C:D,2,FALSE)</f>
        <v>AZAPANA</v>
      </c>
    </row>
    <row r="205" spans="1:20" x14ac:dyDescent="0.3">
      <c r="A205" s="2" t="s">
        <v>15</v>
      </c>
      <c r="B205" s="3" t="s">
        <v>15</v>
      </c>
      <c r="C205" s="3" t="s">
        <v>471</v>
      </c>
      <c r="D205" s="3" t="s">
        <v>15</v>
      </c>
      <c r="E205" s="3" t="s">
        <v>101</v>
      </c>
      <c r="F205" s="4">
        <v>46311</v>
      </c>
      <c r="G205" s="3" t="s">
        <v>50</v>
      </c>
      <c r="H205" s="6">
        <v>-129076</v>
      </c>
      <c r="I205" s="3" t="s">
        <v>18</v>
      </c>
      <c r="J205" s="3" t="s">
        <v>15</v>
      </c>
      <c r="K205" s="3" t="s">
        <v>15</v>
      </c>
      <c r="L205" s="3" t="s">
        <v>70</v>
      </c>
      <c r="M205" s="4">
        <v>46312</v>
      </c>
      <c r="N205" s="3" t="s">
        <v>411</v>
      </c>
      <c r="O205" s="3" t="s">
        <v>87</v>
      </c>
      <c r="P205" t="str">
        <f t="shared" si="3"/>
        <v>4500140385110</v>
      </c>
      <c r="Q205" s="7" cm="1">
        <f t="array" ref="Q205:S205">VLOOKUP(P205,Hoja1!C:F,{2,3,4},FALSE)</f>
        <v>46315</v>
      </c>
      <c r="R205" t="str">
        <v>C01</v>
      </c>
      <c r="S205" t="str">
        <v>1000007451 FLORES CARLOS FELIPE Y OTROS S H</v>
      </c>
      <c r="T205" t="str">
        <f>VLOOKUP(P205,Hoja2!C:D,2,FALSE)</f>
        <v>AZAPANA</v>
      </c>
    </row>
    <row r="206" spans="1:20" x14ac:dyDescent="0.3">
      <c r="A206" s="2" t="s">
        <v>15</v>
      </c>
      <c r="B206" s="3" t="s">
        <v>15</v>
      </c>
      <c r="C206" s="3" t="s">
        <v>472</v>
      </c>
      <c r="D206" s="3" t="s">
        <v>15</v>
      </c>
      <c r="E206" s="3" t="s">
        <v>101</v>
      </c>
      <c r="F206" s="4">
        <v>46312</v>
      </c>
      <c r="G206" s="3" t="s">
        <v>50</v>
      </c>
      <c r="H206" s="6">
        <v>-275004.94</v>
      </c>
      <c r="I206" s="3" t="s">
        <v>18</v>
      </c>
      <c r="J206" s="3" t="s">
        <v>15</v>
      </c>
      <c r="K206" s="3" t="s">
        <v>15</v>
      </c>
      <c r="L206" s="3" t="s">
        <v>151</v>
      </c>
      <c r="M206" s="4">
        <v>46312</v>
      </c>
      <c r="N206" s="3" t="s">
        <v>473</v>
      </c>
      <c r="O206" s="3" t="s">
        <v>22</v>
      </c>
      <c r="P206" t="str">
        <f t="shared" si="3"/>
        <v>450014106410</v>
      </c>
      <c r="Q206" s="7" cm="1">
        <f t="array" ref="Q206:S206">VLOOKUP(P206,Hoja1!C:F,{2,3,4},FALSE)</f>
        <v>46310</v>
      </c>
      <c r="R206" t="str">
        <v>C01</v>
      </c>
      <c r="S206" t="str">
        <v>1000000566 AUTOLUX SA</v>
      </c>
      <c r="T206" t="str">
        <f>VLOOKUP(P206,Hoja2!C:D,2,FALSE)</f>
        <v>AZAPANA</v>
      </c>
    </row>
    <row r="207" spans="1:20" x14ac:dyDescent="0.3">
      <c r="A207" s="2" t="s">
        <v>15</v>
      </c>
      <c r="B207" s="3" t="s">
        <v>15</v>
      </c>
      <c r="C207" s="3" t="s">
        <v>474</v>
      </c>
      <c r="D207" s="3" t="s">
        <v>15</v>
      </c>
      <c r="E207" s="3" t="s">
        <v>101</v>
      </c>
      <c r="F207" s="4">
        <v>46310</v>
      </c>
      <c r="G207" s="3" t="s">
        <v>50</v>
      </c>
      <c r="H207" s="6">
        <v>-31373.56</v>
      </c>
      <c r="I207" s="3" t="s">
        <v>18</v>
      </c>
      <c r="J207" s="3" t="s">
        <v>15</v>
      </c>
      <c r="K207" s="3" t="s">
        <v>15</v>
      </c>
      <c r="L207" s="3" t="s">
        <v>75</v>
      </c>
      <c r="M207" s="4">
        <v>46312</v>
      </c>
      <c r="N207" s="3" t="s">
        <v>475</v>
      </c>
      <c r="O207" s="3" t="s">
        <v>22</v>
      </c>
      <c r="P207" t="str">
        <f t="shared" si="3"/>
        <v>450014073010</v>
      </c>
      <c r="Q207" s="7" cm="1">
        <f t="array" ref="Q207:S207">VLOOKUP(P207,Hoja1!C:F,{2,3,4},FALSE)</f>
        <v>46315</v>
      </c>
      <c r="R207" t="str">
        <v>C17</v>
      </c>
      <c r="S207" t="str">
        <v>1000012333 GO CLEAN S.A.S.</v>
      </c>
      <c r="T207" t="str">
        <f>VLOOKUP(P207,Hoja2!C:D,2,FALSE)</f>
        <v>GDIAZ</v>
      </c>
    </row>
    <row r="208" spans="1:20" x14ac:dyDescent="0.3">
      <c r="A208" s="2" t="s">
        <v>15</v>
      </c>
      <c r="B208" s="3" t="s">
        <v>15</v>
      </c>
      <c r="C208" s="3" t="s">
        <v>474</v>
      </c>
      <c r="D208" s="3" t="s">
        <v>15</v>
      </c>
      <c r="E208" s="3" t="s">
        <v>101</v>
      </c>
      <c r="F208" s="4">
        <v>46310</v>
      </c>
      <c r="G208" s="3" t="s">
        <v>50</v>
      </c>
      <c r="H208" s="6">
        <v>-4957.0200000000004</v>
      </c>
      <c r="I208" s="3" t="s">
        <v>18</v>
      </c>
      <c r="J208" s="3" t="s">
        <v>15</v>
      </c>
      <c r="K208" s="3" t="s">
        <v>15</v>
      </c>
      <c r="L208" s="3" t="s">
        <v>75</v>
      </c>
      <c r="M208" s="4">
        <v>46312</v>
      </c>
      <c r="N208" s="3" t="s">
        <v>475</v>
      </c>
      <c r="O208" s="3" t="s">
        <v>48</v>
      </c>
      <c r="P208" t="str">
        <f t="shared" si="3"/>
        <v>450014073020</v>
      </c>
      <c r="Q208" s="7" cm="1">
        <f t="array" ref="Q208:S208">VLOOKUP(P208,Hoja1!C:F,{2,3,4},FALSE)</f>
        <v>46315</v>
      </c>
      <c r="R208" t="str">
        <v>C17</v>
      </c>
      <c r="S208" t="str">
        <v>1000012333 GO CLEAN S.A.S.</v>
      </c>
      <c r="T208" t="str">
        <f>VLOOKUP(P208,Hoja2!C:D,2,FALSE)</f>
        <v>GDIAZ</v>
      </c>
    </row>
    <row r="209" spans="1:20" x14ac:dyDescent="0.3">
      <c r="A209" s="2" t="s">
        <v>15</v>
      </c>
      <c r="B209" s="3" t="s">
        <v>15</v>
      </c>
      <c r="C209" s="3" t="s">
        <v>474</v>
      </c>
      <c r="D209" s="3" t="s">
        <v>15</v>
      </c>
      <c r="E209" s="3" t="s">
        <v>101</v>
      </c>
      <c r="F209" s="4">
        <v>46310</v>
      </c>
      <c r="G209" s="3" t="s">
        <v>50</v>
      </c>
      <c r="H209" s="6">
        <v>-123843</v>
      </c>
      <c r="I209" s="3" t="s">
        <v>18</v>
      </c>
      <c r="J209" s="3" t="s">
        <v>15</v>
      </c>
      <c r="K209" s="3" t="s">
        <v>15</v>
      </c>
      <c r="L209" s="3" t="s">
        <v>75</v>
      </c>
      <c r="M209" s="4">
        <v>46312</v>
      </c>
      <c r="N209" s="3" t="s">
        <v>475</v>
      </c>
      <c r="O209" s="3" t="s">
        <v>39</v>
      </c>
      <c r="P209" t="str">
        <f t="shared" si="3"/>
        <v>450014073030</v>
      </c>
      <c r="Q209" s="7" cm="1">
        <f t="array" ref="Q209:S209">VLOOKUP(P209,Hoja1!C:F,{2,3,4},FALSE)</f>
        <v>46315</v>
      </c>
      <c r="R209" t="str">
        <v>C17</v>
      </c>
      <c r="S209" t="str">
        <v>1000012333 GO CLEAN S.A.S.</v>
      </c>
      <c r="T209" t="str">
        <f>VLOOKUP(P209,Hoja2!C:D,2,FALSE)</f>
        <v>GDIAZ</v>
      </c>
    </row>
    <row r="210" spans="1:20" x14ac:dyDescent="0.3">
      <c r="A210" s="2" t="s">
        <v>15</v>
      </c>
      <c r="B210" s="3" t="s">
        <v>15</v>
      </c>
      <c r="C210" s="3" t="s">
        <v>474</v>
      </c>
      <c r="D210" s="3" t="s">
        <v>15</v>
      </c>
      <c r="E210" s="3" t="s">
        <v>101</v>
      </c>
      <c r="F210" s="4">
        <v>46310</v>
      </c>
      <c r="G210" s="3" t="s">
        <v>50</v>
      </c>
      <c r="H210" s="6">
        <v>-66934.710000000006</v>
      </c>
      <c r="I210" s="3" t="s">
        <v>18</v>
      </c>
      <c r="J210" s="3" t="s">
        <v>15</v>
      </c>
      <c r="K210" s="3" t="s">
        <v>15</v>
      </c>
      <c r="L210" s="3" t="s">
        <v>75</v>
      </c>
      <c r="M210" s="4">
        <v>46312</v>
      </c>
      <c r="N210" s="3" t="s">
        <v>475</v>
      </c>
      <c r="O210" s="3" t="s">
        <v>32</v>
      </c>
      <c r="P210" t="str">
        <f t="shared" si="3"/>
        <v>450014073040</v>
      </c>
      <c r="Q210" s="7" cm="1">
        <f t="array" ref="Q210:S210">VLOOKUP(P210,Hoja1!C:F,{2,3,4},FALSE)</f>
        <v>46315</v>
      </c>
      <c r="R210" t="str">
        <v>C17</v>
      </c>
      <c r="S210" t="str">
        <v>1000012333 GO CLEAN S.A.S.</v>
      </c>
      <c r="T210" t="str">
        <f>VLOOKUP(P210,Hoja2!C:D,2,FALSE)</f>
        <v>GDIAZ</v>
      </c>
    </row>
    <row r="211" spans="1:20" x14ac:dyDescent="0.3">
      <c r="A211" s="2" t="s">
        <v>15</v>
      </c>
      <c r="B211" s="3" t="s">
        <v>15</v>
      </c>
      <c r="C211" s="3" t="s">
        <v>476</v>
      </c>
      <c r="D211" s="3" t="s">
        <v>15</v>
      </c>
      <c r="E211" s="3" t="s">
        <v>101</v>
      </c>
      <c r="F211" s="4">
        <v>46311</v>
      </c>
      <c r="G211" s="3" t="s">
        <v>50</v>
      </c>
      <c r="H211" s="6">
        <v>-94217.4</v>
      </c>
      <c r="I211" s="3" t="s">
        <v>18</v>
      </c>
      <c r="J211" s="3" t="s">
        <v>15</v>
      </c>
      <c r="K211" s="3" t="s">
        <v>15</v>
      </c>
      <c r="L211" s="3" t="s">
        <v>240</v>
      </c>
      <c r="M211" s="4">
        <v>46312</v>
      </c>
      <c r="N211" s="3" t="s">
        <v>477</v>
      </c>
      <c r="O211" s="3" t="s">
        <v>22</v>
      </c>
      <c r="P211" t="str">
        <f t="shared" si="3"/>
        <v>450014088810</v>
      </c>
      <c r="Q211" s="7" cm="1">
        <f t="array" ref="Q211:S211">VLOOKUP(P211,Hoja1!C:F,{2,3,4},FALSE)</f>
        <v>46318</v>
      </c>
      <c r="R211" t="str">
        <v>C17</v>
      </c>
      <c r="S211" t="str">
        <v>1000008136 LIBRERIA SAN PABLO S.R.L.</v>
      </c>
      <c r="T211" t="str">
        <f>VLOOKUP(P211,Hoja2!C:D,2,FALSE)</f>
        <v>GDIAZ</v>
      </c>
    </row>
    <row r="212" spans="1:20" x14ac:dyDescent="0.3">
      <c r="A212" s="2" t="s">
        <v>15</v>
      </c>
      <c r="B212" s="3" t="s">
        <v>15</v>
      </c>
      <c r="C212" s="3" t="s">
        <v>476</v>
      </c>
      <c r="D212" s="3" t="s">
        <v>15</v>
      </c>
      <c r="E212" s="3" t="s">
        <v>101</v>
      </c>
      <c r="F212" s="4">
        <v>46311</v>
      </c>
      <c r="G212" s="3" t="s">
        <v>50</v>
      </c>
      <c r="H212" s="6">
        <v>-15702.9</v>
      </c>
      <c r="I212" s="3" t="s">
        <v>18</v>
      </c>
      <c r="J212" s="3" t="s">
        <v>15</v>
      </c>
      <c r="K212" s="3" t="s">
        <v>15</v>
      </c>
      <c r="L212" s="3" t="s">
        <v>240</v>
      </c>
      <c r="M212" s="4">
        <v>46312</v>
      </c>
      <c r="N212" s="3" t="s">
        <v>477</v>
      </c>
      <c r="O212" s="3" t="s">
        <v>48</v>
      </c>
      <c r="P212" t="str">
        <f t="shared" si="3"/>
        <v>450014088820</v>
      </c>
      <c r="Q212" s="7" cm="1">
        <f t="array" ref="Q212:S212">VLOOKUP(P212,Hoja1!C:F,{2,3,4},FALSE)</f>
        <v>46318</v>
      </c>
      <c r="R212" t="str">
        <v>C17</v>
      </c>
      <c r="S212" t="str">
        <v>1000008136 LIBRERIA SAN PABLO S.R.L.</v>
      </c>
      <c r="T212" t="str">
        <f>VLOOKUP(P212,Hoja2!C:D,2,FALSE)</f>
        <v>GDIAZ</v>
      </c>
    </row>
    <row r="213" spans="1:20" x14ac:dyDescent="0.3">
      <c r="A213" s="2" t="s">
        <v>15</v>
      </c>
      <c r="B213" s="3" t="s">
        <v>15</v>
      </c>
      <c r="C213" s="3" t="s">
        <v>476</v>
      </c>
      <c r="D213" s="3" t="s">
        <v>15</v>
      </c>
      <c r="E213" s="3" t="s">
        <v>101</v>
      </c>
      <c r="F213" s="4">
        <v>46311</v>
      </c>
      <c r="G213" s="3" t="s">
        <v>50</v>
      </c>
      <c r="H213" s="6">
        <v>-22368.240000000002</v>
      </c>
      <c r="I213" s="3" t="s">
        <v>18</v>
      </c>
      <c r="J213" s="3" t="s">
        <v>15</v>
      </c>
      <c r="K213" s="3" t="s">
        <v>15</v>
      </c>
      <c r="L213" s="3" t="s">
        <v>240</v>
      </c>
      <c r="M213" s="4">
        <v>46312</v>
      </c>
      <c r="N213" s="3" t="s">
        <v>477</v>
      </c>
      <c r="O213" s="3" t="s">
        <v>39</v>
      </c>
      <c r="P213" t="str">
        <f t="shared" si="3"/>
        <v>450014088830</v>
      </c>
      <c r="Q213" s="7" cm="1">
        <f t="array" ref="Q213:S213">VLOOKUP(P213,Hoja1!C:F,{2,3,4},FALSE)</f>
        <v>46318</v>
      </c>
      <c r="R213" t="str">
        <v>C17</v>
      </c>
      <c r="S213" t="str">
        <v>1000008136 LIBRERIA SAN PABLO S.R.L.</v>
      </c>
      <c r="T213" t="str">
        <f>VLOOKUP(P213,Hoja2!C:D,2,FALSE)</f>
        <v>GDIAZ</v>
      </c>
    </row>
    <row r="214" spans="1:20" x14ac:dyDescent="0.3">
      <c r="A214" s="2" t="s">
        <v>15</v>
      </c>
      <c r="B214" s="3" t="s">
        <v>15</v>
      </c>
      <c r="C214" s="3" t="s">
        <v>478</v>
      </c>
      <c r="D214" s="3" t="s">
        <v>15</v>
      </c>
      <c r="E214" s="3" t="s">
        <v>101</v>
      </c>
      <c r="F214" s="4">
        <v>46312</v>
      </c>
      <c r="G214" s="3" t="s">
        <v>50</v>
      </c>
      <c r="H214" s="6">
        <v>-112047</v>
      </c>
      <c r="I214" s="3" t="s">
        <v>18</v>
      </c>
      <c r="J214" s="3" t="s">
        <v>15</v>
      </c>
      <c r="K214" s="3" t="s">
        <v>15</v>
      </c>
      <c r="L214" s="3" t="s">
        <v>479</v>
      </c>
      <c r="M214" s="4">
        <v>46312</v>
      </c>
      <c r="N214" s="3" t="s">
        <v>480</v>
      </c>
      <c r="O214" s="3" t="s">
        <v>39</v>
      </c>
      <c r="P214" t="str">
        <f t="shared" si="3"/>
        <v>450014097130</v>
      </c>
      <c r="Q214" s="7" cm="1">
        <f t="array" ref="Q214:S214">VLOOKUP(P214,Hoja1!C:F,{2,3,4},FALSE)</f>
        <v>46325</v>
      </c>
      <c r="R214" t="str">
        <v>C17</v>
      </c>
      <c r="S214" t="str">
        <v>1000007610 IMPLEMENTOS INDUSTRIALES S R L</v>
      </c>
      <c r="T214" t="str">
        <f>VLOOKUP(P214,Hoja2!C:D,2,FALSE)</f>
        <v>LHANCEVICH</v>
      </c>
    </row>
    <row r="215" spans="1:20" x14ac:dyDescent="0.3">
      <c r="A215" s="2" t="s">
        <v>15</v>
      </c>
      <c r="B215" s="3" t="s">
        <v>15</v>
      </c>
      <c r="C215" s="3" t="s">
        <v>478</v>
      </c>
      <c r="D215" s="3" t="s">
        <v>15</v>
      </c>
      <c r="E215" s="3" t="s">
        <v>101</v>
      </c>
      <c r="F215" s="4">
        <v>46312</v>
      </c>
      <c r="G215" s="3" t="s">
        <v>50</v>
      </c>
      <c r="H215" s="6">
        <v>-7678.5</v>
      </c>
      <c r="I215" s="3" t="s">
        <v>18</v>
      </c>
      <c r="J215" s="3" t="s">
        <v>15</v>
      </c>
      <c r="K215" s="3" t="s">
        <v>15</v>
      </c>
      <c r="L215" s="3" t="s">
        <v>479</v>
      </c>
      <c r="M215" s="4">
        <v>46312</v>
      </c>
      <c r="N215" s="3" t="s">
        <v>480</v>
      </c>
      <c r="O215" s="3" t="s">
        <v>38</v>
      </c>
      <c r="P215" t="str">
        <f t="shared" si="3"/>
        <v>450014097150</v>
      </c>
      <c r="Q215" s="7" cm="1">
        <f t="array" ref="Q215:S215">VLOOKUP(P215,Hoja1!C:F,{2,3,4},FALSE)</f>
        <v>46327</v>
      </c>
      <c r="R215" t="str">
        <v>C17</v>
      </c>
      <c r="S215" t="str">
        <v>1000007610 IMPLEMENTOS INDUSTRIALES S R L</v>
      </c>
      <c r="T215" t="str">
        <f>VLOOKUP(P215,Hoja2!C:D,2,FALSE)</f>
        <v>LHANCEVICH</v>
      </c>
    </row>
  </sheetData>
  <autoFilter ref="A1:T215" xr:uid="{00000000-0001-0000-0000-000000000000}"/>
  <phoneticPr fontId="0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142A7-049E-4136-8377-B1821FAAC9EA}">
  <dimension ref="A1:J460"/>
  <sheetViews>
    <sheetView topLeftCell="A435" workbookViewId="0">
      <selection activeCell="C463" sqref="C463"/>
    </sheetView>
  </sheetViews>
  <sheetFormatPr baseColWidth="10" defaultRowHeight="14.4" x14ac:dyDescent="0.3"/>
  <cols>
    <col min="1" max="1" width="11" bestFit="1" customWidth="1"/>
    <col min="2" max="2" width="8" bestFit="1" customWidth="1"/>
    <col min="3" max="3" width="16.6640625" customWidth="1"/>
    <col min="4" max="4" width="12" bestFit="1" customWidth="1"/>
  </cols>
  <sheetData>
    <row r="1" spans="1:4" x14ac:dyDescent="0.3">
      <c r="A1" s="1" t="s">
        <v>354</v>
      </c>
      <c r="B1" s="1" t="s">
        <v>355</v>
      </c>
      <c r="C1" s="1"/>
      <c r="D1" s="1" t="s">
        <v>356</v>
      </c>
    </row>
    <row r="2" spans="1:4" x14ac:dyDescent="0.3">
      <c r="A2" s="3" t="s">
        <v>45</v>
      </c>
      <c r="B2" s="3" t="s">
        <v>22</v>
      </c>
      <c r="C2" s="3" t="str">
        <f>_xlfn.CONCAT(A2:B2)</f>
        <v>450010951410</v>
      </c>
      <c r="D2" s="3" t="s">
        <v>357</v>
      </c>
    </row>
    <row r="3" spans="1:4" x14ac:dyDescent="0.3">
      <c r="A3" s="3" t="s">
        <v>106</v>
      </c>
      <c r="B3" s="3" t="s">
        <v>22</v>
      </c>
      <c r="C3" s="3" t="str">
        <f t="shared" ref="C3:C66" si="0">_xlfn.CONCAT(A3:B3)</f>
        <v>450010984110</v>
      </c>
      <c r="D3" s="3" t="s">
        <v>358</v>
      </c>
    </row>
    <row r="4" spans="1:4" x14ac:dyDescent="0.3">
      <c r="A4" s="3" t="s">
        <v>106</v>
      </c>
      <c r="B4" s="3" t="s">
        <v>48</v>
      </c>
      <c r="C4" s="3" t="str">
        <f t="shared" si="0"/>
        <v>450010984120</v>
      </c>
      <c r="D4" s="3" t="s">
        <v>358</v>
      </c>
    </row>
    <row r="5" spans="1:4" x14ac:dyDescent="0.3">
      <c r="A5" s="3" t="s">
        <v>106</v>
      </c>
      <c r="B5" s="3" t="s">
        <v>39</v>
      </c>
      <c r="C5" s="3" t="str">
        <f t="shared" si="0"/>
        <v>450010984130</v>
      </c>
      <c r="D5" s="3" t="s">
        <v>358</v>
      </c>
    </row>
    <row r="6" spans="1:4" x14ac:dyDescent="0.3">
      <c r="A6" s="3" t="s">
        <v>113</v>
      </c>
      <c r="B6" s="3" t="s">
        <v>48</v>
      </c>
      <c r="C6" s="3" t="str">
        <f t="shared" si="0"/>
        <v>450011022620</v>
      </c>
      <c r="D6" s="3" t="s">
        <v>359</v>
      </c>
    </row>
    <row r="7" spans="1:4" x14ac:dyDescent="0.3">
      <c r="A7" s="3" t="s">
        <v>107</v>
      </c>
      <c r="B7" s="3" t="s">
        <v>22</v>
      </c>
      <c r="C7" s="3" t="str">
        <f t="shared" si="0"/>
        <v>450010970910</v>
      </c>
      <c r="D7" s="3" t="s">
        <v>360</v>
      </c>
    </row>
    <row r="8" spans="1:4" x14ac:dyDescent="0.3">
      <c r="A8" s="3" t="s">
        <v>102</v>
      </c>
      <c r="B8" s="3" t="s">
        <v>39</v>
      </c>
      <c r="C8" s="3" t="str">
        <f t="shared" si="0"/>
        <v>450011207930</v>
      </c>
      <c r="D8" s="3" t="s">
        <v>361</v>
      </c>
    </row>
    <row r="9" spans="1:4" x14ac:dyDescent="0.3">
      <c r="A9" s="3" t="s">
        <v>102</v>
      </c>
      <c r="B9" s="3" t="s">
        <v>48</v>
      </c>
      <c r="C9" s="3" t="str">
        <f t="shared" si="0"/>
        <v>450011207920</v>
      </c>
      <c r="D9" s="3" t="s">
        <v>361</v>
      </c>
    </row>
    <row r="10" spans="1:4" x14ac:dyDescent="0.3">
      <c r="A10" s="3" t="s">
        <v>122</v>
      </c>
      <c r="B10" s="3" t="s">
        <v>22</v>
      </c>
      <c r="C10" s="3" t="str">
        <f t="shared" si="0"/>
        <v>450011392010</v>
      </c>
      <c r="D10" s="3" t="s">
        <v>360</v>
      </c>
    </row>
    <row r="11" spans="1:4" x14ac:dyDescent="0.3">
      <c r="A11" s="3" t="s">
        <v>103</v>
      </c>
      <c r="B11" s="3" t="s">
        <v>22</v>
      </c>
      <c r="C11" s="3" t="str">
        <f t="shared" si="0"/>
        <v>450011380010</v>
      </c>
      <c r="D11" s="3" t="s">
        <v>357</v>
      </c>
    </row>
    <row r="12" spans="1:4" x14ac:dyDescent="0.3">
      <c r="A12" s="3" t="s">
        <v>103</v>
      </c>
      <c r="B12" s="3" t="s">
        <v>48</v>
      </c>
      <c r="C12" s="3" t="str">
        <f t="shared" si="0"/>
        <v>450011380020</v>
      </c>
      <c r="D12" s="3" t="s">
        <v>357</v>
      </c>
    </row>
    <row r="13" spans="1:4" x14ac:dyDescent="0.3">
      <c r="A13" s="3" t="s">
        <v>103</v>
      </c>
      <c r="B13" s="3" t="s">
        <v>39</v>
      </c>
      <c r="C13" s="3" t="str">
        <f t="shared" si="0"/>
        <v>450011380030</v>
      </c>
      <c r="D13" s="3" t="s">
        <v>357</v>
      </c>
    </row>
    <row r="14" spans="1:4" x14ac:dyDescent="0.3">
      <c r="A14" s="3" t="s">
        <v>116</v>
      </c>
      <c r="B14" s="3" t="s">
        <v>39</v>
      </c>
      <c r="C14" s="3" t="str">
        <f t="shared" si="0"/>
        <v>450011416830</v>
      </c>
      <c r="D14" s="3" t="s">
        <v>362</v>
      </c>
    </row>
    <row r="15" spans="1:4" x14ac:dyDescent="0.3">
      <c r="A15" s="3" t="s">
        <v>116</v>
      </c>
      <c r="B15" s="3" t="s">
        <v>32</v>
      </c>
      <c r="C15" s="3" t="str">
        <f t="shared" si="0"/>
        <v>450011416840</v>
      </c>
      <c r="D15" s="3" t="s">
        <v>362</v>
      </c>
    </row>
    <row r="16" spans="1:4" x14ac:dyDescent="0.3">
      <c r="A16" s="3" t="s">
        <v>26</v>
      </c>
      <c r="B16" s="3" t="s">
        <v>22</v>
      </c>
      <c r="C16" s="3" t="str">
        <f t="shared" si="0"/>
        <v>450011474310</v>
      </c>
      <c r="D16" s="3" t="s">
        <v>359</v>
      </c>
    </row>
    <row r="17" spans="1:4" x14ac:dyDescent="0.3">
      <c r="A17" s="3" t="s">
        <v>26</v>
      </c>
      <c r="B17" s="3" t="s">
        <v>48</v>
      </c>
      <c r="C17" s="3" t="str">
        <f t="shared" si="0"/>
        <v>450011474320</v>
      </c>
      <c r="D17" s="3" t="s">
        <v>359</v>
      </c>
    </row>
    <row r="18" spans="1:4" x14ac:dyDescent="0.3">
      <c r="A18" s="3" t="s">
        <v>26</v>
      </c>
      <c r="B18" s="3" t="s">
        <v>39</v>
      </c>
      <c r="C18" s="3" t="str">
        <f t="shared" si="0"/>
        <v>450011474330</v>
      </c>
      <c r="D18" s="3" t="s">
        <v>359</v>
      </c>
    </row>
    <row r="19" spans="1:4" x14ac:dyDescent="0.3">
      <c r="A19" s="3" t="s">
        <v>26</v>
      </c>
      <c r="B19" s="3" t="s">
        <v>32</v>
      </c>
      <c r="C19" s="3" t="str">
        <f t="shared" si="0"/>
        <v>450011474340</v>
      </c>
      <c r="D19" s="3" t="s">
        <v>359</v>
      </c>
    </row>
    <row r="20" spans="1:4" x14ac:dyDescent="0.3">
      <c r="A20" s="3" t="s">
        <v>26</v>
      </c>
      <c r="B20" s="3" t="s">
        <v>38</v>
      </c>
      <c r="C20" s="3" t="str">
        <f t="shared" si="0"/>
        <v>450011474350</v>
      </c>
      <c r="D20" s="3" t="s">
        <v>359</v>
      </c>
    </row>
    <row r="21" spans="1:4" x14ac:dyDescent="0.3">
      <c r="A21" s="3" t="s">
        <v>26</v>
      </c>
      <c r="B21" s="3" t="s">
        <v>66</v>
      </c>
      <c r="C21" s="3" t="str">
        <f t="shared" si="0"/>
        <v>450011474360</v>
      </c>
      <c r="D21" s="3" t="s">
        <v>359</v>
      </c>
    </row>
    <row r="22" spans="1:4" x14ac:dyDescent="0.3">
      <c r="A22" s="3" t="s">
        <v>26</v>
      </c>
      <c r="B22" s="3" t="s">
        <v>85</v>
      </c>
      <c r="C22" s="3" t="str">
        <f t="shared" si="0"/>
        <v>450011474370</v>
      </c>
      <c r="D22" s="3" t="s">
        <v>359</v>
      </c>
    </row>
    <row r="23" spans="1:4" x14ac:dyDescent="0.3">
      <c r="A23" s="3" t="s">
        <v>26</v>
      </c>
      <c r="B23" s="3" t="s">
        <v>169</v>
      </c>
      <c r="C23" s="3" t="str">
        <f t="shared" si="0"/>
        <v>450011474380</v>
      </c>
      <c r="D23" s="3" t="s">
        <v>359</v>
      </c>
    </row>
    <row r="24" spans="1:4" x14ac:dyDescent="0.3">
      <c r="A24" s="3" t="s">
        <v>26</v>
      </c>
      <c r="B24" s="3" t="s">
        <v>90</v>
      </c>
      <c r="C24" s="3" t="str">
        <f t="shared" si="0"/>
        <v>450011474390</v>
      </c>
      <c r="D24" s="3" t="s">
        <v>359</v>
      </c>
    </row>
    <row r="25" spans="1:4" x14ac:dyDescent="0.3">
      <c r="A25" s="3" t="s">
        <v>26</v>
      </c>
      <c r="B25" s="3" t="s">
        <v>89</v>
      </c>
      <c r="C25" s="3" t="str">
        <f t="shared" si="0"/>
        <v>4500114743100</v>
      </c>
      <c r="D25" s="3" t="s">
        <v>359</v>
      </c>
    </row>
    <row r="26" spans="1:4" x14ac:dyDescent="0.3">
      <c r="A26" s="3" t="s">
        <v>26</v>
      </c>
      <c r="B26" s="3" t="s">
        <v>87</v>
      </c>
      <c r="C26" s="3" t="str">
        <f t="shared" si="0"/>
        <v>4500114743110</v>
      </c>
      <c r="D26" s="3" t="s">
        <v>359</v>
      </c>
    </row>
    <row r="27" spans="1:4" x14ac:dyDescent="0.3">
      <c r="A27" s="3" t="s">
        <v>26</v>
      </c>
      <c r="B27" s="3" t="s">
        <v>88</v>
      </c>
      <c r="C27" s="3" t="str">
        <f t="shared" si="0"/>
        <v>4500114743120</v>
      </c>
      <c r="D27" s="3" t="s">
        <v>359</v>
      </c>
    </row>
    <row r="28" spans="1:4" x14ac:dyDescent="0.3">
      <c r="A28" s="3" t="s">
        <v>26</v>
      </c>
      <c r="B28" s="3" t="s">
        <v>193</v>
      </c>
      <c r="C28" s="3" t="str">
        <f t="shared" si="0"/>
        <v>4500114743130</v>
      </c>
      <c r="D28" s="3" t="s">
        <v>359</v>
      </c>
    </row>
    <row r="29" spans="1:4" x14ac:dyDescent="0.3">
      <c r="A29" s="3" t="s">
        <v>26</v>
      </c>
      <c r="B29" s="3" t="s">
        <v>194</v>
      </c>
      <c r="C29" s="3" t="str">
        <f t="shared" si="0"/>
        <v>4500114743140</v>
      </c>
      <c r="D29" s="3" t="s">
        <v>359</v>
      </c>
    </row>
    <row r="30" spans="1:4" x14ac:dyDescent="0.3">
      <c r="A30" s="3" t="s">
        <v>26</v>
      </c>
      <c r="B30" s="3" t="s">
        <v>195</v>
      </c>
      <c r="C30" s="3" t="str">
        <f t="shared" si="0"/>
        <v>4500114743150</v>
      </c>
      <c r="D30" s="3" t="s">
        <v>359</v>
      </c>
    </row>
    <row r="31" spans="1:4" x14ac:dyDescent="0.3">
      <c r="A31" s="3" t="s">
        <v>26</v>
      </c>
      <c r="B31" s="3" t="s">
        <v>198</v>
      </c>
      <c r="C31" s="3" t="str">
        <f t="shared" si="0"/>
        <v>4500114743160</v>
      </c>
      <c r="D31" s="3" t="s">
        <v>359</v>
      </c>
    </row>
    <row r="32" spans="1:4" x14ac:dyDescent="0.3">
      <c r="A32" s="3" t="s">
        <v>26</v>
      </c>
      <c r="B32" s="3" t="s">
        <v>40</v>
      </c>
      <c r="C32" s="3" t="str">
        <f t="shared" si="0"/>
        <v>4500114743170</v>
      </c>
      <c r="D32" s="3" t="s">
        <v>359</v>
      </c>
    </row>
    <row r="33" spans="1:4" x14ac:dyDescent="0.3">
      <c r="A33" s="3" t="s">
        <v>26</v>
      </c>
      <c r="B33" s="3" t="s">
        <v>288</v>
      </c>
      <c r="C33" s="3" t="str">
        <f t="shared" si="0"/>
        <v>4500114743180</v>
      </c>
      <c r="D33" s="3" t="s">
        <v>359</v>
      </c>
    </row>
    <row r="34" spans="1:4" x14ac:dyDescent="0.3">
      <c r="A34" s="3" t="s">
        <v>26</v>
      </c>
      <c r="B34" s="3" t="s">
        <v>289</v>
      </c>
      <c r="C34" s="3" t="str">
        <f t="shared" si="0"/>
        <v>4500114743190</v>
      </c>
      <c r="D34" s="3" t="s">
        <v>359</v>
      </c>
    </row>
    <row r="35" spans="1:4" x14ac:dyDescent="0.3">
      <c r="A35" s="3" t="s">
        <v>26</v>
      </c>
      <c r="B35" s="3" t="s">
        <v>290</v>
      </c>
      <c r="C35" s="3" t="str">
        <f t="shared" si="0"/>
        <v>4500114743200</v>
      </c>
      <c r="D35" s="3" t="s">
        <v>359</v>
      </c>
    </row>
    <row r="36" spans="1:4" x14ac:dyDescent="0.3">
      <c r="A36" s="3" t="s">
        <v>26</v>
      </c>
      <c r="B36" s="3" t="s">
        <v>291</v>
      </c>
      <c r="C36" s="3" t="str">
        <f t="shared" si="0"/>
        <v>4500114743210</v>
      </c>
      <c r="D36" s="3" t="s">
        <v>359</v>
      </c>
    </row>
    <row r="37" spans="1:4" x14ac:dyDescent="0.3">
      <c r="A37" s="3" t="s">
        <v>26</v>
      </c>
      <c r="B37" s="3" t="s">
        <v>33</v>
      </c>
      <c r="C37" s="3" t="str">
        <f t="shared" si="0"/>
        <v>4500114743270</v>
      </c>
      <c r="D37" s="3" t="s">
        <v>359</v>
      </c>
    </row>
    <row r="38" spans="1:4" x14ac:dyDescent="0.3">
      <c r="A38" s="3" t="s">
        <v>26</v>
      </c>
      <c r="B38" s="3" t="s">
        <v>292</v>
      </c>
      <c r="C38" s="3" t="str">
        <f t="shared" si="0"/>
        <v>4500114743290</v>
      </c>
      <c r="D38" s="3" t="s">
        <v>359</v>
      </c>
    </row>
    <row r="39" spans="1:4" x14ac:dyDescent="0.3">
      <c r="A39" s="3" t="s">
        <v>26</v>
      </c>
      <c r="B39" s="3" t="s">
        <v>293</v>
      </c>
      <c r="C39" s="3" t="str">
        <f t="shared" si="0"/>
        <v>4500114743300</v>
      </c>
      <c r="D39" s="3" t="s">
        <v>359</v>
      </c>
    </row>
    <row r="40" spans="1:4" x14ac:dyDescent="0.3">
      <c r="A40" s="3" t="s">
        <v>26</v>
      </c>
      <c r="B40" s="3" t="s">
        <v>294</v>
      </c>
      <c r="C40" s="3" t="str">
        <f t="shared" si="0"/>
        <v>4500114743310</v>
      </c>
      <c r="D40" s="3" t="s">
        <v>359</v>
      </c>
    </row>
    <row r="41" spans="1:4" x14ac:dyDescent="0.3">
      <c r="A41" s="3" t="s">
        <v>26</v>
      </c>
      <c r="B41" s="3" t="s">
        <v>27</v>
      </c>
      <c r="C41" s="3" t="str">
        <f t="shared" si="0"/>
        <v>4500114743320</v>
      </c>
      <c r="D41" s="3" t="s">
        <v>359</v>
      </c>
    </row>
    <row r="42" spans="1:4" x14ac:dyDescent="0.3">
      <c r="A42" s="3" t="s">
        <v>26</v>
      </c>
      <c r="B42" s="3" t="s">
        <v>28</v>
      </c>
      <c r="C42" s="3" t="str">
        <f t="shared" si="0"/>
        <v>4500114743330</v>
      </c>
      <c r="D42" s="3" t="s">
        <v>359</v>
      </c>
    </row>
    <row r="43" spans="1:4" x14ac:dyDescent="0.3">
      <c r="A43" s="3" t="s">
        <v>26</v>
      </c>
      <c r="B43" s="3" t="s">
        <v>295</v>
      </c>
      <c r="C43" s="3" t="str">
        <f t="shared" si="0"/>
        <v>4500114743340</v>
      </c>
      <c r="D43" s="3" t="s">
        <v>359</v>
      </c>
    </row>
    <row r="44" spans="1:4" x14ac:dyDescent="0.3">
      <c r="A44" s="3" t="s">
        <v>26</v>
      </c>
      <c r="B44" s="3" t="s">
        <v>296</v>
      </c>
      <c r="C44" s="3" t="str">
        <f t="shared" si="0"/>
        <v>4500114743350</v>
      </c>
      <c r="D44" s="3" t="s">
        <v>359</v>
      </c>
    </row>
    <row r="45" spans="1:4" x14ac:dyDescent="0.3">
      <c r="A45" s="3" t="s">
        <v>26</v>
      </c>
      <c r="B45" s="3" t="s">
        <v>297</v>
      </c>
      <c r="C45" s="3" t="str">
        <f t="shared" si="0"/>
        <v>4500114743360</v>
      </c>
      <c r="D45" s="3" t="s">
        <v>359</v>
      </c>
    </row>
    <row r="46" spans="1:4" x14ac:dyDescent="0.3">
      <c r="A46" s="3" t="s">
        <v>26</v>
      </c>
      <c r="B46" s="3" t="s">
        <v>272</v>
      </c>
      <c r="C46" s="3" t="str">
        <f t="shared" si="0"/>
        <v>4500114743370</v>
      </c>
      <c r="D46" s="3" t="s">
        <v>359</v>
      </c>
    </row>
    <row r="47" spans="1:4" x14ac:dyDescent="0.3">
      <c r="A47" s="3" t="s">
        <v>26</v>
      </c>
      <c r="B47" s="3" t="s">
        <v>275</v>
      </c>
      <c r="C47" s="3" t="str">
        <f t="shared" si="0"/>
        <v>4500114743380</v>
      </c>
      <c r="D47" s="3" t="s">
        <v>359</v>
      </c>
    </row>
    <row r="48" spans="1:4" x14ac:dyDescent="0.3">
      <c r="A48" s="3" t="s">
        <v>26</v>
      </c>
      <c r="B48" s="3" t="s">
        <v>266</v>
      </c>
      <c r="C48" s="3" t="str">
        <f t="shared" si="0"/>
        <v>4500114743390</v>
      </c>
      <c r="D48" s="3" t="s">
        <v>359</v>
      </c>
    </row>
    <row r="49" spans="1:4" x14ac:dyDescent="0.3">
      <c r="A49" s="3" t="s">
        <v>26</v>
      </c>
      <c r="B49" s="3" t="s">
        <v>298</v>
      </c>
      <c r="C49" s="3" t="str">
        <f t="shared" si="0"/>
        <v>4500114743400</v>
      </c>
      <c r="D49" s="3" t="s">
        <v>359</v>
      </c>
    </row>
    <row r="50" spans="1:4" x14ac:dyDescent="0.3">
      <c r="A50" s="3" t="s">
        <v>26</v>
      </c>
      <c r="B50" s="3" t="s">
        <v>299</v>
      </c>
      <c r="C50" s="3" t="str">
        <f t="shared" si="0"/>
        <v>4500114743410</v>
      </c>
      <c r="D50" s="3" t="s">
        <v>359</v>
      </c>
    </row>
    <row r="51" spans="1:4" x14ac:dyDescent="0.3">
      <c r="A51" s="3" t="s">
        <v>26</v>
      </c>
      <c r="B51" s="3" t="s">
        <v>300</v>
      </c>
      <c r="C51" s="3" t="str">
        <f t="shared" si="0"/>
        <v>4500114743420</v>
      </c>
      <c r="D51" s="3" t="s">
        <v>359</v>
      </c>
    </row>
    <row r="52" spans="1:4" x14ac:dyDescent="0.3">
      <c r="A52" s="3" t="s">
        <v>26</v>
      </c>
      <c r="B52" s="3" t="s">
        <v>301</v>
      </c>
      <c r="C52" s="3" t="str">
        <f t="shared" si="0"/>
        <v>4500114743430</v>
      </c>
      <c r="D52" s="3" t="s">
        <v>359</v>
      </c>
    </row>
    <row r="53" spans="1:4" x14ac:dyDescent="0.3">
      <c r="A53" s="3" t="s">
        <v>26</v>
      </c>
      <c r="B53" s="3" t="s">
        <v>302</v>
      </c>
      <c r="C53" s="3" t="str">
        <f t="shared" si="0"/>
        <v>4500114743440</v>
      </c>
      <c r="D53" s="3" t="s">
        <v>359</v>
      </c>
    </row>
    <row r="54" spans="1:4" x14ac:dyDescent="0.3">
      <c r="A54" s="3" t="s">
        <v>26</v>
      </c>
      <c r="B54" s="3" t="s">
        <v>303</v>
      </c>
      <c r="C54" s="3" t="str">
        <f t="shared" si="0"/>
        <v>4500114743450</v>
      </c>
      <c r="D54" s="3" t="s">
        <v>359</v>
      </c>
    </row>
    <row r="55" spans="1:4" x14ac:dyDescent="0.3">
      <c r="A55" s="3" t="s">
        <v>26</v>
      </c>
      <c r="B55" s="3" t="s">
        <v>304</v>
      </c>
      <c r="C55" s="3" t="str">
        <f t="shared" si="0"/>
        <v>4500114743460</v>
      </c>
      <c r="D55" s="3" t="s">
        <v>359</v>
      </c>
    </row>
    <row r="56" spans="1:4" x14ac:dyDescent="0.3">
      <c r="A56" s="3" t="s">
        <v>26</v>
      </c>
      <c r="B56" s="3" t="s">
        <v>305</v>
      </c>
      <c r="C56" s="3" t="str">
        <f t="shared" si="0"/>
        <v>4500114743470</v>
      </c>
      <c r="D56" s="3" t="s">
        <v>359</v>
      </c>
    </row>
    <row r="57" spans="1:4" x14ac:dyDescent="0.3">
      <c r="A57" s="3" t="s">
        <v>26</v>
      </c>
      <c r="B57" s="3" t="s">
        <v>41</v>
      </c>
      <c r="C57" s="3" t="str">
        <f t="shared" si="0"/>
        <v>4500114743480</v>
      </c>
      <c r="D57" s="3" t="s">
        <v>359</v>
      </c>
    </row>
    <row r="58" spans="1:4" x14ac:dyDescent="0.3">
      <c r="A58" s="3" t="s">
        <v>26</v>
      </c>
      <c r="B58" s="3" t="s">
        <v>306</v>
      </c>
      <c r="C58" s="3" t="str">
        <f t="shared" si="0"/>
        <v>4500114743550</v>
      </c>
      <c r="D58" s="3" t="s">
        <v>359</v>
      </c>
    </row>
    <row r="59" spans="1:4" x14ac:dyDescent="0.3">
      <c r="A59" s="3" t="s">
        <v>26</v>
      </c>
      <c r="B59" s="3" t="s">
        <v>307</v>
      </c>
      <c r="C59" s="3" t="str">
        <f t="shared" si="0"/>
        <v>4500114743560</v>
      </c>
      <c r="D59" s="3" t="s">
        <v>359</v>
      </c>
    </row>
    <row r="60" spans="1:4" x14ac:dyDescent="0.3">
      <c r="A60" s="3" t="s">
        <v>26</v>
      </c>
      <c r="B60" s="3" t="s">
        <v>308</v>
      </c>
      <c r="C60" s="3" t="str">
        <f t="shared" si="0"/>
        <v>4500114743570</v>
      </c>
      <c r="D60" s="3" t="s">
        <v>359</v>
      </c>
    </row>
    <row r="61" spans="1:4" x14ac:dyDescent="0.3">
      <c r="A61" s="3" t="s">
        <v>36</v>
      </c>
      <c r="B61" s="3" t="s">
        <v>22</v>
      </c>
      <c r="C61" s="3" t="str">
        <f t="shared" si="0"/>
        <v>450011783110</v>
      </c>
      <c r="D61" s="3" t="s">
        <v>358</v>
      </c>
    </row>
    <row r="62" spans="1:4" x14ac:dyDescent="0.3">
      <c r="A62" s="3" t="s">
        <v>36</v>
      </c>
      <c r="B62" s="3" t="s">
        <v>48</v>
      </c>
      <c r="C62" s="3" t="str">
        <f t="shared" si="0"/>
        <v>450011783120</v>
      </c>
      <c r="D62" s="3" t="s">
        <v>358</v>
      </c>
    </row>
    <row r="63" spans="1:4" x14ac:dyDescent="0.3">
      <c r="A63" s="3" t="s">
        <v>235</v>
      </c>
      <c r="B63" s="3" t="s">
        <v>22</v>
      </c>
      <c r="C63" s="3" t="str">
        <f t="shared" si="0"/>
        <v>450012018410</v>
      </c>
      <c r="D63" s="3" t="s">
        <v>362</v>
      </c>
    </row>
    <row r="64" spans="1:4" x14ac:dyDescent="0.3">
      <c r="A64" s="3" t="s">
        <v>55</v>
      </c>
      <c r="B64" s="3" t="s">
        <v>22</v>
      </c>
      <c r="C64" s="3" t="str">
        <f t="shared" si="0"/>
        <v>450012326210</v>
      </c>
      <c r="D64" s="3" t="s">
        <v>360</v>
      </c>
    </row>
    <row r="65" spans="1:4" x14ac:dyDescent="0.3">
      <c r="A65" s="3" t="s">
        <v>110</v>
      </c>
      <c r="B65" s="3" t="s">
        <v>22</v>
      </c>
      <c r="C65" s="3" t="str">
        <f t="shared" si="0"/>
        <v>450012180010</v>
      </c>
      <c r="D65" s="3" t="s">
        <v>363</v>
      </c>
    </row>
    <row r="66" spans="1:4" x14ac:dyDescent="0.3">
      <c r="A66" s="3" t="s">
        <v>57</v>
      </c>
      <c r="B66" s="3" t="s">
        <v>22</v>
      </c>
      <c r="C66" s="3" t="str">
        <f t="shared" si="0"/>
        <v>450012303610</v>
      </c>
      <c r="D66" s="3" t="s">
        <v>363</v>
      </c>
    </row>
    <row r="67" spans="1:4" x14ac:dyDescent="0.3">
      <c r="A67" s="3" t="s">
        <v>21</v>
      </c>
      <c r="B67" s="3" t="s">
        <v>22</v>
      </c>
      <c r="C67" s="3" t="str">
        <f t="shared" ref="C67:C130" si="1">_xlfn.CONCAT(A67:B67)</f>
        <v>450012636310</v>
      </c>
      <c r="D67" s="3" t="s">
        <v>364</v>
      </c>
    </row>
    <row r="68" spans="1:4" x14ac:dyDescent="0.3">
      <c r="A68" s="3" t="s">
        <v>25</v>
      </c>
      <c r="B68" s="3" t="s">
        <v>22</v>
      </c>
      <c r="C68" s="3" t="str">
        <f t="shared" si="1"/>
        <v>450012711610</v>
      </c>
      <c r="D68" s="3" t="s">
        <v>364</v>
      </c>
    </row>
    <row r="69" spans="1:4" x14ac:dyDescent="0.3">
      <c r="A69" s="3" t="s">
        <v>25</v>
      </c>
      <c r="B69" s="3" t="s">
        <v>48</v>
      </c>
      <c r="C69" s="3" t="str">
        <f t="shared" si="1"/>
        <v>450012711620</v>
      </c>
      <c r="D69" s="3" t="s">
        <v>364</v>
      </c>
    </row>
    <row r="70" spans="1:4" x14ac:dyDescent="0.3">
      <c r="A70" s="3" t="s">
        <v>119</v>
      </c>
      <c r="B70" s="3" t="s">
        <v>22</v>
      </c>
      <c r="C70" s="3" t="str">
        <f t="shared" si="1"/>
        <v>450012687210</v>
      </c>
      <c r="D70" s="3" t="s">
        <v>365</v>
      </c>
    </row>
    <row r="71" spans="1:4" x14ac:dyDescent="0.3">
      <c r="A71" s="3" t="s">
        <v>119</v>
      </c>
      <c r="B71" s="3" t="s">
        <v>48</v>
      </c>
      <c r="C71" s="3" t="str">
        <f t="shared" si="1"/>
        <v>450012687220</v>
      </c>
      <c r="D71" s="3" t="s">
        <v>365</v>
      </c>
    </row>
    <row r="72" spans="1:4" x14ac:dyDescent="0.3">
      <c r="A72" s="3" t="s">
        <v>119</v>
      </c>
      <c r="B72" s="3" t="s">
        <v>39</v>
      </c>
      <c r="C72" s="3" t="str">
        <f t="shared" si="1"/>
        <v>450012687230</v>
      </c>
      <c r="D72" s="3" t="s">
        <v>365</v>
      </c>
    </row>
    <row r="73" spans="1:4" x14ac:dyDescent="0.3">
      <c r="A73" s="3" t="s">
        <v>25</v>
      </c>
      <c r="B73" s="3" t="s">
        <v>39</v>
      </c>
      <c r="C73" s="3" t="str">
        <f t="shared" si="1"/>
        <v>450012711630</v>
      </c>
      <c r="D73" s="3" t="s">
        <v>364</v>
      </c>
    </row>
    <row r="74" spans="1:4" x14ac:dyDescent="0.3">
      <c r="A74" s="3" t="s">
        <v>52</v>
      </c>
      <c r="B74" s="3" t="s">
        <v>22</v>
      </c>
      <c r="C74" s="3" t="str">
        <f t="shared" si="1"/>
        <v>450012695410</v>
      </c>
      <c r="D74" s="3" t="s">
        <v>366</v>
      </c>
    </row>
    <row r="75" spans="1:4" x14ac:dyDescent="0.3">
      <c r="A75" s="3" t="s">
        <v>52</v>
      </c>
      <c r="B75" s="3" t="s">
        <v>48</v>
      </c>
      <c r="C75" s="3" t="str">
        <f t="shared" si="1"/>
        <v>450012695420</v>
      </c>
      <c r="D75" s="3" t="s">
        <v>366</v>
      </c>
    </row>
    <row r="76" spans="1:4" x14ac:dyDescent="0.3">
      <c r="A76" s="3" t="s">
        <v>47</v>
      </c>
      <c r="B76" s="3" t="s">
        <v>48</v>
      </c>
      <c r="C76" s="3" t="str">
        <f t="shared" si="1"/>
        <v>450012729520</v>
      </c>
      <c r="D76" s="3" t="s">
        <v>364</v>
      </c>
    </row>
    <row r="77" spans="1:4" x14ac:dyDescent="0.3">
      <c r="A77" s="3" t="s">
        <v>47</v>
      </c>
      <c r="B77" s="3" t="s">
        <v>22</v>
      </c>
      <c r="C77" s="3" t="str">
        <f t="shared" si="1"/>
        <v>450012729510</v>
      </c>
      <c r="D77" s="3" t="s">
        <v>364</v>
      </c>
    </row>
    <row r="78" spans="1:4" x14ac:dyDescent="0.3">
      <c r="A78" s="3" t="s">
        <v>154</v>
      </c>
      <c r="B78" s="3" t="s">
        <v>22</v>
      </c>
      <c r="C78" s="3" t="str">
        <f t="shared" si="1"/>
        <v>450012853310</v>
      </c>
      <c r="D78" s="3" t="s">
        <v>360</v>
      </c>
    </row>
    <row r="79" spans="1:4" x14ac:dyDescent="0.3">
      <c r="A79" s="3" t="s">
        <v>154</v>
      </c>
      <c r="B79" s="3" t="s">
        <v>48</v>
      </c>
      <c r="C79" s="3" t="str">
        <f t="shared" si="1"/>
        <v>450012853320</v>
      </c>
      <c r="D79" s="3" t="s">
        <v>360</v>
      </c>
    </row>
    <row r="80" spans="1:4" x14ac:dyDescent="0.3">
      <c r="A80" s="3" t="s">
        <v>59</v>
      </c>
      <c r="B80" s="3" t="s">
        <v>22</v>
      </c>
      <c r="C80" s="3" t="str">
        <f t="shared" si="1"/>
        <v>450012854310</v>
      </c>
      <c r="D80" s="3" t="s">
        <v>360</v>
      </c>
    </row>
    <row r="81" spans="1:4" x14ac:dyDescent="0.3">
      <c r="A81" s="3" t="s">
        <v>149</v>
      </c>
      <c r="B81" s="3" t="s">
        <v>22</v>
      </c>
      <c r="C81" s="3" t="str">
        <f t="shared" si="1"/>
        <v>450012989010</v>
      </c>
      <c r="D81" s="3" t="s">
        <v>366</v>
      </c>
    </row>
    <row r="82" spans="1:4" x14ac:dyDescent="0.3">
      <c r="A82" s="3" t="s">
        <v>65</v>
      </c>
      <c r="B82" s="3" t="s">
        <v>39</v>
      </c>
      <c r="C82" s="3" t="str">
        <f t="shared" si="1"/>
        <v>450012906130</v>
      </c>
      <c r="D82" s="3" t="s">
        <v>365</v>
      </c>
    </row>
    <row r="83" spans="1:4" x14ac:dyDescent="0.3">
      <c r="A83" s="3" t="s">
        <v>65</v>
      </c>
      <c r="B83" s="3" t="s">
        <v>32</v>
      </c>
      <c r="C83" s="3" t="str">
        <f t="shared" si="1"/>
        <v>450012906140</v>
      </c>
      <c r="D83" s="3" t="s">
        <v>365</v>
      </c>
    </row>
    <row r="84" spans="1:4" x14ac:dyDescent="0.3">
      <c r="A84" s="3" t="s">
        <v>65</v>
      </c>
      <c r="B84" s="3" t="s">
        <v>38</v>
      </c>
      <c r="C84" s="3" t="str">
        <f t="shared" si="1"/>
        <v>450012906150</v>
      </c>
      <c r="D84" s="3" t="s">
        <v>365</v>
      </c>
    </row>
    <row r="85" spans="1:4" x14ac:dyDescent="0.3">
      <c r="A85" s="3" t="s">
        <v>65</v>
      </c>
      <c r="B85" s="3" t="s">
        <v>66</v>
      </c>
      <c r="C85" s="3" t="str">
        <f t="shared" si="1"/>
        <v>450012906160</v>
      </c>
      <c r="D85" s="3" t="s">
        <v>365</v>
      </c>
    </row>
    <row r="86" spans="1:4" x14ac:dyDescent="0.3">
      <c r="A86" s="3" t="s">
        <v>65</v>
      </c>
      <c r="B86" s="3" t="s">
        <v>22</v>
      </c>
      <c r="C86" s="3" t="str">
        <f t="shared" si="1"/>
        <v>450012906110</v>
      </c>
      <c r="D86" s="3" t="s">
        <v>365</v>
      </c>
    </row>
    <row r="87" spans="1:4" x14ac:dyDescent="0.3">
      <c r="A87" s="3" t="s">
        <v>65</v>
      </c>
      <c r="B87" s="3" t="s">
        <v>48</v>
      </c>
      <c r="C87" s="3" t="str">
        <f t="shared" si="1"/>
        <v>450012906120</v>
      </c>
      <c r="D87" s="3" t="s">
        <v>365</v>
      </c>
    </row>
    <row r="88" spans="1:4" x14ac:dyDescent="0.3">
      <c r="A88" s="3" t="s">
        <v>127</v>
      </c>
      <c r="B88" s="3" t="s">
        <v>22</v>
      </c>
      <c r="C88" s="3" t="str">
        <f t="shared" si="1"/>
        <v>450012967410</v>
      </c>
      <c r="D88" s="3" t="s">
        <v>366</v>
      </c>
    </row>
    <row r="89" spans="1:4" x14ac:dyDescent="0.3">
      <c r="A89" s="3" t="s">
        <v>130</v>
      </c>
      <c r="B89" s="3" t="s">
        <v>22</v>
      </c>
      <c r="C89" s="3" t="str">
        <f t="shared" si="1"/>
        <v>450012975410</v>
      </c>
      <c r="D89" s="3" t="s">
        <v>366</v>
      </c>
    </row>
    <row r="90" spans="1:4" x14ac:dyDescent="0.3">
      <c r="A90" s="3" t="s">
        <v>137</v>
      </c>
      <c r="B90" s="3" t="s">
        <v>22</v>
      </c>
      <c r="C90" s="3" t="str">
        <f t="shared" si="1"/>
        <v>450013076210</v>
      </c>
      <c r="D90" s="3" t="s">
        <v>365</v>
      </c>
    </row>
    <row r="91" spans="1:4" x14ac:dyDescent="0.3">
      <c r="A91" s="3" t="s">
        <v>160</v>
      </c>
      <c r="B91" s="3" t="s">
        <v>22</v>
      </c>
      <c r="C91" s="3" t="str">
        <f t="shared" si="1"/>
        <v>450013075010</v>
      </c>
      <c r="D91" s="3" t="s">
        <v>366</v>
      </c>
    </row>
    <row r="92" spans="1:4" x14ac:dyDescent="0.3">
      <c r="A92" s="3" t="s">
        <v>160</v>
      </c>
      <c r="B92" s="3" t="s">
        <v>48</v>
      </c>
      <c r="C92" s="3" t="str">
        <f t="shared" si="1"/>
        <v>450013075020</v>
      </c>
      <c r="D92" s="3" t="s">
        <v>366</v>
      </c>
    </row>
    <row r="93" spans="1:4" x14ac:dyDescent="0.3">
      <c r="A93" s="3" t="s">
        <v>160</v>
      </c>
      <c r="B93" s="3" t="s">
        <v>39</v>
      </c>
      <c r="C93" s="3" t="str">
        <f t="shared" si="1"/>
        <v>450013075030</v>
      </c>
      <c r="D93" s="3" t="s">
        <v>366</v>
      </c>
    </row>
    <row r="94" spans="1:4" x14ac:dyDescent="0.3">
      <c r="A94" s="3" t="s">
        <v>160</v>
      </c>
      <c r="B94" s="3" t="s">
        <v>32</v>
      </c>
      <c r="C94" s="3" t="str">
        <f t="shared" si="1"/>
        <v>450013075040</v>
      </c>
      <c r="D94" s="3" t="s">
        <v>366</v>
      </c>
    </row>
    <row r="95" spans="1:4" x14ac:dyDescent="0.3">
      <c r="A95" s="3" t="s">
        <v>160</v>
      </c>
      <c r="B95" s="3" t="s">
        <v>38</v>
      </c>
      <c r="C95" s="3" t="str">
        <f t="shared" si="1"/>
        <v>450013075050</v>
      </c>
      <c r="D95" s="3" t="s">
        <v>366</v>
      </c>
    </row>
    <row r="96" spans="1:4" x14ac:dyDescent="0.3">
      <c r="A96" s="3" t="s">
        <v>160</v>
      </c>
      <c r="B96" s="3" t="s">
        <v>66</v>
      </c>
      <c r="C96" s="3" t="str">
        <f t="shared" si="1"/>
        <v>450013075060</v>
      </c>
      <c r="D96" s="3" t="s">
        <v>366</v>
      </c>
    </row>
    <row r="97" spans="1:4" x14ac:dyDescent="0.3">
      <c r="A97" s="3" t="s">
        <v>160</v>
      </c>
      <c r="B97" s="3" t="s">
        <v>85</v>
      </c>
      <c r="C97" s="3" t="str">
        <f t="shared" si="1"/>
        <v>450013075070</v>
      </c>
      <c r="D97" s="3" t="s">
        <v>366</v>
      </c>
    </row>
    <row r="98" spans="1:4" x14ac:dyDescent="0.3">
      <c r="A98" s="3" t="s">
        <v>160</v>
      </c>
      <c r="B98" s="3" t="s">
        <v>169</v>
      </c>
      <c r="C98" s="3" t="str">
        <f t="shared" si="1"/>
        <v>450013075080</v>
      </c>
      <c r="D98" s="3" t="s">
        <v>366</v>
      </c>
    </row>
    <row r="99" spans="1:4" x14ac:dyDescent="0.3">
      <c r="A99" s="3" t="s">
        <v>160</v>
      </c>
      <c r="B99" s="3" t="s">
        <v>90</v>
      </c>
      <c r="C99" s="3" t="str">
        <f t="shared" si="1"/>
        <v>450013075090</v>
      </c>
      <c r="D99" s="3" t="s">
        <v>366</v>
      </c>
    </row>
    <row r="100" spans="1:4" x14ac:dyDescent="0.3">
      <c r="A100" s="3" t="s">
        <v>136</v>
      </c>
      <c r="B100" s="3" t="s">
        <v>22</v>
      </c>
      <c r="C100" s="3" t="str">
        <f t="shared" si="1"/>
        <v>450013137810</v>
      </c>
      <c r="D100" s="3" t="s">
        <v>365</v>
      </c>
    </row>
    <row r="101" spans="1:4" x14ac:dyDescent="0.3">
      <c r="A101" s="3" t="s">
        <v>139</v>
      </c>
      <c r="B101" s="3" t="s">
        <v>22</v>
      </c>
      <c r="C101" s="3" t="str">
        <f t="shared" si="1"/>
        <v>450013213810</v>
      </c>
      <c r="D101" s="3" t="s">
        <v>365</v>
      </c>
    </row>
    <row r="102" spans="1:4" x14ac:dyDescent="0.3">
      <c r="A102" s="3" t="s">
        <v>142</v>
      </c>
      <c r="B102" s="3" t="s">
        <v>39</v>
      </c>
      <c r="C102" s="3" t="str">
        <f t="shared" si="1"/>
        <v>450013381430</v>
      </c>
      <c r="D102" s="3" t="s">
        <v>366</v>
      </c>
    </row>
    <row r="103" spans="1:4" x14ac:dyDescent="0.3">
      <c r="A103" s="3" t="s">
        <v>142</v>
      </c>
      <c r="B103" s="3" t="s">
        <v>32</v>
      </c>
      <c r="C103" s="3" t="str">
        <f t="shared" si="1"/>
        <v>450013381440</v>
      </c>
      <c r="D103" s="3" t="s">
        <v>366</v>
      </c>
    </row>
    <row r="104" spans="1:4" x14ac:dyDescent="0.3">
      <c r="A104" s="3" t="s">
        <v>157</v>
      </c>
      <c r="B104" s="3" t="s">
        <v>22</v>
      </c>
      <c r="C104" s="3" t="str">
        <f t="shared" si="1"/>
        <v>450013425610</v>
      </c>
      <c r="D104" s="3" t="s">
        <v>366</v>
      </c>
    </row>
    <row r="105" spans="1:4" x14ac:dyDescent="0.3">
      <c r="A105" s="3" t="s">
        <v>152</v>
      </c>
      <c r="B105" s="3" t="s">
        <v>22</v>
      </c>
      <c r="C105" s="3" t="str">
        <f t="shared" si="1"/>
        <v>450013370910</v>
      </c>
      <c r="D105" s="3" t="s">
        <v>366</v>
      </c>
    </row>
    <row r="106" spans="1:4" x14ac:dyDescent="0.3">
      <c r="A106" s="3" t="s">
        <v>152</v>
      </c>
      <c r="B106" s="3" t="s">
        <v>48</v>
      </c>
      <c r="C106" s="3" t="str">
        <f t="shared" si="1"/>
        <v>450013370920</v>
      </c>
      <c r="D106" s="3" t="s">
        <v>366</v>
      </c>
    </row>
    <row r="107" spans="1:4" x14ac:dyDescent="0.3">
      <c r="A107" s="3" t="s">
        <v>156</v>
      </c>
      <c r="B107" s="3" t="s">
        <v>66</v>
      </c>
      <c r="C107" s="3" t="str">
        <f t="shared" si="1"/>
        <v>450013463160</v>
      </c>
      <c r="D107" s="3" t="s">
        <v>366</v>
      </c>
    </row>
    <row r="108" spans="1:4" x14ac:dyDescent="0.3">
      <c r="A108" s="3" t="s">
        <v>98</v>
      </c>
      <c r="B108" s="3" t="s">
        <v>22</v>
      </c>
      <c r="C108" s="3" t="str">
        <f t="shared" si="1"/>
        <v>450013735310</v>
      </c>
      <c r="D108" s="3" t="s">
        <v>367</v>
      </c>
    </row>
    <row r="109" spans="1:4" x14ac:dyDescent="0.3">
      <c r="A109" s="3" t="s">
        <v>161</v>
      </c>
      <c r="B109" s="3" t="s">
        <v>38</v>
      </c>
      <c r="C109" s="3" t="str">
        <f t="shared" si="1"/>
        <v>450013511950</v>
      </c>
      <c r="D109" s="3" t="s">
        <v>367</v>
      </c>
    </row>
    <row r="110" spans="1:4" x14ac:dyDescent="0.3">
      <c r="A110" s="3" t="s">
        <v>161</v>
      </c>
      <c r="B110" s="3" t="s">
        <v>169</v>
      </c>
      <c r="C110" s="3" t="str">
        <f t="shared" si="1"/>
        <v>450013511980</v>
      </c>
      <c r="D110" s="3" t="s">
        <v>367</v>
      </c>
    </row>
    <row r="111" spans="1:4" x14ac:dyDescent="0.3">
      <c r="A111" s="3" t="s">
        <v>161</v>
      </c>
      <c r="B111" s="3" t="s">
        <v>90</v>
      </c>
      <c r="C111" s="3" t="str">
        <f t="shared" si="1"/>
        <v>450013511990</v>
      </c>
      <c r="D111" s="3" t="s">
        <v>367</v>
      </c>
    </row>
    <row r="112" spans="1:4" x14ac:dyDescent="0.3">
      <c r="A112" s="3" t="s">
        <v>248</v>
      </c>
      <c r="B112" s="3" t="s">
        <v>22</v>
      </c>
      <c r="C112" s="3" t="str">
        <f t="shared" si="1"/>
        <v>450013482410</v>
      </c>
      <c r="D112" s="3" t="s">
        <v>360</v>
      </c>
    </row>
    <row r="113" spans="1:4" x14ac:dyDescent="0.3">
      <c r="A113" s="3" t="s">
        <v>96</v>
      </c>
      <c r="B113" s="3" t="s">
        <v>22</v>
      </c>
      <c r="C113" s="3" t="str">
        <f t="shared" si="1"/>
        <v>450013506710</v>
      </c>
      <c r="D113" s="3" t="s">
        <v>366</v>
      </c>
    </row>
    <row r="114" spans="1:4" x14ac:dyDescent="0.3">
      <c r="A114" s="3" t="s">
        <v>96</v>
      </c>
      <c r="B114" s="3" t="s">
        <v>48</v>
      </c>
      <c r="C114" s="3" t="str">
        <f t="shared" si="1"/>
        <v>450013506720</v>
      </c>
      <c r="D114" s="3" t="s">
        <v>366</v>
      </c>
    </row>
    <row r="115" spans="1:4" x14ac:dyDescent="0.3">
      <c r="A115" s="3" t="s">
        <v>188</v>
      </c>
      <c r="B115" s="3" t="s">
        <v>22</v>
      </c>
      <c r="C115" s="3" t="str">
        <f t="shared" si="1"/>
        <v>450013534510</v>
      </c>
      <c r="D115" s="3" t="s">
        <v>365</v>
      </c>
    </row>
    <row r="116" spans="1:4" x14ac:dyDescent="0.3">
      <c r="A116" s="3" t="s">
        <v>188</v>
      </c>
      <c r="B116" s="3" t="s">
        <v>48</v>
      </c>
      <c r="C116" s="3" t="str">
        <f t="shared" si="1"/>
        <v>450013534520</v>
      </c>
      <c r="D116" s="3" t="s">
        <v>365</v>
      </c>
    </row>
    <row r="117" spans="1:4" x14ac:dyDescent="0.3">
      <c r="A117" s="3" t="s">
        <v>188</v>
      </c>
      <c r="B117" s="3" t="s">
        <v>39</v>
      </c>
      <c r="C117" s="3" t="str">
        <f t="shared" si="1"/>
        <v>450013534530</v>
      </c>
      <c r="D117" s="3" t="s">
        <v>365</v>
      </c>
    </row>
    <row r="118" spans="1:4" x14ac:dyDescent="0.3">
      <c r="A118" s="3" t="s">
        <v>67</v>
      </c>
      <c r="B118" s="3" t="s">
        <v>22</v>
      </c>
      <c r="C118" s="3" t="str">
        <f t="shared" si="1"/>
        <v>450013558710</v>
      </c>
      <c r="D118" s="3" t="s">
        <v>365</v>
      </c>
    </row>
    <row r="119" spans="1:4" x14ac:dyDescent="0.3">
      <c r="A119" s="3" t="s">
        <v>188</v>
      </c>
      <c r="B119" s="3" t="s">
        <v>32</v>
      </c>
      <c r="C119" s="3" t="str">
        <f t="shared" si="1"/>
        <v>450013534540</v>
      </c>
      <c r="D119" s="3" t="s">
        <v>365</v>
      </c>
    </row>
    <row r="120" spans="1:4" x14ac:dyDescent="0.3">
      <c r="A120" s="3" t="s">
        <v>178</v>
      </c>
      <c r="B120" s="3" t="s">
        <v>22</v>
      </c>
      <c r="C120" s="3" t="str">
        <f t="shared" si="1"/>
        <v>450013549510</v>
      </c>
      <c r="D120" s="3" t="s">
        <v>365</v>
      </c>
    </row>
    <row r="121" spans="1:4" x14ac:dyDescent="0.3">
      <c r="A121" s="3" t="s">
        <v>219</v>
      </c>
      <c r="B121" s="3" t="s">
        <v>22</v>
      </c>
      <c r="C121" s="3" t="str">
        <f t="shared" si="1"/>
        <v>450013901910</v>
      </c>
      <c r="D121" s="3" t="s">
        <v>362</v>
      </c>
    </row>
    <row r="122" spans="1:4" x14ac:dyDescent="0.3">
      <c r="A122" s="3" t="s">
        <v>72</v>
      </c>
      <c r="B122" s="3" t="s">
        <v>22</v>
      </c>
      <c r="C122" s="3" t="str">
        <f t="shared" si="1"/>
        <v>450013635310</v>
      </c>
      <c r="D122" s="3" t="s">
        <v>359</v>
      </c>
    </row>
    <row r="123" spans="1:4" x14ac:dyDescent="0.3">
      <c r="A123" s="3" t="s">
        <v>163</v>
      </c>
      <c r="B123" s="3" t="s">
        <v>22</v>
      </c>
      <c r="C123" s="3" t="str">
        <f t="shared" si="1"/>
        <v>450013566910</v>
      </c>
      <c r="D123" s="3" t="s">
        <v>368</v>
      </c>
    </row>
    <row r="124" spans="1:4" x14ac:dyDescent="0.3">
      <c r="A124" s="3" t="s">
        <v>163</v>
      </c>
      <c r="B124" s="3" t="s">
        <v>48</v>
      </c>
      <c r="C124" s="3" t="str">
        <f t="shared" si="1"/>
        <v>450013566920</v>
      </c>
      <c r="D124" s="3" t="s">
        <v>368</v>
      </c>
    </row>
    <row r="125" spans="1:4" x14ac:dyDescent="0.3">
      <c r="A125" s="3" t="s">
        <v>218</v>
      </c>
      <c r="B125" s="3" t="s">
        <v>22</v>
      </c>
      <c r="C125" s="3" t="str">
        <f t="shared" si="1"/>
        <v>450013886710</v>
      </c>
      <c r="D125" s="3" t="s">
        <v>367</v>
      </c>
    </row>
    <row r="126" spans="1:4" x14ac:dyDescent="0.3">
      <c r="A126" s="3" t="s">
        <v>166</v>
      </c>
      <c r="B126" s="3" t="s">
        <v>22</v>
      </c>
      <c r="C126" s="3" t="str">
        <f t="shared" si="1"/>
        <v>450013642610</v>
      </c>
      <c r="D126" s="3" t="s">
        <v>366</v>
      </c>
    </row>
    <row r="127" spans="1:4" x14ac:dyDescent="0.3">
      <c r="A127" s="3" t="s">
        <v>166</v>
      </c>
      <c r="B127" s="3" t="s">
        <v>39</v>
      </c>
      <c r="C127" s="3" t="str">
        <f t="shared" si="1"/>
        <v>450013642630</v>
      </c>
      <c r="D127" s="3" t="s">
        <v>366</v>
      </c>
    </row>
    <row r="128" spans="1:4" x14ac:dyDescent="0.3">
      <c r="A128" s="3" t="s">
        <v>166</v>
      </c>
      <c r="B128" s="3" t="s">
        <v>32</v>
      </c>
      <c r="C128" s="3" t="str">
        <f t="shared" si="1"/>
        <v>450013642640</v>
      </c>
      <c r="D128" s="3" t="s">
        <v>366</v>
      </c>
    </row>
    <row r="129" spans="1:4" x14ac:dyDescent="0.3">
      <c r="A129" s="3" t="s">
        <v>166</v>
      </c>
      <c r="B129" s="3" t="s">
        <v>38</v>
      </c>
      <c r="C129" s="3" t="str">
        <f t="shared" si="1"/>
        <v>450013642650</v>
      </c>
      <c r="D129" s="3" t="s">
        <v>366</v>
      </c>
    </row>
    <row r="130" spans="1:4" x14ac:dyDescent="0.3">
      <c r="A130" s="3" t="s">
        <v>177</v>
      </c>
      <c r="B130" s="3" t="s">
        <v>48</v>
      </c>
      <c r="C130" s="3" t="str">
        <f t="shared" si="1"/>
        <v>450013654220</v>
      </c>
      <c r="D130" s="3" t="s">
        <v>359</v>
      </c>
    </row>
    <row r="131" spans="1:4" x14ac:dyDescent="0.3">
      <c r="A131" s="3" t="s">
        <v>177</v>
      </c>
      <c r="B131" s="3" t="s">
        <v>39</v>
      </c>
      <c r="C131" s="3" t="str">
        <f t="shared" ref="C131:C194" si="2">_xlfn.CONCAT(A131:B131)</f>
        <v>450013654230</v>
      </c>
      <c r="D131" s="3" t="s">
        <v>359</v>
      </c>
    </row>
    <row r="132" spans="1:4" x14ac:dyDescent="0.3">
      <c r="A132" s="3" t="s">
        <v>177</v>
      </c>
      <c r="B132" s="3" t="s">
        <v>32</v>
      </c>
      <c r="C132" s="3" t="str">
        <f t="shared" si="2"/>
        <v>450013654240</v>
      </c>
      <c r="D132" s="3" t="s">
        <v>359</v>
      </c>
    </row>
    <row r="133" spans="1:4" x14ac:dyDescent="0.3">
      <c r="A133" s="3" t="s">
        <v>175</v>
      </c>
      <c r="B133" s="3" t="s">
        <v>22</v>
      </c>
      <c r="C133" s="3" t="str">
        <f t="shared" si="2"/>
        <v>450013662510</v>
      </c>
      <c r="D133" s="3" t="s">
        <v>361</v>
      </c>
    </row>
    <row r="134" spans="1:4" x14ac:dyDescent="0.3">
      <c r="A134" s="3" t="s">
        <v>175</v>
      </c>
      <c r="B134" s="3" t="s">
        <v>48</v>
      </c>
      <c r="C134" s="3" t="str">
        <f t="shared" si="2"/>
        <v>450013662520</v>
      </c>
      <c r="D134" s="3" t="s">
        <v>361</v>
      </c>
    </row>
    <row r="135" spans="1:4" x14ac:dyDescent="0.3">
      <c r="A135" s="3" t="s">
        <v>175</v>
      </c>
      <c r="B135" s="3" t="s">
        <v>39</v>
      </c>
      <c r="C135" s="3" t="str">
        <f t="shared" si="2"/>
        <v>450013662530</v>
      </c>
      <c r="D135" s="3" t="s">
        <v>361</v>
      </c>
    </row>
    <row r="136" spans="1:4" x14ac:dyDescent="0.3">
      <c r="A136" s="3" t="s">
        <v>175</v>
      </c>
      <c r="B136" s="3" t="s">
        <v>32</v>
      </c>
      <c r="C136" s="3" t="str">
        <f t="shared" si="2"/>
        <v>450013662540</v>
      </c>
      <c r="D136" s="3" t="s">
        <v>361</v>
      </c>
    </row>
    <row r="137" spans="1:4" x14ac:dyDescent="0.3">
      <c r="A137" s="3" t="s">
        <v>91</v>
      </c>
      <c r="B137" s="3" t="s">
        <v>22</v>
      </c>
      <c r="C137" s="3" t="str">
        <f t="shared" si="2"/>
        <v>450013792210</v>
      </c>
      <c r="D137" s="3" t="s">
        <v>369</v>
      </c>
    </row>
    <row r="138" spans="1:4" x14ac:dyDescent="0.3">
      <c r="A138" s="3" t="s">
        <v>177</v>
      </c>
      <c r="B138" s="3" t="s">
        <v>22</v>
      </c>
      <c r="C138" s="3" t="str">
        <f t="shared" si="2"/>
        <v>450013654210</v>
      </c>
      <c r="D138" s="3" t="s">
        <v>359</v>
      </c>
    </row>
    <row r="139" spans="1:4" x14ac:dyDescent="0.3">
      <c r="A139" s="3" t="s">
        <v>168</v>
      </c>
      <c r="B139" s="3" t="s">
        <v>22</v>
      </c>
      <c r="C139" s="3" t="str">
        <f t="shared" si="2"/>
        <v>450013654410</v>
      </c>
      <c r="D139" s="3" t="s">
        <v>366</v>
      </c>
    </row>
    <row r="140" spans="1:4" x14ac:dyDescent="0.3">
      <c r="A140" s="3" t="s">
        <v>168</v>
      </c>
      <c r="B140" s="3" t="s">
        <v>48</v>
      </c>
      <c r="C140" s="3" t="str">
        <f t="shared" si="2"/>
        <v>450013654420</v>
      </c>
      <c r="D140" s="3" t="s">
        <v>366</v>
      </c>
    </row>
    <row r="141" spans="1:4" x14ac:dyDescent="0.3">
      <c r="A141" s="3" t="s">
        <v>168</v>
      </c>
      <c r="B141" s="3" t="s">
        <v>39</v>
      </c>
      <c r="C141" s="3" t="str">
        <f t="shared" si="2"/>
        <v>450013654430</v>
      </c>
      <c r="D141" s="3" t="s">
        <v>366</v>
      </c>
    </row>
    <row r="142" spans="1:4" x14ac:dyDescent="0.3">
      <c r="A142" s="3" t="s">
        <v>168</v>
      </c>
      <c r="B142" s="3" t="s">
        <v>32</v>
      </c>
      <c r="C142" s="3" t="str">
        <f t="shared" si="2"/>
        <v>450013654440</v>
      </c>
      <c r="D142" s="3" t="s">
        <v>366</v>
      </c>
    </row>
    <row r="143" spans="1:4" x14ac:dyDescent="0.3">
      <c r="A143" s="3" t="s">
        <v>168</v>
      </c>
      <c r="B143" s="3" t="s">
        <v>87</v>
      </c>
      <c r="C143" s="3" t="str">
        <f t="shared" si="2"/>
        <v>4500136544110</v>
      </c>
      <c r="D143" s="3" t="s">
        <v>366</v>
      </c>
    </row>
    <row r="144" spans="1:4" x14ac:dyDescent="0.3">
      <c r="A144" s="3" t="s">
        <v>168</v>
      </c>
      <c r="B144" s="3" t="s">
        <v>38</v>
      </c>
      <c r="C144" s="3" t="str">
        <f t="shared" si="2"/>
        <v>450013654450</v>
      </c>
      <c r="D144" s="3" t="s">
        <v>366</v>
      </c>
    </row>
    <row r="145" spans="1:4" x14ac:dyDescent="0.3">
      <c r="A145" s="3" t="s">
        <v>168</v>
      </c>
      <c r="B145" s="3" t="s">
        <v>66</v>
      </c>
      <c r="C145" s="3" t="str">
        <f t="shared" si="2"/>
        <v>450013654460</v>
      </c>
      <c r="D145" s="3" t="s">
        <v>366</v>
      </c>
    </row>
    <row r="146" spans="1:4" x14ac:dyDescent="0.3">
      <c r="A146" s="3" t="s">
        <v>168</v>
      </c>
      <c r="B146" s="3" t="s">
        <v>169</v>
      </c>
      <c r="C146" s="3" t="str">
        <f t="shared" si="2"/>
        <v>450013654480</v>
      </c>
      <c r="D146" s="3" t="s">
        <v>366</v>
      </c>
    </row>
    <row r="147" spans="1:4" x14ac:dyDescent="0.3">
      <c r="A147" s="3" t="s">
        <v>168</v>
      </c>
      <c r="B147" s="3" t="s">
        <v>40</v>
      </c>
      <c r="C147" s="3" t="str">
        <f t="shared" si="2"/>
        <v>4500136544170</v>
      </c>
      <c r="D147" s="3" t="s">
        <v>366</v>
      </c>
    </row>
    <row r="148" spans="1:4" x14ac:dyDescent="0.3">
      <c r="A148" s="3" t="s">
        <v>73</v>
      </c>
      <c r="B148" s="3" t="s">
        <v>22</v>
      </c>
      <c r="C148" s="3" t="str">
        <f t="shared" si="2"/>
        <v>450013645510</v>
      </c>
      <c r="D148" s="3" t="s">
        <v>361</v>
      </c>
    </row>
    <row r="149" spans="1:4" x14ac:dyDescent="0.3">
      <c r="A149" s="3" t="s">
        <v>73</v>
      </c>
      <c r="B149" s="3" t="s">
        <v>48</v>
      </c>
      <c r="C149" s="3" t="str">
        <f t="shared" si="2"/>
        <v>450013645520</v>
      </c>
      <c r="D149" s="3" t="s">
        <v>361</v>
      </c>
    </row>
    <row r="150" spans="1:4" x14ac:dyDescent="0.3">
      <c r="A150" s="3" t="s">
        <v>73</v>
      </c>
      <c r="B150" s="3" t="s">
        <v>39</v>
      </c>
      <c r="C150" s="3" t="str">
        <f t="shared" si="2"/>
        <v>450013645530</v>
      </c>
      <c r="D150" s="3" t="s">
        <v>361</v>
      </c>
    </row>
    <row r="151" spans="1:4" x14ac:dyDescent="0.3">
      <c r="A151" s="3" t="s">
        <v>73</v>
      </c>
      <c r="B151" s="3" t="s">
        <v>32</v>
      </c>
      <c r="C151" s="3" t="str">
        <f t="shared" si="2"/>
        <v>450013645540</v>
      </c>
      <c r="D151" s="3" t="s">
        <v>361</v>
      </c>
    </row>
    <row r="152" spans="1:4" x14ac:dyDescent="0.3">
      <c r="A152" s="3" t="s">
        <v>73</v>
      </c>
      <c r="B152" s="3" t="s">
        <v>38</v>
      </c>
      <c r="C152" s="3" t="str">
        <f t="shared" si="2"/>
        <v>450013645550</v>
      </c>
      <c r="D152" s="3" t="s">
        <v>361</v>
      </c>
    </row>
    <row r="153" spans="1:4" x14ac:dyDescent="0.3">
      <c r="A153" s="3" t="s">
        <v>73</v>
      </c>
      <c r="B153" s="3" t="s">
        <v>66</v>
      </c>
      <c r="C153" s="3" t="str">
        <f t="shared" si="2"/>
        <v>450013645560</v>
      </c>
      <c r="D153" s="3" t="s">
        <v>361</v>
      </c>
    </row>
    <row r="154" spans="1:4" x14ac:dyDescent="0.3">
      <c r="A154" s="3" t="s">
        <v>73</v>
      </c>
      <c r="B154" s="3" t="s">
        <v>85</v>
      </c>
      <c r="C154" s="3" t="str">
        <f t="shared" si="2"/>
        <v>450013645570</v>
      </c>
      <c r="D154" s="3" t="s">
        <v>361</v>
      </c>
    </row>
    <row r="155" spans="1:4" x14ac:dyDescent="0.3">
      <c r="A155" s="3" t="s">
        <v>73</v>
      </c>
      <c r="B155" s="3" t="s">
        <v>169</v>
      </c>
      <c r="C155" s="3" t="str">
        <f t="shared" si="2"/>
        <v>450013645580</v>
      </c>
      <c r="D155" s="3" t="s">
        <v>361</v>
      </c>
    </row>
    <row r="156" spans="1:4" x14ac:dyDescent="0.3">
      <c r="A156" s="3" t="s">
        <v>73</v>
      </c>
      <c r="B156" s="3" t="s">
        <v>90</v>
      </c>
      <c r="C156" s="3" t="str">
        <f t="shared" si="2"/>
        <v>450013645590</v>
      </c>
      <c r="D156" s="3" t="s">
        <v>361</v>
      </c>
    </row>
    <row r="157" spans="1:4" x14ac:dyDescent="0.3">
      <c r="A157" s="3" t="s">
        <v>73</v>
      </c>
      <c r="B157" s="3" t="s">
        <v>89</v>
      </c>
      <c r="C157" s="3" t="str">
        <f t="shared" si="2"/>
        <v>4500136455100</v>
      </c>
      <c r="D157" s="3" t="s">
        <v>361</v>
      </c>
    </row>
    <row r="158" spans="1:4" x14ac:dyDescent="0.3">
      <c r="A158" s="3" t="s">
        <v>73</v>
      </c>
      <c r="B158" s="3" t="s">
        <v>87</v>
      </c>
      <c r="C158" s="3" t="str">
        <f t="shared" si="2"/>
        <v>4500136455110</v>
      </c>
      <c r="D158" s="3" t="s">
        <v>361</v>
      </c>
    </row>
    <row r="159" spans="1:4" x14ac:dyDescent="0.3">
      <c r="A159" s="3" t="s">
        <v>73</v>
      </c>
      <c r="B159" s="3" t="s">
        <v>88</v>
      </c>
      <c r="C159" s="3" t="str">
        <f t="shared" si="2"/>
        <v>4500136455120</v>
      </c>
      <c r="D159" s="3" t="s">
        <v>361</v>
      </c>
    </row>
    <row r="160" spans="1:4" x14ac:dyDescent="0.3">
      <c r="A160" s="3" t="s">
        <v>73</v>
      </c>
      <c r="B160" s="3" t="s">
        <v>193</v>
      </c>
      <c r="C160" s="3" t="str">
        <f t="shared" si="2"/>
        <v>4500136455130</v>
      </c>
      <c r="D160" s="3" t="s">
        <v>361</v>
      </c>
    </row>
    <row r="161" spans="1:4" x14ac:dyDescent="0.3">
      <c r="A161" s="3" t="s">
        <v>73</v>
      </c>
      <c r="B161" s="3" t="s">
        <v>194</v>
      </c>
      <c r="C161" s="3" t="str">
        <f t="shared" si="2"/>
        <v>4500136455140</v>
      </c>
      <c r="D161" s="3" t="s">
        <v>361</v>
      </c>
    </row>
    <row r="162" spans="1:4" x14ac:dyDescent="0.3">
      <c r="A162" s="3" t="s">
        <v>73</v>
      </c>
      <c r="B162" s="3" t="s">
        <v>195</v>
      </c>
      <c r="C162" s="3" t="str">
        <f t="shared" si="2"/>
        <v>4500136455150</v>
      </c>
      <c r="D162" s="3" t="s">
        <v>361</v>
      </c>
    </row>
    <row r="163" spans="1:4" x14ac:dyDescent="0.3">
      <c r="A163" s="3" t="s">
        <v>73</v>
      </c>
      <c r="B163" s="3" t="s">
        <v>198</v>
      </c>
      <c r="C163" s="3" t="str">
        <f t="shared" si="2"/>
        <v>4500136455160</v>
      </c>
      <c r="D163" s="3" t="s">
        <v>361</v>
      </c>
    </row>
    <row r="164" spans="1:4" x14ac:dyDescent="0.3">
      <c r="A164" s="3" t="s">
        <v>73</v>
      </c>
      <c r="B164" s="3" t="s">
        <v>40</v>
      </c>
      <c r="C164" s="3" t="str">
        <f t="shared" si="2"/>
        <v>4500136455170</v>
      </c>
      <c r="D164" s="3" t="s">
        <v>361</v>
      </c>
    </row>
    <row r="165" spans="1:4" x14ac:dyDescent="0.3">
      <c r="A165" s="3" t="s">
        <v>73</v>
      </c>
      <c r="B165" s="3" t="s">
        <v>288</v>
      </c>
      <c r="C165" s="3" t="str">
        <f t="shared" si="2"/>
        <v>4500136455180</v>
      </c>
      <c r="D165" s="3" t="s">
        <v>361</v>
      </c>
    </row>
    <row r="166" spans="1:4" x14ac:dyDescent="0.3">
      <c r="A166" s="3" t="s">
        <v>73</v>
      </c>
      <c r="B166" s="3" t="s">
        <v>289</v>
      </c>
      <c r="C166" s="3" t="str">
        <f t="shared" si="2"/>
        <v>4500136455190</v>
      </c>
      <c r="D166" s="3" t="s">
        <v>361</v>
      </c>
    </row>
    <row r="167" spans="1:4" x14ac:dyDescent="0.3">
      <c r="A167" s="3" t="s">
        <v>73</v>
      </c>
      <c r="B167" s="3" t="s">
        <v>290</v>
      </c>
      <c r="C167" s="3" t="str">
        <f t="shared" si="2"/>
        <v>4500136455200</v>
      </c>
      <c r="D167" s="3" t="s">
        <v>361</v>
      </c>
    </row>
    <row r="168" spans="1:4" x14ac:dyDescent="0.3">
      <c r="A168" s="3" t="s">
        <v>73</v>
      </c>
      <c r="B168" s="3" t="s">
        <v>291</v>
      </c>
      <c r="C168" s="3" t="str">
        <f t="shared" si="2"/>
        <v>4500136455210</v>
      </c>
      <c r="D168" s="3" t="s">
        <v>361</v>
      </c>
    </row>
    <row r="169" spans="1:4" x14ac:dyDescent="0.3">
      <c r="A169" s="3" t="s">
        <v>73</v>
      </c>
      <c r="B169" s="3" t="s">
        <v>329</v>
      </c>
      <c r="C169" s="3" t="str">
        <f t="shared" si="2"/>
        <v>4500136455220</v>
      </c>
      <c r="D169" s="3" t="s">
        <v>361</v>
      </c>
    </row>
    <row r="170" spans="1:4" x14ac:dyDescent="0.3">
      <c r="A170" s="3" t="s">
        <v>73</v>
      </c>
      <c r="B170" s="3" t="s">
        <v>74</v>
      </c>
      <c r="C170" s="3" t="str">
        <f t="shared" si="2"/>
        <v>4500136455230</v>
      </c>
      <c r="D170" s="3" t="s">
        <v>361</v>
      </c>
    </row>
    <row r="171" spans="1:4" x14ac:dyDescent="0.3">
      <c r="A171" s="3" t="s">
        <v>73</v>
      </c>
      <c r="B171" s="3" t="s">
        <v>330</v>
      </c>
      <c r="C171" s="3" t="str">
        <f t="shared" si="2"/>
        <v>4500136455240</v>
      </c>
      <c r="D171" s="3" t="s">
        <v>361</v>
      </c>
    </row>
    <row r="172" spans="1:4" x14ac:dyDescent="0.3">
      <c r="A172" s="3" t="s">
        <v>92</v>
      </c>
      <c r="B172" s="3" t="s">
        <v>22</v>
      </c>
      <c r="C172" s="3" t="str">
        <f t="shared" si="2"/>
        <v>450013694310</v>
      </c>
      <c r="D172" s="3" t="s">
        <v>364</v>
      </c>
    </row>
    <row r="173" spans="1:4" x14ac:dyDescent="0.3">
      <c r="A173" s="3" t="s">
        <v>93</v>
      </c>
      <c r="B173" s="3" t="s">
        <v>22</v>
      </c>
      <c r="C173" s="3" t="str">
        <f t="shared" si="2"/>
        <v>450013713010</v>
      </c>
      <c r="D173" s="3" t="s">
        <v>364</v>
      </c>
    </row>
    <row r="174" spans="1:4" x14ac:dyDescent="0.3">
      <c r="A174" s="3" t="s">
        <v>93</v>
      </c>
      <c r="B174" s="3" t="s">
        <v>48</v>
      </c>
      <c r="C174" s="3" t="str">
        <f t="shared" si="2"/>
        <v>450013713020</v>
      </c>
      <c r="D174" s="3" t="s">
        <v>364</v>
      </c>
    </row>
    <row r="175" spans="1:4" x14ac:dyDescent="0.3">
      <c r="A175" s="3" t="s">
        <v>214</v>
      </c>
      <c r="B175" s="3" t="s">
        <v>22</v>
      </c>
      <c r="C175" s="3" t="str">
        <f t="shared" si="2"/>
        <v>450013730110</v>
      </c>
      <c r="D175" s="3" t="s">
        <v>365</v>
      </c>
    </row>
    <row r="176" spans="1:4" x14ac:dyDescent="0.3">
      <c r="A176" s="3" t="s">
        <v>247</v>
      </c>
      <c r="B176" s="3" t="s">
        <v>22</v>
      </c>
      <c r="C176" s="3" t="str">
        <f t="shared" si="2"/>
        <v>450013742210</v>
      </c>
      <c r="D176" s="3" t="s">
        <v>360</v>
      </c>
    </row>
    <row r="177" spans="1:4" x14ac:dyDescent="0.3">
      <c r="A177" s="3" t="s">
        <v>247</v>
      </c>
      <c r="B177" s="3" t="s">
        <v>48</v>
      </c>
      <c r="C177" s="3" t="str">
        <f t="shared" si="2"/>
        <v>450013742220</v>
      </c>
      <c r="D177" s="3" t="s">
        <v>360</v>
      </c>
    </row>
    <row r="178" spans="1:4" x14ac:dyDescent="0.3">
      <c r="A178" s="3" t="s">
        <v>247</v>
      </c>
      <c r="B178" s="3" t="s">
        <v>39</v>
      </c>
      <c r="C178" s="3" t="str">
        <f t="shared" si="2"/>
        <v>450013742230</v>
      </c>
      <c r="D178" s="3" t="s">
        <v>360</v>
      </c>
    </row>
    <row r="179" spans="1:4" x14ac:dyDescent="0.3">
      <c r="A179" s="3" t="s">
        <v>247</v>
      </c>
      <c r="B179" s="3" t="s">
        <v>32</v>
      </c>
      <c r="C179" s="3" t="str">
        <f t="shared" si="2"/>
        <v>450013742240</v>
      </c>
      <c r="D179" s="3" t="s">
        <v>360</v>
      </c>
    </row>
    <row r="180" spans="1:4" x14ac:dyDescent="0.3">
      <c r="A180" s="3" t="s">
        <v>171</v>
      </c>
      <c r="B180" s="3" t="s">
        <v>66</v>
      </c>
      <c r="C180" s="3" t="str">
        <f t="shared" si="2"/>
        <v>450013704660</v>
      </c>
      <c r="D180" s="3" t="s">
        <v>366</v>
      </c>
    </row>
    <row r="181" spans="1:4" x14ac:dyDescent="0.3">
      <c r="A181" s="3" t="s">
        <v>171</v>
      </c>
      <c r="B181" s="3" t="s">
        <v>22</v>
      </c>
      <c r="C181" s="3" t="str">
        <f t="shared" si="2"/>
        <v>450013704610</v>
      </c>
      <c r="D181" s="3" t="s">
        <v>366</v>
      </c>
    </row>
    <row r="182" spans="1:4" x14ac:dyDescent="0.3">
      <c r="A182" s="3" t="s">
        <v>171</v>
      </c>
      <c r="B182" s="3" t="s">
        <v>48</v>
      </c>
      <c r="C182" s="3" t="str">
        <f t="shared" si="2"/>
        <v>450013704620</v>
      </c>
      <c r="D182" s="3" t="s">
        <v>366</v>
      </c>
    </row>
    <row r="183" spans="1:4" x14ac:dyDescent="0.3">
      <c r="A183" s="3" t="s">
        <v>171</v>
      </c>
      <c r="B183" s="3" t="s">
        <v>39</v>
      </c>
      <c r="C183" s="3" t="str">
        <f t="shared" si="2"/>
        <v>450013704630</v>
      </c>
      <c r="D183" s="3" t="s">
        <v>366</v>
      </c>
    </row>
    <row r="184" spans="1:4" x14ac:dyDescent="0.3">
      <c r="A184" s="3" t="s">
        <v>171</v>
      </c>
      <c r="B184" s="3" t="s">
        <v>32</v>
      </c>
      <c r="C184" s="3" t="str">
        <f t="shared" si="2"/>
        <v>450013704640</v>
      </c>
      <c r="D184" s="3" t="s">
        <v>366</v>
      </c>
    </row>
    <row r="185" spans="1:4" x14ac:dyDescent="0.3">
      <c r="A185" s="3" t="s">
        <v>173</v>
      </c>
      <c r="B185" s="3" t="s">
        <v>66</v>
      </c>
      <c r="C185" s="3" t="str">
        <f t="shared" si="2"/>
        <v>450013689660</v>
      </c>
      <c r="D185" s="3" t="s">
        <v>366</v>
      </c>
    </row>
    <row r="186" spans="1:4" x14ac:dyDescent="0.3">
      <c r="A186" s="3" t="s">
        <v>63</v>
      </c>
      <c r="B186" s="3" t="s">
        <v>22</v>
      </c>
      <c r="C186" s="3" t="str">
        <f t="shared" si="2"/>
        <v>450013710710</v>
      </c>
      <c r="D186" s="3" t="s">
        <v>366</v>
      </c>
    </row>
    <row r="187" spans="1:4" x14ac:dyDescent="0.3">
      <c r="A187" s="3" t="s">
        <v>63</v>
      </c>
      <c r="B187" s="3" t="s">
        <v>48</v>
      </c>
      <c r="C187" s="3" t="str">
        <f t="shared" si="2"/>
        <v>450013710720</v>
      </c>
      <c r="D187" s="3" t="s">
        <v>366</v>
      </c>
    </row>
    <row r="188" spans="1:4" x14ac:dyDescent="0.3">
      <c r="A188" s="3" t="s">
        <v>214</v>
      </c>
      <c r="B188" s="3" t="s">
        <v>48</v>
      </c>
      <c r="C188" s="3" t="str">
        <f t="shared" si="2"/>
        <v>450013730120</v>
      </c>
      <c r="D188" s="3" t="s">
        <v>365</v>
      </c>
    </row>
    <row r="189" spans="1:4" x14ac:dyDescent="0.3">
      <c r="A189" s="3" t="s">
        <v>214</v>
      </c>
      <c r="B189" s="3" t="s">
        <v>39</v>
      </c>
      <c r="C189" s="3" t="str">
        <f t="shared" si="2"/>
        <v>450013730130</v>
      </c>
      <c r="D189" s="3" t="s">
        <v>365</v>
      </c>
    </row>
    <row r="190" spans="1:4" x14ac:dyDescent="0.3">
      <c r="A190" s="3" t="s">
        <v>214</v>
      </c>
      <c r="B190" s="3" t="s">
        <v>32</v>
      </c>
      <c r="C190" s="3" t="str">
        <f t="shared" si="2"/>
        <v>450013730140</v>
      </c>
      <c r="D190" s="3" t="s">
        <v>365</v>
      </c>
    </row>
    <row r="191" spans="1:4" x14ac:dyDescent="0.3">
      <c r="A191" s="3" t="s">
        <v>186</v>
      </c>
      <c r="B191" s="3" t="s">
        <v>22</v>
      </c>
      <c r="C191" s="3" t="str">
        <f t="shared" si="2"/>
        <v>450013714610</v>
      </c>
      <c r="D191" s="3" t="s">
        <v>365</v>
      </c>
    </row>
    <row r="192" spans="1:4" x14ac:dyDescent="0.3">
      <c r="A192" s="3" t="s">
        <v>97</v>
      </c>
      <c r="B192" s="3" t="s">
        <v>22</v>
      </c>
      <c r="C192" s="3" t="str">
        <f t="shared" si="2"/>
        <v>450013787810</v>
      </c>
      <c r="D192" s="3" t="s">
        <v>366</v>
      </c>
    </row>
    <row r="193" spans="1:4" x14ac:dyDescent="0.3">
      <c r="A193" s="3" t="s">
        <v>61</v>
      </c>
      <c r="B193" s="3" t="s">
        <v>22</v>
      </c>
      <c r="C193" s="3" t="str">
        <f t="shared" si="2"/>
        <v>450013722710</v>
      </c>
      <c r="D193" s="3" t="s">
        <v>360</v>
      </c>
    </row>
    <row r="194" spans="1:4" x14ac:dyDescent="0.3">
      <c r="A194" s="3" t="s">
        <v>61</v>
      </c>
      <c r="B194" s="3" t="s">
        <v>48</v>
      </c>
      <c r="C194" s="3" t="str">
        <f t="shared" si="2"/>
        <v>450013722720</v>
      </c>
      <c r="D194" s="3" t="s">
        <v>360</v>
      </c>
    </row>
    <row r="195" spans="1:4" x14ac:dyDescent="0.3">
      <c r="A195" s="3" t="s">
        <v>76</v>
      </c>
      <c r="B195" s="3" t="s">
        <v>22</v>
      </c>
      <c r="C195" s="3" t="str">
        <f t="shared" ref="C195:C258" si="3">_xlfn.CONCAT(A195:B195)</f>
        <v>450013779910</v>
      </c>
      <c r="D195" s="3" t="s">
        <v>361</v>
      </c>
    </row>
    <row r="196" spans="1:4" x14ac:dyDescent="0.3">
      <c r="A196" s="3" t="s">
        <v>76</v>
      </c>
      <c r="B196" s="3" t="s">
        <v>48</v>
      </c>
      <c r="C196" s="3" t="str">
        <f t="shared" si="3"/>
        <v>450013779920</v>
      </c>
      <c r="D196" s="3" t="s">
        <v>361</v>
      </c>
    </row>
    <row r="197" spans="1:4" x14ac:dyDescent="0.3">
      <c r="A197" s="3" t="s">
        <v>76</v>
      </c>
      <c r="B197" s="3" t="s">
        <v>39</v>
      </c>
      <c r="C197" s="3" t="str">
        <f t="shared" si="3"/>
        <v>450013779930</v>
      </c>
      <c r="D197" s="3" t="s">
        <v>361</v>
      </c>
    </row>
    <row r="198" spans="1:4" x14ac:dyDescent="0.3">
      <c r="A198" s="3" t="s">
        <v>97</v>
      </c>
      <c r="B198" s="3" t="s">
        <v>48</v>
      </c>
      <c r="C198" s="3" t="str">
        <f t="shared" si="3"/>
        <v>450013787820</v>
      </c>
      <c r="D198" s="3" t="s">
        <v>366</v>
      </c>
    </row>
    <row r="199" spans="1:4" x14ac:dyDescent="0.3">
      <c r="A199" s="3" t="s">
        <v>97</v>
      </c>
      <c r="B199" s="3" t="s">
        <v>39</v>
      </c>
      <c r="C199" s="3" t="str">
        <f t="shared" si="3"/>
        <v>450013787830</v>
      </c>
      <c r="D199" s="3" t="s">
        <v>366</v>
      </c>
    </row>
    <row r="200" spans="1:4" x14ac:dyDescent="0.3">
      <c r="A200" s="3" t="s">
        <v>183</v>
      </c>
      <c r="B200" s="3" t="s">
        <v>39</v>
      </c>
      <c r="C200" s="3" t="str">
        <f t="shared" si="3"/>
        <v>450013788630</v>
      </c>
      <c r="D200" s="3" t="s">
        <v>366</v>
      </c>
    </row>
    <row r="201" spans="1:4" x14ac:dyDescent="0.3">
      <c r="A201" s="3" t="s">
        <v>181</v>
      </c>
      <c r="B201" s="3" t="s">
        <v>48</v>
      </c>
      <c r="C201" s="3" t="str">
        <f t="shared" si="3"/>
        <v>450013788820</v>
      </c>
      <c r="D201" s="3" t="s">
        <v>366</v>
      </c>
    </row>
    <row r="202" spans="1:4" x14ac:dyDescent="0.3">
      <c r="A202" s="3" t="s">
        <v>199</v>
      </c>
      <c r="B202" s="3" t="s">
        <v>22</v>
      </c>
      <c r="C202" s="3" t="str">
        <f t="shared" si="3"/>
        <v>450013835810</v>
      </c>
      <c r="D202" s="3" t="s">
        <v>365</v>
      </c>
    </row>
    <row r="203" spans="1:4" x14ac:dyDescent="0.3">
      <c r="A203" s="3" t="s">
        <v>81</v>
      </c>
      <c r="B203" s="3" t="s">
        <v>22</v>
      </c>
      <c r="C203" s="3" t="str">
        <f t="shared" si="3"/>
        <v>450013814710</v>
      </c>
      <c r="D203" s="3" t="s">
        <v>366</v>
      </c>
    </row>
    <row r="204" spans="1:4" x14ac:dyDescent="0.3">
      <c r="A204" s="3" t="s">
        <v>183</v>
      </c>
      <c r="B204" s="3" t="s">
        <v>32</v>
      </c>
      <c r="C204" s="3" t="str">
        <f t="shared" si="3"/>
        <v>450013788640</v>
      </c>
      <c r="D204" s="3" t="s">
        <v>366</v>
      </c>
    </row>
    <row r="205" spans="1:4" x14ac:dyDescent="0.3">
      <c r="A205" s="3" t="s">
        <v>183</v>
      </c>
      <c r="B205" s="3" t="s">
        <v>38</v>
      </c>
      <c r="C205" s="3" t="str">
        <f t="shared" si="3"/>
        <v>450013788650</v>
      </c>
      <c r="D205" s="3" t="s">
        <v>366</v>
      </c>
    </row>
    <row r="206" spans="1:4" x14ac:dyDescent="0.3">
      <c r="A206" s="3" t="s">
        <v>183</v>
      </c>
      <c r="B206" s="3" t="s">
        <v>66</v>
      </c>
      <c r="C206" s="3" t="str">
        <f t="shared" si="3"/>
        <v>450013788660</v>
      </c>
      <c r="D206" s="3" t="s">
        <v>366</v>
      </c>
    </row>
    <row r="207" spans="1:4" x14ac:dyDescent="0.3">
      <c r="A207" s="3" t="s">
        <v>187</v>
      </c>
      <c r="B207" s="3" t="s">
        <v>22</v>
      </c>
      <c r="C207" s="3" t="str">
        <f t="shared" si="3"/>
        <v>450013818210</v>
      </c>
      <c r="D207" s="3" t="s">
        <v>366</v>
      </c>
    </row>
    <row r="208" spans="1:4" x14ac:dyDescent="0.3">
      <c r="A208" s="3" t="s">
        <v>187</v>
      </c>
      <c r="B208" s="3" t="s">
        <v>48</v>
      </c>
      <c r="C208" s="3" t="str">
        <f t="shared" si="3"/>
        <v>450013818220</v>
      </c>
      <c r="D208" s="3" t="s">
        <v>366</v>
      </c>
    </row>
    <row r="209" spans="1:4" x14ac:dyDescent="0.3">
      <c r="A209" s="3" t="s">
        <v>190</v>
      </c>
      <c r="B209" s="3" t="s">
        <v>39</v>
      </c>
      <c r="C209" s="3" t="str">
        <f t="shared" si="3"/>
        <v>450013833930</v>
      </c>
      <c r="D209" s="3" t="s">
        <v>366</v>
      </c>
    </row>
    <row r="210" spans="1:4" x14ac:dyDescent="0.3">
      <c r="A210" s="3" t="s">
        <v>234</v>
      </c>
      <c r="B210" s="3" t="s">
        <v>22</v>
      </c>
      <c r="C210" s="3" t="str">
        <f t="shared" si="3"/>
        <v>450013924510</v>
      </c>
      <c r="D210" s="3" t="s">
        <v>360</v>
      </c>
    </row>
    <row r="211" spans="1:4" x14ac:dyDescent="0.3">
      <c r="A211" s="3" t="s">
        <v>94</v>
      </c>
      <c r="B211" s="3" t="s">
        <v>22</v>
      </c>
      <c r="C211" s="3" t="str">
        <f t="shared" si="3"/>
        <v>450013900410</v>
      </c>
      <c r="D211" s="3" t="s">
        <v>360</v>
      </c>
    </row>
    <row r="212" spans="1:4" x14ac:dyDescent="0.3">
      <c r="A212" s="3" t="s">
        <v>94</v>
      </c>
      <c r="B212" s="3" t="s">
        <v>48</v>
      </c>
      <c r="C212" s="3" t="str">
        <f t="shared" si="3"/>
        <v>450013900420</v>
      </c>
      <c r="D212" s="3" t="s">
        <v>360</v>
      </c>
    </row>
    <row r="213" spans="1:4" x14ac:dyDescent="0.3">
      <c r="A213" s="3" t="s">
        <v>94</v>
      </c>
      <c r="B213" s="3" t="s">
        <v>39</v>
      </c>
      <c r="C213" s="3" t="str">
        <f t="shared" si="3"/>
        <v>450013900430</v>
      </c>
      <c r="D213" s="3" t="s">
        <v>360</v>
      </c>
    </row>
    <row r="214" spans="1:4" x14ac:dyDescent="0.3">
      <c r="A214" s="3" t="s">
        <v>68</v>
      </c>
      <c r="B214" s="3" t="s">
        <v>22</v>
      </c>
      <c r="C214" s="3" t="str">
        <f t="shared" si="3"/>
        <v>450013917510</v>
      </c>
      <c r="D214" s="3" t="s">
        <v>360</v>
      </c>
    </row>
    <row r="215" spans="1:4" x14ac:dyDescent="0.3">
      <c r="A215" s="3" t="s">
        <v>191</v>
      </c>
      <c r="B215" s="3" t="s">
        <v>22</v>
      </c>
      <c r="C215" s="3" t="str">
        <f t="shared" si="3"/>
        <v>450013885810</v>
      </c>
      <c r="D215" s="3" t="s">
        <v>366</v>
      </c>
    </row>
    <row r="216" spans="1:4" x14ac:dyDescent="0.3">
      <c r="A216" s="3" t="s">
        <v>216</v>
      </c>
      <c r="B216" s="3" t="s">
        <v>85</v>
      </c>
      <c r="C216" s="3" t="str">
        <f t="shared" si="3"/>
        <v>450013928570</v>
      </c>
      <c r="D216" s="3" t="s">
        <v>366</v>
      </c>
    </row>
    <row r="217" spans="1:4" x14ac:dyDescent="0.3">
      <c r="A217" s="3" t="s">
        <v>237</v>
      </c>
      <c r="B217" s="3" t="s">
        <v>22</v>
      </c>
      <c r="C217" s="3" t="str">
        <f t="shared" si="3"/>
        <v>450013952410</v>
      </c>
      <c r="D217" s="3" t="s">
        <v>362</v>
      </c>
    </row>
    <row r="218" spans="1:4" x14ac:dyDescent="0.3">
      <c r="A218" s="3" t="s">
        <v>71</v>
      </c>
      <c r="B218" s="3" t="s">
        <v>22</v>
      </c>
      <c r="C218" s="3" t="str">
        <f t="shared" si="3"/>
        <v>450013846410</v>
      </c>
      <c r="D218" s="3" t="s">
        <v>370</v>
      </c>
    </row>
    <row r="219" spans="1:4" x14ac:dyDescent="0.3">
      <c r="A219" s="3" t="s">
        <v>196</v>
      </c>
      <c r="B219" s="3" t="s">
        <v>22</v>
      </c>
      <c r="C219" s="3" t="str">
        <f t="shared" si="3"/>
        <v>450013886510</v>
      </c>
      <c r="D219" s="3" t="s">
        <v>366</v>
      </c>
    </row>
    <row r="220" spans="1:4" x14ac:dyDescent="0.3">
      <c r="A220" s="3" t="s">
        <v>196</v>
      </c>
      <c r="B220" s="3" t="s">
        <v>48</v>
      </c>
      <c r="C220" s="3" t="str">
        <f t="shared" si="3"/>
        <v>450013886520</v>
      </c>
      <c r="D220" s="3" t="s">
        <v>366</v>
      </c>
    </row>
    <row r="221" spans="1:4" x14ac:dyDescent="0.3">
      <c r="A221" s="3" t="s">
        <v>196</v>
      </c>
      <c r="B221" s="3" t="s">
        <v>39</v>
      </c>
      <c r="C221" s="3" t="str">
        <f t="shared" si="3"/>
        <v>450013886530</v>
      </c>
      <c r="D221" s="3" t="s">
        <v>366</v>
      </c>
    </row>
    <row r="222" spans="1:4" x14ac:dyDescent="0.3">
      <c r="A222" s="3" t="s">
        <v>196</v>
      </c>
      <c r="B222" s="3" t="s">
        <v>32</v>
      </c>
      <c r="C222" s="3" t="str">
        <f t="shared" si="3"/>
        <v>450013886540</v>
      </c>
      <c r="D222" s="3" t="s">
        <v>366</v>
      </c>
    </row>
    <row r="223" spans="1:4" x14ac:dyDescent="0.3">
      <c r="A223" s="3" t="s">
        <v>196</v>
      </c>
      <c r="B223" s="3" t="s">
        <v>38</v>
      </c>
      <c r="C223" s="3" t="str">
        <f t="shared" si="3"/>
        <v>450013886550</v>
      </c>
      <c r="D223" s="3" t="s">
        <v>366</v>
      </c>
    </row>
    <row r="224" spans="1:4" x14ac:dyDescent="0.3">
      <c r="A224" s="3" t="s">
        <v>196</v>
      </c>
      <c r="B224" s="3" t="s">
        <v>66</v>
      </c>
      <c r="C224" s="3" t="str">
        <f t="shared" si="3"/>
        <v>450013886560</v>
      </c>
      <c r="D224" s="3" t="s">
        <v>366</v>
      </c>
    </row>
    <row r="225" spans="1:4" x14ac:dyDescent="0.3">
      <c r="A225" s="3" t="s">
        <v>196</v>
      </c>
      <c r="B225" s="3" t="s">
        <v>85</v>
      </c>
      <c r="C225" s="3" t="str">
        <f t="shared" si="3"/>
        <v>450013886570</v>
      </c>
      <c r="D225" s="3" t="s">
        <v>366</v>
      </c>
    </row>
    <row r="226" spans="1:4" x14ac:dyDescent="0.3">
      <c r="A226" s="3" t="s">
        <v>196</v>
      </c>
      <c r="B226" s="3" t="s">
        <v>169</v>
      </c>
      <c r="C226" s="3" t="str">
        <f t="shared" si="3"/>
        <v>450013886580</v>
      </c>
      <c r="D226" s="3" t="s">
        <v>366</v>
      </c>
    </row>
    <row r="227" spans="1:4" x14ac:dyDescent="0.3">
      <c r="A227" s="3" t="s">
        <v>196</v>
      </c>
      <c r="B227" s="3" t="s">
        <v>90</v>
      </c>
      <c r="C227" s="3" t="str">
        <f t="shared" si="3"/>
        <v>450013886590</v>
      </c>
      <c r="D227" s="3" t="s">
        <v>366</v>
      </c>
    </row>
    <row r="228" spans="1:4" x14ac:dyDescent="0.3">
      <c r="A228" s="3" t="s">
        <v>197</v>
      </c>
      <c r="B228" s="3" t="s">
        <v>22</v>
      </c>
      <c r="C228" s="3" t="str">
        <f t="shared" si="3"/>
        <v>450013886910</v>
      </c>
      <c r="D228" s="3" t="s">
        <v>366</v>
      </c>
    </row>
    <row r="229" spans="1:4" x14ac:dyDescent="0.3">
      <c r="A229" s="3" t="s">
        <v>197</v>
      </c>
      <c r="B229" s="3" t="s">
        <v>48</v>
      </c>
      <c r="C229" s="3" t="str">
        <f t="shared" si="3"/>
        <v>450013886920</v>
      </c>
      <c r="D229" s="3" t="s">
        <v>366</v>
      </c>
    </row>
    <row r="230" spans="1:4" x14ac:dyDescent="0.3">
      <c r="A230" s="3" t="s">
        <v>197</v>
      </c>
      <c r="B230" s="3" t="s">
        <v>39</v>
      </c>
      <c r="C230" s="3" t="str">
        <f t="shared" si="3"/>
        <v>450013886930</v>
      </c>
      <c r="D230" s="3" t="s">
        <v>366</v>
      </c>
    </row>
    <row r="231" spans="1:4" x14ac:dyDescent="0.3">
      <c r="A231" s="3" t="s">
        <v>197</v>
      </c>
      <c r="B231" s="3" t="s">
        <v>32</v>
      </c>
      <c r="C231" s="3" t="str">
        <f t="shared" si="3"/>
        <v>450013886940</v>
      </c>
      <c r="D231" s="3" t="s">
        <v>366</v>
      </c>
    </row>
    <row r="232" spans="1:4" x14ac:dyDescent="0.3">
      <c r="A232" s="3" t="s">
        <v>197</v>
      </c>
      <c r="B232" s="3" t="s">
        <v>38</v>
      </c>
      <c r="C232" s="3" t="str">
        <f t="shared" si="3"/>
        <v>450013886950</v>
      </c>
      <c r="D232" s="3" t="s">
        <v>366</v>
      </c>
    </row>
    <row r="233" spans="1:4" x14ac:dyDescent="0.3">
      <c r="A233" s="3" t="s">
        <v>197</v>
      </c>
      <c r="B233" s="3" t="s">
        <v>66</v>
      </c>
      <c r="C233" s="3" t="str">
        <f t="shared" si="3"/>
        <v>450013886960</v>
      </c>
      <c r="D233" s="3" t="s">
        <v>366</v>
      </c>
    </row>
    <row r="234" spans="1:4" x14ac:dyDescent="0.3">
      <c r="A234" s="3" t="s">
        <v>197</v>
      </c>
      <c r="B234" s="3" t="s">
        <v>85</v>
      </c>
      <c r="C234" s="3" t="str">
        <f t="shared" si="3"/>
        <v>450013886970</v>
      </c>
      <c r="D234" s="3" t="s">
        <v>366</v>
      </c>
    </row>
    <row r="235" spans="1:4" x14ac:dyDescent="0.3">
      <c r="A235" s="3" t="s">
        <v>197</v>
      </c>
      <c r="B235" s="3" t="s">
        <v>169</v>
      </c>
      <c r="C235" s="3" t="str">
        <f t="shared" si="3"/>
        <v>450013886980</v>
      </c>
      <c r="D235" s="3" t="s">
        <v>366</v>
      </c>
    </row>
    <row r="236" spans="1:4" x14ac:dyDescent="0.3">
      <c r="A236" s="3" t="s">
        <v>197</v>
      </c>
      <c r="B236" s="3" t="s">
        <v>90</v>
      </c>
      <c r="C236" s="3" t="str">
        <f t="shared" si="3"/>
        <v>450013886990</v>
      </c>
      <c r="D236" s="3" t="s">
        <v>366</v>
      </c>
    </row>
    <row r="237" spans="1:4" x14ac:dyDescent="0.3">
      <c r="A237" s="3" t="s">
        <v>197</v>
      </c>
      <c r="B237" s="3" t="s">
        <v>89</v>
      </c>
      <c r="C237" s="3" t="str">
        <f t="shared" si="3"/>
        <v>4500138869100</v>
      </c>
      <c r="D237" s="3" t="s">
        <v>366</v>
      </c>
    </row>
    <row r="238" spans="1:4" x14ac:dyDescent="0.3">
      <c r="A238" s="3" t="s">
        <v>197</v>
      </c>
      <c r="B238" s="3" t="s">
        <v>87</v>
      </c>
      <c r="C238" s="3" t="str">
        <f t="shared" si="3"/>
        <v>4500138869110</v>
      </c>
      <c r="D238" s="3" t="s">
        <v>366</v>
      </c>
    </row>
    <row r="239" spans="1:4" x14ac:dyDescent="0.3">
      <c r="A239" s="3" t="s">
        <v>197</v>
      </c>
      <c r="B239" s="3" t="s">
        <v>88</v>
      </c>
      <c r="C239" s="3" t="str">
        <f t="shared" si="3"/>
        <v>4500138869120</v>
      </c>
      <c r="D239" s="3" t="s">
        <v>366</v>
      </c>
    </row>
    <row r="240" spans="1:4" x14ac:dyDescent="0.3">
      <c r="A240" s="3" t="s">
        <v>197</v>
      </c>
      <c r="B240" s="3" t="s">
        <v>193</v>
      </c>
      <c r="C240" s="3" t="str">
        <f t="shared" si="3"/>
        <v>4500138869130</v>
      </c>
      <c r="D240" s="3" t="s">
        <v>366</v>
      </c>
    </row>
    <row r="241" spans="1:4" x14ac:dyDescent="0.3">
      <c r="A241" s="3" t="s">
        <v>197</v>
      </c>
      <c r="B241" s="3" t="s">
        <v>194</v>
      </c>
      <c r="C241" s="3" t="str">
        <f t="shared" si="3"/>
        <v>4500138869140</v>
      </c>
      <c r="D241" s="3" t="s">
        <v>366</v>
      </c>
    </row>
    <row r="242" spans="1:4" x14ac:dyDescent="0.3">
      <c r="A242" s="3" t="s">
        <v>197</v>
      </c>
      <c r="B242" s="3" t="s">
        <v>195</v>
      </c>
      <c r="C242" s="3" t="str">
        <f t="shared" si="3"/>
        <v>4500138869150</v>
      </c>
      <c r="D242" s="3" t="s">
        <v>366</v>
      </c>
    </row>
    <row r="243" spans="1:4" x14ac:dyDescent="0.3">
      <c r="A243" s="3" t="s">
        <v>197</v>
      </c>
      <c r="B243" s="3" t="s">
        <v>198</v>
      </c>
      <c r="C243" s="3" t="str">
        <f t="shared" si="3"/>
        <v>4500138869160</v>
      </c>
      <c r="D243" s="3" t="s">
        <v>366</v>
      </c>
    </row>
    <row r="244" spans="1:4" x14ac:dyDescent="0.3">
      <c r="A244" s="3" t="s">
        <v>192</v>
      </c>
      <c r="B244" s="3" t="s">
        <v>22</v>
      </c>
      <c r="C244" s="3" t="str">
        <f t="shared" si="3"/>
        <v>450013887510</v>
      </c>
      <c r="D244" s="3" t="s">
        <v>366</v>
      </c>
    </row>
    <row r="245" spans="1:4" x14ac:dyDescent="0.3">
      <c r="A245" s="3" t="s">
        <v>192</v>
      </c>
      <c r="B245" s="3" t="s">
        <v>48</v>
      </c>
      <c r="C245" s="3" t="str">
        <f t="shared" si="3"/>
        <v>450013887520</v>
      </c>
      <c r="D245" s="3" t="s">
        <v>366</v>
      </c>
    </row>
    <row r="246" spans="1:4" x14ac:dyDescent="0.3">
      <c r="A246" s="3" t="s">
        <v>192</v>
      </c>
      <c r="B246" s="3" t="s">
        <v>39</v>
      </c>
      <c r="C246" s="3" t="str">
        <f t="shared" si="3"/>
        <v>450013887530</v>
      </c>
      <c r="D246" s="3" t="s">
        <v>366</v>
      </c>
    </row>
    <row r="247" spans="1:4" x14ac:dyDescent="0.3">
      <c r="A247" s="3" t="s">
        <v>192</v>
      </c>
      <c r="B247" s="3" t="s">
        <v>32</v>
      </c>
      <c r="C247" s="3" t="str">
        <f t="shared" si="3"/>
        <v>450013887540</v>
      </c>
      <c r="D247" s="3" t="s">
        <v>366</v>
      </c>
    </row>
    <row r="248" spans="1:4" x14ac:dyDescent="0.3">
      <c r="A248" s="3" t="s">
        <v>192</v>
      </c>
      <c r="B248" s="3" t="s">
        <v>38</v>
      </c>
      <c r="C248" s="3" t="str">
        <f t="shared" si="3"/>
        <v>450013887550</v>
      </c>
      <c r="D248" s="3" t="s">
        <v>366</v>
      </c>
    </row>
    <row r="249" spans="1:4" x14ac:dyDescent="0.3">
      <c r="A249" s="3" t="s">
        <v>192</v>
      </c>
      <c r="B249" s="3" t="s">
        <v>66</v>
      </c>
      <c r="C249" s="3" t="str">
        <f t="shared" si="3"/>
        <v>450013887560</v>
      </c>
      <c r="D249" s="3" t="s">
        <v>366</v>
      </c>
    </row>
    <row r="250" spans="1:4" x14ac:dyDescent="0.3">
      <c r="A250" s="3" t="s">
        <v>192</v>
      </c>
      <c r="B250" s="3" t="s">
        <v>85</v>
      </c>
      <c r="C250" s="3" t="str">
        <f t="shared" si="3"/>
        <v>450013887570</v>
      </c>
      <c r="D250" s="3" t="s">
        <v>366</v>
      </c>
    </row>
    <row r="251" spans="1:4" x14ac:dyDescent="0.3">
      <c r="A251" s="3" t="s">
        <v>192</v>
      </c>
      <c r="B251" s="3" t="s">
        <v>169</v>
      </c>
      <c r="C251" s="3" t="str">
        <f t="shared" si="3"/>
        <v>450013887580</v>
      </c>
      <c r="D251" s="3" t="s">
        <v>366</v>
      </c>
    </row>
    <row r="252" spans="1:4" x14ac:dyDescent="0.3">
      <c r="A252" s="3" t="s">
        <v>192</v>
      </c>
      <c r="B252" s="3" t="s">
        <v>90</v>
      </c>
      <c r="C252" s="3" t="str">
        <f t="shared" si="3"/>
        <v>450013887590</v>
      </c>
      <c r="D252" s="3" t="s">
        <v>366</v>
      </c>
    </row>
    <row r="253" spans="1:4" x14ac:dyDescent="0.3">
      <c r="A253" s="3" t="s">
        <v>192</v>
      </c>
      <c r="B253" s="3" t="s">
        <v>89</v>
      </c>
      <c r="C253" s="3" t="str">
        <f t="shared" si="3"/>
        <v>4500138875100</v>
      </c>
      <c r="D253" s="3" t="s">
        <v>366</v>
      </c>
    </row>
    <row r="254" spans="1:4" x14ac:dyDescent="0.3">
      <c r="A254" s="3" t="s">
        <v>192</v>
      </c>
      <c r="B254" s="3" t="s">
        <v>87</v>
      </c>
      <c r="C254" s="3" t="str">
        <f t="shared" si="3"/>
        <v>4500138875110</v>
      </c>
      <c r="D254" s="3" t="s">
        <v>366</v>
      </c>
    </row>
    <row r="255" spans="1:4" x14ac:dyDescent="0.3">
      <c r="A255" s="3" t="s">
        <v>192</v>
      </c>
      <c r="B255" s="3" t="s">
        <v>88</v>
      </c>
      <c r="C255" s="3" t="str">
        <f t="shared" si="3"/>
        <v>4500138875120</v>
      </c>
      <c r="D255" s="3" t="s">
        <v>366</v>
      </c>
    </row>
    <row r="256" spans="1:4" x14ac:dyDescent="0.3">
      <c r="A256" s="3" t="s">
        <v>192</v>
      </c>
      <c r="B256" s="3" t="s">
        <v>193</v>
      </c>
      <c r="C256" s="3" t="str">
        <f t="shared" si="3"/>
        <v>4500138875130</v>
      </c>
      <c r="D256" s="3" t="s">
        <v>366</v>
      </c>
    </row>
    <row r="257" spans="1:4" x14ac:dyDescent="0.3">
      <c r="A257" s="3" t="s">
        <v>192</v>
      </c>
      <c r="B257" s="3" t="s">
        <v>194</v>
      </c>
      <c r="C257" s="3" t="str">
        <f t="shared" si="3"/>
        <v>4500138875140</v>
      </c>
      <c r="D257" s="3" t="s">
        <v>366</v>
      </c>
    </row>
    <row r="258" spans="1:4" x14ac:dyDescent="0.3">
      <c r="A258" s="3" t="s">
        <v>192</v>
      </c>
      <c r="B258" s="3" t="s">
        <v>195</v>
      </c>
      <c r="C258" s="3" t="str">
        <f t="shared" si="3"/>
        <v>4500138875150</v>
      </c>
      <c r="D258" s="3" t="s">
        <v>366</v>
      </c>
    </row>
    <row r="259" spans="1:4" x14ac:dyDescent="0.3">
      <c r="A259" s="3" t="s">
        <v>249</v>
      </c>
      <c r="B259" s="3" t="s">
        <v>22</v>
      </c>
      <c r="C259" s="3" t="str">
        <f t="shared" ref="C259:C322" si="4">_xlfn.CONCAT(A259:B259)</f>
        <v>450013929810</v>
      </c>
      <c r="D259" s="3" t="s">
        <v>360</v>
      </c>
    </row>
    <row r="260" spans="1:4" x14ac:dyDescent="0.3">
      <c r="A260" s="3" t="s">
        <v>249</v>
      </c>
      <c r="B260" s="3" t="s">
        <v>48</v>
      </c>
      <c r="C260" s="3" t="str">
        <f t="shared" si="4"/>
        <v>450013929820</v>
      </c>
      <c r="D260" s="3" t="s">
        <v>360</v>
      </c>
    </row>
    <row r="261" spans="1:4" x14ac:dyDescent="0.3">
      <c r="A261" s="3" t="s">
        <v>249</v>
      </c>
      <c r="B261" s="3" t="s">
        <v>39</v>
      </c>
      <c r="C261" s="3" t="str">
        <f t="shared" si="4"/>
        <v>450013929830</v>
      </c>
      <c r="D261" s="3" t="s">
        <v>360</v>
      </c>
    </row>
    <row r="262" spans="1:4" x14ac:dyDescent="0.3">
      <c r="A262" s="3" t="s">
        <v>86</v>
      </c>
      <c r="B262" s="3" t="s">
        <v>85</v>
      </c>
      <c r="C262" s="3" t="str">
        <f t="shared" si="4"/>
        <v>450013869170</v>
      </c>
      <c r="D262" s="3" t="s">
        <v>365</v>
      </c>
    </row>
    <row r="263" spans="1:4" x14ac:dyDescent="0.3">
      <c r="A263" s="3" t="s">
        <v>86</v>
      </c>
      <c r="B263" s="3" t="s">
        <v>90</v>
      </c>
      <c r="C263" s="3" t="str">
        <f t="shared" si="4"/>
        <v>450013869190</v>
      </c>
      <c r="D263" s="3" t="s">
        <v>365</v>
      </c>
    </row>
    <row r="264" spans="1:4" x14ac:dyDescent="0.3">
      <c r="A264" s="3" t="s">
        <v>86</v>
      </c>
      <c r="B264" s="3" t="s">
        <v>89</v>
      </c>
      <c r="C264" s="3" t="str">
        <f t="shared" si="4"/>
        <v>4500138691100</v>
      </c>
      <c r="D264" s="3" t="s">
        <v>365</v>
      </c>
    </row>
    <row r="265" spans="1:4" x14ac:dyDescent="0.3">
      <c r="A265" s="3" t="s">
        <v>86</v>
      </c>
      <c r="B265" s="3" t="s">
        <v>87</v>
      </c>
      <c r="C265" s="3" t="str">
        <f t="shared" si="4"/>
        <v>4500138691110</v>
      </c>
      <c r="D265" s="3" t="s">
        <v>365</v>
      </c>
    </row>
    <row r="266" spans="1:4" x14ac:dyDescent="0.3">
      <c r="A266" s="3" t="s">
        <v>86</v>
      </c>
      <c r="B266" s="3" t="s">
        <v>88</v>
      </c>
      <c r="C266" s="3" t="str">
        <f t="shared" si="4"/>
        <v>4500138691120</v>
      </c>
      <c r="D266" s="3" t="s">
        <v>365</v>
      </c>
    </row>
    <row r="267" spans="1:4" x14ac:dyDescent="0.3">
      <c r="A267" s="3" t="s">
        <v>86</v>
      </c>
      <c r="B267" s="3" t="s">
        <v>22</v>
      </c>
      <c r="C267" s="3" t="str">
        <f t="shared" si="4"/>
        <v>450013869110</v>
      </c>
      <c r="D267" s="3" t="s">
        <v>365</v>
      </c>
    </row>
    <row r="268" spans="1:4" x14ac:dyDescent="0.3">
      <c r="A268" s="3" t="s">
        <v>86</v>
      </c>
      <c r="B268" s="3" t="s">
        <v>48</v>
      </c>
      <c r="C268" s="3" t="str">
        <f t="shared" si="4"/>
        <v>450013869120</v>
      </c>
      <c r="D268" s="3" t="s">
        <v>365</v>
      </c>
    </row>
    <row r="269" spans="1:4" x14ac:dyDescent="0.3">
      <c r="A269" s="3" t="s">
        <v>86</v>
      </c>
      <c r="B269" s="3" t="s">
        <v>39</v>
      </c>
      <c r="C269" s="3" t="str">
        <f t="shared" si="4"/>
        <v>450013869130</v>
      </c>
      <c r="D269" s="3" t="s">
        <v>365</v>
      </c>
    </row>
    <row r="270" spans="1:4" x14ac:dyDescent="0.3">
      <c r="A270" s="3" t="s">
        <v>86</v>
      </c>
      <c r="B270" s="3" t="s">
        <v>32</v>
      </c>
      <c r="C270" s="3" t="str">
        <f t="shared" si="4"/>
        <v>450013869140</v>
      </c>
      <c r="D270" s="3" t="s">
        <v>365</v>
      </c>
    </row>
    <row r="271" spans="1:4" x14ac:dyDescent="0.3">
      <c r="A271" s="3" t="s">
        <v>86</v>
      </c>
      <c r="B271" s="3" t="s">
        <v>38</v>
      </c>
      <c r="C271" s="3" t="str">
        <f t="shared" si="4"/>
        <v>450013869150</v>
      </c>
      <c r="D271" s="3" t="s">
        <v>365</v>
      </c>
    </row>
    <row r="272" spans="1:4" x14ac:dyDescent="0.3">
      <c r="A272" s="3" t="s">
        <v>86</v>
      </c>
      <c r="B272" s="3" t="s">
        <v>66</v>
      </c>
      <c r="C272" s="3" t="str">
        <f t="shared" si="4"/>
        <v>450013869160</v>
      </c>
      <c r="D272" s="3" t="s">
        <v>365</v>
      </c>
    </row>
    <row r="273" spans="1:4" x14ac:dyDescent="0.3">
      <c r="A273" s="3" t="s">
        <v>216</v>
      </c>
      <c r="B273" s="3" t="s">
        <v>22</v>
      </c>
      <c r="C273" s="3" t="str">
        <f t="shared" si="4"/>
        <v>450013928510</v>
      </c>
      <c r="D273" s="3" t="s">
        <v>366</v>
      </c>
    </row>
    <row r="274" spans="1:4" x14ac:dyDescent="0.3">
      <c r="A274" s="3" t="s">
        <v>204</v>
      </c>
      <c r="B274" s="3" t="s">
        <v>48</v>
      </c>
      <c r="C274" s="3" t="str">
        <f t="shared" si="4"/>
        <v>450013897620</v>
      </c>
      <c r="D274" s="3" t="s">
        <v>366</v>
      </c>
    </row>
    <row r="275" spans="1:4" x14ac:dyDescent="0.3">
      <c r="A275" s="3" t="s">
        <v>231</v>
      </c>
      <c r="B275" s="3" t="s">
        <v>22</v>
      </c>
      <c r="C275" s="3" t="str">
        <f t="shared" si="4"/>
        <v>450013980910</v>
      </c>
      <c r="D275" s="3" t="s">
        <v>360</v>
      </c>
    </row>
    <row r="276" spans="1:4" x14ac:dyDescent="0.3">
      <c r="A276" s="3" t="s">
        <v>244</v>
      </c>
      <c r="B276" s="3" t="s">
        <v>22</v>
      </c>
      <c r="C276" s="3" t="str">
        <f t="shared" si="4"/>
        <v>450013929310</v>
      </c>
      <c r="D276" s="3" t="s">
        <v>367</v>
      </c>
    </row>
    <row r="277" spans="1:4" x14ac:dyDescent="0.3">
      <c r="A277" s="3" t="s">
        <v>69</v>
      </c>
      <c r="B277" s="3" t="s">
        <v>22</v>
      </c>
      <c r="C277" s="3" t="str">
        <f t="shared" si="4"/>
        <v>450013959810</v>
      </c>
      <c r="D277" s="3" t="s">
        <v>360</v>
      </c>
    </row>
    <row r="278" spans="1:4" x14ac:dyDescent="0.3">
      <c r="A278" s="3" t="s">
        <v>77</v>
      </c>
      <c r="B278" s="3" t="s">
        <v>38</v>
      </c>
      <c r="C278" s="3" t="str">
        <f t="shared" si="4"/>
        <v>450013932550</v>
      </c>
      <c r="D278" s="3" t="s">
        <v>361</v>
      </c>
    </row>
    <row r="279" spans="1:4" x14ac:dyDescent="0.3">
      <c r="A279" s="3" t="s">
        <v>82</v>
      </c>
      <c r="B279" s="3" t="s">
        <v>22</v>
      </c>
      <c r="C279" s="3" t="str">
        <f t="shared" si="4"/>
        <v>450013901110</v>
      </c>
      <c r="D279" s="3" t="s">
        <v>366</v>
      </c>
    </row>
    <row r="280" spans="1:4" x14ac:dyDescent="0.3">
      <c r="A280" s="3" t="s">
        <v>213</v>
      </c>
      <c r="B280" s="3" t="s">
        <v>87</v>
      </c>
      <c r="C280" s="3" t="str">
        <f t="shared" si="4"/>
        <v>4500139302110</v>
      </c>
      <c r="D280" s="3" t="s">
        <v>366</v>
      </c>
    </row>
    <row r="281" spans="1:4" x14ac:dyDescent="0.3">
      <c r="A281" s="3" t="s">
        <v>213</v>
      </c>
      <c r="B281" s="3" t="s">
        <v>88</v>
      </c>
      <c r="C281" s="3" t="str">
        <f t="shared" si="4"/>
        <v>4500139302120</v>
      </c>
      <c r="D281" s="3" t="s">
        <v>366</v>
      </c>
    </row>
    <row r="282" spans="1:4" x14ac:dyDescent="0.3">
      <c r="A282" s="3" t="s">
        <v>224</v>
      </c>
      <c r="B282" s="3" t="s">
        <v>22</v>
      </c>
      <c r="C282" s="3" t="str">
        <f t="shared" si="4"/>
        <v>450013943710</v>
      </c>
      <c r="D282" s="3" t="s">
        <v>369</v>
      </c>
    </row>
    <row r="283" spans="1:4" x14ac:dyDescent="0.3">
      <c r="A283" s="3" t="s">
        <v>251</v>
      </c>
      <c r="B283" s="3" t="s">
        <v>22</v>
      </c>
      <c r="C283" s="3" t="str">
        <f t="shared" si="4"/>
        <v>450013984510</v>
      </c>
      <c r="D283" s="3" t="s">
        <v>366</v>
      </c>
    </row>
    <row r="284" spans="1:4" x14ac:dyDescent="0.3">
      <c r="A284" s="3" t="s">
        <v>211</v>
      </c>
      <c r="B284" s="3" t="s">
        <v>22</v>
      </c>
      <c r="C284" s="3" t="str">
        <f t="shared" si="4"/>
        <v>450013916410</v>
      </c>
      <c r="D284" s="3" t="s">
        <v>365</v>
      </c>
    </row>
    <row r="285" spans="1:4" x14ac:dyDescent="0.3">
      <c r="A285" s="3" t="s">
        <v>211</v>
      </c>
      <c r="B285" s="3" t="s">
        <v>48</v>
      </c>
      <c r="C285" s="3" t="str">
        <f t="shared" si="4"/>
        <v>450013916420</v>
      </c>
      <c r="D285" s="3" t="s">
        <v>365</v>
      </c>
    </row>
    <row r="286" spans="1:4" x14ac:dyDescent="0.3">
      <c r="A286" s="3" t="s">
        <v>200</v>
      </c>
      <c r="B286" s="3" t="s">
        <v>22</v>
      </c>
      <c r="C286" s="3" t="str">
        <f t="shared" si="4"/>
        <v>450013906210</v>
      </c>
      <c r="D286" s="3" t="s">
        <v>365</v>
      </c>
    </row>
    <row r="287" spans="1:4" x14ac:dyDescent="0.3">
      <c r="A287" s="3" t="s">
        <v>200</v>
      </c>
      <c r="B287" s="3" t="s">
        <v>39</v>
      </c>
      <c r="C287" s="3" t="str">
        <f t="shared" si="4"/>
        <v>450013906230</v>
      </c>
      <c r="D287" s="3" t="s">
        <v>365</v>
      </c>
    </row>
    <row r="288" spans="1:4" x14ac:dyDescent="0.3">
      <c r="A288" s="3" t="s">
        <v>200</v>
      </c>
      <c r="B288" s="3" t="s">
        <v>32</v>
      </c>
      <c r="C288" s="3" t="str">
        <f t="shared" si="4"/>
        <v>450013906240</v>
      </c>
      <c r="D288" s="3" t="s">
        <v>365</v>
      </c>
    </row>
    <row r="289" spans="1:4" x14ac:dyDescent="0.3">
      <c r="A289" s="3" t="s">
        <v>200</v>
      </c>
      <c r="B289" s="3" t="s">
        <v>48</v>
      </c>
      <c r="C289" s="3" t="str">
        <f t="shared" si="4"/>
        <v>450013906220</v>
      </c>
      <c r="D289" s="3" t="s">
        <v>365</v>
      </c>
    </row>
    <row r="290" spans="1:4" x14ac:dyDescent="0.3">
      <c r="A290" s="3" t="s">
        <v>206</v>
      </c>
      <c r="B290" s="3" t="s">
        <v>169</v>
      </c>
      <c r="C290" s="3" t="str">
        <f t="shared" si="4"/>
        <v>450013919880</v>
      </c>
      <c r="D290" s="3" t="s">
        <v>366</v>
      </c>
    </row>
    <row r="291" spans="1:4" x14ac:dyDescent="0.3">
      <c r="A291" s="3" t="s">
        <v>202</v>
      </c>
      <c r="B291" s="3" t="s">
        <v>22</v>
      </c>
      <c r="C291" s="3" t="str">
        <f t="shared" si="4"/>
        <v>450013915110</v>
      </c>
      <c r="D291" s="3" t="s">
        <v>366</v>
      </c>
    </row>
    <row r="292" spans="1:4" x14ac:dyDescent="0.3">
      <c r="A292" s="3" t="s">
        <v>221</v>
      </c>
      <c r="B292" s="3" t="s">
        <v>22</v>
      </c>
      <c r="C292" s="3" t="str">
        <f t="shared" si="4"/>
        <v>450013923110</v>
      </c>
      <c r="D292" s="3" t="s">
        <v>365</v>
      </c>
    </row>
    <row r="293" spans="1:4" x14ac:dyDescent="0.3">
      <c r="A293" s="3" t="s">
        <v>77</v>
      </c>
      <c r="B293" s="3" t="s">
        <v>48</v>
      </c>
      <c r="C293" s="3" t="str">
        <f t="shared" si="4"/>
        <v>450013932520</v>
      </c>
      <c r="D293" s="3" t="s">
        <v>361</v>
      </c>
    </row>
    <row r="294" spans="1:4" x14ac:dyDescent="0.3">
      <c r="A294" s="3" t="s">
        <v>221</v>
      </c>
      <c r="B294" s="3" t="s">
        <v>48</v>
      </c>
      <c r="C294" s="3" t="str">
        <f t="shared" si="4"/>
        <v>450013923120</v>
      </c>
      <c r="D294" s="3" t="s">
        <v>365</v>
      </c>
    </row>
    <row r="295" spans="1:4" x14ac:dyDescent="0.3">
      <c r="A295" s="3" t="s">
        <v>77</v>
      </c>
      <c r="B295" s="3" t="s">
        <v>39</v>
      </c>
      <c r="C295" s="3" t="str">
        <f t="shared" si="4"/>
        <v>450013932530</v>
      </c>
      <c r="D295" s="3" t="s">
        <v>361</v>
      </c>
    </row>
    <row r="296" spans="1:4" x14ac:dyDescent="0.3">
      <c r="A296" s="3" t="s">
        <v>77</v>
      </c>
      <c r="B296" s="3" t="s">
        <v>32</v>
      </c>
      <c r="C296" s="3" t="str">
        <f t="shared" si="4"/>
        <v>450013932540</v>
      </c>
      <c r="D296" s="3" t="s">
        <v>361</v>
      </c>
    </row>
    <row r="297" spans="1:4" x14ac:dyDescent="0.3">
      <c r="A297" s="3" t="s">
        <v>213</v>
      </c>
      <c r="B297" s="3" t="s">
        <v>89</v>
      </c>
      <c r="C297" s="3" t="str">
        <f t="shared" si="4"/>
        <v>4500139302100</v>
      </c>
      <c r="D297" s="3" t="s">
        <v>366</v>
      </c>
    </row>
    <row r="298" spans="1:4" x14ac:dyDescent="0.3">
      <c r="A298" s="3" t="s">
        <v>99</v>
      </c>
      <c r="B298" s="3" t="s">
        <v>22</v>
      </c>
      <c r="C298" s="3" t="str">
        <f t="shared" si="4"/>
        <v>450013933810</v>
      </c>
      <c r="D298" s="3" t="s">
        <v>361</v>
      </c>
    </row>
    <row r="299" spans="1:4" x14ac:dyDescent="0.3">
      <c r="A299" s="3" t="s">
        <v>77</v>
      </c>
      <c r="B299" s="3" t="s">
        <v>22</v>
      </c>
      <c r="C299" s="3" t="str">
        <f t="shared" si="4"/>
        <v>450013932510</v>
      </c>
      <c r="D299" s="3" t="s">
        <v>361</v>
      </c>
    </row>
    <row r="300" spans="1:4" x14ac:dyDescent="0.3">
      <c r="A300" s="3" t="s">
        <v>213</v>
      </c>
      <c r="B300" s="3" t="s">
        <v>48</v>
      </c>
      <c r="C300" s="3" t="str">
        <f t="shared" si="4"/>
        <v>450013930220</v>
      </c>
      <c r="D300" s="3" t="s">
        <v>366</v>
      </c>
    </row>
    <row r="301" spans="1:4" x14ac:dyDescent="0.3">
      <c r="A301" s="3" t="s">
        <v>226</v>
      </c>
      <c r="B301" s="3" t="s">
        <v>22</v>
      </c>
      <c r="C301" s="3" t="str">
        <f t="shared" si="4"/>
        <v>450013937910</v>
      </c>
      <c r="D301" s="3" t="s">
        <v>366</v>
      </c>
    </row>
    <row r="302" spans="1:4" x14ac:dyDescent="0.3">
      <c r="A302" s="3" t="s">
        <v>79</v>
      </c>
      <c r="B302" s="3" t="s">
        <v>22</v>
      </c>
      <c r="C302" s="3" t="str">
        <f t="shared" si="4"/>
        <v>450013967010</v>
      </c>
      <c r="D302" s="3" t="s">
        <v>361</v>
      </c>
    </row>
    <row r="303" spans="1:4" x14ac:dyDescent="0.3">
      <c r="A303" s="3" t="s">
        <v>79</v>
      </c>
      <c r="B303" s="3" t="s">
        <v>48</v>
      </c>
      <c r="C303" s="3" t="str">
        <f t="shared" si="4"/>
        <v>450013967020</v>
      </c>
      <c r="D303" s="3" t="s">
        <v>361</v>
      </c>
    </row>
    <row r="304" spans="1:4" x14ac:dyDescent="0.3">
      <c r="A304" s="3" t="s">
        <v>100</v>
      </c>
      <c r="B304" s="3" t="s">
        <v>22</v>
      </c>
      <c r="C304" s="3" t="str">
        <f t="shared" si="4"/>
        <v>450013973110</v>
      </c>
      <c r="D304" s="3" t="s">
        <v>361</v>
      </c>
    </row>
    <row r="305" spans="1:4" x14ac:dyDescent="0.3">
      <c r="A305" s="3" t="s">
        <v>220</v>
      </c>
      <c r="B305" s="3" t="s">
        <v>22</v>
      </c>
      <c r="C305" s="3" t="str">
        <f t="shared" si="4"/>
        <v>450013962010</v>
      </c>
      <c r="D305" s="3" t="s">
        <v>366</v>
      </c>
    </row>
    <row r="306" spans="1:4" x14ac:dyDescent="0.3">
      <c r="A306" s="3" t="s">
        <v>246</v>
      </c>
      <c r="B306" s="3" t="s">
        <v>22</v>
      </c>
      <c r="C306" s="3" t="str">
        <f t="shared" si="4"/>
        <v>450014001110</v>
      </c>
      <c r="D306" s="3" t="s">
        <v>366</v>
      </c>
    </row>
    <row r="307" spans="1:4" x14ac:dyDescent="0.3">
      <c r="A307" s="3" t="s">
        <v>246</v>
      </c>
      <c r="B307" s="3" t="s">
        <v>48</v>
      </c>
      <c r="C307" s="3" t="str">
        <f t="shared" si="4"/>
        <v>450014001120</v>
      </c>
      <c r="D307" s="3" t="s">
        <v>366</v>
      </c>
    </row>
    <row r="308" spans="1:4" x14ac:dyDescent="0.3">
      <c r="A308" s="3" t="s">
        <v>246</v>
      </c>
      <c r="B308" s="3" t="s">
        <v>39</v>
      </c>
      <c r="C308" s="3" t="str">
        <f t="shared" si="4"/>
        <v>450014001130</v>
      </c>
      <c r="D308" s="3" t="s">
        <v>366</v>
      </c>
    </row>
    <row r="309" spans="1:4" x14ac:dyDescent="0.3">
      <c r="A309" s="3" t="s">
        <v>246</v>
      </c>
      <c r="B309" s="3" t="s">
        <v>32</v>
      </c>
      <c r="C309" s="3" t="str">
        <f t="shared" si="4"/>
        <v>450014001140</v>
      </c>
      <c r="D309" s="3" t="s">
        <v>366</v>
      </c>
    </row>
    <row r="310" spans="1:4" x14ac:dyDescent="0.3">
      <c r="A310" s="3" t="s">
        <v>246</v>
      </c>
      <c r="B310" s="3" t="s">
        <v>38</v>
      </c>
      <c r="C310" s="3" t="str">
        <f t="shared" si="4"/>
        <v>450014001150</v>
      </c>
      <c r="D310" s="3" t="s">
        <v>366</v>
      </c>
    </row>
    <row r="311" spans="1:4" x14ac:dyDescent="0.3">
      <c r="A311" s="3" t="s">
        <v>246</v>
      </c>
      <c r="B311" s="3" t="s">
        <v>66</v>
      </c>
      <c r="C311" s="3" t="str">
        <f t="shared" si="4"/>
        <v>450014001160</v>
      </c>
      <c r="D311" s="3" t="s">
        <v>366</v>
      </c>
    </row>
    <row r="312" spans="1:4" x14ac:dyDescent="0.3">
      <c r="A312" s="3" t="s">
        <v>84</v>
      </c>
      <c r="B312" s="3" t="s">
        <v>85</v>
      </c>
      <c r="C312" s="3" t="str">
        <f t="shared" si="4"/>
        <v>450013988670</v>
      </c>
      <c r="D312" s="3" t="s">
        <v>366</v>
      </c>
    </row>
    <row r="313" spans="1:4" x14ac:dyDescent="0.3">
      <c r="A313" s="3" t="s">
        <v>230</v>
      </c>
      <c r="B313" s="3" t="s">
        <v>169</v>
      </c>
      <c r="C313" s="3" t="str">
        <f t="shared" si="4"/>
        <v>450013987880</v>
      </c>
      <c r="D313" s="3" t="s">
        <v>366</v>
      </c>
    </row>
    <row r="314" spans="1:4" x14ac:dyDescent="0.3">
      <c r="A314" s="3" t="s">
        <v>230</v>
      </c>
      <c r="B314" s="3" t="s">
        <v>90</v>
      </c>
      <c r="C314" s="3" t="str">
        <f t="shared" si="4"/>
        <v>450013987890</v>
      </c>
      <c r="D314" s="3" t="s">
        <v>366</v>
      </c>
    </row>
    <row r="315" spans="1:4" x14ac:dyDescent="0.3">
      <c r="A315" s="3" t="s">
        <v>241</v>
      </c>
      <c r="B315" s="3" t="s">
        <v>89</v>
      </c>
      <c r="C315" s="3" t="str">
        <f t="shared" si="4"/>
        <v>4500140013100</v>
      </c>
      <c r="D315" s="3" t="s">
        <v>366</v>
      </c>
    </row>
    <row r="316" spans="1:4" x14ac:dyDescent="0.3">
      <c r="A316" s="3" t="s">
        <v>241</v>
      </c>
      <c r="B316" s="3" t="s">
        <v>87</v>
      </c>
      <c r="C316" s="3" t="str">
        <f t="shared" si="4"/>
        <v>4500140013110</v>
      </c>
      <c r="D316" s="3" t="s">
        <v>366</v>
      </c>
    </row>
    <row r="317" spans="1:4" x14ac:dyDescent="0.3">
      <c r="A317" s="3" t="s">
        <v>246</v>
      </c>
      <c r="B317" s="3" t="s">
        <v>194</v>
      </c>
      <c r="C317" s="3" t="str">
        <f t="shared" si="4"/>
        <v>4500140011140</v>
      </c>
      <c r="D317" s="3" t="s">
        <v>366</v>
      </c>
    </row>
    <row r="318" spans="1:4" x14ac:dyDescent="0.3">
      <c r="A318" s="3" t="s">
        <v>238</v>
      </c>
      <c r="B318" s="3" t="s">
        <v>22</v>
      </c>
      <c r="C318" s="3" t="str">
        <f t="shared" si="4"/>
        <v>450013981610</v>
      </c>
      <c r="D318" s="3" t="s">
        <v>361</v>
      </c>
    </row>
    <row r="319" spans="1:4" x14ac:dyDescent="0.3">
      <c r="A319" s="3" t="s">
        <v>243</v>
      </c>
      <c r="B319" s="3" t="s">
        <v>22</v>
      </c>
      <c r="C319" s="3" t="str">
        <f t="shared" si="4"/>
        <v>450014013010</v>
      </c>
      <c r="D319" s="3" t="s">
        <v>366</v>
      </c>
    </row>
    <row r="320" spans="1:4" x14ac:dyDescent="0.3">
      <c r="A320" s="3" t="s">
        <v>243</v>
      </c>
      <c r="B320" s="3" t="s">
        <v>48</v>
      </c>
      <c r="C320" s="3" t="str">
        <f t="shared" si="4"/>
        <v>450014013020</v>
      </c>
      <c r="D320" s="3" t="s">
        <v>366</v>
      </c>
    </row>
    <row r="321" spans="1:10" x14ac:dyDescent="0.3">
      <c r="A321" s="3" t="s">
        <v>134</v>
      </c>
      <c r="B321" s="3" t="s">
        <v>22</v>
      </c>
      <c r="C321" s="3" t="str">
        <f t="shared" si="4"/>
        <v>450013180710</v>
      </c>
      <c r="D321" s="3" t="s">
        <v>366</v>
      </c>
    </row>
    <row r="322" spans="1:10" x14ac:dyDescent="0.3">
      <c r="A322" s="3" t="s">
        <v>208</v>
      </c>
      <c r="B322" s="3" t="s">
        <v>22</v>
      </c>
      <c r="C322" s="3" t="str">
        <f t="shared" si="4"/>
        <v>450013928110</v>
      </c>
      <c r="D322" s="3" t="s">
        <v>366</v>
      </c>
    </row>
    <row r="323" spans="1:10" x14ac:dyDescent="0.3">
      <c r="A323" s="3" t="s">
        <v>209</v>
      </c>
      <c r="B323" s="3" t="s">
        <v>22</v>
      </c>
      <c r="C323" s="3" t="str">
        <f t="shared" ref="C323:C386" si="5">_xlfn.CONCAT(A323:B323)</f>
        <v>450013928210</v>
      </c>
      <c r="D323" s="3" t="s">
        <v>366</v>
      </c>
    </row>
    <row r="324" spans="1:10" x14ac:dyDescent="0.3">
      <c r="A324" s="3" t="s">
        <v>205</v>
      </c>
      <c r="B324" s="3" t="s">
        <v>22</v>
      </c>
      <c r="C324" s="3" t="str">
        <f t="shared" si="5"/>
        <v>450013921510</v>
      </c>
      <c r="D324" s="3" t="s">
        <v>366</v>
      </c>
    </row>
    <row r="325" spans="1:10" x14ac:dyDescent="0.3">
      <c r="A325" s="3" t="s">
        <v>207</v>
      </c>
      <c r="B325" s="3" t="s">
        <v>22</v>
      </c>
      <c r="C325" s="3" t="str">
        <f t="shared" si="5"/>
        <v>450013926110</v>
      </c>
      <c r="D325" s="3" t="s">
        <v>366</v>
      </c>
    </row>
    <row r="326" spans="1:10" x14ac:dyDescent="0.3">
      <c r="A326" s="3" t="s">
        <v>228</v>
      </c>
      <c r="B326" s="3" t="s">
        <v>22</v>
      </c>
      <c r="C326" s="3" t="str">
        <f t="shared" si="5"/>
        <v>450013985310</v>
      </c>
      <c r="D326" s="3" t="s">
        <v>366</v>
      </c>
    </row>
    <row r="327" spans="1:10" x14ac:dyDescent="0.3">
      <c r="A327" s="3" t="s">
        <v>144</v>
      </c>
      <c r="B327" s="3" t="s">
        <v>22</v>
      </c>
      <c r="C327" s="3" t="str">
        <f t="shared" si="5"/>
        <v>450013402210</v>
      </c>
      <c r="D327" s="3" t="s">
        <v>371</v>
      </c>
    </row>
    <row r="328" spans="1:10" x14ac:dyDescent="0.3">
      <c r="A328" s="3" t="s">
        <v>144</v>
      </c>
      <c r="B328" s="3" t="s">
        <v>22</v>
      </c>
      <c r="C328" s="3" t="str">
        <f t="shared" si="5"/>
        <v>450013402210</v>
      </c>
      <c r="D328" s="3" t="s">
        <v>371</v>
      </c>
    </row>
    <row r="329" spans="1:10" x14ac:dyDescent="0.3">
      <c r="A329" s="3" t="s">
        <v>144</v>
      </c>
      <c r="B329" s="3" t="s">
        <v>48</v>
      </c>
      <c r="C329" s="3" t="str">
        <f t="shared" si="5"/>
        <v>450013402220</v>
      </c>
      <c r="D329" s="3" t="s">
        <v>371</v>
      </c>
    </row>
    <row r="330" spans="1:10" x14ac:dyDescent="0.3">
      <c r="A330" s="3" t="s">
        <v>144</v>
      </c>
      <c r="B330" s="3" t="s">
        <v>48</v>
      </c>
      <c r="C330" s="3" t="str">
        <f t="shared" si="5"/>
        <v>450013402220</v>
      </c>
      <c r="D330" s="3" t="s">
        <v>371</v>
      </c>
    </row>
    <row r="331" spans="1:10" x14ac:dyDescent="0.3">
      <c r="A331" s="3" t="s">
        <v>144</v>
      </c>
      <c r="B331" s="3" t="s">
        <v>39</v>
      </c>
      <c r="C331" s="3" t="str">
        <f t="shared" si="5"/>
        <v>450013402230</v>
      </c>
      <c r="D331" s="3" t="s">
        <v>371</v>
      </c>
    </row>
    <row r="332" spans="1:10" x14ac:dyDescent="0.3">
      <c r="A332" s="3" t="s">
        <v>144</v>
      </c>
      <c r="B332" s="3" t="s">
        <v>39</v>
      </c>
      <c r="C332" s="3" t="str">
        <f t="shared" si="5"/>
        <v>450013402230</v>
      </c>
      <c r="D332" s="3" t="s">
        <v>371</v>
      </c>
    </row>
    <row r="333" spans="1:10" x14ac:dyDescent="0.3">
      <c r="A333" s="3" t="s">
        <v>144</v>
      </c>
      <c r="B333" s="3" t="s">
        <v>32</v>
      </c>
      <c r="C333" s="3" t="str">
        <f t="shared" si="5"/>
        <v>450013402240</v>
      </c>
      <c r="D333" s="3" t="s">
        <v>371</v>
      </c>
    </row>
    <row r="334" spans="1:10" x14ac:dyDescent="0.3">
      <c r="A334" s="3" t="s">
        <v>144</v>
      </c>
      <c r="B334" s="3" t="s">
        <v>32</v>
      </c>
      <c r="C334" s="3" t="str">
        <f t="shared" si="5"/>
        <v>450013402240</v>
      </c>
      <c r="D334" s="3" t="s">
        <v>371</v>
      </c>
    </row>
    <row r="335" spans="1:10" x14ac:dyDescent="0.3">
      <c r="A335" s="3" t="s">
        <v>376</v>
      </c>
      <c r="B335" s="3" t="s">
        <v>22</v>
      </c>
      <c r="C335" s="3" t="str">
        <f t="shared" si="5"/>
        <v>450013662310</v>
      </c>
      <c r="D335" s="3" t="s">
        <v>361</v>
      </c>
      <c r="F335" s="3"/>
      <c r="G335" s="3"/>
      <c r="H335" s="3"/>
      <c r="I335" s="8"/>
      <c r="J335" s="3"/>
    </row>
    <row r="336" spans="1:10" x14ac:dyDescent="0.3">
      <c r="A336" s="3" t="s">
        <v>376</v>
      </c>
      <c r="B336" s="3" t="s">
        <v>48</v>
      </c>
      <c r="C336" s="3" t="str">
        <f t="shared" si="5"/>
        <v>450013662320</v>
      </c>
      <c r="D336" s="3" t="s">
        <v>361</v>
      </c>
      <c r="F336" s="3"/>
      <c r="G336" s="3"/>
      <c r="H336" s="3"/>
      <c r="I336" s="8"/>
      <c r="J336" s="3"/>
    </row>
    <row r="337" spans="1:10" x14ac:dyDescent="0.3">
      <c r="A337" s="3" t="s">
        <v>383</v>
      </c>
      <c r="B337" s="3" t="s">
        <v>22</v>
      </c>
      <c r="C337" s="3" t="str">
        <f t="shared" si="5"/>
        <v>450013947110</v>
      </c>
      <c r="D337" s="3" t="s">
        <v>367</v>
      </c>
      <c r="F337" s="3"/>
      <c r="G337" s="3"/>
      <c r="H337" s="3"/>
      <c r="I337" s="8"/>
      <c r="J337" s="3"/>
    </row>
    <row r="338" spans="1:10" x14ac:dyDescent="0.3">
      <c r="A338" s="3" t="s">
        <v>383</v>
      </c>
      <c r="B338" s="3" t="s">
        <v>48</v>
      </c>
      <c r="C338" s="3" t="str">
        <f t="shared" si="5"/>
        <v>450013947120</v>
      </c>
      <c r="D338" s="3" t="s">
        <v>367</v>
      </c>
      <c r="F338" s="3"/>
      <c r="G338" s="3"/>
      <c r="H338" s="3"/>
      <c r="I338" s="8"/>
      <c r="J338" s="3"/>
    </row>
    <row r="339" spans="1:10" x14ac:dyDescent="0.3">
      <c r="A339" s="3" t="s">
        <v>383</v>
      </c>
      <c r="B339" s="3" t="s">
        <v>39</v>
      </c>
      <c r="C339" s="3" t="str">
        <f t="shared" si="5"/>
        <v>450013947130</v>
      </c>
      <c r="D339" s="3" t="s">
        <v>367</v>
      </c>
      <c r="F339" s="3"/>
      <c r="G339" s="3"/>
      <c r="H339" s="3"/>
      <c r="I339" s="8"/>
      <c r="J339" s="3"/>
    </row>
    <row r="340" spans="1:10" x14ac:dyDescent="0.3">
      <c r="A340" s="3" t="s">
        <v>383</v>
      </c>
      <c r="B340" s="3" t="s">
        <v>32</v>
      </c>
      <c r="C340" s="3" t="str">
        <f t="shared" si="5"/>
        <v>450013947140</v>
      </c>
      <c r="D340" s="3" t="s">
        <v>367</v>
      </c>
      <c r="F340" s="3"/>
      <c r="G340" s="3"/>
      <c r="H340" s="3"/>
      <c r="I340" s="8"/>
      <c r="J340" s="3"/>
    </row>
    <row r="341" spans="1:10" x14ac:dyDescent="0.3">
      <c r="A341" s="3" t="s">
        <v>390</v>
      </c>
      <c r="B341" s="3" t="s">
        <v>22</v>
      </c>
      <c r="C341" s="3" t="str">
        <f t="shared" si="5"/>
        <v>450013913610</v>
      </c>
      <c r="D341" s="3" t="s">
        <v>364</v>
      </c>
      <c r="F341" s="3"/>
      <c r="G341" s="3"/>
      <c r="H341" s="3"/>
      <c r="I341" s="8"/>
      <c r="J341" s="3"/>
    </row>
    <row r="342" spans="1:10" x14ac:dyDescent="0.3">
      <c r="A342" s="3" t="s">
        <v>390</v>
      </c>
      <c r="B342" s="3" t="s">
        <v>48</v>
      </c>
      <c r="C342" s="3" t="str">
        <f t="shared" si="5"/>
        <v>450013913620</v>
      </c>
      <c r="D342" s="3" t="s">
        <v>364</v>
      </c>
      <c r="F342" s="3"/>
      <c r="G342" s="3"/>
      <c r="H342" s="3"/>
      <c r="I342" s="8"/>
      <c r="J342" s="3"/>
    </row>
    <row r="343" spans="1:10" x14ac:dyDescent="0.3">
      <c r="A343" s="3" t="s">
        <v>390</v>
      </c>
      <c r="B343" s="3" t="s">
        <v>39</v>
      </c>
      <c r="C343" s="3" t="str">
        <f t="shared" si="5"/>
        <v>450013913630</v>
      </c>
      <c r="D343" s="3" t="s">
        <v>364</v>
      </c>
      <c r="F343" s="3"/>
      <c r="G343" s="3"/>
      <c r="H343" s="3"/>
      <c r="I343" s="8"/>
      <c r="J343" s="3"/>
    </row>
    <row r="344" spans="1:10" x14ac:dyDescent="0.3">
      <c r="A344" s="3" t="s">
        <v>382</v>
      </c>
      <c r="B344" s="3" t="s">
        <v>22</v>
      </c>
      <c r="C344" s="3" t="str">
        <f t="shared" si="5"/>
        <v>450013958110</v>
      </c>
      <c r="D344" s="3" t="s">
        <v>367</v>
      </c>
      <c r="F344" s="3"/>
      <c r="G344" s="3"/>
      <c r="H344" s="3"/>
      <c r="I344" s="8"/>
      <c r="J344" s="3"/>
    </row>
    <row r="345" spans="1:10" x14ac:dyDescent="0.3">
      <c r="A345" s="3" t="s">
        <v>375</v>
      </c>
      <c r="B345" s="3" t="s">
        <v>48</v>
      </c>
      <c r="C345" s="3" t="str">
        <f t="shared" si="5"/>
        <v>450013909320</v>
      </c>
      <c r="D345" s="3" t="s">
        <v>359</v>
      </c>
      <c r="F345" s="3"/>
      <c r="G345" s="3"/>
      <c r="H345" s="3"/>
      <c r="I345" s="8"/>
      <c r="J345" s="3"/>
    </row>
    <row r="346" spans="1:10" x14ac:dyDescent="0.3">
      <c r="A346" s="3" t="s">
        <v>381</v>
      </c>
      <c r="B346" s="3" t="s">
        <v>22</v>
      </c>
      <c r="C346" s="3" t="str">
        <f t="shared" si="5"/>
        <v>450013981410</v>
      </c>
      <c r="D346" s="3" t="s">
        <v>367</v>
      </c>
      <c r="F346" s="3"/>
      <c r="G346" s="3"/>
      <c r="H346" s="3"/>
      <c r="I346" s="8"/>
      <c r="J346" s="3"/>
    </row>
    <row r="347" spans="1:10" x14ac:dyDescent="0.3">
      <c r="A347" s="3" t="s">
        <v>377</v>
      </c>
      <c r="B347" s="3" t="s">
        <v>22</v>
      </c>
      <c r="C347" s="3" t="str">
        <f t="shared" si="5"/>
        <v>450013957510</v>
      </c>
      <c r="D347" s="3" t="s">
        <v>367</v>
      </c>
      <c r="F347" s="3"/>
      <c r="G347" s="3"/>
      <c r="H347" s="3"/>
      <c r="I347" s="8"/>
      <c r="J347" s="3"/>
    </row>
    <row r="348" spans="1:10" x14ac:dyDescent="0.3">
      <c r="A348" s="3" t="s">
        <v>380</v>
      </c>
      <c r="B348" s="3" t="s">
        <v>22</v>
      </c>
      <c r="C348" s="3" t="str">
        <f t="shared" si="5"/>
        <v>450013987310</v>
      </c>
      <c r="D348" s="3" t="s">
        <v>361</v>
      </c>
      <c r="F348" s="3"/>
      <c r="G348" s="3"/>
      <c r="H348" s="3"/>
      <c r="I348" s="8"/>
      <c r="J348" s="3"/>
    </row>
    <row r="349" spans="1:10" x14ac:dyDescent="0.3">
      <c r="A349" s="3" t="s">
        <v>385</v>
      </c>
      <c r="B349" s="3" t="s">
        <v>32</v>
      </c>
      <c r="C349" s="3" t="str">
        <f t="shared" si="5"/>
        <v>450014042340</v>
      </c>
      <c r="D349" s="3" t="s">
        <v>366</v>
      </c>
      <c r="F349" s="3"/>
      <c r="G349" s="3"/>
      <c r="H349" s="3"/>
      <c r="I349" s="8"/>
      <c r="J349" s="3"/>
    </row>
    <row r="350" spans="1:10" x14ac:dyDescent="0.3">
      <c r="A350" s="3" t="s">
        <v>379</v>
      </c>
      <c r="B350" s="3" t="s">
        <v>22</v>
      </c>
      <c r="C350" s="3" t="str">
        <f t="shared" si="5"/>
        <v>450014036010</v>
      </c>
      <c r="D350" s="3" t="s">
        <v>366</v>
      </c>
      <c r="F350" s="3"/>
      <c r="G350" s="3"/>
      <c r="H350" s="3"/>
      <c r="I350" s="8"/>
      <c r="J350" s="3"/>
    </row>
    <row r="351" spans="1:10" x14ac:dyDescent="0.3">
      <c r="A351" s="3" t="s">
        <v>385</v>
      </c>
      <c r="B351" s="3" t="s">
        <v>38</v>
      </c>
      <c r="C351" s="3" t="str">
        <f t="shared" si="5"/>
        <v>450014042350</v>
      </c>
      <c r="D351" s="3" t="s">
        <v>366</v>
      </c>
      <c r="F351" s="3"/>
      <c r="G351" s="3"/>
      <c r="H351" s="3"/>
      <c r="I351" s="8"/>
      <c r="J351" s="3"/>
    </row>
    <row r="352" spans="1:10" x14ac:dyDescent="0.3">
      <c r="A352" s="3" t="s">
        <v>385</v>
      </c>
      <c r="B352" s="3" t="s">
        <v>66</v>
      </c>
      <c r="C352" s="3" t="str">
        <f t="shared" si="5"/>
        <v>450014042360</v>
      </c>
      <c r="D352" s="3" t="s">
        <v>366</v>
      </c>
      <c r="F352" s="3"/>
      <c r="G352" s="3"/>
      <c r="H352" s="3"/>
      <c r="I352" s="8"/>
      <c r="J352" s="3"/>
    </row>
    <row r="353" spans="1:10" x14ac:dyDescent="0.3">
      <c r="A353" s="3" t="s">
        <v>385</v>
      </c>
      <c r="B353" s="3" t="s">
        <v>85</v>
      </c>
      <c r="C353" s="3" t="str">
        <f t="shared" si="5"/>
        <v>450014042370</v>
      </c>
      <c r="D353" s="3" t="s">
        <v>366</v>
      </c>
      <c r="F353" s="3"/>
      <c r="G353" s="3"/>
      <c r="H353" s="3"/>
      <c r="I353" s="8"/>
      <c r="J353" s="3"/>
    </row>
    <row r="354" spans="1:10" x14ac:dyDescent="0.3">
      <c r="A354" s="3" t="s">
        <v>372</v>
      </c>
      <c r="B354" s="3" t="s">
        <v>22</v>
      </c>
      <c r="C354" s="3" t="str">
        <f t="shared" si="5"/>
        <v>450014031710</v>
      </c>
      <c r="D354" s="3" t="s">
        <v>371</v>
      </c>
      <c r="F354" s="3"/>
      <c r="G354" s="3"/>
      <c r="H354" s="3"/>
      <c r="I354" s="8"/>
      <c r="J354" s="3"/>
    </row>
    <row r="355" spans="1:10" x14ac:dyDescent="0.3">
      <c r="A355" s="3" t="s">
        <v>372</v>
      </c>
      <c r="B355" s="3" t="s">
        <v>22</v>
      </c>
      <c r="C355" s="3" t="str">
        <f t="shared" si="5"/>
        <v>450014031710</v>
      </c>
      <c r="D355" s="3" t="s">
        <v>371</v>
      </c>
      <c r="F355" s="3"/>
      <c r="G355" s="3"/>
      <c r="H355" s="3"/>
      <c r="I355" s="8"/>
      <c r="J355" s="3"/>
    </row>
    <row r="356" spans="1:10" x14ac:dyDescent="0.3">
      <c r="A356" s="3" t="s">
        <v>399</v>
      </c>
      <c r="B356" s="3" t="s">
        <v>22</v>
      </c>
      <c r="C356" s="3" t="str">
        <f t="shared" si="5"/>
        <v>450013525010</v>
      </c>
      <c r="D356" s="3" t="s">
        <v>359</v>
      </c>
    </row>
    <row r="357" spans="1:10" x14ac:dyDescent="0.3">
      <c r="A357" s="3" t="s">
        <v>397</v>
      </c>
      <c r="B357" s="3" t="s">
        <v>22</v>
      </c>
      <c r="C357" s="3" t="str">
        <f t="shared" si="5"/>
        <v>450013892310</v>
      </c>
      <c r="D357" s="3" t="s">
        <v>366</v>
      </c>
    </row>
    <row r="358" spans="1:10" x14ac:dyDescent="0.3">
      <c r="A358" s="3" t="s">
        <v>397</v>
      </c>
      <c r="B358" s="3" t="s">
        <v>48</v>
      </c>
      <c r="C358" s="3" t="str">
        <f t="shared" si="5"/>
        <v>450013892320</v>
      </c>
      <c r="D358" s="3" t="s">
        <v>366</v>
      </c>
    </row>
    <row r="359" spans="1:10" x14ac:dyDescent="0.3">
      <c r="A359" s="3" t="s">
        <v>397</v>
      </c>
      <c r="B359" s="3" t="s">
        <v>39</v>
      </c>
      <c r="C359" s="3" t="str">
        <f t="shared" si="5"/>
        <v>450013892330</v>
      </c>
      <c r="D359" s="3" t="s">
        <v>366</v>
      </c>
    </row>
    <row r="360" spans="1:10" x14ac:dyDescent="0.3">
      <c r="A360" s="3" t="s">
        <v>397</v>
      </c>
      <c r="B360" s="3" t="s">
        <v>32</v>
      </c>
      <c r="C360" s="3" t="str">
        <f t="shared" si="5"/>
        <v>450013892340</v>
      </c>
      <c r="D360" s="3" t="s">
        <v>366</v>
      </c>
    </row>
    <row r="361" spans="1:10" x14ac:dyDescent="0.3">
      <c r="A361" s="3" t="s">
        <v>397</v>
      </c>
      <c r="B361" s="3" t="s">
        <v>38</v>
      </c>
      <c r="C361" s="3" t="str">
        <f t="shared" si="5"/>
        <v>450013892350</v>
      </c>
      <c r="D361" s="3" t="s">
        <v>366</v>
      </c>
    </row>
    <row r="362" spans="1:10" x14ac:dyDescent="0.3">
      <c r="A362" s="3" t="s">
        <v>397</v>
      </c>
      <c r="B362" s="3" t="s">
        <v>66</v>
      </c>
      <c r="C362" s="3" t="str">
        <f t="shared" si="5"/>
        <v>450013892360</v>
      </c>
      <c r="D362" s="3" t="s">
        <v>366</v>
      </c>
    </row>
    <row r="363" spans="1:10" x14ac:dyDescent="0.3">
      <c r="A363" s="3" t="s">
        <v>397</v>
      </c>
      <c r="B363" s="3" t="s">
        <v>85</v>
      </c>
      <c r="C363" s="3" t="str">
        <f t="shared" si="5"/>
        <v>450013892370</v>
      </c>
      <c r="D363" s="3" t="s">
        <v>366</v>
      </c>
    </row>
    <row r="364" spans="1:10" x14ac:dyDescent="0.3">
      <c r="A364" s="3" t="s">
        <v>400</v>
      </c>
      <c r="B364" s="3" t="s">
        <v>39</v>
      </c>
      <c r="C364" s="3" t="str">
        <f t="shared" si="5"/>
        <v>450014065230</v>
      </c>
      <c r="D364" s="3" t="s">
        <v>366</v>
      </c>
    </row>
    <row r="365" spans="1:10" x14ac:dyDescent="0.3">
      <c r="A365" s="3" t="s">
        <v>428</v>
      </c>
      <c r="B365" s="3" t="s">
        <v>22</v>
      </c>
      <c r="C365" s="3" t="str">
        <f t="shared" si="5"/>
        <v>450012767310</v>
      </c>
      <c r="D365" s="3" t="s">
        <v>360</v>
      </c>
    </row>
    <row r="366" spans="1:10" x14ac:dyDescent="0.3">
      <c r="A366" s="3" t="s">
        <v>409</v>
      </c>
      <c r="B366" s="3" t="s">
        <v>22</v>
      </c>
      <c r="C366" s="3" t="str">
        <f t="shared" si="5"/>
        <v>450013310910</v>
      </c>
      <c r="D366" s="3" t="s">
        <v>360</v>
      </c>
    </row>
    <row r="367" spans="1:10" x14ac:dyDescent="0.3">
      <c r="A367" s="3" t="s">
        <v>456</v>
      </c>
      <c r="B367" s="3" t="s">
        <v>22</v>
      </c>
      <c r="C367" s="3" t="str">
        <f t="shared" si="5"/>
        <v>450014081210</v>
      </c>
      <c r="D367" s="3" t="s">
        <v>366</v>
      </c>
    </row>
    <row r="368" spans="1:10" x14ac:dyDescent="0.3">
      <c r="A368" s="3" t="s">
        <v>456</v>
      </c>
      <c r="B368" s="3" t="s">
        <v>48</v>
      </c>
      <c r="C368" s="3" t="str">
        <f t="shared" si="5"/>
        <v>450014081220</v>
      </c>
      <c r="D368" s="3" t="s">
        <v>366</v>
      </c>
    </row>
    <row r="369" spans="1:4" x14ac:dyDescent="0.3">
      <c r="A369" s="3" t="s">
        <v>407</v>
      </c>
      <c r="B369" s="3" t="s">
        <v>22</v>
      </c>
      <c r="C369" s="3" t="str">
        <f t="shared" si="5"/>
        <v>450013980310</v>
      </c>
      <c r="D369" s="3" t="s">
        <v>360</v>
      </c>
    </row>
    <row r="370" spans="1:4" x14ac:dyDescent="0.3">
      <c r="A370" s="3" t="s">
        <v>407</v>
      </c>
      <c r="B370" s="3" t="s">
        <v>48</v>
      </c>
      <c r="C370" s="3" t="str">
        <f t="shared" si="5"/>
        <v>450013980320</v>
      </c>
      <c r="D370" s="3" t="s">
        <v>360</v>
      </c>
    </row>
    <row r="371" spans="1:4" x14ac:dyDescent="0.3">
      <c r="A371" s="3" t="s">
        <v>405</v>
      </c>
      <c r="B371" s="3" t="s">
        <v>22</v>
      </c>
      <c r="C371" s="3" t="str">
        <f t="shared" si="5"/>
        <v>450014024510</v>
      </c>
      <c r="D371" s="3" t="s">
        <v>360</v>
      </c>
    </row>
    <row r="372" spans="1:4" x14ac:dyDescent="0.3">
      <c r="A372" s="3" t="s">
        <v>455</v>
      </c>
      <c r="B372" s="3" t="s">
        <v>22</v>
      </c>
      <c r="C372" s="3" t="str">
        <f t="shared" si="5"/>
        <v>450013920110</v>
      </c>
      <c r="D372" s="3" t="s">
        <v>361</v>
      </c>
    </row>
    <row r="373" spans="1:4" x14ac:dyDescent="0.3">
      <c r="A373" s="3" t="s">
        <v>455</v>
      </c>
      <c r="B373" s="3" t="s">
        <v>48</v>
      </c>
      <c r="C373" s="3" t="str">
        <f t="shared" si="5"/>
        <v>450013920120</v>
      </c>
      <c r="D373" s="3" t="s">
        <v>361</v>
      </c>
    </row>
    <row r="374" spans="1:4" x14ac:dyDescent="0.3">
      <c r="A374" s="3" t="s">
        <v>424</v>
      </c>
      <c r="B374" s="3" t="s">
        <v>22</v>
      </c>
      <c r="C374" s="3" t="str">
        <f t="shared" si="5"/>
        <v>450013973610</v>
      </c>
      <c r="D374" s="3" t="s">
        <v>366</v>
      </c>
    </row>
    <row r="375" spans="1:4" x14ac:dyDescent="0.3">
      <c r="A375" s="3" t="s">
        <v>401</v>
      </c>
      <c r="B375" s="3" t="s">
        <v>48</v>
      </c>
      <c r="C375" s="3" t="str">
        <f t="shared" si="5"/>
        <v>450014043020</v>
      </c>
      <c r="D375" s="3" t="s">
        <v>460</v>
      </c>
    </row>
    <row r="376" spans="1:4" x14ac:dyDescent="0.3">
      <c r="A376" s="3" t="s">
        <v>401</v>
      </c>
      <c r="B376" s="3" t="s">
        <v>22</v>
      </c>
      <c r="C376" s="3" t="str">
        <f t="shared" si="5"/>
        <v>450014043010</v>
      </c>
      <c r="D376" s="3" t="s">
        <v>460</v>
      </c>
    </row>
    <row r="377" spans="1:4" x14ac:dyDescent="0.3">
      <c r="A377" s="3" t="s">
        <v>422</v>
      </c>
      <c r="B377" s="3" t="s">
        <v>27</v>
      </c>
      <c r="C377" s="3" t="str">
        <f t="shared" si="5"/>
        <v>4500140642320</v>
      </c>
      <c r="D377" s="3" t="s">
        <v>366</v>
      </c>
    </row>
    <row r="378" spans="1:4" x14ac:dyDescent="0.3">
      <c r="A378" s="3" t="s">
        <v>445</v>
      </c>
      <c r="B378" s="3" t="s">
        <v>193</v>
      </c>
      <c r="C378" s="3" t="str">
        <f t="shared" si="5"/>
        <v>4500140742130</v>
      </c>
      <c r="D378" s="3" t="s">
        <v>366</v>
      </c>
    </row>
    <row r="379" spans="1:4" x14ac:dyDescent="0.3">
      <c r="A379" s="3" t="s">
        <v>445</v>
      </c>
      <c r="B379" s="3" t="s">
        <v>194</v>
      </c>
      <c r="C379" s="3" t="str">
        <f t="shared" si="5"/>
        <v>4500140742140</v>
      </c>
      <c r="D379" s="3" t="s">
        <v>366</v>
      </c>
    </row>
    <row r="380" spans="1:4" x14ac:dyDescent="0.3">
      <c r="A380" s="3" t="s">
        <v>415</v>
      </c>
      <c r="B380" s="3" t="s">
        <v>288</v>
      </c>
      <c r="C380" s="3" t="str">
        <f t="shared" si="5"/>
        <v>4500140383180</v>
      </c>
      <c r="D380" s="3" t="s">
        <v>366</v>
      </c>
    </row>
    <row r="381" spans="1:4" x14ac:dyDescent="0.3">
      <c r="A381" s="3" t="s">
        <v>413</v>
      </c>
      <c r="B381" s="3" t="s">
        <v>90</v>
      </c>
      <c r="C381" s="3" t="str">
        <f t="shared" si="5"/>
        <v>450014039290</v>
      </c>
      <c r="D381" s="3" t="s">
        <v>366</v>
      </c>
    </row>
    <row r="382" spans="1:4" x14ac:dyDescent="0.3">
      <c r="A382" s="3" t="s">
        <v>422</v>
      </c>
      <c r="B382" s="3" t="s">
        <v>193</v>
      </c>
      <c r="C382" s="3" t="str">
        <f t="shared" si="5"/>
        <v>4500140642130</v>
      </c>
      <c r="D382" s="3" t="s">
        <v>366</v>
      </c>
    </row>
    <row r="383" spans="1:4" x14ac:dyDescent="0.3">
      <c r="A383" s="3" t="s">
        <v>413</v>
      </c>
      <c r="B383" s="3" t="s">
        <v>38</v>
      </c>
      <c r="C383" s="3" t="str">
        <f t="shared" si="5"/>
        <v>450014039250</v>
      </c>
      <c r="D383" s="3" t="s">
        <v>366</v>
      </c>
    </row>
    <row r="384" spans="1:4" x14ac:dyDescent="0.3">
      <c r="A384" s="3" t="s">
        <v>413</v>
      </c>
      <c r="B384" s="3" t="s">
        <v>85</v>
      </c>
      <c r="C384" s="3" t="str">
        <f t="shared" si="5"/>
        <v>450014039270</v>
      </c>
      <c r="D384" s="3" t="s">
        <v>366</v>
      </c>
    </row>
    <row r="385" spans="1:4" x14ac:dyDescent="0.3">
      <c r="A385" s="3" t="s">
        <v>417</v>
      </c>
      <c r="B385" s="3" t="s">
        <v>169</v>
      </c>
      <c r="C385" s="3" t="str">
        <f t="shared" si="5"/>
        <v>450014050980</v>
      </c>
      <c r="D385" s="3" t="s">
        <v>366</v>
      </c>
    </row>
    <row r="386" spans="1:4" x14ac:dyDescent="0.3">
      <c r="A386" s="3" t="s">
        <v>422</v>
      </c>
      <c r="B386" s="3" t="s">
        <v>290</v>
      </c>
      <c r="C386" s="3" t="str">
        <f t="shared" si="5"/>
        <v>4500140642200</v>
      </c>
      <c r="D386" s="3" t="s">
        <v>366</v>
      </c>
    </row>
    <row r="387" spans="1:4" x14ac:dyDescent="0.3">
      <c r="A387" s="3" t="s">
        <v>439</v>
      </c>
      <c r="B387" s="3" t="s">
        <v>329</v>
      </c>
      <c r="C387" s="3" t="str">
        <f t="shared" ref="C387:C450" si="6">_xlfn.CONCAT(A387:B387)</f>
        <v>4500140625220</v>
      </c>
      <c r="D387" s="3" t="s">
        <v>370</v>
      </c>
    </row>
    <row r="388" spans="1:4" x14ac:dyDescent="0.3">
      <c r="A388" s="3" t="s">
        <v>415</v>
      </c>
      <c r="B388" s="3" t="s">
        <v>22</v>
      </c>
      <c r="C388" s="3" t="str">
        <f t="shared" si="6"/>
        <v>450014038310</v>
      </c>
      <c r="D388" s="3" t="s">
        <v>366</v>
      </c>
    </row>
    <row r="389" spans="1:4" x14ac:dyDescent="0.3">
      <c r="A389" s="3" t="s">
        <v>415</v>
      </c>
      <c r="B389" s="3" t="s">
        <v>48</v>
      </c>
      <c r="C389" s="3" t="str">
        <f t="shared" si="6"/>
        <v>450014038320</v>
      </c>
      <c r="D389" s="3" t="s">
        <v>366</v>
      </c>
    </row>
    <row r="390" spans="1:4" x14ac:dyDescent="0.3">
      <c r="A390" s="3" t="s">
        <v>415</v>
      </c>
      <c r="B390" s="3" t="s">
        <v>39</v>
      </c>
      <c r="C390" s="3" t="str">
        <f t="shared" si="6"/>
        <v>450014038330</v>
      </c>
      <c r="D390" s="3" t="s">
        <v>366</v>
      </c>
    </row>
    <row r="391" spans="1:4" x14ac:dyDescent="0.3">
      <c r="A391" s="3" t="s">
        <v>415</v>
      </c>
      <c r="B391" s="3" t="s">
        <v>32</v>
      </c>
      <c r="C391" s="3" t="str">
        <f t="shared" si="6"/>
        <v>450014038340</v>
      </c>
      <c r="D391" s="3" t="s">
        <v>366</v>
      </c>
    </row>
    <row r="392" spans="1:4" x14ac:dyDescent="0.3">
      <c r="A392" s="3" t="s">
        <v>415</v>
      </c>
      <c r="B392" s="3" t="s">
        <v>38</v>
      </c>
      <c r="C392" s="3" t="str">
        <f t="shared" si="6"/>
        <v>450014038350</v>
      </c>
      <c r="D392" s="3" t="s">
        <v>366</v>
      </c>
    </row>
    <row r="393" spans="1:4" x14ac:dyDescent="0.3">
      <c r="A393" s="3" t="s">
        <v>415</v>
      </c>
      <c r="B393" s="3" t="s">
        <v>66</v>
      </c>
      <c r="C393" s="3" t="str">
        <f t="shared" si="6"/>
        <v>450014038360</v>
      </c>
      <c r="D393" s="3" t="s">
        <v>366</v>
      </c>
    </row>
    <row r="394" spans="1:4" x14ac:dyDescent="0.3">
      <c r="A394" s="3" t="s">
        <v>415</v>
      </c>
      <c r="B394" s="3" t="s">
        <v>85</v>
      </c>
      <c r="C394" s="3" t="str">
        <f t="shared" si="6"/>
        <v>450014038370</v>
      </c>
      <c r="D394" s="3" t="s">
        <v>366</v>
      </c>
    </row>
    <row r="395" spans="1:4" x14ac:dyDescent="0.3">
      <c r="A395" s="3" t="s">
        <v>411</v>
      </c>
      <c r="B395" s="3" t="s">
        <v>169</v>
      </c>
      <c r="C395" s="3" t="str">
        <f t="shared" si="6"/>
        <v>450014038580</v>
      </c>
      <c r="D395" s="3" t="s">
        <v>366</v>
      </c>
    </row>
    <row r="396" spans="1:4" x14ac:dyDescent="0.3">
      <c r="A396" s="3" t="s">
        <v>411</v>
      </c>
      <c r="B396" s="3" t="s">
        <v>90</v>
      </c>
      <c r="C396" s="3" t="str">
        <f t="shared" si="6"/>
        <v>450014038590</v>
      </c>
      <c r="D396" s="3" t="s">
        <v>366</v>
      </c>
    </row>
    <row r="397" spans="1:4" x14ac:dyDescent="0.3">
      <c r="A397" s="3" t="s">
        <v>411</v>
      </c>
      <c r="B397" s="3" t="s">
        <v>89</v>
      </c>
      <c r="C397" s="3" t="str">
        <f t="shared" si="6"/>
        <v>4500140385100</v>
      </c>
      <c r="D397" s="3" t="s">
        <v>366</v>
      </c>
    </row>
    <row r="398" spans="1:4" x14ac:dyDescent="0.3">
      <c r="A398" s="3" t="s">
        <v>411</v>
      </c>
      <c r="B398" s="3" t="s">
        <v>87</v>
      </c>
      <c r="C398" s="3" t="str">
        <f t="shared" si="6"/>
        <v>4500140385110</v>
      </c>
      <c r="D398" s="3" t="s">
        <v>366</v>
      </c>
    </row>
    <row r="399" spans="1:4" x14ac:dyDescent="0.3">
      <c r="A399" s="3" t="s">
        <v>411</v>
      </c>
      <c r="B399" s="3" t="s">
        <v>88</v>
      </c>
      <c r="C399" s="3" t="str">
        <f t="shared" si="6"/>
        <v>4500140385120</v>
      </c>
      <c r="D399" s="3" t="s">
        <v>366</v>
      </c>
    </row>
    <row r="400" spans="1:4" x14ac:dyDescent="0.3">
      <c r="A400" s="3" t="s">
        <v>415</v>
      </c>
      <c r="B400" s="3" t="s">
        <v>193</v>
      </c>
      <c r="C400" s="3" t="str">
        <f t="shared" si="6"/>
        <v>4500140383130</v>
      </c>
      <c r="D400" s="3" t="s">
        <v>366</v>
      </c>
    </row>
    <row r="401" spans="1:4" x14ac:dyDescent="0.3">
      <c r="A401" s="3" t="s">
        <v>411</v>
      </c>
      <c r="B401" s="3" t="s">
        <v>194</v>
      </c>
      <c r="C401" s="3" t="str">
        <f t="shared" si="6"/>
        <v>4500140385140</v>
      </c>
      <c r="D401" s="3" t="s">
        <v>366</v>
      </c>
    </row>
    <row r="402" spans="1:4" x14ac:dyDescent="0.3">
      <c r="A402" s="3" t="s">
        <v>411</v>
      </c>
      <c r="B402" s="3" t="s">
        <v>195</v>
      </c>
      <c r="C402" s="3" t="str">
        <f t="shared" si="6"/>
        <v>4500140385150</v>
      </c>
      <c r="D402" s="3" t="s">
        <v>366</v>
      </c>
    </row>
    <row r="403" spans="1:4" x14ac:dyDescent="0.3">
      <c r="A403" s="3" t="s">
        <v>411</v>
      </c>
      <c r="B403" s="3" t="s">
        <v>198</v>
      </c>
      <c r="C403" s="3" t="str">
        <f t="shared" si="6"/>
        <v>4500140385160</v>
      </c>
      <c r="D403" s="3" t="s">
        <v>366</v>
      </c>
    </row>
    <row r="404" spans="1:4" x14ac:dyDescent="0.3">
      <c r="A404" s="3" t="s">
        <v>415</v>
      </c>
      <c r="B404" s="3" t="s">
        <v>40</v>
      </c>
      <c r="C404" s="3" t="str">
        <f t="shared" si="6"/>
        <v>4500140383170</v>
      </c>
      <c r="D404" s="3" t="s">
        <v>366</v>
      </c>
    </row>
    <row r="405" spans="1:4" x14ac:dyDescent="0.3">
      <c r="A405" s="3" t="s">
        <v>411</v>
      </c>
      <c r="B405" s="3" t="s">
        <v>288</v>
      </c>
      <c r="C405" s="3" t="str">
        <f t="shared" si="6"/>
        <v>4500140385180</v>
      </c>
      <c r="D405" s="3" t="s">
        <v>366</v>
      </c>
    </row>
    <row r="406" spans="1:4" x14ac:dyDescent="0.3">
      <c r="A406" s="3" t="s">
        <v>411</v>
      </c>
      <c r="B406" s="3" t="s">
        <v>289</v>
      </c>
      <c r="C406" s="3" t="str">
        <f t="shared" si="6"/>
        <v>4500140385190</v>
      </c>
      <c r="D406" s="3" t="s">
        <v>366</v>
      </c>
    </row>
    <row r="407" spans="1:4" x14ac:dyDescent="0.3">
      <c r="A407" s="3" t="s">
        <v>411</v>
      </c>
      <c r="B407" s="3" t="s">
        <v>290</v>
      </c>
      <c r="C407" s="3" t="str">
        <f t="shared" si="6"/>
        <v>4500140385200</v>
      </c>
      <c r="D407" s="3" t="s">
        <v>366</v>
      </c>
    </row>
    <row r="408" spans="1:4" x14ac:dyDescent="0.3">
      <c r="A408" s="3" t="s">
        <v>411</v>
      </c>
      <c r="B408" s="3" t="s">
        <v>291</v>
      </c>
      <c r="C408" s="3" t="str">
        <f t="shared" si="6"/>
        <v>4500140385210</v>
      </c>
      <c r="D408" s="3" t="s">
        <v>366</v>
      </c>
    </row>
    <row r="409" spans="1:4" x14ac:dyDescent="0.3">
      <c r="A409" s="3" t="s">
        <v>439</v>
      </c>
      <c r="B409" s="3" t="s">
        <v>22</v>
      </c>
      <c r="C409" s="3" t="str">
        <f t="shared" si="6"/>
        <v>450014062510</v>
      </c>
      <c r="D409" s="3" t="s">
        <v>370</v>
      </c>
    </row>
    <row r="410" spans="1:4" x14ac:dyDescent="0.3">
      <c r="A410" s="3" t="s">
        <v>439</v>
      </c>
      <c r="B410" s="3" t="s">
        <v>48</v>
      </c>
      <c r="C410" s="3" t="str">
        <f t="shared" si="6"/>
        <v>450014062520</v>
      </c>
      <c r="D410" s="3" t="s">
        <v>370</v>
      </c>
    </row>
    <row r="411" spans="1:4" x14ac:dyDescent="0.3">
      <c r="A411" s="3" t="s">
        <v>449</v>
      </c>
      <c r="B411" s="3" t="s">
        <v>38</v>
      </c>
      <c r="C411" s="3" t="str">
        <f t="shared" si="6"/>
        <v>450014073950</v>
      </c>
      <c r="D411" s="3" t="s">
        <v>362</v>
      </c>
    </row>
    <row r="412" spans="1:4" x14ac:dyDescent="0.3">
      <c r="A412" s="3" t="s">
        <v>420</v>
      </c>
      <c r="B412" s="3" t="s">
        <v>48</v>
      </c>
      <c r="C412" s="3" t="str">
        <f t="shared" si="6"/>
        <v>450014041420</v>
      </c>
      <c r="D412" s="3" t="s">
        <v>367</v>
      </c>
    </row>
    <row r="413" spans="1:4" x14ac:dyDescent="0.3">
      <c r="A413" s="3" t="s">
        <v>420</v>
      </c>
      <c r="B413" s="3" t="s">
        <v>39</v>
      </c>
      <c r="C413" s="3" t="str">
        <f t="shared" si="6"/>
        <v>450014041430</v>
      </c>
      <c r="D413" s="3" t="s">
        <v>367</v>
      </c>
    </row>
    <row r="414" spans="1:4" x14ac:dyDescent="0.3">
      <c r="A414" s="3" t="s">
        <v>420</v>
      </c>
      <c r="B414" s="3" t="s">
        <v>32</v>
      </c>
      <c r="C414" s="3" t="str">
        <f t="shared" si="6"/>
        <v>450014041440</v>
      </c>
      <c r="D414" s="3" t="s">
        <v>367</v>
      </c>
    </row>
    <row r="415" spans="1:4" x14ac:dyDescent="0.3">
      <c r="A415" s="3" t="s">
        <v>448</v>
      </c>
      <c r="B415" s="3" t="s">
        <v>22</v>
      </c>
      <c r="C415" s="3" t="str">
        <f t="shared" si="6"/>
        <v>450014037210</v>
      </c>
      <c r="D415" s="3" t="s">
        <v>460</v>
      </c>
    </row>
    <row r="416" spans="1:4" x14ac:dyDescent="0.3">
      <c r="A416" s="3" t="s">
        <v>448</v>
      </c>
      <c r="B416" s="3" t="s">
        <v>48</v>
      </c>
      <c r="C416" s="3" t="str">
        <f t="shared" si="6"/>
        <v>450014037220</v>
      </c>
      <c r="D416" s="3" t="s">
        <v>460</v>
      </c>
    </row>
    <row r="417" spans="1:4" x14ac:dyDescent="0.3">
      <c r="A417" s="3" t="s">
        <v>439</v>
      </c>
      <c r="B417" s="3" t="s">
        <v>194</v>
      </c>
      <c r="C417" s="3" t="str">
        <f t="shared" si="6"/>
        <v>4500140625140</v>
      </c>
      <c r="D417" s="3" t="s">
        <v>370</v>
      </c>
    </row>
    <row r="418" spans="1:4" x14ac:dyDescent="0.3">
      <c r="A418" s="3" t="s">
        <v>439</v>
      </c>
      <c r="B418" s="3" t="s">
        <v>195</v>
      </c>
      <c r="C418" s="3" t="str">
        <f t="shared" si="6"/>
        <v>4500140625150</v>
      </c>
      <c r="D418" s="3" t="s">
        <v>370</v>
      </c>
    </row>
    <row r="419" spans="1:4" x14ac:dyDescent="0.3">
      <c r="A419" s="3" t="s">
        <v>450</v>
      </c>
      <c r="B419" s="3" t="s">
        <v>22</v>
      </c>
      <c r="C419" s="3" t="str">
        <f t="shared" si="6"/>
        <v>450014070210</v>
      </c>
      <c r="D419" s="3" t="s">
        <v>361</v>
      </c>
    </row>
    <row r="420" spans="1:4" x14ac:dyDescent="0.3">
      <c r="A420" s="3" t="s">
        <v>420</v>
      </c>
      <c r="B420" s="3" t="s">
        <v>66</v>
      </c>
      <c r="C420" s="3" t="str">
        <f t="shared" si="6"/>
        <v>450014041460</v>
      </c>
      <c r="D420" s="3" t="s">
        <v>367</v>
      </c>
    </row>
    <row r="421" spans="1:4" x14ac:dyDescent="0.3">
      <c r="A421" s="3" t="s">
        <v>449</v>
      </c>
      <c r="B421" s="3" t="s">
        <v>85</v>
      </c>
      <c r="C421" s="3" t="str">
        <f t="shared" si="6"/>
        <v>450014073970</v>
      </c>
      <c r="D421" s="3" t="s">
        <v>362</v>
      </c>
    </row>
    <row r="422" spans="1:4" x14ac:dyDescent="0.3">
      <c r="A422" s="3" t="s">
        <v>420</v>
      </c>
      <c r="B422" s="3" t="s">
        <v>85</v>
      </c>
      <c r="C422" s="3" t="str">
        <f t="shared" si="6"/>
        <v>450014041470</v>
      </c>
      <c r="D422" s="3" t="s">
        <v>367</v>
      </c>
    </row>
    <row r="423" spans="1:4" x14ac:dyDescent="0.3">
      <c r="A423" s="3" t="s">
        <v>420</v>
      </c>
      <c r="B423" s="3" t="s">
        <v>169</v>
      </c>
      <c r="C423" s="3" t="str">
        <f t="shared" si="6"/>
        <v>450014041480</v>
      </c>
      <c r="D423" s="3" t="s">
        <v>367</v>
      </c>
    </row>
    <row r="424" spans="1:4" x14ac:dyDescent="0.3">
      <c r="A424" s="3" t="s">
        <v>422</v>
      </c>
      <c r="B424" s="3" t="s">
        <v>22</v>
      </c>
      <c r="C424" s="3" t="str">
        <f t="shared" si="6"/>
        <v>450014064210</v>
      </c>
      <c r="D424" s="3" t="s">
        <v>366</v>
      </c>
    </row>
    <row r="425" spans="1:4" x14ac:dyDescent="0.3">
      <c r="A425" s="3" t="s">
        <v>422</v>
      </c>
      <c r="B425" s="3" t="s">
        <v>48</v>
      </c>
      <c r="C425" s="3" t="str">
        <f t="shared" si="6"/>
        <v>450014064220</v>
      </c>
      <c r="D425" s="3" t="s">
        <v>366</v>
      </c>
    </row>
    <row r="426" spans="1:4" x14ac:dyDescent="0.3">
      <c r="A426" s="3" t="s">
        <v>422</v>
      </c>
      <c r="B426" s="3" t="s">
        <v>39</v>
      </c>
      <c r="C426" s="3" t="str">
        <f t="shared" si="6"/>
        <v>450014064230</v>
      </c>
      <c r="D426" s="3" t="s">
        <v>366</v>
      </c>
    </row>
    <row r="427" spans="1:4" x14ac:dyDescent="0.3">
      <c r="A427" s="3" t="s">
        <v>422</v>
      </c>
      <c r="B427" s="3" t="s">
        <v>32</v>
      </c>
      <c r="C427" s="3" t="str">
        <f t="shared" si="6"/>
        <v>450014064240</v>
      </c>
      <c r="D427" s="3" t="s">
        <v>366</v>
      </c>
    </row>
    <row r="428" spans="1:4" x14ac:dyDescent="0.3">
      <c r="A428" s="3" t="s">
        <v>422</v>
      </c>
      <c r="B428" s="3" t="s">
        <v>38</v>
      </c>
      <c r="C428" s="3" t="str">
        <f t="shared" si="6"/>
        <v>450014064250</v>
      </c>
      <c r="D428" s="3" t="s">
        <v>366</v>
      </c>
    </row>
    <row r="429" spans="1:4" x14ac:dyDescent="0.3">
      <c r="A429" s="3" t="s">
        <v>422</v>
      </c>
      <c r="B429" s="3" t="s">
        <v>169</v>
      </c>
      <c r="C429" s="3" t="str">
        <f t="shared" si="6"/>
        <v>450014064280</v>
      </c>
      <c r="D429" s="3" t="s">
        <v>366</v>
      </c>
    </row>
    <row r="430" spans="1:4" x14ac:dyDescent="0.3">
      <c r="A430" s="3" t="s">
        <v>422</v>
      </c>
      <c r="B430" s="3" t="s">
        <v>90</v>
      </c>
      <c r="C430" s="3" t="str">
        <f t="shared" si="6"/>
        <v>450014064290</v>
      </c>
      <c r="D430" s="3" t="s">
        <v>366</v>
      </c>
    </row>
    <row r="431" spans="1:4" x14ac:dyDescent="0.3">
      <c r="A431" s="3" t="s">
        <v>443</v>
      </c>
      <c r="B431" s="3" t="s">
        <v>22</v>
      </c>
      <c r="C431" s="3" t="str">
        <f t="shared" si="6"/>
        <v>450014064710</v>
      </c>
      <c r="D431" s="3" t="s">
        <v>366</v>
      </c>
    </row>
    <row r="432" spans="1:4" x14ac:dyDescent="0.3">
      <c r="A432" s="3" t="s">
        <v>441</v>
      </c>
      <c r="B432" s="3" t="s">
        <v>48</v>
      </c>
      <c r="C432" s="3" t="str">
        <f t="shared" si="6"/>
        <v>450014064820</v>
      </c>
      <c r="D432" s="3" t="s">
        <v>366</v>
      </c>
    </row>
    <row r="433" spans="1:4" x14ac:dyDescent="0.3">
      <c r="A433" s="3" t="s">
        <v>422</v>
      </c>
      <c r="B433" s="3" t="s">
        <v>296</v>
      </c>
      <c r="C433" s="3" t="str">
        <f t="shared" si="6"/>
        <v>4500140642350</v>
      </c>
      <c r="D433" s="3" t="s">
        <v>366</v>
      </c>
    </row>
    <row r="434" spans="1:4" x14ac:dyDescent="0.3">
      <c r="A434" s="3" t="s">
        <v>443</v>
      </c>
      <c r="B434" s="3" t="s">
        <v>32</v>
      </c>
      <c r="C434" s="3" t="str">
        <f t="shared" si="6"/>
        <v>450014064740</v>
      </c>
      <c r="D434" s="3" t="s">
        <v>366</v>
      </c>
    </row>
    <row r="435" spans="1:4" x14ac:dyDescent="0.3">
      <c r="A435" s="3" t="s">
        <v>438</v>
      </c>
      <c r="B435" s="3" t="s">
        <v>48</v>
      </c>
      <c r="C435" s="3" t="str">
        <f t="shared" si="6"/>
        <v>450014068820</v>
      </c>
      <c r="D435" s="3" t="s">
        <v>365</v>
      </c>
    </row>
    <row r="436" spans="1:4" x14ac:dyDescent="0.3">
      <c r="A436" s="3" t="s">
        <v>438</v>
      </c>
      <c r="B436" s="3" t="s">
        <v>22</v>
      </c>
      <c r="C436" s="3" t="str">
        <f t="shared" si="6"/>
        <v>450014068810</v>
      </c>
      <c r="D436" s="3" t="s">
        <v>365</v>
      </c>
    </row>
    <row r="437" spans="1:4" x14ac:dyDescent="0.3">
      <c r="A437" s="3" t="s">
        <v>436</v>
      </c>
      <c r="B437" s="3" t="s">
        <v>39</v>
      </c>
      <c r="C437" s="3" t="str">
        <f t="shared" si="6"/>
        <v>450014068230</v>
      </c>
      <c r="D437" s="3" t="s">
        <v>365</v>
      </c>
    </row>
    <row r="438" spans="1:4" x14ac:dyDescent="0.3">
      <c r="A438" s="3" t="s">
        <v>436</v>
      </c>
      <c r="B438" s="3" t="s">
        <v>48</v>
      </c>
      <c r="C438" s="3" t="str">
        <f t="shared" si="6"/>
        <v>450014068220</v>
      </c>
      <c r="D438" s="3" t="s">
        <v>365</v>
      </c>
    </row>
    <row r="439" spans="1:4" x14ac:dyDescent="0.3">
      <c r="A439" s="3" t="s">
        <v>436</v>
      </c>
      <c r="B439" s="3" t="s">
        <v>22</v>
      </c>
      <c r="C439" s="3" t="str">
        <f t="shared" si="6"/>
        <v>450014068210</v>
      </c>
      <c r="D439" s="3" t="s">
        <v>365</v>
      </c>
    </row>
    <row r="440" spans="1:4" x14ac:dyDescent="0.3">
      <c r="A440" s="3" t="s">
        <v>438</v>
      </c>
      <c r="B440" s="3" t="s">
        <v>32</v>
      </c>
      <c r="C440" s="3" t="str">
        <f t="shared" si="6"/>
        <v>450014068840</v>
      </c>
      <c r="D440" s="3" t="s">
        <v>365</v>
      </c>
    </row>
    <row r="441" spans="1:4" x14ac:dyDescent="0.3">
      <c r="A441" s="3" t="s">
        <v>453</v>
      </c>
      <c r="B441" s="3" t="s">
        <v>22</v>
      </c>
      <c r="C441" s="3" t="str">
        <f t="shared" si="6"/>
        <v>450014079410</v>
      </c>
      <c r="D441" s="3" t="s">
        <v>366</v>
      </c>
    </row>
    <row r="442" spans="1:4" x14ac:dyDescent="0.3">
      <c r="A442" s="3" t="s">
        <v>453</v>
      </c>
      <c r="B442" s="3" t="s">
        <v>48</v>
      </c>
      <c r="C442" s="3" t="str">
        <f t="shared" si="6"/>
        <v>450014079420</v>
      </c>
      <c r="D442" s="3" t="s">
        <v>366</v>
      </c>
    </row>
    <row r="443" spans="1:4" x14ac:dyDescent="0.3">
      <c r="A443" s="3" t="s">
        <v>463</v>
      </c>
      <c r="B443" s="3" t="s">
        <v>22</v>
      </c>
      <c r="C443" s="3" t="str">
        <f t="shared" si="6"/>
        <v>450013462810</v>
      </c>
      <c r="D443" s="3" t="s">
        <v>366</v>
      </c>
    </row>
    <row r="444" spans="1:4" x14ac:dyDescent="0.3">
      <c r="A444" s="3" t="s">
        <v>463</v>
      </c>
      <c r="B444" s="3" t="s">
        <v>48</v>
      </c>
      <c r="C444" s="3" t="str">
        <f t="shared" si="6"/>
        <v>450013462820</v>
      </c>
      <c r="D444" s="3" t="s">
        <v>366</v>
      </c>
    </row>
    <row r="445" spans="1:4" x14ac:dyDescent="0.3">
      <c r="A445" s="3" t="s">
        <v>463</v>
      </c>
      <c r="B445" s="3" t="s">
        <v>39</v>
      </c>
      <c r="C445" s="3" t="str">
        <f t="shared" si="6"/>
        <v>450013462830</v>
      </c>
      <c r="D445" s="3" t="s">
        <v>366</v>
      </c>
    </row>
    <row r="446" spans="1:4" x14ac:dyDescent="0.3">
      <c r="A446" s="3" t="s">
        <v>463</v>
      </c>
      <c r="B446" s="3" t="s">
        <v>32</v>
      </c>
      <c r="C446" s="3" t="str">
        <f t="shared" si="6"/>
        <v>450013462840</v>
      </c>
      <c r="D446" s="3" t="s">
        <v>366</v>
      </c>
    </row>
    <row r="447" spans="1:4" x14ac:dyDescent="0.3">
      <c r="A447" s="3" t="s">
        <v>463</v>
      </c>
      <c r="B447" s="3" t="s">
        <v>38</v>
      </c>
      <c r="C447" s="3" t="str">
        <f t="shared" si="6"/>
        <v>450013462850</v>
      </c>
      <c r="D447" s="3" t="s">
        <v>366</v>
      </c>
    </row>
    <row r="448" spans="1:4" x14ac:dyDescent="0.3">
      <c r="A448" s="3" t="s">
        <v>473</v>
      </c>
      <c r="B448" s="3" t="s">
        <v>22</v>
      </c>
      <c r="C448" s="3" t="str">
        <f t="shared" si="6"/>
        <v>450014106410</v>
      </c>
      <c r="D448" s="3" t="s">
        <v>366</v>
      </c>
    </row>
    <row r="449" spans="1:4" x14ac:dyDescent="0.3">
      <c r="A449" s="3" t="s">
        <v>480</v>
      </c>
      <c r="B449" s="3" t="s">
        <v>38</v>
      </c>
      <c r="C449" s="3" t="str">
        <f t="shared" si="6"/>
        <v>450014097150</v>
      </c>
      <c r="D449" s="3" t="s">
        <v>460</v>
      </c>
    </row>
    <row r="450" spans="1:4" x14ac:dyDescent="0.3">
      <c r="A450" s="3" t="s">
        <v>475</v>
      </c>
      <c r="B450" s="3" t="s">
        <v>39</v>
      </c>
      <c r="C450" s="3" t="str">
        <f t="shared" si="6"/>
        <v>450014073030</v>
      </c>
      <c r="D450" s="3" t="s">
        <v>362</v>
      </c>
    </row>
    <row r="451" spans="1:4" x14ac:dyDescent="0.3">
      <c r="A451" s="3" t="s">
        <v>475</v>
      </c>
      <c r="B451" s="3" t="s">
        <v>32</v>
      </c>
      <c r="C451" s="3" t="str">
        <f t="shared" ref="C451:C460" si="7">_xlfn.CONCAT(A451:B451)</f>
        <v>450014073040</v>
      </c>
      <c r="D451" s="3" t="s">
        <v>362</v>
      </c>
    </row>
    <row r="452" spans="1:4" x14ac:dyDescent="0.3">
      <c r="A452" s="3" t="s">
        <v>477</v>
      </c>
      <c r="B452" s="3" t="s">
        <v>22</v>
      </c>
      <c r="C452" s="3" t="str">
        <f t="shared" si="7"/>
        <v>450014088810</v>
      </c>
      <c r="D452" s="3" t="s">
        <v>362</v>
      </c>
    </row>
    <row r="453" spans="1:4" x14ac:dyDescent="0.3">
      <c r="A453" s="3" t="s">
        <v>477</v>
      </c>
      <c r="B453" s="3" t="s">
        <v>48</v>
      </c>
      <c r="C453" s="3" t="str">
        <f t="shared" si="7"/>
        <v>450014088820</v>
      </c>
      <c r="D453" s="3" t="s">
        <v>362</v>
      </c>
    </row>
    <row r="454" spans="1:4" x14ac:dyDescent="0.3">
      <c r="A454" s="3" t="s">
        <v>477</v>
      </c>
      <c r="B454" s="3" t="s">
        <v>39</v>
      </c>
      <c r="C454" s="3" t="str">
        <f t="shared" si="7"/>
        <v>450014088830</v>
      </c>
      <c r="D454" s="3" t="s">
        <v>362</v>
      </c>
    </row>
    <row r="455" spans="1:4" x14ac:dyDescent="0.3">
      <c r="A455" s="3" t="s">
        <v>475</v>
      </c>
      <c r="B455" s="3" t="s">
        <v>22</v>
      </c>
      <c r="C455" s="3" t="str">
        <f t="shared" si="7"/>
        <v>450014073010</v>
      </c>
      <c r="D455" s="3" t="s">
        <v>362</v>
      </c>
    </row>
    <row r="456" spans="1:4" x14ac:dyDescent="0.3">
      <c r="A456" s="3" t="s">
        <v>475</v>
      </c>
      <c r="B456" s="3" t="s">
        <v>48</v>
      </c>
      <c r="C456" s="3" t="str">
        <f t="shared" si="7"/>
        <v>450014073020</v>
      </c>
      <c r="D456" s="3" t="s">
        <v>362</v>
      </c>
    </row>
    <row r="457" spans="1:4" x14ac:dyDescent="0.3">
      <c r="A457" s="3" t="s">
        <v>480</v>
      </c>
      <c r="B457" s="3" t="s">
        <v>39</v>
      </c>
      <c r="C457" s="3" t="str">
        <f t="shared" si="7"/>
        <v>450014097130</v>
      </c>
      <c r="D457" s="3" t="s">
        <v>460</v>
      </c>
    </row>
    <row r="458" spans="1:4" x14ac:dyDescent="0.3">
      <c r="A458" s="3" t="s">
        <v>470</v>
      </c>
      <c r="B458" s="3" t="s">
        <v>22</v>
      </c>
      <c r="C458" s="3" t="str">
        <f t="shared" si="7"/>
        <v>450014079210</v>
      </c>
      <c r="D458" s="3" t="s">
        <v>460</v>
      </c>
    </row>
    <row r="459" spans="1:4" x14ac:dyDescent="0.3">
      <c r="A459" s="3" t="s">
        <v>468</v>
      </c>
      <c r="B459" s="3" t="s">
        <v>89</v>
      </c>
      <c r="C459" s="3" t="str">
        <f t="shared" si="7"/>
        <v>4500141053100</v>
      </c>
      <c r="D459" s="3" t="s">
        <v>366</v>
      </c>
    </row>
    <row r="460" spans="1:4" x14ac:dyDescent="0.3">
      <c r="A460" s="3" t="s">
        <v>466</v>
      </c>
      <c r="B460" s="3" t="s">
        <v>22</v>
      </c>
      <c r="C460" s="3" t="str">
        <f t="shared" si="7"/>
        <v>450014100510</v>
      </c>
      <c r="D460" s="3" t="s">
        <v>366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C997F-087A-4FFB-B840-B712D44303F5}">
  <dimension ref="A1:F460"/>
  <sheetViews>
    <sheetView topLeftCell="A433" workbookViewId="0">
      <selection activeCell="F443" sqref="F443:F460"/>
    </sheetView>
  </sheetViews>
  <sheetFormatPr baseColWidth="10" defaultRowHeight="14.4" x14ac:dyDescent="0.3"/>
  <cols>
    <col min="1" max="1" width="18" bestFit="1" customWidth="1"/>
    <col min="2" max="2" width="9" bestFit="1" customWidth="1"/>
    <col min="3" max="3" width="20" customWidth="1"/>
    <col min="4" max="5" width="17" bestFit="1" customWidth="1"/>
    <col min="6" max="6" width="54.77734375" customWidth="1"/>
  </cols>
  <sheetData>
    <row r="1" spans="1:6" x14ac:dyDescent="0.3">
      <c r="A1" s="1" t="s">
        <v>13</v>
      </c>
      <c r="B1" s="1" t="s">
        <v>14</v>
      </c>
      <c r="C1" s="1"/>
      <c r="D1" s="1" t="s">
        <v>253</v>
      </c>
      <c r="E1" s="1" t="s">
        <v>254</v>
      </c>
      <c r="F1" s="1" t="s">
        <v>255</v>
      </c>
    </row>
    <row r="2" spans="1:6" x14ac:dyDescent="0.3">
      <c r="A2" s="3" t="s">
        <v>116</v>
      </c>
      <c r="B2" s="3" t="s">
        <v>39</v>
      </c>
      <c r="C2" s="3" t="str">
        <f>_xlfn.CONCAT(A2:B2)</f>
        <v>450011416830</v>
      </c>
      <c r="D2" s="4">
        <v>46387</v>
      </c>
      <c r="E2" s="3" t="s">
        <v>256</v>
      </c>
      <c r="F2" s="3" t="s">
        <v>257</v>
      </c>
    </row>
    <row r="3" spans="1:6" x14ac:dyDescent="0.3">
      <c r="A3" s="3" t="s">
        <v>235</v>
      </c>
      <c r="B3" s="3" t="s">
        <v>22</v>
      </c>
      <c r="C3" s="3" t="str">
        <f t="shared" ref="C3:C66" si="0">_xlfn.CONCAT(A3:B3)</f>
        <v>450012018410</v>
      </c>
      <c r="D3" s="4">
        <v>46321</v>
      </c>
      <c r="E3" s="3" t="s">
        <v>256</v>
      </c>
      <c r="F3" s="3" t="s">
        <v>258</v>
      </c>
    </row>
    <row r="4" spans="1:6" x14ac:dyDescent="0.3">
      <c r="A4" s="3" t="s">
        <v>116</v>
      </c>
      <c r="B4" s="3" t="s">
        <v>32</v>
      </c>
      <c r="C4" s="3" t="str">
        <f t="shared" si="0"/>
        <v>450011416840</v>
      </c>
      <c r="D4" s="4">
        <v>46387</v>
      </c>
      <c r="E4" s="3" t="s">
        <v>256</v>
      </c>
      <c r="F4" s="3" t="s">
        <v>257</v>
      </c>
    </row>
    <row r="5" spans="1:6" x14ac:dyDescent="0.3">
      <c r="A5" s="3" t="s">
        <v>249</v>
      </c>
      <c r="B5" s="3" t="s">
        <v>22</v>
      </c>
      <c r="C5" s="3" t="str">
        <f t="shared" si="0"/>
        <v>450013929810</v>
      </c>
      <c r="D5" s="4">
        <v>46325</v>
      </c>
      <c r="E5" s="3" t="s">
        <v>259</v>
      </c>
      <c r="F5" s="3" t="s">
        <v>260</v>
      </c>
    </row>
    <row r="6" spans="1:6" x14ac:dyDescent="0.3">
      <c r="A6" s="3" t="s">
        <v>107</v>
      </c>
      <c r="B6" s="3" t="s">
        <v>22</v>
      </c>
      <c r="C6" s="3" t="str">
        <f t="shared" si="0"/>
        <v>450010970910</v>
      </c>
      <c r="D6" s="4">
        <v>46308</v>
      </c>
      <c r="E6" s="3" t="s">
        <v>259</v>
      </c>
      <c r="F6" s="3" t="s">
        <v>261</v>
      </c>
    </row>
    <row r="7" spans="1:6" x14ac:dyDescent="0.3">
      <c r="A7" s="3" t="s">
        <v>157</v>
      </c>
      <c r="B7" s="3" t="s">
        <v>22</v>
      </c>
      <c r="C7" s="3" t="str">
        <f t="shared" si="0"/>
        <v>450013425610</v>
      </c>
      <c r="D7" s="4">
        <v>46322</v>
      </c>
      <c r="E7" s="3" t="s">
        <v>262</v>
      </c>
      <c r="F7" s="3" t="s">
        <v>263</v>
      </c>
    </row>
    <row r="8" spans="1:6" x14ac:dyDescent="0.3">
      <c r="A8" s="3" t="s">
        <v>122</v>
      </c>
      <c r="B8" s="3" t="s">
        <v>22</v>
      </c>
      <c r="C8" s="3" t="str">
        <f t="shared" si="0"/>
        <v>450011392010</v>
      </c>
      <c r="D8" s="4">
        <v>46325</v>
      </c>
      <c r="E8" s="3" t="s">
        <v>259</v>
      </c>
      <c r="F8" s="3" t="s">
        <v>264</v>
      </c>
    </row>
    <row r="9" spans="1:6" x14ac:dyDescent="0.3">
      <c r="A9" s="3" t="s">
        <v>248</v>
      </c>
      <c r="B9" s="3" t="s">
        <v>22</v>
      </c>
      <c r="C9" s="3" t="str">
        <f t="shared" si="0"/>
        <v>450013482410</v>
      </c>
      <c r="D9" s="4">
        <v>46325</v>
      </c>
      <c r="E9" s="3" t="s">
        <v>259</v>
      </c>
      <c r="F9" s="3" t="s">
        <v>265</v>
      </c>
    </row>
    <row r="10" spans="1:6" x14ac:dyDescent="0.3">
      <c r="A10" s="3" t="s">
        <v>26</v>
      </c>
      <c r="B10" s="3" t="s">
        <v>266</v>
      </c>
      <c r="C10" s="3" t="str">
        <f t="shared" si="0"/>
        <v>4500114743390</v>
      </c>
      <c r="D10" s="4">
        <v>46301</v>
      </c>
      <c r="E10" s="3" t="s">
        <v>267</v>
      </c>
      <c r="F10" s="3" t="s">
        <v>268</v>
      </c>
    </row>
    <row r="11" spans="1:6" x14ac:dyDescent="0.3">
      <c r="A11" s="3" t="s">
        <v>154</v>
      </c>
      <c r="B11" s="3" t="s">
        <v>48</v>
      </c>
      <c r="C11" s="3" t="str">
        <f t="shared" si="0"/>
        <v>450012853320</v>
      </c>
      <c r="D11" s="4">
        <v>46326</v>
      </c>
      <c r="E11" s="3" t="s">
        <v>259</v>
      </c>
      <c r="F11" s="3" t="s">
        <v>265</v>
      </c>
    </row>
    <row r="12" spans="1:6" x14ac:dyDescent="0.3">
      <c r="A12" s="3" t="s">
        <v>249</v>
      </c>
      <c r="B12" s="3" t="s">
        <v>48</v>
      </c>
      <c r="C12" s="3" t="str">
        <f t="shared" si="0"/>
        <v>450013929820</v>
      </c>
      <c r="D12" s="4">
        <v>46325</v>
      </c>
      <c r="E12" s="3" t="s">
        <v>259</v>
      </c>
      <c r="F12" s="3" t="s">
        <v>260</v>
      </c>
    </row>
    <row r="13" spans="1:6" x14ac:dyDescent="0.3">
      <c r="A13" s="3" t="s">
        <v>247</v>
      </c>
      <c r="B13" s="3" t="s">
        <v>32</v>
      </c>
      <c r="C13" s="3" t="str">
        <f t="shared" si="0"/>
        <v>450013742240</v>
      </c>
      <c r="D13" s="4">
        <v>46328</v>
      </c>
      <c r="E13" s="3" t="s">
        <v>269</v>
      </c>
      <c r="F13" s="3" t="s">
        <v>270</v>
      </c>
    </row>
    <row r="14" spans="1:6" x14ac:dyDescent="0.3">
      <c r="A14" s="3" t="s">
        <v>247</v>
      </c>
      <c r="B14" s="3" t="s">
        <v>39</v>
      </c>
      <c r="C14" s="3" t="str">
        <f t="shared" si="0"/>
        <v>450013742230</v>
      </c>
      <c r="D14" s="4">
        <v>46328</v>
      </c>
      <c r="E14" s="3" t="s">
        <v>269</v>
      </c>
      <c r="F14" s="3" t="s">
        <v>270</v>
      </c>
    </row>
    <row r="15" spans="1:6" x14ac:dyDescent="0.3">
      <c r="A15" s="3" t="s">
        <v>154</v>
      </c>
      <c r="B15" s="3" t="s">
        <v>22</v>
      </c>
      <c r="C15" s="3" t="str">
        <f t="shared" si="0"/>
        <v>450012853310</v>
      </c>
      <c r="D15" s="4">
        <v>46326</v>
      </c>
      <c r="E15" s="3" t="s">
        <v>259</v>
      </c>
      <c r="F15" s="3" t="s">
        <v>265</v>
      </c>
    </row>
    <row r="16" spans="1:6" x14ac:dyDescent="0.3">
      <c r="A16" s="3" t="s">
        <v>247</v>
      </c>
      <c r="B16" s="3" t="s">
        <v>48</v>
      </c>
      <c r="C16" s="3" t="str">
        <f t="shared" si="0"/>
        <v>450013742220</v>
      </c>
      <c r="D16" s="4">
        <v>46328</v>
      </c>
      <c r="E16" s="3" t="s">
        <v>269</v>
      </c>
      <c r="F16" s="3" t="s">
        <v>270</v>
      </c>
    </row>
    <row r="17" spans="1:6" x14ac:dyDescent="0.3">
      <c r="A17" s="3" t="s">
        <v>249</v>
      </c>
      <c r="B17" s="3" t="s">
        <v>39</v>
      </c>
      <c r="C17" s="3" t="str">
        <f t="shared" si="0"/>
        <v>450013929830</v>
      </c>
      <c r="D17" s="4">
        <v>46325</v>
      </c>
      <c r="E17" s="3" t="s">
        <v>259</v>
      </c>
      <c r="F17" s="3" t="s">
        <v>260</v>
      </c>
    </row>
    <row r="18" spans="1:6" x14ac:dyDescent="0.3">
      <c r="A18" s="3" t="s">
        <v>231</v>
      </c>
      <c r="B18" s="3" t="s">
        <v>22</v>
      </c>
      <c r="C18" s="3" t="str">
        <f t="shared" si="0"/>
        <v>450013980910</v>
      </c>
      <c r="D18" s="4">
        <v>46354</v>
      </c>
      <c r="E18" s="3" t="s">
        <v>269</v>
      </c>
      <c r="F18" s="3" t="s">
        <v>271</v>
      </c>
    </row>
    <row r="19" spans="1:6" x14ac:dyDescent="0.3">
      <c r="A19" s="3" t="s">
        <v>26</v>
      </c>
      <c r="B19" s="3" t="s">
        <v>272</v>
      </c>
      <c r="C19" s="3" t="str">
        <f t="shared" si="0"/>
        <v>4500114743370</v>
      </c>
      <c r="D19" s="4">
        <v>46301</v>
      </c>
      <c r="E19" s="3" t="s">
        <v>267</v>
      </c>
      <c r="F19" s="3" t="s">
        <v>268</v>
      </c>
    </row>
    <row r="20" spans="1:6" x14ac:dyDescent="0.3">
      <c r="A20" s="3" t="s">
        <v>219</v>
      </c>
      <c r="B20" s="3" t="s">
        <v>22</v>
      </c>
      <c r="C20" s="3" t="str">
        <f t="shared" si="0"/>
        <v>450013901910</v>
      </c>
      <c r="D20" s="4">
        <v>46319</v>
      </c>
      <c r="E20" s="3" t="s">
        <v>256</v>
      </c>
      <c r="F20" s="3" t="s">
        <v>273</v>
      </c>
    </row>
    <row r="21" spans="1:6" x14ac:dyDescent="0.3">
      <c r="A21" s="3" t="s">
        <v>26</v>
      </c>
      <c r="B21" s="3" t="s">
        <v>28</v>
      </c>
      <c r="C21" s="3" t="str">
        <f t="shared" si="0"/>
        <v>4500114743330</v>
      </c>
      <c r="D21" s="4">
        <v>46301</v>
      </c>
      <c r="E21" s="3" t="s">
        <v>267</v>
      </c>
      <c r="F21" s="3" t="s">
        <v>268</v>
      </c>
    </row>
    <row r="22" spans="1:6" x14ac:dyDescent="0.3">
      <c r="A22" s="3" t="s">
        <v>247</v>
      </c>
      <c r="B22" s="3" t="s">
        <v>22</v>
      </c>
      <c r="C22" s="3" t="str">
        <f t="shared" si="0"/>
        <v>450013742210</v>
      </c>
      <c r="D22" s="4">
        <v>46328</v>
      </c>
      <c r="E22" s="3" t="s">
        <v>269</v>
      </c>
      <c r="F22" s="3" t="s">
        <v>270</v>
      </c>
    </row>
    <row r="23" spans="1:6" x14ac:dyDescent="0.3">
      <c r="A23" s="3" t="s">
        <v>237</v>
      </c>
      <c r="B23" s="3" t="s">
        <v>22</v>
      </c>
      <c r="C23" s="3" t="str">
        <f t="shared" si="0"/>
        <v>450013952410</v>
      </c>
      <c r="D23" s="4">
        <v>46325</v>
      </c>
      <c r="E23" s="3" t="s">
        <v>256</v>
      </c>
      <c r="F23" s="3" t="s">
        <v>274</v>
      </c>
    </row>
    <row r="24" spans="1:6" x14ac:dyDescent="0.3">
      <c r="A24" s="3" t="s">
        <v>26</v>
      </c>
      <c r="B24" s="3" t="s">
        <v>275</v>
      </c>
      <c r="C24" s="3" t="str">
        <f t="shared" si="0"/>
        <v>4500114743380</v>
      </c>
      <c r="D24" s="4">
        <v>46301</v>
      </c>
      <c r="E24" s="3" t="s">
        <v>267</v>
      </c>
      <c r="F24" s="3" t="s">
        <v>268</v>
      </c>
    </row>
    <row r="25" spans="1:6" x14ac:dyDescent="0.3">
      <c r="A25" s="3" t="s">
        <v>21</v>
      </c>
      <c r="B25" s="3" t="s">
        <v>22</v>
      </c>
      <c r="C25" s="3" t="str">
        <f t="shared" si="0"/>
        <v>450012636310</v>
      </c>
      <c r="D25" s="4">
        <v>46301</v>
      </c>
      <c r="E25" s="3" t="s">
        <v>276</v>
      </c>
      <c r="F25" s="3" t="s">
        <v>268</v>
      </c>
    </row>
    <row r="26" spans="1:6" x14ac:dyDescent="0.3">
      <c r="A26" s="3" t="s">
        <v>47</v>
      </c>
      <c r="B26" s="3" t="s">
        <v>48</v>
      </c>
      <c r="C26" s="3" t="str">
        <f t="shared" si="0"/>
        <v>450012729520</v>
      </c>
      <c r="D26" s="4">
        <v>46301</v>
      </c>
      <c r="E26" s="3" t="s">
        <v>267</v>
      </c>
      <c r="F26" s="3" t="s">
        <v>268</v>
      </c>
    </row>
    <row r="27" spans="1:6" x14ac:dyDescent="0.3">
      <c r="A27" s="3" t="s">
        <v>61</v>
      </c>
      <c r="B27" s="3" t="s">
        <v>48</v>
      </c>
      <c r="C27" s="3" t="str">
        <f t="shared" si="0"/>
        <v>450013722720</v>
      </c>
      <c r="D27" s="4">
        <v>46325</v>
      </c>
      <c r="E27" s="3" t="s">
        <v>259</v>
      </c>
      <c r="F27" s="3" t="s">
        <v>260</v>
      </c>
    </row>
    <row r="28" spans="1:6" x14ac:dyDescent="0.3">
      <c r="A28" s="3" t="s">
        <v>234</v>
      </c>
      <c r="B28" s="3" t="s">
        <v>22</v>
      </c>
      <c r="C28" s="3" t="str">
        <f t="shared" si="0"/>
        <v>450013924510</v>
      </c>
      <c r="D28" s="4">
        <v>46356</v>
      </c>
      <c r="E28" s="3" t="s">
        <v>259</v>
      </c>
      <c r="F28" s="3" t="s">
        <v>277</v>
      </c>
    </row>
    <row r="29" spans="1:6" x14ac:dyDescent="0.3">
      <c r="A29" s="3" t="s">
        <v>243</v>
      </c>
      <c r="B29" s="3" t="s">
        <v>22</v>
      </c>
      <c r="C29" s="3" t="str">
        <f t="shared" si="0"/>
        <v>450014013010</v>
      </c>
      <c r="D29" s="4">
        <v>46311</v>
      </c>
      <c r="E29" s="3" t="s">
        <v>262</v>
      </c>
      <c r="F29" s="3" t="s">
        <v>278</v>
      </c>
    </row>
    <row r="30" spans="1:6" x14ac:dyDescent="0.3">
      <c r="A30" s="3" t="s">
        <v>243</v>
      </c>
      <c r="B30" s="3" t="s">
        <v>48</v>
      </c>
      <c r="C30" s="3" t="str">
        <f t="shared" si="0"/>
        <v>450014013020</v>
      </c>
      <c r="D30" s="4">
        <v>46311</v>
      </c>
      <c r="E30" s="3" t="s">
        <v>262</v>
      </c>
      <c r="F30" s="3" t="s">
        <v>278</v>
      </c>
    </row>
    <row r="31" spans="1:6" x14ac:dyDescent="0.3">
      <c r="A31" s="3" t="s">
        <v>63</v>
      </c>
      <c r="B31" s="3" t="s">
        <v>48</v>
      </c>
      <c r="C31" s="3" t="str">
        <f t="shared" si="0"/>
        <v>450013710720</v>
      </c>
      <c r="D31" s="4">
        <v>46307</v>
      </c>
      <c r="E31" s="3" t="s">
        <v>262</v>
      </c>
      <c r="F31" s="3" t="s">
        <v>279</v>
      </c>
    </row>
    <row r="32" spans="1:6" x14ac:dyDescent="0.3">
      <c r="A32" s="3" t="s">
        <v>246</v>
      </c>
      <c r="B32" s="3" t="s">
        <v>48</v>
      </c>
      <c r="C32" s="3" t="str">
        <f t="shared" si="0"/>
        <v>450014001120</v>
      </c>
      <c r="D32" s="4">
        <v>46300</v>
      </c>
      <c r="E32" s="3" t="s">
        <v>262</v>
      </c>
      <c r="F32" s="3" t="s">
        <v>280</v>
      </c>
    </row>
    <row r="33" spans="1:6" x14ac:dyDescent="0.3">
      <c r="A33" s="3" t="s">
        <v>45</v>
      </c>
      <c r="B33" s="3" t="s">
        <v>22</v>
      </c>
      <c r="C33" s="3" t="str">
        <f t="shared" si="0"/>
        <v>450010951410</v>
      </c>
      <c r="D33" s="4">
        <v>46162</v>
      </c>
      <c r="E33" s="3" t="s">
        <v>262</v>
      </c>
      <c r="F33" s="3" t="s">
        <v>263</v>
      </c>
    </row>
    <row r="34" spans="1:6" x14ac:dyDescent="0.3">
      <c r="A34" s="3" t="s">
        <v>106</v>
      </c>
      <c r="B34" s="3" t="s">
        <v>22</v>
      </c>
      <c r="C34" s="3" t="str">
        <f t="shared" si="0"/>
        <v>450010984110</v>
      </c>
      <c r="D34" s="4">
        <v>45940</v>
      </c>
      <c r="E34" s="3" t="s">
        <v>281</v>
      </c>
      <c r="F34" s="3" t="s">
        <v>282</v>
      </c>
    </row>
    <row r="35" spans="1:6" x14ac:dyDescent="0.3">
      <c r="A35" s="3" t="s">
        <v>106</v>
      </c>
      <c r="B35" s="3" t="s">
        <v>48</v>
      </c>
      <c r="C35" s="3" t="str">
        <f t="shared" si="0"/>
        <v>450010984120</v>
      </c>
      <c r="D35" s="4">
        <v>45940</v>
      </c>
      <c r="E35" s="3" t="s">
        <v>281</v>
      </c>
      <c r="F35" s="3" t="s">
        <v>282</v>
      </c>
    </row>
    <row r="36" spans="1:6" x14ac:dyDescent="0.3">
      <c r="A36" s="3" t="s">
        <v>106</v>
      </c>
      <c r="B36" s="3" t="s">
        <v>39</v>
      </c>
      <c r="C36" s="3" t="str">
        <f t="shared" si="0"/>
        <v>450010984130</v>
      </c>
      <c r="D36" s="4">
        <v>45940</v>
      </c>
      <c r="E36" s="3" t="s">
        <v>281</v>
      </c>
      <c r="F36" s="3" t="s">
        <v>282</v>
      </c>
    </row>
    <row r="37" spans="1:6" x14ac:dyDescent="0.3">
      <c r="A37" s="3" t="s">
        <v>113</v>
      </c>
      <c r="B37" s="3" t="s">
        <v>48</v>
      </c>
      <c r="C37" s="3" t="str">
        <f t="shared" si="0"/>
        <v>450011022620</v>
      </c>
      <c r="D37" s="4">
        <v>46097</v>
      </c>
      <c r="E37" s="3" t="s">
        <v>283</v>
      </c>
      <c r="F37" s="3" t="s">
        <v>284</v>
      </c>
    </row>
    <row r="38" spans="1:6" x14ac:dyDescent="0.3">
      <c r="A38" s="3" t="s">
        <v>102</v>
      </c>
      <c r="B38" s="3" t="s">
        <v>22</v>
      </c>
      <c r="C38" s="3" t="str">
        <f t="shared" si="0"/>
        <v>450011207910</v>
      </c>
      <c r="D38" s="4">
        <v>45968</v>
      </c>
      <c r="E38" s="3" t="s">
        <v>285</v>
      </c>
      <c r="F38" s="3" t="s">
        <v>286</v>
      </c>
    </row>
    <row r="39" spans="1:6" x14ac:dyDescent="0.3">
      <c r="A39" s="3" t="s">
        <v>102</v>
      </c>
      <c r="B39" s="3" t="s">
        <v>48</v>
      </c>
      <c r="C39" s="3" t="str">
        <f t="shared" si="0"/>
        <v>450011207920</v>
      </c>
      <c r="D39" s="4">
        <v>45968</v>
      </c>
      <c r="E39" s="3" t="s">
        <v>285</v>
      </c>
      <c r="F39" s="3" t="s">
        <v>286</v>
      </c>
    </row>
    <row r="40" spans="1:6" x14ac:dyDescent="0.3">
      <c r="A40" s="3" t="s">
        <v>102</v>
      </c>
      <c r="B40" s="3" t="s">
        <v>39</v>
      </c>
      <c r="C40" s="3" t="str">
        <f t="shared" si="0"/>
        <v>450011207930</v>
      </c>
      <c r="D40" s="4">
        <v>45968</v>
      </c>
      <c r="E40" s="3" t="s">
        <v>285</v>
      </c>
      <c r="F40" s="3" t="s">
        <v>286</v>
      </c>
    </row>
    <row r="41" spans="1:6" x14ac:dyDescent="0.3">
      <c r="A41" s="3" t="s">
        <v>103</v>
      </c>
      <c r="B41" s="3" t="s">
        <v>22</v>
      </c>
      <c r="C41" s="3" t="str">
        <f t="shared" si="0"/>
        <v>450011380010</v>
      </c>
      <c r="D41" s="4">
        <v>46001</v>
      </c>
      <c r="E41" s="3" t="s">
        <v>262</v>
      </c>
      <c r="F41" s="3" t="s">
        <v>287</v>
      </c>
    </row>
    <row r="42" spans="1:6" x14ac:dyDescent="0.3">
      <c r="A42" s="3" t="s">
        <v>103</v>
      </c>
      <c r="B42" s="3" t="s">
        <v>48</v>
      </c>
      <c r="C42" s="3" t="str">
        <f t="shared" si="0"/>
        <v>450011380020</v>
      </c>
      <c r="D42" s="4">
        <v>46001</v>
      </c>
      <c r="E42" s="3" t="s">
        <v>262</v>
      </c>
      <c r="F42" s="3" t="s">
        <v>287</v>
      </c>
    </row>
    <row r="43" spans="1:6" x14ac:dyDescent="0.3">
      <c r="A43" s="3" t="s">
        <v>103</v>
      </c>
      <c r="B43" s="3" t="s">
        <v>39</v>
      </c>
      <c r="C43" s="3" t="str">
        <f t="shared" si="0"/>
        <v>450011380030</v>
      </c>
      <c r="D43" s="4">
        <v>46001</v>
      </c>
      <c r="E43" s="3" t="s">
        <v>262</v>
      </c>
      <c r="F43" s="3" t="s">
        <v>287</v>
      </c>
    </row>
    <row r="44" spans="1:6" x14ac:dyDescent="0.3">
      <c r="A44" s="3" t="s">
        <v>26</v>
      </c>
      <c r="B44" s="3" t="s">
        <v>22</v>
      </c>
      <c r="C44" s="3" t="str">
        <f t="shared" si="0"/>
        <v>450011474310</v>
      </c>
      <c r="D44" s="4">
        <v>46290</v>
      </c>
      <c r="E44" s="3" t="s">
        <v>267</v>
      </c>
      <c r="F44" s="3" t="s">
        <v>268</v>
      </c>
    </row>
    <row r="45" spans="1:6" x14ac:dyDescent="0.3">
      <c r="A45" s="3" t="s">
        <v>26</v>
      </c>
      <c r="B45" s="3" t="s">
        <v>48</v>
      </c>
      <c r="C45" s="3" t="str">
        <f t="shared" si="0"/>
        <v>450011474320</v>
      </c>
      <c r="D45" s="4">
        <v>46290</v>
      </c>
      <c r="E45" s="3" t="s">
        <v>267</v>
      </c>
      <c r="F45" s="3" t="s">
        <v>268</v>
      </c>
    </row>
    <row r="46" spans="1:6" x14ac:dyDescent="0.3">
      <c r="A46" s="3" t="s">
        <v>26</v>
      </c>
      <c r="B46" s="3" t="s">
        <v>39</v>
      </c>
      <c r="C46" s="3" t="str">
        <f t="shared" si="0"/>
        <v>450011474330</v>
      </c>
      <c r="D46" s="4">
        <v>46290</v>
      </c>
      <c r="E46" s="3" t="s">
        <v>267</v>
      </c>
      <c r="F46" s="3" t="s">
        <v>268</v>
      </c>
    </row>
    <row r="47" spans="1:6" x14ac:dyDescent="0.3">
      <c r="A47" s="3" t="s">
        <v>26</v>
      </c>
      <c r="B47" s="3" t="s">
        <v>32</v>
      </c>
      <c r="C47" s="3" t="str">
        <f t="shared" si="0"/>
        <v>450011474340</v>
      </c>
      <c r="D47" s="4">
        <v>46290</v>
      </c>
      <c r="E47" s="3" t="s">
        <v>267</v>
      </c>
      <c r="F47" s="3" t="s">
        <v>268</v>
      </c>
    </row>
    <row r="48" spans="1:6" x14ac:dyDescent="0.3">
      <c r="A48" s="3" t="s">
        <v>26</v>
      </c>
      <c r="B48" s="3" t="s">
        <v>38</v>
      </c>
      <c r="C48" s="3" t="str">
        <f t="shared" si="0"/>
        <v>450011474350</v>
      </c>
      <c r="D48" s="4">
        <v>46290</v>
      </c>
      <c r="E48" s="3" t="s">
        <v>267</v>
      </c>
      <c r="F48" s="3" t="s">
        <v>268</v>
      </c>
    </row>
    <row r="49" spans="1:6" x14ac:dyDescent="0.3">
      <c r="A49" s="3" t="s">
        <v>26</v>
      </c>
      <c r="B49" s="3" t="s">
        <v>66</v>
      </c>
      <c r="C49" s="3" t="str">
        <f t="shared" si="0"/>
        <v>450011474360</v>
      </c>
      <c r="D49" s="4">
        <v>46290</v>
      </c>
      <c r="E49" s="3" t="s">
        <v>267</v>
      </c>
      <c r="F49" s="3" t="s">
        <v>268</v>
      </c>
    </row>
    <row r="50" spans="1:6" x14ac:dyDescent="0.3">
      <c r="A50" s="3" t="s">
        <v>26</v>
      </c>
      <c r="B50" s="3" t="s">
        <v>85</v>
      </c>
      <c r="C50" s="3" t="str">
        <f t="shared" si="0"/>
        <v>450011474370</v>
      </c>
      <c r="D50" s="4">
        <v>46290</v>
      </c>
      <c r="E50" s="3" t="s">
        <v>267</v>
      </c>
      <c r="F50" s="3" t="s">
        <v>268</v>
      </c>
    </row>
    <row r="51" spans="1:6" x14ac:dyDescent="0.3">
      <c r="A51" s="3" t="s">
        <v>26</v>
      </c>
      <c r="B51" s="3" t="s">
        <v>169</v>
      </c>
      <c r="C51" s="3" t="str">
        <f t="shared" si="0"/>
        <v>450011474380</v>
      </c>
      <c r="D51" s="4">
        <v>46290</v>
      </c>
      <c r="E51" s="3" t="s">
        <v>267</v>
      </c>
      <c r="F51" s="3" t="s">
        <v>268</v>
      </c>
    </row>
    <row r="52" spans="1:6" x14ac:dyDescent="0.3">
      <c r="A52" s="3" t="s">
        <v>26</v>
      </c>
      <c r="B52" s="3" t="s">
        <v>90</v>
      </c>
      <c r="C52" s="3" t="str">
        <f t="shared" si="0"/>
        <v>450011474390</v>
      </c>
      <c r="D52" s="4">
        <v>46290</v>
      </c>
      <c r="E52" s="3" t="s">
        <v>267</v>
      </c>
      <c r="F52" s="3" t="s">
        <v>268</v>
      </c>
    </row>
    <row r="53" spans="1:6" x14ac:dyDescent="0.3">
      <c r="A53" s="3" t="s">
        <v>26</v>
      </c>
      <c r="B53" s="3" t="s">
        <v>89</v>
      </c>
      <c r="C53" s="3" t="str">
        <f t="shared" si="0"/>
        <v>4500114743100</v>
      </c>
      <c r="D53" s="4">
        <v>46290</v>
      </c>
      <c r="E53" s="3" t="s">
        <v>267</v>
      </c>
      <c r="F53" s="3" t="s">
        <v>268</v>
      </c>
    </row>
    <row r="54" spans="1:6" x14ac:dyDescent="0.3">
      <c r="A54" s="3" t="s">
        <v>26</v>
      </c>
      <c r="B54" s="3" t="s">
        <v>87</v>
      </c>
      <c r="C54" s="3" t="str">
        <f t="shared" si="0"/>
        <v>4500114743110</v>
      </c>
      <c r="D54" s="4">
        <v>46290</v>
      </c>
      <c r="E54" s="3" t="s">
        <v>267</v>
      </c>
      <c r="F54" s="3" t="s">
        <v>268</v>
      </c>
    </row>
    <row r="55" spans="1:6" x14ac:dyDescent="0.3">
      <c r="A55" s="3" t="s">
        <v>26</v>
      </c>
      <c r="B55" s="3" t="s">
        <v>88</v>
      </c>
      <c r="C55" s="3" t="str">
        <f t="shared" si="0"/>
        <v>4500114743120</v>
      </c>
      <c r="D55" s="4">
        <v>46290</v>
      </c>
      <c r="E55" s="3" t="s">
        <v>267</v>
      </c>
      <c r="F55" s="3" t="s">
        <v>268</v>
      </c>
    </row>
    <row r="56" spans="1:6" x14ac:dyDescent="0.3">
      <c r="A56" s="3" t="s">
        <v>26</v>
      </c>
      <c r="B56" s="3" t="s">
        <v>193</v>
      </c>
      <c r="C56" s="3" t="str">
        <f t="shared" si="0"/>
        <v>4500114743130</v>
      </c>
      <c r="D56" s="4">
        <v>46290</v>
      </c>
      <c r="E56" s="3" t="s">
        <v>267</v>
      </c>
      <c r="F56" s="3" t="s">
        <v>268</v>
      </c>
    </row>
    <row r="57" spans="1:6" x14ac:dyDescent="0.3">
      <c r="A57" s="3" t="s">
        <v>26</v>
      </c>
      <c r="B57" s="3" t="s">
        <v>194</v>
      </c>
      <c r="C57" s="3" t="str">
        <f t="shared" si="0"/>
        <v>4500114743140</v>
      </c>
      <c r="D57" s="4">
        <v>46290</v>
      </c>
      <c r="E57" s="3" t="s">
        <v>267</v>
      </c>
      <c r="F57" s="3" t="s">
        <v>268</v>
      </c>
    </row>
    <row r="58" spans="1:6" x14ac:dyDescent="0.3">
      <c r="A58" s="3" t="s">
        <v>26</v>
      </c>
      <c r="B58" s="3" t="s">
        <v>195</v>
      </c>
      <c r="C58" s="3" t="str">
        <f t="shared" si="0"/>
        <v>4500114743150</v>
      </c>
      <c r="D58" s="4">
        <v>46290</v>
      </c>
      <c r="E58" s="3" t="s">
        <v>267</v>
      </c>
      <c r="F58" s="3" t="s">
        <v>268</v>
      </c>
    </row>
    <row r="59" spans="1:6" x14ac:dyDescent="0.3">
      <c r="A59" s="3" t="s">
        <v>26</v>
      </c>
      <c r="B59" s="3" t="s">
        <v>198</v>
      </c>
      <c r="C59" s="3" t="str">
        <f t="shared" si="0"/>
        <v>4500114743160</v>
      </c>
      <c r="D59" s="4">
        <v>46290</v>
      </c>
      <c r="E59" s="3" t="s">
        <v>267</v>
      </c>
      <c r="F59" s="3" t="s">
        <v>268</v>
      </c>
    </row>
    <row r="60" spans="1:6" x14ac:dyDescent="0.3">
      <c r="A60" s="3" t="s">
        <v>26</v>
      </c>
      <c r="B60" s="3" t="s">
        <v>40</v>
      </c>
      <c r="C60" s="3" t="str">
        <f t="shared" si="0"/>
        <v>4500114743170</v>
      </c>
      <c r="D60" s="4">
        <v>46290</v>
      </c>
      <c r="E60" s="3" t="s">
        <v>267</v>
      </c>
      <c r="F60" s="3" t="s">
        <v>268</v>
      </c>
    </row>
    <row r="61" spans="1:6" x14ac:dyDescent="0.3">
      <c r="A61" s="3" t="s">
        <v>26</v>
      </c>
      <c r="B61" s="3" t="s">
        <v>288</v>
      </c>
      <c r="C61" s="3" t="str">
        <f t="shared" si="0"/>
        <v>4500114743180</v>
      </c>
      <c r="D61" s="4">
        <v>46290</v>
      </c>
      <c r="E61" s="3" t="s">
        <v>267</v>
      </c>
      <c r="F61" s="3" t="s">
        <v>268</v>
      </c>
    </row>
    <row r="62" spans="1:6" x14ac:dyDescent="0.3">
      <c r="A62" s="3" t="s">
        <v>26</v>
      </c>
      <c r="B62" s="3" t="s">
        <v>289</v>
      </c>
      <c r="C62" s="3" t="str">
        <f t="shared" si="0"/>
        <v>4500114743190</v>
      </c>
      <c r="D62" s="4">
        <v>46290</v>
      </c>
      <c r="E62" s="3" t="s">
        <v>267</v>
      </c>
      <c r="F62" s="3" t="s">
        <v>268</v>
      </c>
    </row>
    <row r="63" spans="1:6" x14ac:dyDescent="0.3">
      <c r="A63" s="3" t="s">
        <v>26</v>
      </c>
      <c r="B63" s="3" t="s">
        <v>290</v>
      </c>
      <c r="C63" s="3" t="str">
        <f t="shared" si="0"/>
        <v>4500114743200</v>
      </c>
      <c r="D63" s="4">
        <v>46290</v>
      </c>
      <c r="E63" s="3" t="s">
        <v>267</v>
      </c>
      <c r="F63" s="3" t="s">
        <v>268</v>
      </c>
    </row>
    <row r="64" spans="1:6" x14ac:dyDescent="0.3">
      <c r="A64" s="3" t="s">
        <v>26</v>
      </c>
      <c r="B64" s="3" t="s">
        <v>291</v>
      </c>
      <c r="C64" s="3" t="str">
        <f t="shared" si="0"/>
        <v>4500114743210</v>
      </c>
      <c r="D64" s="4">
        <v>46290</v>
      </c>
      <c r="E64" s="3" t="s">
        <v>267</v>
      </c>
      <c r="F64" s="3" t="s">
        <v>268</v>
      </c>
    </row>
    <row r="65" spans="1:6" x14ac:dyDescent="0.3">
      <c r="A65" s="3" t="s">
        <v>26</v>
      </c>
      <c r="B65" s="3" t="s">
        <v>33</v>
      </c>
      <c r="C65" s="3" t="str">
        <f t="shared" si="0"/>
        <v>4500114743270</v>
      </c>
      <c r="D65" s="4">
        <v>46290</v>
      </c>
      <c r="E65" s="3" t="s">
        <v>267</v>
      </c>
      <c r="F65" s="3" t="s">
        <v>268</v>
      </c>
    </row>
    <row r="66" spans="1:6" x14ac:dyDescent="0.3">
      <c r="A66" s="3" t="s">
        <v>26</v>
      </c>
      <c r="B66" s="3" t="s">
        <v>292</v>
      </c>
      <c r="C66" s="3" t="str">
        <f t="shared" si="0"/>
        <v>4500114743290</v>
      </c>
      <c r="D66" s="4">
        <v>46290</v>
      </c>
      <c r="E66" s="3" t="s">
        <v>267</v>
      </c>
      <c r="F66" s="3" t="s">
        <v>268</v>
      </c>
    </row>
    <row r="67" spans="1:6" x14ac:dyDescent="0.3">
      <c r="A67" s="3" t="s">
        <v>26</v>
      </c>
      <c r="B67" s="3" t="s">
        <v>293</v>
      </c>
      <c r="C67" s="3" t="str">
        <f t="shared" ref="C67:C130" si="1">_xlfn.CONCAT(A67:B67)</f>
        <v>4500114743300</v>
      </c>
      <c r="D67" s="4">
        <v>46290</v>
      </c>
      <c r="E67" s="3" t="s">
        <v>267</v>
      </c>
      <c r="F67" s="3" t="s">
        <v>268</v>
      </c>
    </row>
    <row r="68" spans="1:6" x14ac:dyDescent="0.3">
      <c r="A68" s="3" t="s">
        <v>26</v>
      </c>
      <c r="B68" s="3" t="s">
        <v>294</v>
      </c>
      <c r="C68" s="3" t="str">
        <f t="shared" si="1"/>
        <v>4500114743310</v>
      </c>
      <c r="D68" s="4">
        <v>46290</v>
      </c>
      <c r="E68" s="3" t="s">
        <v>267</v>
      </c>
      <c r="F68" s="3" t="s">
        <v>268</v>
      </c>
    </row>
    <row r="69" spans="1:6" x14ac:dyDescent="0.3">
      <c r="A69" s="3" t="s">
        <v>26</v>
      </c>
      <c r="B69" s="3" t="s">
        <v>27</v>
      </c>
      <c r="C69" s="3" t="str">
        <f t="shared" si="1"/>
        <v>4500114743320</v>
      </c>
      <c r="D69" s="4">
        <v>46290</v>
      </c>
      <c r="E69" s="3" t="s">
        <v>267</v>
      </c>
      <c r="F69" s="3" t="s">
        <v>268</v>
      </c>
    </row>
    <row r="70" spans="1:6" x14ac:dyDescent="0.3">
      <c r="A70" s="3" t="s">
        <v>26</v>
      </c>
      <c r="B70" s="3" t="s">
        <v>295</v>
      </c>
      <c r="C70" s="3" t="str">
        <f t="shared" si="1"/>
        <v>4500114743340</v>
      </c>
      <c r="D70" s="4">
        <v>46290</v>
      </c>
      <c r="E70" s="3" t="s">
        <v>267</v>
      </c>
      <c r="F70" s="3" t="s">
        <v>268</v>
      </c>
    </row>
    <row r="71" spans="1:6" x14ac:dyDescent="0.3">
      <c r="A71" s="3" t="s">
        <v>26</v>
      </c>
      <c r="B71" s="3" t="s">
        <v>296</v>
      </c>
      <c r="C71" s="3" t="str">
        <f t="shared" si="1"/>
        <v>4500114743350</v>
      </c>
      <c r="D71" s="4">
        <v>46290</v>
      </c>
      <c r="E71" s="3" t="s">
        <v>267</v>
      </c>
      <c r="F71" s="3" t="s">
        <v>268</v>
      </c>
    </row>
    <row r="72" spans="1:6" x14ac:dyDescent="0.3">
      <c r="A72" s="3" t="s">
        <v>26</v>
      </c>
      <c r="B72" s="3" t="s">
        <v>297</v>
      </c>
      <c r="C72" s="3" t="str">
        <f t="shared" si="1"/>
        <v>4500114743360</v>
      </c>
      <c r="D72" s="4">
        <v>46290</v>
      </c>
      <c r="E72" s="3" t="s">
        <v>267</v>
      </c>
      <c r="F72" s="3" t="s">
        <v>268</v>
      </c>
    </row>
    <row r="73" spans="1:6" x14ac:dyDescent="0.3">
      <c r="A73" s="3" t="s">
        <v>26</v>
      </c>
      <c r="B73" s="3" t="s">
        <v>298</v>
      </c>
      <c r="C73" s="3" t="str">
        <f t="shared" si="1"/>
        <v>4500114743400</v>
      </c>
      <c r="D73" s="4">
        <v>46290</v>
      </c>
      <c r="E73" s="3" t="s">
        <v>267</v>
      </c>
      <c r="F73" s="3" t="s">
        <v>268</v>
      </c>
    </row>
    <row r="74" spans="1:6" x14ac:dyDescent="0.3">
      <c r="A74" s="3" t="s">
        <v>26</v>
      </c>
      <c r="B74" s="3" t="s">
        <v>299</v>
      </c>
      <c r="C74" s="3" t="str">
        <f t="shared" si="1"/>
        <v>4500114743410</v>
      </c>
      <c r="D74" s="4">
        <v>46290</v>
      </c>
      <c r="E74" s="3" t="s">
        <v>267</v>
      </c>
      <c r="F74" s="3" t="s">
        <v>268</v>
      </c>
    </row>
    <row r="75" spans="1:6" x14ac:dyDescent="0.3">
      <c r="A75" s="3" t="s">
        <v>26</v>
      </c>
      <c r="B75" s="3" t="s">
        <v>300</v>
      </c>
      <c r="C75" s="3" t="str">
        <f t="shared" si="1"/>
        <v>4500114743420</v>
      </c>
      <c r="D75" s="4">
        <v>46290</v>
      </c>
      <c r="E75" s="3" t="s">
        <v>267</v>
      </c>
      <c r="F75" s="3" t="s">
        <v>268</v>
      </c>
    </row>
    <row r="76" spans="1:6" x14ac:dyDescent="0.3">
      <c r="A76" s="3" t="s">
        <v>26</v>
      </c>
      <c r="B76" s="3" t="s">
        <v>301</v>
      </c>
      <c r="C76" s="3" t="str">
        <f t="shared" si="1"/>
        <v>4500114743430</v>
      </c>
      <c r="D76" s="4">
        <v>46290</v>
      </c>
      <c r="E76" s="3" t="s">
        <v>267</v>
      </c>
      <c r="F76" s="3" t="s">
        <v>268</v>
      </c>
    </row>
    <row r="77" spans="1:6" x14ac:dyDescent="0.3">
      <c r="A77" s="3" t="s">
        <v>26</v>
      </c>
      <c r="B77" s="3" t="s">
        <v>302</v>
      </c>
      <c r="C77" s="3" t="str">
        <f t="shared" si="1"/>
        <v>4500114743440</v>
      </c>
      <c r="D77" s="4">
        <v>46290</v>
      </c>
      <c r="E77" s="3" t="s">
        <v>267</v>
      </c>
      <c r="F77" s="3" t="s">
        <v>268</v>
      </c>
    </row>
    <row r="78" spans="1:6" x14ac:dyDescent="0.3">
      <c r="A78" s="3" t="s">
        <v>26</v>
      </c>
      <c r="B78" s="3" t="s">
        <v>303</v>
      </c>
      <c r="C78" s="3" t="str">
        <f t="shared" si="1"/>
        <v>4500114743450</v>
      </c>
      <c r="D78" s="4">
        <v>46290</v>
      </c>
      <c r="E78" s="3" t="s">
        <v>267</v>
      </c>
      <c r="F78" s="3" t="s">
        <v>268</v>
      </c>
    </row>
    <row r="79" spans="1:6" x14ac:dyDescent="0.3">
      <c r="A79" s="3" t="s">
        <v>26</v>
      </c>
      <c r="B79" s="3" t="s">
        <v>304</v>
      </c>
      <c r="C79" s="3" t="str">
        <f t="shared" si="1"/>
        <v>4500114743460</v>
      </c>
      <c r="D79" s="4">
        <v>46290</v>
      </c>
      <c r="E79" s="3" t="s">
        <v>267</v>
      </c>
      <c r="F79" s="3" t="s">
        <v>268</v>
      </c>
    </row>
    <row r="80" spans="1:6" x14ac:dyDescent="0.3">
      <c r="A80" s="3" t="s">
        <v>26</v>
      </c>
      <c r="B80" s="3" t="s">
        <v>305</v>
      </c>
      <c r="C80" s="3" t="str">
        <f t="shared" si="1"/>
        <v>4500114743470</v>
      </c>
      <c r="D80" s="4">
        <v>46290</v>
      </c>
      <c r="E80" s="3" t="s">
        <v>267</v>
      </c>
      <c r="F80" s="3" t="s">
        <v>268</v>
      </c>
    </row>
    <row r="81" spans="1:6" x14ac:dyDescent="0.3">
      <c r="A81" s="3" t="s">
        <v>26</v>
      </c>
      <c r="B81" s="3" t="s">
        <v>41</v>
      </c>
      <c r="C81" s="3" t="str">
        <f t="shared" si="1"/>
        <v>4500114743480</v>
      </c>
      <c r="D81" s="4">
        <v>46290</v>
      </c>
      <c r="E81" s="3" t="s">
        <v>267</v>
      </c>
      <c r="F81" s="3" t="s">
        <v>268</v>
      </c>
    </row>
    <row r="82" spans="1:6" x14ac:dyDescent="0.3">
      <c r="A82" s="3" t="s">
        <v>26</v>
      </c>
      <c r="B82" s="3" t="s">
        <v>306</v>
      </c>
      <c r="C82" s="3" t="str">
        <f t="shared" si="1"/>
        <v>4500114743550</v>
      </c>
      <c r="D82" s="4">
        <v>46290</v>
      </c>
      <c r="E82" s="3" t="s">
        <v>267</v>
      </c>
      <c r="F82" s="3" t="s">
        <v>268</v>
      </c>
    </row>
    <row r="83" spans="1:6" x14ac:dyDescent="0.3">
      <c r="A83" s="3" t="s">
        <v>26</v>
      </c>
      <c r="B83" s="3" t="s">
        <v>307</v>
      </c>
      <c r="C83" s="3" t="str">
        <f t="shared" si="1"/>
        <v>4500114743560</v>
      </c>
      <c r="D83" s="4">
        <v>46290</v>
      </c>
      <c r="E83" s="3" t="s">
        <v>267</v>
      </c>
      <c r="F83" s="3" t="s">
        <v>268</v>
      </c>
    </row>
    <row r="84" spans="1:6" x14ac:dyDescent="0.3">
      <c r="A84" s="3" t="s">
        <v>26</v>
      </c>
      <c r="B84" s="3" t="s">
        <v>308</v>
      </c>
      <c r="C84" s="3" t="str">
        <f t="shared" si="1"/>
        <v>4500114743570</v>
      </c>
      <c r="D84" s="4">
        <v>46290</v>
      </c>
      <c r="E84" s="3" t="s">
        <v>267</v>
      </c>
      <c r="F84" s="3" t="s">
        <v>268</v>
      </c>
    </row>
    <row r="85" spans="1:6" x14ac:dyDescent="0.3">
      <c r="A85" s="3" t="s">
        <v>36</v>
      </c>
      <c r="B85" s="3" t="s">
        <v>22</v>
      </c>
      <c r="C85" s="3" t="str">
        <f t="shared" si="1"/>
        <v>450011783110</v>
      </c>
      <c r="D85" s="4">
        <v>46056</v>
      </c>
      <c r="E85" s="3" t="s">
        <v>281</v>
      </c>
      <c r="F85" s="3" t="s">
        <v>286</v>
      </c>
    </row>
    <row r="86" spans="1:6" x14ac:dyDescent="0.3">
      <c r="A86" s="3" t="s">
        <v>36</v>
      </c>
      <c r="B86" s="3" t="s">
        <v>48</v>
      </c>
      <c r="C86" s="3" t="str">
        <f t="shared" si="1"/>
        <v>450011783120</v>
      </c>
      <c r="D86" s="4">
        <v>46056</v>
      </c>
      <c r="E86" s="3" t="s">
        <v>281</v>
      </c>
      <c r="F86" s="3" t="s">
        <v>286</v>
      </c>
    </row>
    <row r="87" spans="1:6" x14ac:dyDescent="0.3">
      <c r="A87" s="3" t="s">
        <v>110</v>
      </c>
      <c r="B87" s="3" t="s">
        <v>22</v>
      </c>
      <c r="C87" s="3" t="str">
        <f t="shared" si="1"/>
        <v>450012180010</v>
      </c>
      <c r="D87" s="4">
        <v>46105</v>
      </c>
      <c r="E87" s="3" t="s">
        <v>262</v>
      </c>
      <c r="F87" s="3" t="s">
        <v>309</v>
      </c>
    </row>
    <row r="88" spans="1:6" x14ac:dyDescent="0.3">
      <c r="A88" s="3" t="s">
        <v>57</v>
      </c>
      <c r="B88" s="3" t="s">
        <v>22</v>
      </c>
      <c r="C88" s="3" t="str">
        <f t="shared" si="1"/>
        <v>450012303610</v>
      </c>
      <c r="D88" s="4">
        <v>46282</v>
      </c>
      <c r="E88" s="3" t="s">
        <v>262</v>
      </c>
      <c r="F88" s="3" t="s">
        <v>263</v>
      </c>
    </row>
    <row r="89" spans="1:6" x14ac:dyDescent="0.3">
      <c r="A89" s="3" t="s">
        <v>55</v>
      </c>
      <c r="B89" s="3" t="s">
        <v>22</v>
      </c>
      <c r="C89" s="3" t="str">
        <f t="shared" si="1"/>
        <v>450012326210</v>
      </c>
      <c r="D89" s="4">
        <v>46233</v>
      </c>
      <c r="E89" s="3" t="s">
        <v>259</v>
      </c>
      <c r="F89" s="3" t="s">
        <v>265</v>
      </c>
    </row>
    <row r="90" spans="1:6" x14ac:dyDescent="0.3">
      <c r="A90" s="3" t="s">
        <v>119</v>
      </c>
      <c r="B90" s="3" t="s">
        <v>22</v>
      </c>
      <c r="C90" s="3" t="str">
        <f t="shared" si="1"/>
        <v>450012687210</v>
      </c>
      <c r="D90" s="4">
        <v>46167</v>
      </c>
      <c r="E90" s="3" t="s">
        <v>283</v>
      </c>
      <c r="F90" s="3" t="s">
        <v>310</v>
      </c>
    </row>
    <row r="91" spans="1:6" x14ac:dyDescent="0.3">
      <c r="A91" s="3" t="s">
        <v>119</v>
      </c>
      <c r="B91" s="3" t="s">
        <v>48</v>
      </c>
      <c r="C91" s="3" t="str">
        <f t="shared" si="1"/>
        <v>450012687220</v>
      </c>
      <c r="D91" s="4">
        <v>46178</v>
      </c>
      <c r="E91" s="3" t="s">
        <v>283</v>
      </c>
      <c r="F91" s="3" t="s">
        <v>310</v>
      </c>
    </row>
    <row r="92" spans="1:6" x14ac:dyDescent="0.3">
      <c r="A92" s="3" t="s">
        <v>119</v>
      </c>
      <c r="B92" s="3" t="s">
        <v>39</v>
      </c>
      <c r="C92" s="3" t="str">
        <f t="shared" si="1"/>
        <v>450012687230</v>
      </c>
      <c r="D92" s="4">
        <v>46167</v>
      </c>
      <c r="E92" s="3" t="s">
        <v>283</v>
      </c>
      <c r="F92" s="3" t="s">
        <v>310</v>
      </c>
    </row>
    <row r="93" spans="1:6" x14ac:dyDescent="0.3">
      <c r="A93" s="3" t="s">
        <v>52</v>
      </c>
      <c r="B93" s="3" t="s">
        <v>22</v>
      </c>
      <c r="C93" s="3" t="str">
        <f t="shared" si="1"/>
        <v>450012695410</v>
      </c>
      <c r="D93" s="4">
        <v>46169</v>
      </c>
      <c r="E93" s="3" t="s">
        <v>262</v>
      </c>
      <c r="F93" s="3" t="s">
        <v>311</v>
      </c>
    </row>
    <row r="94" spans="1:6" x14ac:dyDescent="0.3">
      <c r="A94" s="3" t="s">
        <v>52</v>
      </c>
      <c r="B94" s="3" t="s">
        <v>48</v>
      </c>
      <c r="C94" s="3" t="str">
        <f t="shared" si="1"/>
        <v>450012695420</v>
      </c>
      <c r="D94" s="4">
        <v>46169</v>
      </c>
      <c r="E94" s="3" t="s">
        <v>262</v>
      </c>
      <c r="F94" s="3" t="s">
        <v>311</v>
      </c>
    </row>
    <row r="95" spans="1:6" x14ac:dyDescent="0.3">
      <c r="A95" s="3" t="s">
        <v>25</v>
      </c>
      <c r="B95" s="3" t="s">
        <v>22</v>
      </c>
      <c r="C95" s="3" t="str">
        <f t="shared" si="1"/>
        <v>450012711610</v>
      </c>
      <c r="D95" s="4">
        <v>46210</v>
      </c>
      <c r="E95" s="3" t="s">
        <v>267</v>
      </c>
      <c r="F95" s="3" t="s">
        <v>268</v>
      </c>
    </row>
    <row r="96" spans="1:6" x14ac:dyDescent="0.3">
      <c r="A96" s="3" t="s">
        <v>25</v>
      </c>
      <c r="B96" s="3" t="s">
        <v>48</v>
      </c>
      <c r="C96" s="3" t="str">
        <f t="shared" si="1"/>
        <v>450012711620</v>
      </c>
      <c r="D96" s="4">
        <v>46210</v>
      </c>
      <c r="E96" s="3" t="s">
        <v>267</v>
      </c>
      <c r="F96" s="3" t="s">
        <v>268</v>
      </c>
    </row>
    <row r="97" spans="1:6" x14ac:dyDescent="0.3">
      <c r="A97" s="3" t="s">
        <v>25</v>
      </c>
      <c r="B97" s="3" t="s">
        <v>39</v>
      </c>
      <c r="C97" s="3" t="str">
        <f t="shared" si="1"/>
        <v>450012711630</v>
      </c>
      <c r="D97" s="4">
        <v>46234</v>
      </c>
      <c r="E97" s="3" t="s">
        <v>267</v>
      </c>
      <c r="F97" s="3" t="s">
        <v>268</v>
      </c>
    </row>
    <row r="98" spans="1:6" x14ac:dyDescent="0.3">
      <c r="A98" s="3" t="s">
        <v>47</v>
      </c>
      <c r="B98" s="3" t="s">
        <v>22</v>
      </c>
      <c r="C98" s="3" t="str">
        <f t="shared" si="1"/>
        <v>450012729510</v>
      </c>
      <c r="D98" s="4">
        <v>46188</v>
      </c>
      <c r="E98" s="3" t="s">
        <v>267</v>
      </c>
      <c r="F98" s="3" t="s">
        <v>268</v>
      </c>
    </row>
    <row r="99" spans="1:6" x14ac:dyDescent="0.3">
      <c r="A99" s="3" t="s">
        <v>59</v>
      </c>
      <c r="B99" s="3" t="s">
        <v>22</v>
      </c>
      <c r="C99" s="3" t="str">
        <f t="shared" si="1"/>
        <v>450012854310</v>
      </c>
      <c r="D99" s="4">
        <v>46236</v>
      </c>
      <c r="E99" s="3" t="s">
        <v>259</v>
      </c>
      <c r="F99" s="3" t="s">
        <v>260</v>
      </c>
    </row>
    <row r="100" spans="1:6" x14ac:dyDescent="0.3">
      <c r="A100" s="3" t="s">
        <v>65</v>
      </c>
      <c r="B100" s="3" t="s">
        <v>22</v>
      </c>
      <c r="C100" s="3" t="str">
        <f t="shared" si="1"/>
        <v>450012906110</v>
      </c>
      <c r="D100" s="4">
        <v>46183</v>
      </c>
      <c r="E100" s="3" t="s">
        <v>312</v>
      </c>
      <c r="F100" s="3" t="s">
        <v>278</v>
      </c>
    </row>
    <row r="101" spans="1:6" x14ac:dyDescent="0.3">
      <c r="A101" s="3" t="s">
        <v>65</v>
      </c>
      <c r="B101" s="3" t="s">
        <v>48</v>
      </c>
      <c r="C101" s="3" t="str">
        <f t="shared" si="1"/>
        <v>450012906120</v>
      </c>
      <c r="D101" s="4">
        <v>46224</v>
      </c>
      <c r="E101" s="3" t="s">
        <v>312</v>
      </c>
      <c r="F101" s="3" t="s">
        <v>278</v>
      </c>
    </row>
    <row r="102" spans="1:6" x14ac:dyDescent="0.3">
      <c r="A102" s="3" t="s">
        <v>65</v>
      </c>
      <c r="B102" s="3" t="s">
        <v>39</v>
      </c>
      <c r="C102" s="3" t="str">
        <f t="shared" si="1"/>
        <v>450012906130</v>
      </c>
      <c r="D102" s="4">
        <v>46183</v>
      </c>
      <c r="E102" s="3" t="s">
        <v>312</v>
      </c>
      <c r="F102" s="3" t="s">
        <v>278</v>
      </c>
    </row>
    <row r="103" spans="1:6" x14ac:dyDescent="0.3">
      <c r="A103" s="3" t="s">
        <v>65</v>
      </c>
      <c r="B103" s="3" t="s">
        <v>32</v>
      </c>
      <c r="C103" s="3" t="str">
        <f t="shared" si="1"/>
        <v>450012906140</v>
      </c>
      <c r="D103" s="4">
        <v>46183</v>
      </c>
      <c r="E103" s="3" t="s">
        <v>312</v>
      </c>
      <c r="F103" s="3" t="s">
        <v>278</v>
      </c>
    </row>
    <row r="104" spans="1:6" x14ac:dyDescent="0.3">
      <c r="A104" s="3" t="s">
        <v>65</v>
      </c>
      <c r="B104" s="3" t="s">
        <v>38</v>
      </c>
      <c r="C104" s="3" t="str">
        <f t="shared" si="1"/>
        <v>450012906150</v>
      </c>
      <c r="D104" s="4">
        <v>46183</v>
      </c>
      <c r="E104" s="3" t="s">
        <v>312</v>
      </c>
      <c r="F104" s="3" t="s">
        <v>278</v>
      </c>
    </row>
    <row r="105" spans="1:6" x14ac:dyDescent="0.3">
      <c r="A105" s="3" t="s">
        <v>65</v>
      </c>
      <c r="B105" s="3" t="s">
        <v>66</v>
      </c>
      <c r="C105" s="3" t="str">
        <f t="shared" si="1"/>
        <v>450012906160</v>
      </c>
      <c r="D105" s="4">
        <v>46183</v>
      </c>
      <c r="E105" s="3" t="s">
        <v>312</v>
      </c>
      <c r="F105" s="3" t="s">
        <v>278</v>
      </c>
    </row>
    <row r="106" spans="1:6" x14ac:dyDescent="0.3">
      <c r="A106" s="3" t="s">
        <v>127</v>
      </c>
      <c r="B106" s="3" t="s">
        <v>22</v>
      </c>
      <c r="C106" s="3" t="str">
        <f t="shared" si="1"/>
        <v>450012967410</v>
      </c>
      <c r="D106" s="4">
        <v>46198</v>
      </c>
      <c r="E106" s="3" t="s">
        <v>262</v>
      </c>
      <c r="F106" s="3" t="s">
        <v>313</v>
      </c>
    </row>
    <row r="107" spans="1:6" x14ac:dyDescent="0.3">
      <c r="A107" s="3" t="s">
        <v>130</v>
      </c>
      <c r="B107" s="3" t="s">
        <v>22</v>
      </c>
      <c r="C107" s="3" t="str">
        <f t="shared" si="1"/>
        <v>450012975410</v>
      </c>
      <c r="D107" s="4">
        <v>46264</v>
      </c>
      <c r="E107" s="3" t="s">
        <v>262</v>
      </c>
      <c r="F107" s="3" t="s">
        <v>314</v>
      </c>
    </row>
    <row r="108" spans="1:6" x14ac:dyDescent="0.3">
      <c r="A108" s="3" t="s">
        <v>149</v>
      </c>
      <c r="B108" s="3" t="s">
        <v>22</v>
      </c>
      <c r="C108" s="3" t="str">
        <f t="shared" si="1"/>
        <v>450012989010</v>
      </c>
      <c r="D108" s="4">
        <v>46252</v>
      </c>
      <c r="E108" s="3" t="s">
        <v>262</v>
      </c>
      <c r="F108" s="3" t="s">
        <v>315</v>
      </c>
    </row>
    <row r="109" spans="1:6" x14ac:dyDescent="0.3">
      <c r="A109" s="3" t="s">
        <v>160</v>
      </c>
      <c r="B109" s="3" t="s">
        <v>22</v>
      </c>
      <c r="C109" s="3" t="str">
        <f t="shared" si="1"/>
        <v>450013075010</v>
      </c>
      <c r="D109" s="4">
        <v>46197</v>
      </c>
      <c r="E109" s="3" t="s">
        <v>262</v>
      </c>
      <c r="F109" s="3" t="s">
        <v>286</v>
      </c>
    </row>
    <row r="110" spans="1:6" x14ac:dyDescent="0.3">
      <c r="A110" s="3" t="s">
        <v>160</v>
      </c>
      <c r="B110" s="3" t="s">
        <v>48</v>
      </c>
      <c r="C110" s="3" t="str">
        <f t="shared" si="1"/>
        <v>450013075020</v>
      </c>
      <c r="D110" s="4">
        <v>46197</v>
      </c>
      <c r="E110" s="3" t="s">
        <v>262</v>
      </c>
      <c r="F110" s="3" t="s">
        <v>286</v>
      </c>
    </row>
    <row r="111" spans="1:6" x14ac:dyDescent="0.3">
      <c r="A111" s="3" t="s">
        <v>160</v>
      </c>
      <c r="B111" s="3" t="s">
        <v>39</v>
      </c>
      <c r="C111" s="3" t="str">
        <f t="shared" si="1"/>
        <v>450013075030</v>
      </c>
      <c r="D111" s="4">
        <v>46197</v>
      </c>
      <c r="E111" s="3" t="s">
        <v>262</v>
      </c>
      <c r="F111" s="3" t="s">
        <v>286</v>
      </c>
    </row>
    <row r="112" spans="1:6" x14ac:dyDescent="0.3">
      <c r="A112" s="3" t="s">
        <v>160</v>
      </c>
      <c r="B112" s="3" t="s">
        <v>32</v>
      </c>
      <c r="C112" s="3" t="str">
        <f t="shared" si="1"/>
        <v>450013075040</v>
      </c>
      <c r="D112" s="4">
        <v>46197</v>
      </c>
      <c r="E112" s="3" t="s">
        <v>262</v>
      </c>
      <c r="F112" s="3" t="s">
        <v>286</v>
      </c>
    </row>
    <row r="113" spans="1:6" x14ac:dyDescent="0.3">
      <c r="A113" s="3" t="s">
        <v>160</v>
      </c>
      <c r="B113" s="3" t="s">
        <v>38</v>
      </c>
      <c r="C113" s="3" t="str">
        <f t="shared" si="1"/>
        <v>450013075050</v>
      </c>
      <c r="D113" s="4">
        <v>46197</v>
      </c>
      <c r="E113" s="3" t="s">
        <v>262</v>
      </c>
      <c r="F113" s="3" t="s">
        <v>286</v>
      </c>
    </row>
    <row r="114" spans="1:6" x14ac:dyDescent="0.3">
      <c r="A114" s="3" t="s">
        <v>160</v>
      </c>
      <c r="B114" s="3" t="s">
        <v>66</v>
      </c>
      <c r="C114" s="3" t="str">
        <f t="shared" si="1"/>
        <v>450013075060</v>
      </c>
      <c r="D114" s="4">
        <v>46258</v>
      </c>
      <c r="E114" s="3" t="s">
        <v>262</v>
      </c>
      <c r="F114" s="3" t="s">
        <v>286</v>
      </c>
    </row>
    <row r="115" spans="1:6" x14ac:dyDescent="0.3">
      <c r="A115" s="3" t="s">
        <v>160</v>
      </c>
      <c r="B115" s="3" t="s">
        <v>85</v>
      </c>
      <c r="C115" s="3" t="str">
        <f t="shared" si="1"/>
        <v>450013075070</v>
      </c>
      <c r="D115" s="4">
        <v>46197</v>
      </c>
      <c r="E115" s="3" t="s">
        <v>262</v>
      </c>
      <c r="F115" s="3" t="s">
        <v>286</v>
      </c>
    </row>
    <row r="116" spans="1:6" x14ac:dyDescent="0.3">
      <c r="A116" s="3" t="s">
        <v>160</v>
      </c>
      <c r="B116" s="3" t="s">
        <v>169</v>
      </c>
      <c r="C116" s="3" t="str">
        <f t="shared" si="1"/>
        <v>450013075080</v>
      </c>
      <c r="D116" s="4">
        <v>46197</v>
      </c>
      <c r="E116" s="3" t="s">
        <v>262</v>
      </c>
      <c r="F116" s="3" t="s">
        <v>286</v>
      </c>
    </row>
    <row r="117" spans="1:6" x14ac:dyDescent="0.3">
      <c r="A117" s="3" t="s">
        <v>160</v>
      </c>
      <c r="B117" s="3" t="s">
        <v>90</v>
      </c>
      <c r="C117" s="3" t="str">
        <f t="shared" si="1"/>
        <v>450013075090</v>
      </c>
      <c r="D117" s="4">
        <v>46197</v>
      </c>
      <c r="E117" s="3" t="s">
        <v>262</v>
      </c>
      <c r="F117" s="3" t="s">
        <v>286</v>
      </c>
    </row>
    <row r="118" spans="1:6" x14ac:dyDescent="0.3">
      <c r="A118" s="3" t="s">
        <v>137</v>
      </c>
      <c r="B118" s="3" t="s">
        <v>22</v>
      </c>
      <c r="C118" s="3" t="str">
        <f t="shared" si="1"/>
        <v>450013076210</v>
      </c>
      <c r="D118" s="4">
        <v>46205</v>
      </c>
      <c r="E118" s="3" t="s">
        <v>316</v>
      </c>
      <c r="F118" s="3" t="s">
        <v>317</v>
      </c>
    </row>
    <row r="119" spans="1:6" x14ac:dyDescent="0.3">
      <c r="A119" s="3" t="s">
        <v>136</v>
      </c>
      <c r="B119" s="3" t="s">
        <v>22</v>
      </c>
      <c r="C119" s="3" t="str">
        <f t="shared" si="1"/>
        <v>450013137810</v>
      </c>
      <c r="D119" s="4">
        <v>46228</v>
      </c>
      <c r="E119" s="3" t="s">
        <v>318</v>
      </c>
      <c r="F119" s="3" t="s">
        <v>317</v>
      </c>
    </row>
    <row r="120" spans="1:6" x14ac:dyDescent="0.3">
      <c r="A120" s="3" t="s">
        <v>134</v>
      </c>
      <c r="B120" s="3" t="s">
        <v>22</v>
      </c>
      <c r="C120" s="3" t="str">
        <f t="shared" si="1"/>
        <v>450013180710</v>
      </c>
      <c r="D120" s="4">
        <v>46224</v>
      </c>
      <c r="E120" s="3" t="s">
        <v>262</v>
      </c>
      <c r="F120" s="3" t="s">
        <v>319</v>
      </c>
    </row>
    <row r="121" spans="1:6" x14ac:dyDescent="0.3">
      <c r="A121" s="3" t="s">
        <v>139</v>
      </c>
      <c r="B121" s="3" t="s">
        <v>22</v>
      </c>
      <c r="C121" s="3" t="str">
        <f t="shared" si="1"/>
        <v>450013213810</v>
      </c>
      <c r="D121" s="4">
        <v>46244</v>
      </c>
      <c r="E121" s="3" t="s">
        <v>318</v>
      </c>
      <c r="F121" s="3" t="s">
        <v>320</v>
      </c>
    </row>
    <row r="122" spans="1:6" x14ac:dyDescent="0.3">
      <c r="A122" s="3" t="s">
        <v>152</v>
      </c>
      <c r="B122" s="3" t="s">
        <v>22</v>
      </c>
      <c r="C122" s="3" t="str">
        <f t="shared" si="1"/>
        <v>450013370910</v>
      </c>
      <c r="D122" s="4">
        <v>46247</v>
      </c>
      <c r="E122" s="3" t="s">
        <v>262</v>
      </c>
      <c r="F122" s="3" t="s">
        <v>321</v>
      </c>
    </row>
    <row r="123" spans="1:6" x14ac:dyDescent="0.3">
      <c r="A123" s="3" t="s">
        <v>152</v>
      </c>
      <c r="B123" s="3" t="s">
        <v>48</v>
      </c>
      <c r="C123" s="3" t="str">
        <f t="shared" si="1"/>
        <v>450013370920</v>
      </c>
      <c r="D123" s="4">
        <v>46247</v>
      </c>
      <c r="E123" s="3" t="s">
        <v>262</v>
      </c>
      <c r="F123" s="3" t="s">
        <v>321</v>
      </c>
    </row>
    <row r="124" spans="1:6" x14ac:dyDescent="0.3">
      <c r="A124" s="3" t="s">
        <v>142</v>
      </c>
      <c r="B124" s="3" t="s">
        <v>39</v>
      </c>
      <c r="C124" s="3" t="str">
        <f t="shared" si="1"/>
        <v>450013381430</v>
      </c>
      <c r="D124" s="4">
        <v>46237</v>
      </c>
      <c r="E124" s="3" t="s">
        <v>262</v>
      </c>
      <c r="F124" s="3" t="s">
        <v>286</v>
      </c>
    </row>
    <row r="125" spans="1:6" x14ac:dyDescent="0.3">
      <c r="A125" s="3" t="s">
        <v>142</v>
      </c>
      <c r="B125" s="3" t="s">
        <v>32</v>
      </c>
      <c r="C125" s="3" t="str">
        <f t="shared" si="1"/>
        <v>450013381440</v>
      </c>
      <c r="D125" s="4">
        <v>46237</v>
      </c>
      <c r="E125" s="3" t="s">
        <v>262</v>
      </c>
      <c r="F125" s="3" t="s">
        <v>286</v>
      </c>
    </row>
    <row r="126" spans="1:6" x14ac:dyDescent="0.3">
      <c r="A126" s="3" t="s">
        <v>144</v>
      </c>
      <c r="B126" s="3" t="s">
        <v>22</v>
      </c>
      <c r="C126" s="3" t="str">
        <f t="shared" si="1"/>
        <v>450013402210</v>
      </c>
      <c r="D126" s="4">
        <v>46325</v>
      </c>
      <c r="E126" s="3" t="s">
        <v>259</v>
      </c>
      <c r="F126" s="3" t="s">
        <v>264</v>
      </c>
    </row>
    <row r="127" spans="1:6" x14ac:dyDescent="0.3">
      <c r="A127" s="3" t="s">
        <v>144</v>
      </c>
      <c r="B127" s="3" t="s">
        <v>48</v>
      </c>
      <c r="C127" s="3" t="str">
        <f t="shared" si="1"/>
        <v>450013402220</v>
      </c>
      <c r="D127" s="4">
        <v>46325</v>
      </c>
      <c r="E127" s="3" t="s">
        <v>259</v>
      </c>
      <c r="F127" s="3" t="s">
        <v>264</v>
      </c>
    </row>
    <row r="128" spans="1:6" x14ac:dyDescent="0.3">
      <c r="A128" s="3" t="s">
        <v>144</v>
      </c>
      <c r="B128" s="3" t="s">
        <v>39</v>
      </c>
      <c r="C128" s="3" t="str">
        <f t="shared" si="1"/>
        <v>450013402230</v>
      </c>
      <c r="D128" s="4">
        <v>46325</v>
      </c>
      <c r="E128" s="3" t="s">
        <v>259</v>
      </c>
      <c r="F128" s="3" t="s">
        <v>264</v>
      </c>
    </row>
    <row r="129" spans="1:6" x14ac:dyDescent="0.3">
      <c r="A129" s="3" t="s">
        <v>144</v>
      </c>
      <c r="B129" s="3" t="s">
        <v>32</v>
      </c>
      <c r="C129" s="3" t="str">
        <f t="shared" si="1"/>
        <v>450013402240</v>
      </c>
      <c r="D129" s="4">
        <v>46325</v>
      </c>
      <c r="E129" s="3" t="s">
        <v>259</v>
      </c>
      <c r="F129" s="3" t="s">
        <v>264</v>
      </c>
    </row>
    <row r="130" spans="1:6" x14ac:dyDescent="0.3">
      <c r="A130" s="3" t="s">
        <v>156</v>
      </c>
      <c r="B130" s="3" t="s">
        <v>66</v>
      </c>
      <c r="C130" s="3" t="str">
        <f t="shared" si="1"/>
        <v>450013463160</v>
      </c>
      <c r="D130" s="4">
        <v>46251</v>
      </c>
      <c r="E130" s="3" t="s">
        <v>262</v>
      </c>
      <c r="F130" s="3" t="s">
        <v>322</v>
      </c>
    </row>
    <row r="131" spans="1:6" x14ac:dyDescent="0.3">
      <c r="A131" s="3" t="s">
        <v>96</v>
      </c>
      <c r="B131" s="3" t="s">
        <v>22</v>
      </c>
      <c r="C131" s="3" t="str">
        <f t="shared" ref="C131:C194" si="2">_xlfn.CONCAT(A131:B131)</f>
        <v>450013506710</v>
      </c>
      <c r="D131" s="4">
        <v>46254</v>
      </c>
      <c r="E131" s="3" t="s">
        <v>262</v>
      </c>
      <c r="F131" s="3" t="s">
        <v>323</v>
      </c>
    </row>
    <row r="132" spans="1:6" x14ac:dyDescent="0.3">
      <c r="A132" s="3" t="s">
        <v>96</v>
      </c>
      <c r="B132" s="3" t="s">
        <v>48</v>
      </c>
      <c r="C132" s="3" t="str">
        <f t="shared" si="2"/>
        <v>450013506720</v>
      </c>
      <c r="D132" s="4">
        <v>46254</v>
      </c>
      <c r="E132" s="3" t="s">
        <v>262</v>
      </c>
      <c r="F132" s="3" t="s">
        <v>323</v>
      </c>
    </row>
    <row r="133" spans="1:6" x14ac:dyDescent="0.3">
      <c r="A133" s="3" t="s">
        <v>161</v>
      </c>
      <c r="B133" s="3" t="s">
        <v>38</v>
      </c>
      <c r="C133" s="3" t="str">
        <f t="shared" si="2"/>
        <v>450013511950</v>
      </c>
      <c r="D133" s="4">
        <v>46258</v>
      </c>
      <c r="E133" s="3" t="s">
        <v>281</v>
      </c>
      <c r="F133" s="3" t="s">
        <v>282</v>
      </c>
    </row>
    <row r="134" spans="1:6" x14ac:dyDescent="0.3">
      <c r="A134" s="3" t="s">
        <v>161</v>
      </c>
      <c r="B134" s="3" t="s">
        <v>169</v>
      </c>
      <c r="C134" s="3" t="str">
        <f t="shared" si="2"/>
        <v>450013511980</v>
      </c>
      <c r="D134" s="4">
        <v>46263</v>
      </c>
      <c r="E134" s="3" t="s">
        <v>281</v>
      </c>
      <c r="F134" s="3" t="s">
        <v>282</v>
      </c>
    </row>
    <row r="135" spans="1:6" x14ac:dyDescent="0.3">
      <c r="A135" s="3" t="s">
        <v>161</v>
      </c>
      <c r="B135" s="3" t="s">
        <v>90</v>
      </c>
      <c r="C135" s="3" t="str">
        <f t="shared" si="2"/>
        <v>450013511990</v>
      </c>
      <c r="D135" s="4">
        <v>46258</v>
      </c>
      <c r="E135" s="3" t="s">
        <v>281</v>
      </c>
      <c r="F135" s="3" t="s">
        <v>282</v>
      </c>
    </row>
    <row r="136" spans="1:6" x14ac:dyDescent="0.3">
      <c r="A136" s="3" t="s">
        <v>188</v>
      </c>
      <c r="B136" s="3" t="s">
        <v>22</v>
      </c>
      <c r="C136" s="3" t="str">
        <f t="shared" si="2"/>
        <v>450013534510</v>
      </c>
      <c r="D136" s="4">
        <v>46256</v>
      </c>
      <c r="E136" s="3" t="s">
        <v>324</v>
      </c>
      <c r="F136" s="3" t="s">
        <v>320</v>
      </c>
    </row>
    <row r="137" spans="1:6" x14ac:dyDescent="0.3">
      <c r="A137" s="3" t="s">
        <v>188</v>
      </c>
      <c r="B137" s="3" t="s">
        <v>48</v>
      </c>
      <c r="C137" s="3" t="str">
        <f t="shared" si="2"/>
        <v>450013534520</v>
      </c>
      <c r="D137" s="4">
        <v>46310</v>
      </c>
      <c r="E137" s="3" t="s">
        <v>324</v>
      </c>
      <c r="F137" s="3" t="s">
        <v>320</v>
      </c>
    </row>
    <row r="138" spans="1:6" x14ac:dyDescent="0.3">
      <c r="A138" s="3" t="s">
        <v>188</v>
      </c>
      <c r="B138" s="3" t="s">
        <v>39</v>
      </c>
      <c r="C138" s="3" t="str">
        <f t="shared" si="2"/>
        <v>450013534530</v>
      </c>
      <c r="D138" s="4">
        <v>46310</v>
      </c>
      <c r="E138" s="3" t="s">
        <v>324</v>
      </c>
      <c r="F138" s="3" t="s">
        <v>320</v>
      </c>
    </row>
    <row r="139" spans="1:6" x14ac:dyDescent="0.3">
      <c r="A139" s="3" t="s">
        <v>188</v>
      </c>
      <c r="B139" s="3" t="s">
        <v>32</v>
      </c>
      <c r="C139" s="3" t="str">
        <f t="shared" si="2"/>
        <v>450013534540</v>
      </c>
      <c r="D139" s="4">
        <v>46310</v>
      </c>
      <c r="E139" s="3" t="s">
        <v>324</v>
      </c>
      <c r="F139" s="3" t="s">
        <v>320</v>
      </c>
    </row>
    <row r="140" spans="1:6" x14ac:dyDescent="0.3">
      <c r="A140" s="3" t="s">
        <v>178</v>
      </c>
      <c r="B140" s="3" t="s">
        <v>22</v>
      </c>
      <c r="C140" s="3" t="str">
        <f t="shared" si="2"/>
        <v>450013549510</v>
      </c>
      <c r="D140" s="4">
        <v>46287</v>
      </c>
      <c r="E140" s="3" t="s">
        <v>316</v>
      </c>
      <c r="F140" s="3" t="s">
        <v>317</v>
      </c>
    </row>
    <row r="141" spans="1:6" x14ac:dyDescent="0.3">
      <c r="A141" s="3" t="s">
        <v>67</v>
      </c>
      <c r="B141" s="3" t="s">
        <v>22</v>
      </c>
      <c r="C141" s="3" t="str">
        <f t="shared" si="2"/>
        <v>450013558710</v>
      </c>
      <c r="D141" s="4">
        <v>46287</v>
      </c>
      <c r="E141" s="3" t="s">
        <v>318</v>
      </c>
      <c r="F141" s="3" t="s">
        <v>278</v>
      </c>
    </row>
    <row r="142" spans="1:6" x14ac:dyDescent="0.3">
      <c r="A142" s="3" t="s">
        <v>163</v>
      </c>
      <c r="B142" s="3" t="s">
        <v>22</v>
      </c>
      <c r="C142" s="3" t="str">
        <f t="shared" si="2"/>
        <v>450013566910</v>
      </c>
      <c r="D142" s="4">
        <v>46280</v>
      </c>
      <c r="E142" s="3" t="s">
        <v>325</v>
      </c>
      <c r="F142" s="3" t="s">
        <v>323</v>
      </c>
    </row>
    <row r="143" spans="1:6" x14ac:dyDescent="0.3">
      <c r="A143" s="3" t="s">
        <v>163</v>
      </c>
      <c r="B143" s="3" t="s">
        <v>48</v>
      </c>
      <c r="C143" s="3" t="str">
        <f t="shared" si="2"/>
        <v>450013566920</v>
      </c>
      <c r="D143" s="4">
        <v>46270</v>
      </c>
      <c r="E143" s="3" t="s">
        <v>325</v>
      </c>
      <c r="F143" s="3" t="s">
        <v>323</v>
      </c>
    </row>
    <row r="144" spans="1:6" x14ac:dyDescent="0.3">
      <c r="A144" s="3" t="s">
        <v>72</v>
      </c>
      <c r="B144" s="3" t="s">
        <v>22</v>
      </c>
      <c r="C144" s="3" t="str">
        <f t="shared" si="2"/>
        <v>450013635310</v>
      </c>
      <c r="D144" s="4">
        <v>46289</v>
      </c>
      <c r="E144" s="3" t="s">
        <v>326</v>
      </c>
      <c r="F144" s="3" t="s">
        <v>327</v>
      </c>
    </row>
    <row r="145" spans="1:6" x14ac:dyDescent="0.3">
      <c r="A145" s="3" t="s">
        <v>166</v>
      </c>
      <c r="B145" s="3" t="s">
        <v>22</v>
      </c>
      <c r="C145" s="3" t="str">
        <f t="shared" si="2"/>
        <v>450013642610</v>
      </c>
      <c r="D145" s="4">
        <v>46276</v>
      </c>
      <c r="E145" s="3" t="s">
        <v>262</v>
      </c>
      <c r="F145" s="3" t="s">
        <v>328</v>
      </c>
    </row>
    <row r="146" spans="1:6" x14ac:dyDescent="0.3">
      <c r="A146" s="3" t="s">
        <v>166</v>
      </c>
      <c r="B146" s="3" t="s">
        <v>39</v>
      </c>
      <c r="C146" s="3" t="str">
        <f t="shared" si="2"/>
        <v>450013642630</v>
      </c>
      <c r="D146" s="4">
        <v>46276</v>
      </c>
      <c r="E146" s="3" t="s">
        <v>262</v>
      </c>
      <c r="F146" s="3" t="s">
        <v>328</v>
      </c>
    </row>
    <row r="147" spans="1:6" x14ac:dyDescent="0.3">
      <c r="A147" s="3" t="s">
        <v>166</v>
      </c>
      <c r="B147" s="3" t="s">
        <v>32</v>
      </c>
      <c r="C147" s="3" t="str">
        <f t="shared" si="2"/>
        <v>450013642640</v>
      </c>
      <c r="D147" s="4">
        <v>46276</v>
      </c>
      <c r="E147" s="3" t="s">
        <v>262</v>
      </c>
      <c r="F147" s="3" t="s">
        <v>328</v>
      </c>
    </row>
    <row r="148" spans="1:6" x14ac:dyDescent="0.3">
      <c r="A148" s="3" t="s">
        <v>166</v>
      </c>
      <c r="B148" s="3" t="s">
        <v>38</v>
      </c>
      <c r="C148" s="3" t="str">
        <f t="shared" si="2"/>
        <v>450013642650</v>
      </c>
      <c r="D148" s="4">
        <v>46276</v>
      </c>
      <c r="E148" s="3" t="s">
        <v>262</v>
      </c>
      <c r="F148" s="3" t="s">
        <v>328</v>
      </c>
    </row>
    <row r="149" spans="1:6" x14ac:dyDescent="0.3">
      <c r="A149" s="3" t="s">
        <v>73</v>
      </c>
      <c r="B149" s="3" t="s">
        <v>22</v>
      </c>
      <c r="C149" s="3" t="str">
        <f t="shared" si="2"/>
        <v>450013645510</v>
      </c>
      <c r="D149" s="4">
        <v>46269</v>
      </c>
      <c r="E149" s="3" t="s">
        <v>285</v>
      </c>
      <c r="F149" s="3" t="s">
        <v>280</v>
      </c>
    </row>
    <row r="150" spans="1:6" x14ac:dyDescent="0.3">
      <c r="A150" s="3" t="s">
        <v>73</v>
      </c>
      <c r="B150" s="3" t="s">
        <v>48</v>
      </c>
      <c r="C150" s="3" t="str">
        <f t="shared" si="2"/>
        <v>450013645520</v>
      </c>
      <c r="D150" s="4">
        <v>46269</v>
      </c>
      <c r="E150" s="3" t="s">
        <v>285</v>
      </c>
      <c r="F150" s="3" t="s">
        <v>280</v>
      </c>
    </row>
    <row r="151" spans="1:6" x14ac:dyDescent="0.3">
      <c r="A151" s="3" t="s">
        <v>73</v>
      </c>
      <c r="B151" s="3" t="s">
        <v>39</v>
      </c>
      <c r="C151" s="3" t="str">
        <f t="shared" si="2"/>
        <v>450013645530</v>
      </c>
      <c r="D151" s="4">
        <v>46269</v>
      </c>
      <c r="E151" s="3" t="s">
        <v>285</v>
      </c>
      <c r="F151" s="3" t="s">
        <v>280</v>
      </c>
    </row>
    <row r="152" spans="1:6" x14ac:dyDescent="0.3">
      <c r="A152" s="3" t="s">
        <v>73</v>
      </c>
      <c r="B152" s="3" t="s">
        <v>32</v>
      </c>
      <c r="C152" s="3" t="str">
        <f t="shared" si="2"/>
        <v>450013645540</v>
      </c>
      <c r="D152" s="4">
        <v>46269</v>
      </c>
      <c r="E152" s="3" t="s">
        <v>285</v>
      </c>
      <c r="F152" s="3" t="s">
        <v>280</v>
      </c>
    </row>
    <row r="153" spans="1:6" x14ac:dyDescent="0.3">
      <c r="A153" s="3" t="s">
        <v>73</v>
      </c>
      <c r="B153" s="3" t="s">
        <v>38</v>
      </c>
      <c r="C153" s="3" t="str">
        <f t="shared" si="2"/>
        <v>450013645550</v>
      </c>
      <c r="D153" s="4">
        <v>46269</v>
      </c>
      <c r="E153" s="3" t="s">
        <v>285</v>
      </c>
      <c r="F153" s="3" t="s">
        <v>280</v>
      </c>
    </row>
    <row r="154" spans="1:6" x14ac:dyDescent="0.3">
      <c r="A154" s="3" t="s">
        <v>73</v>
      </c>
      <c r="B154" s="3" t="s">
        <v>66</v>
      </c>
      <c r="C154" s="3" t="str">
        <f t="shared" si="2"/>
        <v>450013645560</v>
      </c>
      <c r="D154" s="4">
        <v>46269</v>
      </c>
      <c r="E154" s="3" t="s">
        <v>285</v>
      </c>
      <c r="F154" s="3" t="s">
        <v>280</v>
      </c>
    </row>
    <row r="155" spans="1:6" x14ac:dyDescent="0.3">
      <c r="A155" s="3" t="s">
        <v>73</v>
      </c>
      <c r="B155" s="3" t="s">
        <v>85</v>
      </c>
      <c r="C155" s="3" t="str">
        <f t="shared" si="2"/>
        <v>450013645570</v>
      </c>
      <c r="D155" s="4">
        <v>46269</v>
      </c>
      <c r="E155" s="3" t="s">
        <v>285</v>
      </c>
      <c r="F155" s="3" t="s">
        <v>280</v>
      </c>
    </row>
    <row r="156" spans="1:6" x14ac:dyDescent="0.3">
      <c r="A156" s="3" t="s">
        <v>73</v>
      </c>
      <c r="B156" s="3" t="s">
        <v>169</v>
      </c>
      <c r="C156" s="3" t="str">
        <f t="shared" si="2"/>
        <v>450013645580</v>
      </c>
      <c r="D156" s="4">
        <v>46269</v>
      </c>
      <c r="E156" s="3" t="s">
        <v>285</v>
      </c>
      <c r="F156" s="3" t="s">
        <v>280</v>
      </c>
    </row>
    <row r="157" spans="1:6" x14ac:dyDescent="0.3">
      <c r="A157" s="3" t="s">
        <v>73</v>
      </c>
      <c r="B157" s="3" t="s">
        <v>90</v>
      </c>
      <c r="C157" s="3" t="str">
        <f t="shared" si="2"/>
        <v>450013645590</v>
      </c>
      <c r="D157" s="4">
        <v>46269</v>
      </c>
      <c r="E157" s="3" t="s">
        <v>285</v>
      </c>
      <c r="F157" s="3" t="s">
        <v>280</v>
      </c>
    </row>
    <row r="158" spans="1:6" x14ac:dyDescent="0.3">
      <c r="A158" s="3" t="s">
        <v>73</v>
      </c>
      <c r="B158" s="3" t="s">
        <v>89</v>
      </c>
      <c r="C158" s="3" t="str">
        <f t="shared" si="2"/>
        <v>4500136455100</v>
      </c>
      <c r="D158" s="4">
        <v>46269</v>
      </c>
      <c r="E158" s="3" t="s">
        <v>285</v>
      </c>
      <c r="F158" s="3" t="s">
        <v>280</v>
      </c>
    </row>
    <row r="159" spans="1:6" x14ac:dyDescent="0.3">
      <c r="A159" s="3" t="s">
        <v>73</v>
      </c>
      <c r="B159" s="3" t="s">
        <v>87</v>
      </c>
      <c r="C159" s="3" t="str">
        <f t="shared" si="2"/>
        <v>4500136455110</v>
      </c>
      <c r="D159" s="4">
        <v>46269</v>
      </c>
      <c r="E159" s="3" t="s">
        <v>285</v>
      </c>
      <c r="F159" s="3" t="s">
        <v>280</v>
      </c>
    </row>
    <row r="160" spans="1:6" x14ac:dyDescent="0.3">
      <c r="A160" s="3" t="s">
        <v>73</v>
      </c>
      <c r="B160" s="3" t="s">
        <v>88</v>
      </c>
      <c r="C160" s="3" t="str">
        <f t="shared" si="2"/>
        <v>4500136455120</v>
      </c>
      <c r="D160" s="4">
        <v>46269</v>
      </c>
      <c r="E160" s="3" t="s">
        <v>285</v>
      </c>
      <c r="F160" s="3" t="s">
        <v>280</v>
      </c>
    </row>
    <row r="161" spans="1:6" x14ac:dyDescent="0.3">
      <c r="A161" s="3" t="s">
        <v>73</v>
      </c>
      <c r="B161" s="3" t="s">
        <v>193</v>
      </c>
      <c r="C161" s="3" t="str">
        <f t="shared" si="2"/>
        <v>4500136455130</v>
      </c>
      <c r="D161" s="4">
        <v>46269</v>
      </c>
      <c r="E161" s="3" t="s">
        <v>285</v>
      </c>
      <c r="F161" s="3" t="s">
        <v>280</v>
      </c>
    </row>
    <row r="162" spans="1:6" x14ac:dyDescent="0.3">
      <c r="A162" s="3" t="s">
        <v>73</v>
      </c>
      <c r="B162" s="3" t="s">
        <v>194</v>
      </c>
      <c r="C162" s="3" t="str">
        <f t="shared" si="2"/>
        <v>4500136455140</v>
      </c>
      <c r="D162" s="4">
        <v>46269</v>
      </c>
      <c r="E162" s="3" t="s">
        <v>285</v>
      </c>
      <c r="F162" s="3" t="s">
        <v>280</v>
      </c>
    </row>
    <row r="163" spans="1:6" x14ac:dyDescent="0.3">
      <c r="A163" s="3" t="s">
        <v>73</v>
      </c>
      <c r="B163" s="3" t="s">
        <v>195</v>
      </c>
      <c r="C163" s="3" t="str">
        <f t="shared" si="2"/>
        <v>4500136455150</v>
      </c>
      <c r="D163" s="4">
        <v>46269</v>
      </c>
      <c r="E163" s="3" t="s">
        <v>285</v>
      </c>
      <c r="F163" s="3" t="s">
        <v>280</v>
      </c>
    </row>
    <row r="164" spans="1:6" x14ac:dyDescent="0.3">
      <c r="A164" s="3" t="s">
        <v>73</v>
      </c>
      <c r="B164" s="3" t="s">
        <v>198</v>
      </c>
      <c r="C164" s="3" t="str">
        <f t="shared" si="2"/>
        <v>4500136455160</v>
      </c>
      <c r="D164" s="4">
        <v>46269</v>
      </c>
      <c r="E164" s="3" t="s">
        <v>285</v>
      </c>
      <c r="F164" s="3" t="s">
        <v>280</v>
      </c>
    </row>
    <row r="165" spans="1:6" x14ac:dyDescent="0.3">
      <c r="A165" s="3" t="s">
        <v>73</v>
      </c>
      <c r="B165" s="3" t="s">
        <v>40</v>
      </c>
      <c r="C165" s="3" t="str">
        <f t="shared" si="2"/>
        <v>4500136455170</v>
      </c>
      <c r="D165" s="4">
        <v>46269</v>
      </c>
      <c r="E165" s="3" t="s">
        <v>285</v>
      </c>
      <c r="F165" s="3" t="s">
        <v>280</v>
      </c>
    </row>
    <row r="166" spans="1:6" x14ac:dyDescent="0.3">
      <c r="A166" s="3" t="s">
        <v>73</v>
      </c>
      <c r="B166" s="3" t="s">
        <v>288</v>
      </c>
      <c r="C166" s="3" t="str">
        <f t="shared" si="2"/>
        <v>4500136455180</v>
      </c>
      <c r="D166" s="4">
        <v>46269</v>
      </c>
      <c r="E166" s="3" t="s">
        <v>285</v>
      </c>
      <c r="F166" s="3" t="s">
        <v>280</v>
      </c>
    </row>
    <row r="167" spans="1:6" x14ac:dyDescent="0.3">
      <c r="A167" s="3" t="s">
        <v>73</v>
      </c>
      <c r="B167" s="3" t="s">
        <v>289</v>
      </c>
      <c r="C167" s="3" t="str">
        <f t="shared" si="2"/>
        <v>4500136455190</v>
      </c>
      <c r="D167" s="4">
        <v>46269</v>
      </c>
      <c r="E167" s="3" t="s">
        <v>285</v>
      </c>
      <c r="F167" s="3" t="s">
        <v>280</v>
      </c>
    </row>
    <row r="168" spans="1:6" x14ac:dyDescent="0.3">
      <c r="A168" s="3" t="s">
        <v>73</v>
      </c>
      <c r="B168" s="3" t="s">
        <v>290</v>
      </c>
      <c r="C168" s="3" t="str">
        <f t="shared" si="2"/>
        <v>4500136455200</v>
      </c>
      <c r="D168" s="4">
        <v>46269</v>
      </c>
      <c r="E168" s="3" t="s">
        <v>285</v>
      </c>
      <c r="F168" s="3" t="s">
        <v>280</v>
      </c>
    </row>
    <row r="169" spans="1:6" x14ac:dyDescent="0.3">
      <c r="A169" s="3" t="s">
        <v>73</v>
      </c>
      <c r="B169" s="3" t="s">
        <v>291</v>
      </c>
      <c r="C169" s="3" t="str">
        <f t="shared" si="2"/>
        <v>4500136455210</v>
      </c>
      <c r="D169" s="4">
        <v>46269</v>
      </c>
      <c r="E169" s="3" t="s">
        <v>285</v>
      </c>
      <c r="F169" s="3" t="s">
        <v>280</v>
      </c>
    </row>
    <row r="170" spans="1:6" x14ac:dyDescent="0.3">
      <c r="A170" s="3" t="s">
        <v>73</v>
      </c>
      <c r="B170" s="3" t="s">
        <v>329</v>
      </c>
      <c r="C170" s="3" t="str">
        <f t="shared" si="2"/>
        <v>4500136455220</v>
      </c>
      <c r="D170" s="4">
        <v>46269</v>
      </c>
      <c r="E170" s="3" t="s">
        <v>285</v>
      </c>
      <c r="F170" s="3" t="s">
        <v>280</v>
      </c>
    </row>
    <row r="171" spans="1:6" x14ac:dyDescent="0.3">
      <c r="A171" s="3" t="s">
        <v>73</v>
      </c>
      <c r="B171" s="3" t="s">
        <v>74</v>
      </c>
      <c r="C171" s="3" t="str">
        <f t="shared" si="2"/>
        <v>4500136455230</v>
      </c>
      <c r="D171" s="4">
        <v>46269</v>
      </c>
      <c r="E171" s="3" t="s">
        <v>285</v>
      </c>
      <c r="F171" s="3" t="s">
        <v>280</v>
      </c>
    </row>
    <row r="172" spans="1:6" x14ac:dyDescent="0.3">
      <c r="A172" s="3" t="s">
        <v>73</v>
      </c>
      <c r="B172" s="3" t="s">
        <v>330</v>
      </c>
      <c r="C172" s="3" t="str">
        <f t="shared" si="2"/>
        <v>4500136455240</v>
      </c>
      <c r="D172" s="4">
        <v>46269</v>
      </c>
      <c r="E172" s="3" t="s">
        <v>285</v>
      </c>
      <c r="F172" s="3" t="s">
        <v>280</v>
      </c>
    </row>
    <row r="173" spans="1:6" x14ac:dyDescent="0.3">
      <c r="A173" s="3" t="s">
        <v>177</v>
      </c>
      <c r="B173" s="3" t="s">
        <v>22</v>
      </c>
      <c r="C173" s="3" t="str">
        <f t="shared" si="2"/>
        <v>450013654210</v>
      </c>
      <c r="D173" s="4">
        <v>46275</v>
      </c>
      <c r="E173" s="3" t="s">
        <v>283</v>
      </c>
      <c r="F173" s="3" t="s">
        <v>284</v>
      </c>
    </row>
    <row r="174" spans="1:6" x14ac:dyDescent="0.3">
      <c r="A174" s="3" t="s">
        <v>177</v>
      </c>
      <c r="B174" s="3" t="s">
        <v>48</v>
      </c>
      <c r="C174" s="3" t="str">
        <f t="shared" si="2"/>
        <v>450013654220</v>
      </c>
      <c r="D174" s="4">
        <v>46275</v>
      </c>
      <c r="E174" s="3" t="s">
        <v>283</v>
      </c>
      <c r="F174" s="3" t="s">
        <v>284</v>
      </c>
    </row>
    <row r="175" spans="1:6" x14ac:dyDescent="0.3">
      <c r="A175" s="3" t="s">
        <v>177</v>
      </c>
      <c r="B175" s="3" t="s">
        <v>39</v>
      </c>
      <c r="C175" s="3" t="str">
        <f t="shared" si="2"/>
        <v>450013654230</v>
      </c>
      <c r="D175" s="4">
        <v>46275</v>
      </c>
      <c r="E175" s="3" t="s">
        <v>283</v>
      </c>
      <c r="F175" s="3" t="s">
        <v>284</v>
      </c>
    </row>
    <row r="176" spans="1:6" x14ac:dyDescent="0.3">
      <c r="A176" s="3" t="s">
        <v>177</v>
      </c>
      <c r="B176" s="3" t="s">
        <v>32</v>
      </c>
      <c r="C176" s="3" t="str">
        <f t="shared" si="2"/>
        <v>450013654240</v>
      </c>
      <c r="D176" s="4">
        <v>46275</v>
      </c>
      <c r="E176" s="3" t="s">
        <v>283</v>
      </c>
      <c r="F176" s="3" t="s">
        <v>284</v>
      </c>
    </row>
    <row r="177" spans="1:6" x14ac:dyDescent="0.3">
      <c r="A177" s="3" t="s">
        <v>168</v>
      </c>
      <c r="B177" s="3" t="s">
        <v>22</v>
      </c>
      <c r="C177" s="3" t="str">
        <f t="shared" si="2"/>
        <v>450013654410</v>
      </c>
      <c r="D177" s="4">
        <v>46277</v>
      </c>
      <c r="E177" s="3" t="s">
        <v>262</v>
      </c>
      <c r="F177" s="3" t="s">
        <v>280</v>
      </c>
    </row>
    <row r="178" spans="1:6" x14ac:dyDescent="0.3">
      <c r="A178" s="3" t="s">
        <v>168</v>
      </c>
      <c r="B178" s="3" t="s">
        <v>48</v>
      </c>
      <c r="C178" s="3" t="str">
        <f t="shared" si="2"/>
        <v>450013654420</v>
      </c>
      <c r="D178" s="4">
        <v>46277</v>
      </c>
      <c r="E178" s="3" t="s">
        <v>262</v>
      </c>
      <c r="F178" s="3" t="s">
        <v>280</v>
      </c>
    </row>
    <row r="179" spans="1:6" x14ac:dyDescent="0.3">
      <c r="A179" s="3" t="s">
        <v>168</v>
      </c>
      <c r="B179" s="3" t="s">
        <v>39</v>
      </c>
      <c r="C179" s="3" t="str">
        <f t="shared" si="2"/>
        <v>450013654430</v>
      </c>
      <c r="D179" s="4">
        <v>46277</v>
      </c>
      <c r="E179" s="3" t="s">
        <v>262</v>
      </c>
      <c r="F179" s="3" t="s">
        <v>280</v>
      </c>
    </row>
    <row r="180" spans="1:6" x14ac:dyDescent="0.3">
      <c r="A180" s="3" t="s">
        <v>168</v>
      </c>
      <c r="B180" s="3" t="s">
        <v>32</v>
      </c>
      <c r="C180" s="3" t="str">
        <f t="shared" si="2"/>
        <v>450013654440</v>
      </c>
      <c r="D180" s="4">
        <v>46277</v>
      </c>
      <c r="E180" s="3" t="s">
        <v>262</v>
      </c>
      <c r="F180" s="3" t="s">
        <v>280</v>
      </c>
    </row>
    <row r="181" spans="1:6" x14ac:dyDescent="0.3">
      <c r="A181" s="3" t="s">
        <v>168</v>
      </c>
      <c r="B181" s="3" t="s">
        <v>38</v>
      </c>
      <c r="C181" s="3" t="str">
        <f t="shared" si="2"/>
        <v>450013654450</v>
      </c>
      <c r="D181" s="4">
        <v>46277</v>
      </c>
      <c r="E181" s="3" t="s">
        <v>262</v>
      </c>
      <c r="F181" s="3" t="s">
        <v>280</v>
      </c>
    </row>
    <row r="182" spans="1:6" x14ac:dyDescent="0.3">
      <c r="A182" s="3" t="s">
        <v>168</v>
      </c>
      <c r="B182" s="3" t="s">
        <v>66</v>
      </c>
      <c r="C182" s="3" t="str">
        <f t="shared" si="2"/>
        <v>450013654460</v>
      </c>
      <c r="D182" s="4">
        <v>46277</v>
      </c>
      <c r="E182" s="3" t="s">
        <v>262</v>
      </c>
      <c r="F182" s="3" t="s">
        <v>280</v>
      </c>
    </row>
    <row r="183" spans="1:6" x14ac:dyDescent="0.3">
      <c r="A183" s="3" t="s">
        <v>168</v>
      </c>
      <c r="B183" s="3" t="s">
        <v>169</v>
      </c>
      <c r="C183" s="3" t="str">
        <f t="shared" si="2"/>
        <v>450013654480</v>
      </c>
      <c r="D183" s="4">
        <v>46277</v>
      </c>
      <c r="E183" s="3" t="s">
        <v>262</v>
      </c>
      <c r="F183" s="3" t="s">
        <v>280</v>
      </c>
    </row>
    <row r="184" spans="1:6" x14ac:dyDescent="0.3">
      <c r="A184" s="3" t="s">
        <v>168</v>
      </c>
      <c r="B184" s="3" t="s">
        <v>87</v>
      </c>
      <c r="C184" s="3" t="str">
        <f t="shared" si="2"/>
        <v>4500136544110</v>
      </c>
      <c r="D184" s="4">
        <v>46277</v>
      </c>
      <c r="E184" s="3" t="s">
        <v>262</v>
      </c>
      <c r="F184" s="3" t="s">
        <v>280</v>
      </c>
    </row>
    <row r="185" spans="1:6" x14ac:dyDescent="0.3">
      <c r="A185" s="3" t="s">
        <v>168</v>
      </c>
      <c r="B185" s="3" t="s">
        <v>40</v>
      </c>
      <c r="C185" s="3" t="str">
        <f t="shared" si="2"/>
        <v>4500136544170</v>
      </c>
      <c r="D185" s="4">
        <v>46277</v>
      </c>
      <c r="E185" s="3" t="s">
        <v>262</v>
      </c>
      <c r="F185" s="3" t="s">
        <v>280</v>
      </c>
    </row>
    <row r="186" spans="1:6" x14ac:dyDescent="0.3">
      <c r="A186" s="3" t="s">
        <v>175</v>
      </c>
      <c r="B186" s="3" t="s">
        <v>22</v>
      </c>
      <c r="C186" s="3" t="str">
        <f t="shared" si="2"/>
        <v>450013662510</v>
      </c>
      <c r="D186" s="4">
        <v>46269</v>
      </c>
      <c r="E186" s="3" t="s">
        <v>285</v>
      </c>
      <c r="F186" s="3" t="s">
        <v>331</v>
      </c>
    </row>
    <row r="187" spans="1:6" x14ac:dyDescent="0.3">
      <c r="A187" s="3" t="s">
        <v>175</v>
      </c>
      <c r="B187" s="3" t="s">
        <v>48</v>
      </c>
      <c r="C187" s="3" t="str">
        <f t="shared" si="2"/>
        <v>450013662520</v>
      </c>
      <c r="D187" s="4">
        <v>46269</v>
      </c>
      <c r="E187" s="3" t="s">
        <v>285</v>
      </c>
      <c r="F187" s="3" t="s">
        <v>331</v>
      </c>
    </row>
    <row r="188" spans="1:6" x14ac:dyDescent="0.3">
      <c r="A188" s="3" t="s">
        <v>175</v>
      </c>
      <c r="B188" s="3" t="s">
        <v>39</v>
      </c>
      <c r="C188" s="3" t="str">
        <f t="shared" si="2"/>
        <v>450013662530</v>
      </c>
      <c r="D188" s="4">
        <v>46269</v>
      </c>
      <c r="E188" s="3" t="s">
        <v>285</v>
      </c>
      <c r="F188" s="3" t="s">
        <v>331</v>
      </c>
    </row>
    <row r="189" spans="1:6" x14ac:dyDescent="0.3">
      <c r="A189" s="3" t="s">
        <v>175</v>
      </c>
      <c r="B189" s="3" t="s">
        <v>32</v>
      </c>
      <c r="C189" s="3" t="str">
        <f t="shared" si="2"/>
        <v>450013662540</v>
      </c>
      <c r="D189" s="4">
        <v>46269</v>
      </c>
      <c r="E189" s="3" t="s">
        <v>285</v>
      </c>
      <c r="F189" s="3" t="s">
        <v>331</v>
      </c>
    </row>
    <row r="190" spans="1:6" x14ac:dyDescent="0.3">
      <c r="A190" s="3" t="s">
        <v>173</v>
      </c>
      <c r="B190" s="3" t="s">
        <v>66</v>
      </c>
      <c r="C190" s="3" t="str">
        <f t="shared" si="2"/>
        <v>450013689660</v>
      </c>
      <c r="D190" s="4">
        <v>46281</v>
      </c>
      <c r="E190" s="3" t="s">
        <v>262</v>
      </c>
      <c r="F190" s="3" t="s">
        <v>280</v>
      </c>
    </row>
    <row r="191" spans="1:6" x14ac:dyDescent="0.3">
      <c r="A191" s="3" t="s">
        <v>92</v>
      </c>
      <c r="B191" s="3" t="s">
        <v>22</v>
      </c>
      <c r="C191" s="3" t="str">
        <f t="shared" si="2"/>
        <v>450013694310</v>
      </c>
      <c r="D191" s="4">
        <v>46290</v>
      </c>
      <c r="E191" s="3" t="s">
        <v>283</v>
      </c>
      <c r="F191" s="3" t="s">
        <v>332</v>
      </c>
    </row>
    <row r="192" spans="1:6" x14ac:dyDescent="0.3">
      <c r="A192" s="3" t="s">
        <v>171</v>
      </c>
      <c r="B192" s="3" t="s">
        <v>22</v>
      </c>
      <c r="C192" s="3" t="str">
        <f t="shared" si="2"/>
        <v>450013704610</v>
      </c>
      <c r="D192" s="4">
        <v>46281</v>
      </c>
      <c r="E192" s="3" t="s">
        <v>262</v>
      </c>
      <c r="F192" s="3" t="s">
        <v>282</v>
      </c>
    </row>
    <row r="193" spans="1:6" x14ac:dyDescent="0.3">
      <c r="A193" s="3" t="s">
        <v>171</v>
      </c>
      <c r="B193" s="3" t="s">
        <v>48</v>
      </c>
      <c r="C193" s="3" t="str">
        <f t="shared" si="2"/>
        <v>450013704620</v>
      </c>
      <c r="D193" s="4">
        <v>46281</v>
      </c>
      <c r="E193" s="3" t="s">
        <v>262</v>
      </c>
      <c r="F193" s="3" t="s">
        <v>282</v>
      </c>
    </row>
    <row r="194" spans="1:6" x14ac:dyDescent="0.3">
      <c r="A194" s="3" t="s">
        <v>171</v>
      </c>
      <c r="B194" s="3" t="s">
        <v>39</v>
      </c>
      <c r="C194" s="3" t="str">
        <f t="shared" si="2"/>
        <v>450013704630</v>
      </c>
      <c r="D194" s="4">
        <v>46281</v>
      </c>
      <c r="E194" s="3" t="s">
        <v>262</v>
      </c>
      <c r="F194" s="3" t="s">
        <v>282</v>
      </c>
    </row>
    <row r="195" spans="1:6" x14ac:dyDescent="0.3">
      <c r="A195" s="3" t="s">
        <v>171</v>
      </c>
      <c r="B195" s="3" t="s">
        <v>32</v>
      </c>
      <c r="C195" s="3" t="str">
        <f t="shared" ref="C195:C258" si="3">_xlfn.CONCAT(A195:B195)</f>
        <v>450013704640</v>
      </c>
      <c r="D195" s="4">
        <v>46281</v>
      </c>
      <c r="E195" s="3" t="s">
        <v>262</v>
      </c>
      <c r="F195" s="3" t="s">
        <v>282</v>
      </c>
    </row>
    <row r="196" spans="1:6" x14ac:dyDescent="0.3">
      <c r="A196" s="3" t="s">
        <v>171</v>
      </c>
      <c r="B196" s="3" t="s">
        <v>66</v>
      </c>
      <c r="C196" s="3" t="str">
        <f t="shared" si="3"/>
        <v>450013704660</v>
      </c>
      <c r="D196" s="4">
        <v>46280</v>
      </c>
      <c r="E196" s="3" t="s">
        <v>262</v>
      </c>
      <c r="F196" s="3" t="s">
        <v>282</v>
      </c>
    </row>
    <row r="197" spans="1:6" x14ac:dyDescent="0.3">
      <c r="A197" s="3" t="s">
        <v>63</v>
      </c>
      <c r="B197" s="3" t="s">
        <v>22</v>
      </c>
      <c r="C197" s="3" t="str">
        <f t="shared" si="3"/>
        <v>450013710710</v>
      </c>
      <c r="D197" s="4">
        <v>46282</v>
      </c>
      <c r="E197" s="3" t="s">
        <v>262</v>
      </c>
      <c r="F197" s="3" t="s">
        <v>279</v>
      </c>
    </row>
    <row r="198" spans="1:6" x14ac:dyDescent="0.3">
      <c r="A198" s="3" t="s">
        <v>93</v>
      </c>
      <c r="B198" s="3" t="s">
        <v>22</v>
      </c>
      <c r="C198" s="3" t="str">
        <f t="shared" si="3"/>
        <v>450013713010</v>
      </c>
      <c r="D198" s="4">
        <v>46287</v>
      </c>
      <c r="E198" s="3" t="s">
        <v>283</v>
      </c>
      <c r="F198" s="3" t="s">
        <v>332</v>
      </c>
    </row>
    <row r="199" spans="1:6" x14ac:dyDescent="0.3">
      <c r="A199" s="3" t="s">
        <v>93</v>
      </c>
      <c r="B199" s="3" t="s">
        <v>48</v>
      </c>
      <c r="C199" s="3" t="str">
        <f t="shared" si="3"/>
        <v>450013713020</v>
      </c>
      <c r="D199" s="4">
        <v>46287</v>
      </c>
      <c r="E199" s="3" t="s">
        <v>283</v>
      </c>
      <c r="F199" s="3" t="s">
        <v>332</v>
      </c>
    </row>
    <row r="200" spans="1:6" x14ac:dyDescent="0.3">
      <c r="A200" s="3" t="s">
        <v>186</v>
      </c>
      <c r="B200" s="3" t="s">
        <v>22</v>
      </c>
      <c r="C200" s="3" t="str">
        <f t="shared" si="3"/>
        <v>450013714610</v>
      </c>
      <c r="D200" s="4">
        <v>46280</v>
      </c>
      <c r="E200" s="3" t="s">
        <v>333</v>
      </c>
      <c r="F200" s="3" t="s">
        <v>334</v>
      </c>
    </row>
    <row r="201" spans="1:6" x14ac:dyDescent="0.3">
      <c r="A201" s="3" t="s">
        <v>61</v>
      </c>
      <c r="B201" s="3" t="s">
        <v>22</v>
      </c>
      <c r="C201" s="3" t="str">
        <f t="shared" si="3"/>
        <v>450013722710</v>
      </c>
      <c r="D201" s="4">
        <v>46325</v>
      </c>
      <c r="E201" s="3" t="s">
        <v>259</v>
      </c>
      <c r="F201" s="3" t="s">
        <v>260</v>
      </c>
    </row>
    <row r="202" spans="1:6" x14ac:dyDescent="0.3">
      <c r="A202" s="3" t="s">
        <v>214</v>
      </c>
      <c r="B202" s="3" t="s">
        <v>22</v>
      </c>
      <c r="C202" s="3" t="str">
        <f t="shared" si="3"/>
        <v>450013730110</v>
      </c>
      <c r="D202" s="4">
        <v>46289</v>
      </c>
      <c r="E202" s="3" t="s">
        <v>283</v>
      </c>
      <c r="F202" s="3" t="s">
        <v>310</v>
      </c>
    </row>
    <row r="203" spans="1:6" x14ac:dyDescent="0.3">
      <c r="A203" s="3" t="s">
        <v>214</v>
      </c>
      <c r="B203" s="3" t="s">
        <v>48</v>
      </c>
      <c r="C203" s="3" t="str">
        <f t="shared" si="3"/>
        <v>450013730120</v>
      </c>
      <c r="D203" s="4">
        <v>46289</v>
      </c>
      <c r="E203" s="3" t="s">
        <v>283</v>
      </c>
      <c r="F203" s="3" t="s">
        <v>310</v>
      </c>
    </row>
    <row r="204" spans="1:6" x14ac:dyDescent="0.3">
      <c r="A204" s="3" t="s">
        <v>214</v>
      </c>
      <c r="B204" s="3" t="s">
        <v>39</v>
      </c>
      <c r="C204" s="3" t="str">
        <f t="shared" si="3"/>
        <v>450013730130</v>
      </c>
      <c r="D204" s="4">
        <v>46297</v>
      </c>
      <c r="E204" s="3" t="s">
        <v>283</v>
      </c>
      <c r="F204" s="3" t="s">
        <v>310</v>
      </c>
    </row>
    <row r="205" spans="1:6" x14ac:dyDescent="0.3">
      <c r="A205" s="3" t="s">
        <v>214</v>
      </c>
      <c r="B205" s="3" t="s">
        <v>32</v>
      </c>
      <c r="C205" s="3" t="str">
        <f t="shared" si="3"/>
        <v>450013730140</v>
      </c>
      <c r="D205" s="4">
        <v>46289</v>
      </c>
      <c r="E205" s="3" t="s">
        <v>283</v>
      </c>
      <c r="F205" s="3" t="s">
        <v>310</v>
      </c>
    </row>
    <row r="206" spans="1:6" x14ac:dyDescent="0.3">
      <c r="A206" s="3" t="s">
        <v>98</v>
      </c>
      <c r="B206" s="3" t="s">
        <v>22</v>
      </c>
      <c r="C206" s="3" t="str">
        <f t="shared" si="3"/>
        <v>450013735310</v>
      </c>
      <c r="D206" s="4">
        <v>46269</v>
      </c>
      <c r="E206" s="3" t="s">
        <v>281</v>
      </c>
      <c r="F206" s="3" t="s">
        <v>335</v>
      </c>
    </row>
    <row r="207" spans="1:6" x14ac:dyDescent="0.3">
      <c r="A207" s="3" t="s">
        <v>76</v>
      </c>
      <c r="B207" s="3" t="s">
        <v>22</v>
      </c>
      <c r="C207" s="3" t="str">
        <f t="shared" si="3"/>
        <v>450013779910</v>
      </c>
      <c r="D207" s="4">
        <v>46286</v>
      </c>
      <c r="E207" s="3" t="s">
        <v>336</v>
      </c>
      <c r="F207" s="3" t="s">
        <v>337</v>
      </c>
    </row>
    <row r="208" spans="1:6" x14ac:dyDescent="0.3">
      <c r="A208" s="3" t="s">
        <v>76</v>
      </c>
      <c r="B208" s="3" t="s">
        <v>48</v>
      </c>
      <c r="C208" s="3" t="str">
        <f t="shared" si="3"/>
        <v>450013779920</v>
      </c>
      <c r="D208" s="4">
        <v>46286</v>
      </c>
      <c r="E208" s="3" t="s">
        <v>336</v>
      </c>
      <c r="F208" s="3" t="s">
        <v>337</v>
      </c>
    </row>
    <row r="209" spans="1:6" x14ac:dyDescent="0.3">
      <c r="A209" s="3" t="s">
        <v>76</v>
      </c>
      <c r="B209" s="3" t="s">
        <v>39</v>
      </c>
      <c r="C209" s="3" t="str">
        <f t="shared" si="3"/>
        <v>450013779930</v>
      </c>
      <c r="D209" s="4">
        <v>46286</v>
      </c>
      <c r="E209" s="3" t="s">
        <v>336</v>
      </c>
      <c r="F209" s="3" t="s">
        <v>337</v>
      </c>
    </row>
    <row r="210" spans="1:6" x14ac:dyDescent="0.3">
      <c r="A210" s="3" t="s">
        <v>97</v>
      </c>
      <c r="B210" s="3" t="s">
        <v>22</v>
      </c>
      <c r="C210" s="3" t="str">
        <f t="shared" si="3"/>
        <v>450013787810</v>
      </c>
      <c r="D210" s="4">
        <v>46284</v>
      </c>
      <c r="E210" s="3" t="s">
        <v>262</v>
      </c>
      <c r="F210" s="3" t="s">
        <v>323</v>
      </c>
    </row>
    <row r="211" spans="1:6" x14ac:dyDescent="0.3">
      <c r="A211" s="3" t="s">
        <v>97</v>
      </c>
      <c r="B211" s="3" t="s">
        <v>48</v>
      </c>
      <c r="C211" s="3" t="str">
        <f t="shared" si="3"/>
        <v>450013787820</v>
      </c>
      <c r="D211" s="4">
        <v>46283</v>
      </c>
      <c r="E211" s="3" t="s">
        <v>262</v>
      </c>
      <c r="F211" s="3" t="s">
        <v>323</v>
      </c>
    </row>
    <row r="212" spans="1:6" x14ac:dyDescent="0.3">
      <c r="A212" s="3" t="s">
        <v>97</v>
      </c>
      <c r="B212" s="3" t="s">
        <v>39</v>
      </c>
      <c r="C212" s="3" t="str">
        <f t="shared" si="3"/>
        <v>450013787830</v>
      </c>
      <c r="D212" s="4">
        <v>46283</v>
      </c>
      <c r="E212" s="3" t="s">
        <v>262</v>
      </c>
      <c r="F212" s="3" t="s">
        <v>323</v>
      </c>
    </row>
    <row r="213" spans="1:6" x14ac:dyDescent="0.3">
      <c r="A213" s="3" t="s">
        <v>183</v>
      </c>
      <c r="B213" s="3" t="s">
        <v>39</v>
      </c>
      <c r="C213" s="3" t="str">
        <f t="shared" si="3"/>
        <v>450013788630</v>
      </c>
      <c r="D213" s="4">
        <v>46283</v>
      </c>
      <c r="E213" s="3" t="s">
        <v>262</v>
      </c>
      <c r="F213" s="3" t="s">
        <v>280</v>
      </c>
    </row>
    <row r="214" spans="1:6" x14ac:dyDescent="0.3">
      <c r="A214" s="3" t="s">
        <v>183</v>
      </c>
      <c r="B214" s="3" t="s">
        <v>32</v>
      </c>
      <c r="C214" s="3" t="str">
        <f t="shared" si="3"/>
        <v>450013788640</v>
      </c>
      <c r="D214" s="4">
        <v>46299</v>
      </c>
      <c r="E214" s="3" t="s">
        <v>262</v>
      </c>
      <c r="F214" s="3" t="s">
        <v>280</v>
      </c>
    </row>
    <row r="215" spans="1:6" x14ac:dyDescent="0.3">
      <c r="A215" s="3" t="s">
        <v>183</v>
      </c>
      <c r="B215" s="3" t="s">
        <v>38</v>
      </c>
      <c r="C215" s="3" t="str">
        <f t="shared" si="3"/>
        <v>450013788650</v>
      </c>
      <c r="D215" s="4">
        <v>46283</v>
      </c>
      <c r="E215" s="3" t="s">
        <v>262</v>
      </c>
      <c r="F215" s="3" t="s">
        <v>280</v>
      </c>
    </row>
    <row r="216" spans="1:6" x14ac:dyDescent="0.3">
      <c r="A216" s="3" t="s">
        <v>183</v>
      </c>
      <c r="B216" s="3" t="s">
        <v>66</v>
      </c>
      <c r="C216" s="3" t="str">
        <f t="shared" si="3"/>
        <v>450013788660</v>
      </c>
      <c r="D216" s="4">
        <v>46283</v>
      </c>
      <c r="E216" s="3" t="s">
        <v>262</v>
      </c>
      <c r="F216" s="3" t="s">
        <v>280</v>
      </c>
    </row>
    <row r="217" spans="1:6" x14ac:dyDescent="0.3">
      <c r="A217" s="3" t="s">
        <v>181</v>
      </c>
      <c r="B217" s="3" t="s">
        <v>48</v>
      </c>
      <c r="C217" s="3" t="str">
        <f t="shared" si="3"/>
        <v>450013788820</v>
      </c>
      <c r="D217" s="4">
        <v>46283</v>
      </c>
      <c r="E217" s="3" t="s">
        <v>262</v>
      </c>
      <c r="F217" s="3" t="s">
        <v>338</v>
      </c>
    </row>
    <row r="218" spans="1:6" x14ac:dyDescent="0.3">
      <c r="A218" s="3" t="s">
        <v>91</v>
      </c>
      <c r="B218" s="3" t="s">
        <v>22</v>
      </c>
      <c r="C218" s="3" t="str">
        <f t="shared" si="3"/>
        <v>450013792210</v>
      </c>
      <c r="D218" s="4">
        <v>46287</v>
      </c>
      <c r="E218" s="3" t="s">
        <v>283</v>
      </c>
      <c r="F218" s="3" t="s">
        <v>339</v>
      </c>
    </row>
    <row r="219" spans="1:6" x14ac:dyDescent="0.3">
      <c r="A219" s="3" t="s">
        <v>81</v>
      </c>
      <c r="B219" s="3" t="s">
        <v>22</v>
      </c>
      <c r="C219" s="3" t="str">
        <f t="shared" si="3"/>
        <v>450013814710</v>
      </c>
      <c r="D219" s="4">
        <v>46283</v>
      </c>
      <c r="E219" s="3" t="s">
        <v>262</v>
      </c>
      <c r="F219" s="3" t="s">
        <v>338</v>
      </c>
    </row>
    <row r="220" spans="1:6" x14ac:dyDescent="0.3">
      <c r="A220" s="3" t="s">
        <v>187</v>
      </c>
      <c r="B220" s="3" t="s">
        <v>22</v>
      </c>
      <c r="C220" s="3" t="str">
        <f t="shared" si="3"/>
        <v>450013818210</v>
      </c>
      <c r="D220" s="4">
        <v>46295</v>
      </c>
      <c r="E220" s="3" t="s">
        <v>262</v>
      </c>
      <c r="F220" s="3" t="s">
        <v>280</v>
      </c>
    </row>
    <row r="221" spans="1:6" x14ac:dyDescent="0.3">
      <c r="A221" s="3" t="s">
        <v>187</v>
      </c>
      <c r="B221" s="3" t="s">
        <v>48</v>
      </c>
      <c r="C221" s="3" t="str">
        <f t="shared" si="3"/>
        <v>450013818220</v>
      </c>
      <c r="D221" s="4">
        <v>46295</v>
      </c>
      <c r="E221" s="3" t="s">
        <v>262</v>
      </c>
      <c r="F221" s="3" t="s">
        <v>280</v>
      </c>
    </row>
    <row r="222" spans="1:6" x14ac:dyDescent="0.3">
      <c r="A222" s="3" t="s">
        <v>190</v>
      </c>
      <c r="B222" s="3" t="s">
        <v>22</v>
      </c>
      <c r="C222" s="3" t="str">
        <f t="shared" si="3"/>
        <v>450013833910</v>
      </c>
      <c r="D222" s="4">
        <v>46288</v>
      </c>
      <c r="E222" s="3" t="s">
        <v>262</v>
      </c>
      <c r="F222" s="3" t="s">
        <v>337</v>
      </c>
    </row>
    <row r="223" spans="1:6" x14ac:dyDescent="0.3">
      <c r="A223" s="3" t="s">
        <v>190</v>
      </c>
      <c r="B223" s="3" t="s">
        <v>39</v>
      </c>
      <c r="C223" s="3" t="str">
        <f t="shared" si="3"/>
        <v>450013833930</v>
      </c>
      <c r="D223" s="4">
        <v>46286</v>
      </c>
      <c r="E223" s="3" t="s">
        <v>262</v>
      </c>
      <c r="F223" s="3" t="s">
        <v>337</v>
      </c>
    </row>
    <row r="224" spans="1:6" x14ac:dyDescent="0.3">
      <c r="A224" s="3" t="s">
        <v>199</v>
      </c>
      <c r="B224" s="3" t="s">
        <v>22</v>
      </c>
      <c r="C224" s="3" t="str">
        <f t="shared" si="3"/>
        <v>450013835810</v>
      </c>
      <c r="D224" s="4">
        <v>46283</v>
      </c>
      <c r="E224" s="3" t="s">
        <v>340</v>
      </c>
      <c r="F224" s="3" t="s">
        <v>341</v>
      </c>
    </row>
    <row r="225" spans="1:6" x14ac:dyDescent="0.3">
      <c r="A225" s="3" t="s">
        <v>71</v>
      </c>
      <c r="B225" s="3" t="s">
        <v>22</v>
      </c>
      <c r="C225" s="3" t="str">
        <f t="shared" si="3"/>
        <v>450013846410</v>
      </c>
      <c r="D225" s="4">
        <v>46285</v>
      </c>
      <c r="E225" s="3" t="s">
        <v>285</v>
      </c>
      <c r="F225" s="3" t="s">
        <v>280</v>
      </c>
    </row>
    <row r="226" spans="1:6" x14ac:dyDescent="0.3">
      <c r="A226" s="3" t="s">
        <v>86</v>
      </c>
      <c r="B226" s="3" t="s">
        <v>22</v>
      </c>
      <c r="C226" s="3" t="str">
        <f t="shared" si="3"/>
        <v>450013869110</v>
      </c>
      <c r="D226" s="4">
        <v>46290</v>
      </c>
      <c r="E226" s="3" t="s">
        <v>342</v>
      </c>
      <c r="F226" s="3" t="s">
        <v>343</v>
      </c>
    </row>
    <row r="227" spans="1:6" x14ac:dyDescent="0.3">
      <c r="A227" s="3" t="s">
        <v>86</v>
      </c>
      <c r="B227" s="3" t="s">
        <v>48</v>
      </c>
      <c r="C227" s="3" t="str">
        <f t="shared" si="3"/>
        <v>450013869120</v>
      </c>
      <c r="D227" s="4">
        <v>46290</v>
      </c>
      <c r="E227" s="3" t="s">
        <v>342</v>
      </c>
      <c r="F227" s="3" t="s">
        <v>343</v>
      </c>
    </row>
    <row r="228" spans="1:6" x14ac:dyDescent="0.3">
      <c r="A228" s="3" t="s">
        <v>86</v>
      </c>
      <c r="B228" s="3" t="s">
        <v>39</v>
      </c>
      <c r="C228" s="3" t="str">
        <f t="shared" si="3"/>
        <v>450013869130</v>
      </c>
      <c r="D228" s="4">
        <v>46290</v>
      </c>
      <c r="E228" s="3" t="s">
        <v>342</v>
      </c>
      <c r="F228" s="3" t="s">
        <v>343</v>
      </c>
    </row>
    <row r="229" spans="1:6" x14ac:dyDescent="0.3">
      <c r="A229" s="3" t="s">
        <v>86</v>
      </c>
      <c r="B229" s="3" t="s">
        <v>32</v>
      </c>
      <c r="C229" s="3" t="str">
        <f t="shared" si="3"/>
        <v>450013869140</v>
      </c>
      <c r="D229" s="4">
        <v>46290</v>
      </c>
      <c r="E229" s="3" t="s">
        <v>342</v>
      </c>
      <c r="F229" s="3" t="s">
        <v>343</v>
      </c>
    </row>
    <row r="230" spans="1:6" x14ac:dyDescent="0.3">
      <c r="A230" s="3" t="s">
        <v>86</v>
      </c>
      <c r="B230" s="3" t="s">
        <v>38</v>
      </c>
      <c r="C230" s="3" t="str">
        <f t="shared" si="3"/>
        <v>450013869150</v>
      </c>
      <c r="D230" s="4">
        <v>46290</v>
      </c>
      <c r="E230" s="3" t="s">
        <v>342</v>
      </c>
      <c r="F230" s="3" t="s">
        <v>343</v>
      </c>
    </row>
    <row r="231" spans="1:6" x14ac:dyDescent="0.3">
      <c r="A231" s="3" t="s">
        <v>86</v>
      </c>
      <c r="B231" s="3" t="s">
        <v>66</v>
      </c>
      <c r="C231" s="3" t="str">
        <f t="shared" si="3"/>
        <v>450013869160</v>
      </c>
      <c r="D231" s="4">
        <v>46290</v>
      </c>
      <c r="E231" s="3" t="s">
        <v>342</v>
      </c>
      <c r="F231" s="3" t="s">
        <v>343</v>
      </c>
    </row>
    <row r="232" spans="1:6" x14ac:dyDescent="0.3">
      <c r="A232" s="3" t="s">
        <v>86</v>
      </c>
      <c r="B232" s="3" t="s">
        <v>85</v>
      </c>
      <c r="C232" s="3" t="str">
        <f t="shared" si="3"/>
        <v>450013869170</v>
      </c>
      <c r="D232" s="4">
        <v>46290</v>
      </c>
      <c r="E232" s="3" t="s">
        <v>342</v>
      </c>
      <c r="F232" s="3" t="s">
        <v>343</v>
      </c>
    </row>
    <row r="233" spans="1:6" x14ac:dyDescent="0.3">
      <c r="A233" s="3" t="s">
        <v>86</v>
      </c>
      <c r="B233" s="3" t="s">
        <v>90</v>
      </c>
      <c r="C233" s="3" t="str">
        <f t="shared" si="3"/>
        <v>450013869190</v>
      </c>
      <c r="D233" s="4">
        <v>46290</v>
      </c>
      <c r="E233" s="3" t="s">
        <v>342</v>
      </c>
      <c r="F233" s="3" t="s">
        <v>343</v>
      </c>
    </row>
    <row r="234" spans="1:6" x14ac:dyDescent="0.3">
      <c r="A234" s="3" t="s">
        <v>86</v>
      </c>
      <c r="B234" s="3" t="s">
        <v>89</v>
      </c>
      <c r="C234" s="3" t="str">
        <f t="shared" si="3"/>
        <v>4500138691100</v>
      </c>
      <c r="D234" s="4">
        <v>46290</v>
      </c>
      <c r="E234" s="3" t="s">
        <v>342</v>
      </c>
      <c r="F234" s="3" t="s">
        <v>343</v>
      </c>
    </row>
    <row r="235" spans="1:6" x14ac:dyDescent="0.3">
      <c r="A235" s="3" t="s">
        <v>86</v>
      </c>
      <c r="B235" s="3" t="s">
        <v>87</v>
      </c>
      <c r="C235" s="3" t="str">
        <f t="shared" si="3"/>
        <v>4500138691110</v>
      </c>
      <c r="D235" s="4">
        <v>46290</v>
      </c>
      <c r="E235" s="3" t="s">
        <v>342</v>
      </c>
      <c r="F235" s="3" t="s">
        <v>343</v>
      </c>
    </row>
    <row r="236" spans="1:6" x14ac:dyDescent="0.3">
      <c r="A236" s="3" t="s">
        <v>86</v>
      </c>
      <c r="B236" s="3" t="s">
        <v>88</v>
      </c>
      <c r="C236" s="3" t="str">
        <f t="shared" si="3"/>
        <v>4500138691120</v>
      </c>
      <c r="D236" s="4">
        <v>46290</v>
      </c>
      <c r="E236" s="3" t="s">
        <v>342</v>
      </c>
      <c r="F236" s="3" t="s">
        <v>343</v>
      </c>
    </row>
    <row r="237" spans="1:6" x14ac:dyDescent="0.3">
      <c r="A237" s="3" t="s">
        <v>191</v>
      </c>
      <c r="B237" s="3" t="s">
        <v>22</v>
      </c>
      <c r="C237" s="3" t="str">
        <f t="shared" si="3"/>
        <v>450013885810</v>
      </c>
      <c r="D237" s="4">
        <v>46290</v>
      </c>
      <c r="E237" s="3" t="s">
        <v>262</v>
      </c>
      <c r="F237" s="3" t="s">
        <v>280</v>
      </c>
    </row>
    <row r="238" spans="1:6" x14ac:dyDescent="0.3">
      <c r="A238" s="3" t="s">
        <v>196</v>
      </c>
      <c r="B238" s="3" t="s">
        <v>22</v>
      </c>
      <c r="C238" s="3" t="str">
        <f t="shared" si="3"/>
        <v>450013886510</v>
      </c>
      <c r="D238" s="4">
        <v>46291</v>
      </c>
      <c r="E238" s="3" t="s">
        <v>262</v>
      </c>
      <c r="F238" s="3" t="s">
        <v>280</v>
      </c>
    </row>
    <row r="239" spans="1:6" x14ac:dyDescent="0.3">
      <c r="A239" s="3" t="s">
        <v>196</v>
      </c>
      <c r="B239" s="3" t="s">
        <v>48</v>
      </c>
      <c r="C239" s="3" t="str">
        <f t="shared" si="3"/>
        <v>450013886520</v>
      </c>
      <c r="D239" s="4">
        <v>46291</v>
      </c>
      <c r="E239" s="3" t="s">
        <v>262</v>
      </c>
      <c r="F239" s="3" t="s">
        <v>280</v>
      </c>
    </row>
    <row r="240" spans="1:6" x14ac:dyDescent="0.3">
      <c r="A240" s="3" t="s">
        <v>196</v>
      </c>
      <c r="B240" s="3" t="s">
        <v>39</v>
      </c>
      <c r="C240" s="3" t="str">
        <f t="shared" si="3"/>
        <v>450013886530</v>
      </c>
      <c r="D240" s="4">
        <v>46291</v>
      </c>
      <c r="E240" s="3" t="s">
        <v>262</v>
      </c>
      <c r="F240" s="3" t="s">
        <v>280</v>
      </c>
    </row>
    <row r="241" spans="1:6" x14ac:dyDescent="0.3">
      <c r="A241" s="3" t="s">
        <v>196</v>
      </c>
      <c r="B241" s="3" t="s">
        <v>32</v>
      </c>
      <c r="C241" s="3" t="str">
        <f t="shared" si="3"/>
        <v>450013886540</v>
      </c>
      <c r="D241" s="4">
        <v>46291</v>
      </c>
      <c r="E241" s="3" t="s">
        <v>262</v>
      </c>
      <c r="F241" s="3" t="s">
        <v>280</v>
      </c>
    </row>
    <row r="242" spans="1:6" x14ac:dyDescent="0.3">
      <c r="A242" s="3" t="s">
        <v>196</v>
      </c>
      <c r="B242" s="3" t="s">
        <v>38</v>
      </c>
      <c r="C242" s="3" t="str">
        <f t="shared" si="3"/>
        <v>450013886550</v>
      </c>
      <c r="D242" s="4">
        <v>46291</v>
      </c>
      <c r="E242" s="3" t="s">
        <v>262</v>
      </c>
      <c r="F242" s="3" t="s">
        <v>280</v>
      </c>
    </row>
    <row r="243" spans="1:6" x14ac:dyDescent="0.3">
      <c r="A243" s="3" t="s">
        <v>196</v>
      </c>
      <c r="B243" s="3" t="s">
        <v>66</v>
      </c>
      <c r="C243" s="3" t="str">
        <f t="shared" si="3"/>
        <v>450013886560</v>
      </c>
      <c r="D243" s="4">
        <v>46291</v>
      </c>
      <c r="E243" s="3" t="s">
        <v>262</v>
      </c>
      <c r="F243" s="3" t="s">
        <v>280</v>
      </c>
    </row>
    <row r="244" spans="1:6" x14ac:dyDescent="0.3">
      <c r="A244" s="3" t="s">
        <v>196</v>
      </c>
      <c r="B244" s="3" t="s">
        <v>85</v>
      </c>
      <c r="C244" s="3" t="str">
        <f t="shared" si="3"/>
        <v>450013886570</v>
      </c>
      <c r="D244" s="4">
        <v>46291</v>
      </c>
      <c r="E244" s="3" t="s">
        <v>262</v>
      </c>
      <c r="F244" s="3" t="s">
        <v>280</v>
      </c>
    </row>
    <row r="245" spans="1:6" x14ac:dyDescent="0.3">
      <c r="A245" s="3" t="s">
        <v>196</v>
      </c>
      <c r="B245" s="3" t="s">
        <v>169</v>
      </c>
      <c r="C245" s="3" t="str">
        <f t="shared" si="3"/>
        <v>450013886580</v>
      </c>
      <c r="D245" s="4">
        <v>46291</v>
      </c>
      <c r="E245" s="3" t="s">
        <v>262</v>
      </c>
      <c r="F245" s="3" t="s">
        <v>280</v>
      </c>
    </row>
    <row r="246" spans="1:6" x14ac:dyDescent="0.3">
      <c r="A246" s="3" t="s">
        <v>196</v>
      </c>
      <c r="B246" s="3" t="s">
        <v>90</v>
      </c>
      <c r="C246" s="3" t="str">
        <f t="shared" si="3"/>
        <v>450013886590</v>
      </c>
      <c r="D246" s="4">
        <v>46291</v>
      </c>
      <c r="E246" s="3" t="s">
        <v>262</v>
      </c>
      <c r="F246" s="3" t="s">
        <v>280</v>
      </c>
    </row>
    <row r="247" spans="1:6" x14ac:dyDescent="0.3">
      <c r="A247" s="3" t="s">
        <v>218</v>
      </c>
      <c r="B247" s="3" t="s">
        <v>22</v>
      </c>
      <c r="C247" s="3" t="str">
        <f t="shared" si="3"/>
        <v>450013886710</v>
      </c>
      <c r="D247" s="4">
        <v>46289</v>
      </c>
      <c r="E247" s="3" t="s">
        <v>281</v>
      </c>
      <c r="F247" s="3" t="s">
        <v>344</v>
      </c>
    </row>
    <row r="248" spans="1:6" x14ac:dyDescent="0.3">
      <c r="A248" s="3" t="s">
        <v>197</v>
      </c>
      <c r="B248" s="3" t="s">
        <v>22</v>
      </c>
      <c r="C248" s="3" t="str">
        <f t="shared" si="3"/>
        <v>450013886910</v>
      </c>
      <c r="D248" s="4">
        <v>46291</v>
      </c>
      <c r="E248" s="3" t="s">
        <v>262</v>
      </c>
      <c r="F248" s="3" t="s">
        <v>280</v>
      </c>
    </row>
    <row r="249" spans="1:6" x14ac:dyDescent="0.3">
      <c r="A249" s="3" t="s">
        <v>197</v>
      </c>
      <c r="B249" s="3" t="s">
        <v>48</v>
      </c>
      <c r="C249" s="3" t="str">
        <f t="shared" si="3"/>
        <v>450013886920</v>
      </c>
      <c r="D249" s="4">
        <v>46291</v>
      </c>
      <c r="E249" s="3" t="s">
        <v>262</v>
      </c>
      <c r="F249" s="3" t="s">
        <v>280</v>
      </c>
    </row>
    <row r="250" spans="1:6" x14ac:dyDescent="0.3">
      <c r="A250" s="3" t="s">
        <v>197</v>
      </c>
      <c r="B250" s="3" t="s">
        <v>39</v>
      </c>
      <c r="C250" s="3" t="str">
        <f t="shared" si="3"/>
        <v>450013886930</v>
      </c>
      <c r="D250" s="4">
        <v>46291</v>
      </c>
      <c r="E250" s="3" t="s">
        <v>262</v>
      </c>
      <c r="F250" s="3" t="s">
        <v>280</v>
      </c>
    </row>
    <row r="251" spans="1:6" x14ac:dyDescent="0.3">
      <c r="A251" s="3" t="s">
        <v>197</v>
      </c>
      <c r="B251" s="3" t="s">
        <v>32</v>
      </c>
      <c r="C251" s="3" t="str">
        <f t="shared" si="3"/>
        <v>450013886940</v>
      </c>
      <c r="D251" s="4">
        <v>46291</v>
      </c>
      <c r="E251" s="3" t="s">
        <v>262</v>
      </c>
      <c r="F251" s="3" t="s">
        <v>280</v>
      </c>
    </row>
    <row r="252" spans="1:6" x14ac:dyDescent="0.3">
      <c r="A252" s="3" t="s">
        <v>197</v>
      </c>
      <c r="B252" s="3" t="s">
        <v>38</v>
      </c>
      <c r="C252" s="3" t="str">
        <f t="shared" si="3"/>
        <v>450013886950</v>
      </c>
      <c r="D252" s="4">
        <v>46291</v>
      </c>
      <c r="E252" s="3" t="s">
        <v>262</v>
      </c>
      <c r="F252" s="3" t="s">
        <v>280</v>
      </c>
    </row>
    <row r="253" spans="1:6" x14ac:dyDescent="0.3">
      <c r="A253" s="3" t="s">
        <v>197</v>
      </c>
      <c r="B253" s="3" t="s">
        <v>66</v>
      </c>
      <c r="C253" s="3" t="str">
        <f t="shared" si="3"/>
        <v>450013886960</v>
      </c>
      <c r="D253" s="4">
        <v>46291</v>
      </c>
      <c r="E253" s="3" t="s">
        <v>262</v>
      </c>
      <c r="F253" s="3" t="s">
        <v>280</v>
      </c>
    </row>
    <row r="254" spans="1:6" x14ac:dyDescent="0.3">
      <c r="A254" s="3" t="s">
        <v>197</v>
      </c>
      <c r="B254" s="3" t="s">
        <v>85</v>
      </c>
      <c r="C254" s="3" t="str">
        <f t="shared" si="3"/>
        <v>450013886970</v>
      </c>
      <c r="D254" s="4">
        <v>46291</v>
      </c>
      <c r="E254" s="3" t="s">
        <v>262</v>
      </c>
      <c r="F254" s="3" t="s">
        <v>280</v>
      </c>
    </row>
    <row r="255" spans="1:6" x14ac:dyDescent="0.3">
      <c r="A255" s="3" t="s">
        <v>197</v>
      </c>
      <c r="B255" s="3" t="s">
        <v>169</v>
      </c>
      <c r="C255" s="3" t="str">
        <f t="shared" si="3"/>
        <v>450013886980</v>
      </c>
      <c r="D255" s="4">
        <v>46291</v>
      </c>
      <c r="E255" s="3" t="s">
        <v>262</v>
      </c>
      <c r="F255" s="3" t="s">
        <v>280</v>
      </c>
    </row>
    <row r="256" spans="1:6" x14ac:dyDescent="0.3">
      <c r="A256" s="3" t="s">
        <v>197</v>
      </c>
      <c r="B256" s="3" t="s">
        <v>90</v>
      </c>
      <c r="C256" s="3" t="str">
        <f t="shared" si="3"/>
        <v>450013886990</v>
      </c>
      <c r="D256" s="4">
        <v>46291</v>
      </c>
      <c r="E256" s="3" t="s">
        <v>262</v>
      </c>
      <c r="F256" s="3" t="s">
        <v>280</v>
      </c>
    </row>
    <row r="257" spans="1:6" x14ac:dyDescent="0.3">
      <c r="A257" s="3" t="s">
        <v>197</v>
      </c>
      <c r="B257" s="3" t="s">
        <v>89</v>
      </c>
      <c r="C257" s="3" t="str">
        <f t="shared" si="3"/>
        <v>4500138869100</v>
      </c>
      <c r="D257" s="4">
        <v>46291</v>
      </c>
      <c r="E257" s="3" t="s">
        <v>262</v>
      </c>
      <c r="F257" s="3" t="s">
        <v>280</v>
      </c>
    </row>
    <row r="258" spans="1:6" x14ac:dyDescent="0.3">
      <c r="A258" s="3" t="s">
        <v>197</v>
      </c>
      <c r="B258" s="3" t="s">
        <v>87</v>
      </c>
      <c r="C258" s="3" t="str">
        <f t="shared" si="3"/>
        <v>4500138869110</v>
      </c>
      <c r="D258" s="4">
        <v>46291</v>
      </c>
      <c r="E258" s="3" t="s">
        <v>262</v>
      </c>
      <c r="F258" s="3" t="s">
        <v>280</v>
      </c>
    </row>
    <row r="259" spans="1:6" x14ac:dyDescent="0.3">
      <c r="A259" s="3" t="s">
        <v>197</v>
      </c>
      <c r="B259" s="3" t="s">
        <v>88</v>
      </c>
      <c r="C259" s="3" t="str">
        <f t="shared" ref="C259:C322" si="4">_xlfn.CONCAT(A259:B259)</f>
        <v>4500138869120</v>
      </c>
      <c r="D259" s="4">
        <v>46291</v>
      </c>
      <c r="E259" s="3" t="s">
        <v>262</v>
      </c>
      <c r="F259" s="3" t="s">
        <v>280</v>
      </c>
    </row>
    <row r="260" spans="1:6" x14ac:dyDescent="0.3">
      <c r="A260" s="3" t="s">
        <v>197</v>
      </c>
      <c r="B260" s="3" t="s">
        <v>193</v>
      </c>
      <c r="C260" s="3" t="str">
        <f t="shared" si="4"/>
        <v>4500138869130</v>
      </c>
      <c r="D260" s="4">
        <v>46291</v>
      </c>
      <c r="E260" s="3" t="s">
        <v>262</v>
      </c>
      <c r="F260" s="3" t="s">
        <v>280</v>
      </c>
    </row>
    <row r="261" spans="1:6" x14ac:dyDescent="0.3">
      <c r="A261" s="3" t="s">
        <v>197</v>
      </c>
      <c r="B261" s="3" t="s">
        <v>194</v>
      </c>
      <c r="C261" s="3" t="str">
        <f t="shared" si="4"/>
        <v>4500138869140</v>
      </c>
      <c r="D261" s="4">
        <v>46291</v>
      </c>
      <c r="E261" s="3" t="s">
        <v>262</v>
      </c>
      <c r="F261" s="3" t="s">
        <v>280</v>
      </c>
    </row>
    <row r="262" spans="1:6" x14ac:dyDescent="0.3">
      <c r="A262" s="3" t="s">
        <v>197</v>
      </c>
      <c r="B262" s="3" t="s">
        <v>195</v>
      </c>
      <c r="C262" s="3" t="str">
        <f t="shared" si="4"/>
        <v>4500138869150</v>
      </c>
      <c r="D262" s="4">
        <v>46291</v>
      </c>
      <c r="E262" s="3" t="s">
        <v>262</v>
      </c>
      <c r="F262" s="3" t="s">
        <v>280</v>
      </c>
    </row>
    <row r="263" spans="1:6" x14ac:dyDescent="0.3">
      <c r="A263" s="3" t="s">
        <v>197</v>
      </c>
      <c r="B263" s="3" t="s">
        <v>198</v>
      </c>
      <c r="C263" s="3" t="str">
        <f t="shared" si="4"/>
        <v>4500138869160</v>
      </c>
      <c r="D263" s="4">
        <v>46291</v>
      </c>
      <c r="E263" s="3" t="s">
        <v>262</v>
      </c>
      <c r="F263" s="3" t="s">
        <v>280</v>
      </c>
    </row>
    <row r="264" spans="1:6" x14ac:dyDescent="0.3">
      <c r="A264" s="3" t="s">
        <v>192</v>
      </c>
      <c r="B264" s="3" t="s">
        <v>22</v>
      </c>
      <c r="C264" s="3" t="str">
        <f t="shared" si="4"/>
        <v>450013887510</v>
      </c>
      <c r="D264" s="4">
        <v>46291</v>
      </c>
      <c r="E264" s="3" t="s">
        <v>262</v>
      </c>
      <c r="F264" s="3" t="s">
        <v>280</v>
      </c>
    </row>
    <row r="265" spans="1:6" x14ac:dyDescent="0.3">
      <c r="A265" s="3" t="s">
        <v>192</v>
      </c>
      <c r="B265" s="3" t="s">
        <v>48</v>
      </c>
      <c r="C265" s="3" t="str">
        <f t="shared" si="4"/>
        <v>450013887520</v>
      </c>
      <c r="D265" s="4">
        <v>46291</v>
      </c>
      <c r="E265" s="3" t="s">
        <v>262</v>
      </c>
      <c r="F265" s="3" t="s">
        <v>280</v>
      </c>
    </row>
    <row r="266" spans="1:6" x14ac:dyDescent="0.3">
      <c r="A266" s="3" t="s">
        <v>192</v>
      </c>
      <c r="B266" s="3" t="s">
        <v>39</v>
      </c>
      <c r="C266" s="3" t="str">
        <f t="shared" si="4"/>
        <v>450013887530</v>
      </c>
      <c r="D266" s="4">
        <v>46291</v>
      </c>
      <c r="E266" s="3" t="s">
        <v>262</v>
      </c>
      <c r="F266" s="3" t="s">
        <v>280</v>
      </c>
    </row>
    <row r="267" spans="1:6" x14ac:dyDescent="0.3">
      <c r="A267" s="3" t="s">
        <v>192</v>
      </c>
      <c r="B267" s="3" t="s">
        <v>32</v>
      </c>
      <c r="C267" s="3" t="str">
        <f t="shared" si="4"/>
        <v>450013887540</v>
      </c>
      <c r="D267" s="4">
        <v>46291</v>
      </c>
      <c r="E267" s="3" t="s">
        <v>262</v>
      </c>
      <c r="F267" s="3" t="s">
        <v>280</v>
      </c>
    </row>
    <row r="268" spans="1:6" x14ac:dyDescent="0.3">
      <c r="A268" s="3" t="s">
        <v>192</v>
      </c>
      <c r="B268" s="3" t="s">
        <v>38</v>
      </c>
      <c r="C268" s="3" t="str">
        <f t="shared" si="4"/>
        <v>450013887550</v>
      </c>
      <c r="D268" s="4">
        <v>46291</v>
      </c>
      <c r="E268" s="3" t="s">
        <v>262</v>
      </c>
      <c r="F268" s="3" t="s">
        <v>280</v>
      </c>
    </row>
    <row r="269" spans="1:6" x14ac:dyDescent="0.3">
      <c r="A269" s="3" t="s">
        <v>192</v>
      </c>
      <c r="B269" s="3" t="s">
        <v>66</v>
      </c>
      <c r="C269" s="3" t="str">
        <f t="shared" si="4"/>
        <v>450013887560</v>
      </c>
      <c r="D269" s="4">
        <v>46291</v>
      </c>
      <c r="E269" s="3" t="s">
        <v>262</v>
      </c>
      <c r="F269" s="3" t="s">
        <v>280</v>
      </c>
    </row>
    <row r="270" spans="1:6" x14ac:dyDescent="0.3">
      <c r="A270" s="3" t="s">
        <v>192</v>
      </c>
      <c r="B270" s="3" t="s">
        <v>85</v>
      </c>
      <c r="C270" s="3" t="str">
        <f t="shared" si="4"/>
        <v>450013887570</v>
      </c>
      <c r="D270" s="4">
        <v>46291</v>
      </c>
      <c r="E270" s="3" t="s">
        <v>262</v>
      </c>
      <c r="F270" s="3" t="s">
        <v>280</v>
      </c>
    </row>
    <row r="271" spans="1:6" x14ac:dyDescent="0.3">
      <c r="A271" s="3" t="s">
        <v>192</v>
      </c>
      <c r="B271" s="3" t="s">
        <v>169</v>
      </c>
      <c r="C271" s="3" t="str">
        <f t="shared" si="4"/>
        <v>450013887580</v>
      </c>
      <c r="D271" s="4">
        <v>46291</v>
      </c>
      <c r="E271" s="3" t="s">
        <v>262</v>
      </c>
      <c r="F271" s="3" t="s">
        <v>280</v>
      </c>
    </row>
    <row r="272" spans="1:6" x14ac:dyDescent="0.3">
      <c r="A272" s="3" t="s">
        <v>192</v>
      </c>
      <c r="B272" s="3" t="s">
        <v>90</v>
      </c>
      <c r="C272" s="3" t="str">
        <f t="shared" si="4"/>
        <v>450013887590</v>
      </c>
      <c r="D272" s="4">
        <v>46291</v>
      </c>
      <c r="E272" s="3" t="s">
        <v>262</v>
      </c>
      <c r="F272" s="3" t="s">
        <v>280</v>
      </c>
    </row>
    <row r="273" spans="1:6" x14ac:dyDescent="0.3">
      <c r="A273" s="3" t="s">
        <v>192</v>
      </c>
      <c r="B273" s="3" t="s">
        <v>89</v>
      </c>
      <c r="C273" s="3" t="str">
        <f t="shared" si="4"/>
        <v>4500138875100</v>
      </c>
      <c r="D273" s="4">
        <v>46291</v>
      </c>
      <c r="E273" s="3" t="s">
        <v>262</v>
      </c>
      <c r="F273" s="3" t="s">
        <v>280</v>
      </c>
    </row>
    <row r="274" spans="1:6" x14ac:dyDescent="0.3">
      <c r="A274" s="3" t="s">
        <v>192</v>
      </c>
      <c r="B274" s="3" t="s">
        <v>87</v>
      </c>
      <c r="C274" s="3" t="str">
        <f t="shared" si="4"/>
        <v>4500138875110</v>
      </c>
      <c r="D274" s="4">
        <v>46291</v>
      </c>
      <c r="E274" s="3" t="s">
        <v>262</v>
      </c>
      <c r="F274" s="3" t="s">
        <v>280</v>
      </c>
    </row>
    <row r="275" spans="1:6" x14ac:dyDescent="0.3">
      <c r="A275" s="3" t="s">
        <v>192</v>
      </c>
      <c r="B275" s="3" t="s">
        <v>88</v>
      </c>
      <c r="C275" s="3" t="str">
        <f t="shared" si="4"/>
        <v>4500138875120</v>
      </c>
      <c r="D275" s="4">
        <v>46291</v>
      </c>
      <c r="E275" s="3" t="s">
        <v>262</v>
      </c>
      <c r="F275" s="3" t="s">
        <v>280</v>
      </c>
    </row>
    <row r="276" spans="1:6" x14ac:dyDescent="0.3">
      <c r="A276" s="3" t="s">
        <v>192</v>
      </c>
      <c r="B276" s="3" t="s">
        <v>193</v>
      </c>
      <c r="C276" s="3" t="str">
        <f t="shared" si="4"/>
        <v>4500138875130</v>
      </c>
      <c r="D276" s="4">
        <v>46291</v>
      </c>
      <c r="E276" s="3" t="s">
        <v>262</v>
      </c>
      <c r="F276" s="3" t="s">
        <v>280</v>
      </c>
    </row>
    <row r="277" spans="1:6" x14ac:dyDescent="0.3">
      <c r="A277" s="3" t="s">
        <v>192</v>
      </c>
      <c r="B277" s="3" t="s">
        <v>194</v>
      </c>
      <c r="C277" s="3" t="str">
        <f t="shared" si="4"/>
        <v>4500138875140</v>
      </c>
      <c r="D277" s="4">
        <v>46291</v>
      </c>
      <c r="E277" s="3" t="s">
        <v>262</v>
      </c>
      <c r="F277" s="3" t="s">
        <v>280</v>
      </c>
    </row>
    <row r="278" spans="1:6" x14ac:dyDescent="0.3">
      <c r="A278" s="3" t="s">
        <v>192</v>
      </c>
      <c r="B278" s="3" t="s">
        <v>195</v>
      </c>
      <c r="C278" s="3" t="str">
        <f t="shared" si="4"/>
        <v>4500138875150</v>
      </c>
      <c r="D278" s="4">
        <v>46291</v>
      </c>
      <c r="E278" s="3" t="s">
        <v>262</v>
      </c>
      <c r="F278" s="3" t="s">
        <v>280</v>
      </c>
    </row>
    <row r="279" spans="1:6" x14ac:dyDescent="0.3">
      <c r="A279" s="3" t="s">
        <v>204</v>
      </c>
      <c r="B279" s="3" t="s">
        <v>48</v>
      </c>
      <c r="C279" s="3" t="str">
        <f t="shared" si="4"/>
        <v>450013897620</v>
      </c>
      <c r="D279" s="4">
        <v>46293</v>
      </c>
      <c r="E279" s="3" t="s">
        <v>262</v>
      </c>
      <c r="F279" s="3" t="s">
        <v>345</v>
      </c>
    </row>
    <row r="280" spans="1:6" x14ac:dyDescent="0.3">
      <c r="A280" s="3" t="s">
        <v>94</v>
      </c>
      <c r="B280" s="3" t="s">
        <v>22</v>
      </c>
      <c r="C280" s="3" t="str">
        <f t="shared" si="4"/>
        <v>450013900410</v>
      </c>
      <c r="D280" s="4">
        <v>46289</v>
      </c>
      <c r="E280" s="3" t="s">
        <v>259</v>
      </c>
      <c r="F280" s="3" t="s">
        <v>346</v>
      </c>
    </row>
    <row r="281" spans="1:6" x14ac:dyDescent="0.3">
      <c r="A281" s="3" t="s">
        <v>94</v>
      </c>
      <c r="B281" s="3" t="s">
        <v>48</v>
      </c>
      <c r="C281" s="3" t="str">
        <f t="shared" si="4"/>
        <v>450013900420</v>
      </c>
      <c r="D281" s="4">
        <v>46289</v>
      </c>
      <c r="E281" s="3" t="s">
        <v>259</v>
      </c>
      <c r="F281" s="3" t="s">
        <v>346</v>
      </c>
    </row>
    <row r="282" spans="1:6" x14ac:dyDescent="0.3">
      <c r="A282" s="3" t="s">
        <v>94</v>
      </c>
      <c r="B282" s="3" t="s">
        <v>39</v>
      </c>
      <c r="C282" s="3" t="str">
        <f t="shared" si="4"/>
        <v>450013900430</v>
      </c>
      <c r="D282" s="4">
        <v>46289</v>
      </c>
      <c r="E282" s="3" t="s">
        <v>259</v>
      </c>
      <c r="F282" s="3" t="s">
        <v>346</v>
      </c>
    </row>
    <row r="283" spans="1:6" x14ac:dyDescent="0.3">
      <c r="A283" s="3" t="s">
        <v>82</v>
      </c>
      <c r="B283" s="3" t="s">
        <v>22</v>
      </c>
      <c r="C283" s="3" t="str">
        <f t="shared" si="4"/>
        <v>450013901110</v>
      </c>
      <c r="D283" s="4">
        <v>46303</v>
      </c>
      <c r="E283" s="3" t="s">
        <v>262</v>
      </c>
      <c r="F283" s="3" t="s">
        <v>347</v>
      </c>
    </row>
    <row r="284" spans="1:6" x14ac:dyDescent="0.3">
      <c r="A284" s="3" t="s">
        <v>200</v>
      </c>
      <c r="B284" s="3" t="s">
        <v>22</v>
      </c>
      <c r="C284" s="3" t="str">
        <f t="shared" si="4"/>
        <v>450013906210</v>
      </c>
      <c r="D284" s="4">
        <v>46294</v>
      </c>
      <c r="E284" s="3" t="s">
        <v>324</v>
      </c>
      <c r="F284" s="3" t="s">
        <v>348</v>
      </c>
    </row>
    <row r="285" spans="1:6" x14ac:dyDescent="0.3">
      <c r="A285" s="3" t="s">
        <v>200</v>
      </c>
      <c r="B285" s="3" t="s">
        <v>48</v>
      </c>
      <c r="C285" s="3" t="str">
        <f t="shared" si="4"/>
        <v>450013906220</v>
      </c>
      <c r="D285" s="4">
        <v>46294</v>
      </c>
      <c r="E285" s="3" t="s">
        <v>324</v>
      </c>
      <c r="F285" s="3" t="s">
        <v>348</v>
      </c>
    </row>
    <row r="286" spans="1:6" x14ac:dyDescent="0.3">
      <c r="A286" s="3" t="s">
        <v>200</v>
      </c>
      <c r="B286" s="3" t="s">
        <v>39</v>
      </c>
      <c r="C286" s="3" t="str">
        <f t="shared" si="4"/>
        <v>450013906230</v>
      </c>
      <c r="D286" s="4">
        <v>46294</v>
      </c>
      <c r="E286" s="3" t="s">
        <v>324</v>
      </c>
      <c r="F286" s="3" t="s">
        <v>348</v>
      </c>
    </row>
    <row r="287" spans="1:6" x14ac:dyDescent="0.3">
      <c r="A287" s="3" t="s">
        <v>200</v>
      </c>
      <c r="B287" s="3" t="s">
        <v>32</v>
      </c>
      <c r="C287" s="3" t="str">
        <f t="shared" si="4"/>
        <v>450013906240</v>
      </c>
      <c r="D287" s="4">
        <v>46294</v>
      </c>
      <c r="E287" s="3" t="s">
        <v>324</v>
      </c>
      <c r="F287" s="3" t="s">
        <v>348</v>
      </c>
    </row>
    <row r="288" spans="1:6" x14ac:dyDescent="0.3">
      <c r="A288" s="3" t="s">
        <v>202</v>
      </c>
      <c r="B288" s="3" t="s">
        <v>22</v>
      </c>
      <c r="C288" s="3" t="str">
        <f t="shared" si="4"/>
        <v>450013915110</v>
      </c>
      <c r="D288" s="4">
        <v>46293</v>
      </c>
      <c r="E288" s="3" t="s">
        <v>262</v>
      </c>
      <c r="F288" s="3" t="s">
        <v>337</v>
      </c>
    </row>
    <row r="289" spans="1:6" x14ac:dyDescent="0.3">
      <c r="A289" s="3" t="s">
        <v>211</v>
      </c>
      <c r="B289" s="3" t="s">
        <v>22</v>
      </c>
      <c r="C289" s="3" t="str">
        <f t="shared" si="4"/>
        <v>450013916410</v>
      </c>
      <c r="D289" s="4">
        <v>46298</v>
      </c>
      <c r="E289" s="3" t="s">
        <v>324</v>
      </c>
      <c r="F289" s="3" t="s">
        <v>320</v>
      </c>
    </row>
    <row r="290" spans="1:6" x14ac:dyDescent="0.3">
      <c r="A290" s="3" t="s">
        <v>211</v>
      </c>
      <c r="B290" s="3" t="s">
        <v>48</v>
      </c>
      <c r="C290" s="3" t="str">
        <f t="shared" si="4"/>
        <v>450013916420</v>
      </c>
      <c r="D290" s="4">
        <v>46298</v>
      </c>
      <c r="E290" s="3" t="s">
        <v>324</v>
      </c>
      <c r="F290" s="3" t="s">
        <v>320</v>
      </c>
    </row>
    <row r="291" spans="1:6" x14ac:dyDescent="0.3">
      <c r="A291" s="3" t="s">
        <v>68</v>
      </c>
      <c r="B291" s="3" t="s">
        <v>22</v>
      </c>
      <c r="C291" s="3" t="str">
        <f t="shared" si="4"/>
        <v>450013917510</v>
      </c>
      <c r="D291" s="4">
        <v>46290</v>
      </c>
      <c r="E291" s="3" t="s">
        <v>259</v>
      </c>
      <c r="F291" s="3" t="s">
        <v>261</v>
      </c>
    </row>
    <row r="292" spans="1:6" x14ac:dyDescent="0.3">
      <c r="A292" s="3" t="s">
        <v>206</v>
      </c>
      <c r="B292" s="3" t="s">
        <v>169</v>
      </c>
      <c r="C292" s="3" t="str">
        <f t="shared" si="4"/>
        <v>450013919880</v>
      </c>
      <c r="D292" s="4">
        <v>46298</v>
      </c>
      <c r="E292" s="3" t="s">
        <v>262</v>
      </c>
      <c r="F292" s="3" t="s">
        <v>323</v>
      </c>
    </row>
    <row r="293" spans="1:6" x14ac:dyDescent="0.3">
      <c r="A293" s="3" t="s">
        <v>205</v>
      </c>
      <c r="B293" s="3" t="s">
        <v>22</v>
      </c>
      <c r="C293" s="3" t="str">
        <f t="shared" si="4"/>
        <v>450013921510</v>
      </c>
      <c r="D293" s="4">
        <v>46295</v>
      </c>
      <c r="E293" s="3" t="s">
        <v>262</v>
      </c>
      <c r="F293" s="3" t="s">
        <v>349</v>
      </c>
    </row>
    <row r="294" spans="1:6" x14ac:dyDescent="0.3">
      <c r="A294" s="3" t="s">
        <v>221</v>
      </c>
      <c r="B294" s="3" t="s">
        <v>22</v>
      </c>
      <c r="C294" s="3" t="str">
        <f t="shared" si="4"/>
        <v>450013923110</v>
      </c>
      <c r="D294" s="4">
        <v>46307</v>
      </c>
      <c r="E294" s="3" t="s">
        <v>312</v>
      </c>
      <c r="F294" s="3" t="s">
        <v>310</v>
      </c>
    </row>
    <row r="295" spans="1:6" x14ac:dyDescent="0.3">
      <c r="A295" s="3" t="s">
        <v>221</v>
      </c>
      <c r="B295" s="3" t="s">
        <v>48</v>
      </c>
      <c r="C295" s="3" t="str">
        <f t="shared" si="4"/>
        <v>450013923120</v>
      </c>
      <c r="D295" s="4">
        <v>46307</v>
      </c>
      <c r="E295" s="3" t="s">
        <v>312</v>
      </c>
      <c r="F295" s="3" t="s">
        <v>310</v>
      </c>
    </row>
    <row r="296" spans="1:6" x14ac:dyDescent="0.3">
      <c r="A296" s="3" t="s">
        <v>207</v>
      </c>
      <c r="B296" s="3" t="s">
        <v>22</v>
      </c>
      <c r="C296" s="3" t="str">
        <f t="shared" si="4"/>
        <v>450013926110</v>
      </c>
      <c r="D296" s="4">
        <v>46295</v>
      </c>
      <c r="E296" s="3" t="s">
        <v>262</v>
      </c>
      <c r="F296" s="3" t="s">
        <v>349</v>
      </c>
    </row>
    <row r="297" spans="1:6" x14ac:dyDescent="0.3">
      <c r="A297" s="3" t="s">
        <v>208</v>
      </c>
      <c r="B297" s="3" t="s">
        <v>22</v>
      </c>
      <c r="C297" s="3" t="str">
        <f t="shared" si="4"/>
        <v>450013928110</v>
      </c>
      <c r="D297" s="4">
        <v>46285</v>
      </c>
      <c r="E297" s="3" t="s">
        <v>262</v>
      </c>
      <c r="F297" s="3" t="s">
        <v>349</v>
      </c>
    </row>
    <row r="298" spans="1:6" x14ac:dyDescent="0.3">
      <c r="A298" s="3" t="s">
        <v>209</v>
      </c>
      <c r="B298" s="3" t="s">
        <v>22</v>
      </c>
      <c r="C298" s="3" t="str">
        <f t="shared" si="4"/>
        <v>450013928210</v>
      </c>
      <c r="D298" s="4">
        <v>46285</v>
      </c>
      <c r="E298" s="3" t="s">
        <v>262</v>
      </c>
      <c r="F298" s="3" t="s">
        <v>349</v>
      </c>
    </row>
    <row r="299" spans="1:6" x14ac:dyDescent="0.3">
      <c r="A299" s="3" t="s">
        <v>216</v>
      </c>
      <c r="B299" s="3" t="s">
        <v>22</v>
      </c>
      <c r="C299" s="3" t="str">
        <f t="shared" si="4"/>
        <v>450013928510</v>
      </c>
      <c r="D299" s="4">
        <v>46293</v>
      </c>
      <c r="E299" s="3" t="s">
        <v>262</v>
      </c>
      <c r="F299" s="3" t="s">
        <v>282</v>
      </c>
    </row>
    <row r="300" spans="1:6" x14ac:dyDescent="0.3">
      <c r="A300" s="3" t="s">
        <v>216</v>
      </c>
      <c r="B300" s="3" t="s">
        <v>85</v>
      </c>
      <c r="C300" s="3" t="str">
        <f t="shared" si="4"/>
        <v>450013928570</v>
      </c>
      <c r="D300" s="4">
        <v>46290</v>
      </c>
      <c r="E300" s="3" t="s">
        <v>262</v>
      </c>
      <c r="F300" s="3" t="s">
        <v>282</v>
      </c>
    </row>
    <row r="301" spans="1:6" x14ac:dyDescent="0.3">
      <c r="A301" s="3" t="s">
        <v>244</v>
      </c>
      <c r="B301" s="3" t="s">
        <v>22</v>
      </c>
      <c r="C301" s="3" t="str">
        <f t="shared" si="4"/>
        <v>450013929310</v>
      </c>
      <c r="D301" s="4">
        <v>46295</v>
      </c>
      <c r="E301" s="3" t="s">
        <v>281</v>
      </c>
      <c r="F301" s="3" t="s">
        <v>280</v>
      </c>
    </row>
    <row r="302" spans="1:6" x14ac:dyDescent="0.3">
      <c r="A302" s="3" t="s">
        <v>213</v>
      </c>
      <c r="B302" s="3" t="s">
        <v>48</v>
      </c>
      <c r="C302" s="3" t="str">
        <f t="shared" si="4"/>
        <v>450013930220</v>
      </c>
      <c r="D302" s="4">
        <v>46295</v>
      </c>
      <c r="E302" s="3" t="s">
        <v>262</v>
      </c>
      <c r="F302" s="3" t="s">
        <v>280</v>
      </c>
    </row>
    <row r="303" spans="1:6" x14ac:dyDescent="0.3">
      <c r="A303" s="3" t="s">
        <v>213</v>
      </c>
      <c r="B303" s="3" t="s">
        <v>89</v>
      </c>
      <c r="C303" s="3" t="str">
        <f t="shared" si="4"/>
        <v>4500139302100</v>
      </c>
      <c r="D303" s="4">
        <v>46307</v>
      </c>
      <c r="E303" s="3" t="s">
        <v>262</v>
      </c>
      <c r="F303" s="3" t="s">
        <v>280</v>
      </c>
    </row>
    <row r="304" spans="1:6" x14ac:dyDescent="0.3">
      <c r="A304" s="3" t="s">
        <v>213</v>
      </c>
      <c r="B304" s="3" t="s">
        <v>87</v>
      </c>
      <c r="C304" s="3" t="str">
        <f t="shared" si="4"/>
        <v>4500139302110</v>
      </c>
      <c r="D304" s="4">
        <v>46304</v>
      </c>
      <c r="E304" s="3" t="s">
        <v>262</v>
      </c>
      <c r="F304" s="3" t="s">
        <v>280</v>
      </c>
    </row>
    <row r="305" spans="1:6" x14ac:dyDescent="0.3">
      <c r="A305" s="3" t="s">
        <v>213</v>
      </c>
      <c r="B305" s="3" t="s">
        <v>88</v>
      </c>
      <c r="C305" s="3" t="str">
        <f t="shared" si="4"/>
        <v>4500139302120</v>
      </c>
      <c r="D305" s="4">
        <v>46304</v>
      </c>
      <c r="E305" s="3" t="s">
        <v>262</v>
      </c>
      <c r="F305" s="3" t="s">
        <v>280</v>
      </c>
    </row>
    <row r="306" spans="1:6" x14ac:dyDescent="0.3">
      <c r="A306" s="3" t="s">
        <v>77</v>
      </c>
      <c r="B306" s="3" t="s">
        <v>22</v>
      </c>
      <c r="C306" s="3" t="str">
        <f t="shared" si="4"/>
        <v>450013932510</v>
      </c>
      <c r="D306" s="4">
        <v>46304</v>
      </c>
      <c r="E306" s="3" t="s">
        <v>336</v>
      </c>
      <c r="F306" s="3" t="s">
        <v>337</v>
      </c>
    </row>
    <row r="307" spans="1:6" x14ac:dyDescent="0.3">
      <c r="A307" s="3" t="s">
        <v>77</v>
      </c>
      <c r="B307" s="3" t="s">
        <v>48</v>
      </c>
      <c r="C307" s="3" t="str">
        <f t="shared" si="4"/>
        <v>450013932520</v>
      </c>
      <c r="D307" s="4">
        <v>46304</v>
      </c>
      <c r="E307" s="3" t="s">
        <v>336</v>
      </c>
      <c r="F307" s="3" t="s">
        <v>337</v>
      </c>
    </row>
    <row r="308" spans="1:6" x14ac:dyDescent="0.3">
      <c r="A308" s="3" t="s">
        <v>77</v>
      </c>
      <c r="B308" s="3" t="s">
        <v>39</v>
      </c>
      <c r="C308" s="3" t="str">
        <f t="shared" si="4"/>
        <v>450013932530</v>
      </c>
      <c r="D308" s="4">
        <v>46304</v>
      </c>
      <c r="E308" s="3" t="s">
        <v>336</v>
      </c>
      <c r="F308" s="3" t="s">
        <v>337</v>
      </c>
    </row>
    <row r="309" spans="1:6" x14ac:dyDescent="0.3">
      <c r="A309" s="3" t="s">
        <v>77</v>
      </c>
      <c r="B309" s="3" t="s">
        <v>32</v>
      </c>
      <c r="C309" s="3" t="str">
        <f t="shared" si="4"/>
        <v>450013932540</v>
      </c>
      <c r="D309" s="4">
        <v>46304</v>
      </c>
      <c r="E309" s="3" t="s">
        <v>336</v>
      </c>
      <c r="F309" s="3" t="s">
        <v>337</v>
      </c>
    </row>
    <row r="310" spans="1:6" x14ac:dyDescent="0.3">
      <c r="A310" s="3" t="s">
        <v>77</v>
      </c>
      <c r="B310" s="3" t="s">
        <v>38</v>
      </c>
      <c r="C310" s="3" t="str">
        <f t="shared" si="4"/>
        <v>450013932550</v>
      </c>
      <c r="D310" s="4">
        <v>46304</v>
      </c>
      <c r="E310" s="3" t="s">
        <v>336</v>
      </c>
      <c r="F310" s="3" t="s">
        <v>337</v>
      </c>
    </row>
    <row r="311" spans="1:6" x14ac:dyDescent="0.3">
      <c r="A311" s="3" t="s">
        <v>99</v>
      </c>
      <c r="B311" s="3" t="s">
        <v>22</v>
      </c>
      <c r="C311" s="3" t="str">
        <f t="shared" si="4"/>
        <v>450013933810</v>
      </c>
      <c r="D311" s="4">
        <v>46304</v>
      </c>
      <c r="E311" s="3" t="s">
        <v>350</v>
      </c>
      <c r="F311" s="3" t="s">
        <v>351</v>
      </c>
    </row>
    <row r="312" spans="1:6" x14ac:dyDescent="0.3">
      <c r="A312" s="3" t="s">
        <v>226</v>
      </c>
      <c r="B312" s="3" t="s">
        <v>22</v>
      </c>
      <c r="C312" s="3" t="str">
        <f t="shared" si="4"/>
        <v>450013937910</v>
      </c>
      <c r="D312" s="4">
        <v>46296</v>
      </c>
      <c r="E312" s="3" t="s">
        <v>262</v>
      </c>
      <c r="F312" s="3" t="s">
        <v>322</v>
      </c>
    </row>
    <row r="313" spans="1:6" x14ac:dyDescent="0.3">
      <c r="A313" s="3" t="s">
        <v>224</v>
      </c>
      <c r="B313" s="3" t="s">
        <v>22</v>
      </c>
      <c r="C313" s="3" t="str">
        <f t="shared" si="4"/>
        <v>450013943710</v>
      </c>
      <c r="D313" s="4">
        <v>46304</v>
      </c>
      <c r="E313" s="3" t="s">
        <v>276</v>
      </c>
      <c r="F313" s="3" t="s">
        <v>284</v>
      </c>
    </row>
    <row r="314" spans="1:6" x14ac:dyDescent="0.3">
      <c r="A314" s="3" t="s">
        <v>69</v>
      </c>
      <c r="B314" s="3" t="s">
        <v>22</v>
      </c>
      <c r="C314" s="3" t="str">
        <f t="shared" si="4"/>
        <v>450013959810</v>
      </c>
      <c r="D314" s="4">
        <v>46294</v>
      </c>
      <c r="E314" s="3" t="s">
        <v>269</v>
      </c>
      <c r="F314" s="3" t="s">
        <v>271</v>
      </c>
    </row>
    <row r="315" spans="1:6" x14ac:dyDescent="0.3">
      <c r="A315" s="3" t="s">
        <v>220</v>
      </c>
      <c r="B315" s="3" t="s">
        <v>22</v>
      </c>
      <c r="C315" s="3" t="str">
        <f t="shared" si="4"/>
        <v>450013962010</v>
      </c>
      <c r="D315" s="4">
        <v>46297</v>
      </c>
      <c r="E315" s="3" t="s">
        <v>262</v>
      </c>
      <c r="F315" s="3" t="s">
        <v>347</v>
      </c>
    </row>
    <row r="316" spans="1:6" x14ac:dyDescent="0.3">
      <c r="A316" s="3" t="s">
        <v>79</v>
      </c>
      <c r="B316" s="3" t="s">
        <v>22</v>
      </c>
      <c r="C316" s="3" t="str">
        <f t="shared" si="4"/>
        <v>450013967010</v>
      </c>
      <c r="D316" s="4">
        <v>46304</v>
      </c>
      <c r="E316" s="3" t="s">
        <v>285</v>
      </c>
      <c r="F316" s="3" t="s">
        <v>331</v>
      </c>
    </row>
    <row r="317" spans="1:6" x14ac:dyDescent="0.3">
      <c r="A317" s="3" t="s">
        <v>79</v>
      </c>
      <c r="B317" s="3" t="s">
        <v>48</v>
      </c>
      <c r="C317" s="3" t="str">
        <f t="shared" si="4"/>
        <v>450013967020</v>
      </c>
      <c r="D317" s="4">
        <v>46304</v>
      </c>
      <c r="E317" s="3" t="s">
        <v>285</v>
      </c>
      <c r="F317" s="3" t="s">
        <v>331</v>
      </c>
    </row>
    <row r="318" spans="1:6" x14ac:dyDescent="0.3">
      <c r="A318" s="3" t="s">
        <v>100</v>
      </c>
      <c r="B318" s="3" t="s">
        <v>22</v>
      </c>
      <c r="C318" s="3" t="str">
        <f t="shared" si="4"/>
        <v>450013973110</v>
      </c>
      <c r="D318" s="4">
        <v>46304</v>
      </c>
      <c r="E318" s="3" t="s">
        <v>285</v>
      </c>
      <c r="F318" s="3" t="s">
        <v>280</v>
      </c>
    </row>
    <row r="319" spans="1:6" x14ac:dyDescent="0.3">
      <c r="A319" s="3" t="s">
        <v>238</v>
      </c>
      <c r="B319" s="3" t="s">
        <v>22</v>
      </c>
      <c r="C319" s="3" t="str">
        <f t="shared" si="4"/>
        <v>450013981610</v>
      </c>
      <c r="D319" s="4">
        <v>46318</v>
      </c>
      <c r="E319" s="3" t="s">
        <v>285</v>
      </c>
      <c r="F319" s="3" t="s">
        <v>280</v>
      </c>
    </row>
    <row r="320" spans="1:6" x14ac:dyDescent="0.3">
      <c r="A320" s="3" t="s">
        <v>251</v>
      </c>
      <c r="B320" s="3" t="s">
        <v>22</v>
      </c>
      <c r="C320" s="3" t="str">
        <f t="shared" si="4"/>
        <v>450013984510</v>
      </c>
      <c r="D320" s="4">
        <v>46304</v>
      </c>
      <c r="E320" s="3" t="s">
        <v>262</v>
      </c>
      <c r="F320" s="3" t="s">
        <v>352</v>
      </c>
    </row>
    <row r="321" spans="1:6" x14ac:dyDescent="0.3">
      <c r="A321" s="3" t="s">
        <v>228</v>
      </c>
      <c r="B321" s="3" t="s">
        <v>22</v>
      </c>
      <c r="C321" s="3" t="str">
        <f t="shared" si="4"/>
        <v>450013985310</v>
      </c>
      <c r="D321" s="4">
        <v>46295</v>
      </c>
      <c r="E321" s="3" t="s">
        <v>262</v>
      </c>
      <c r="F321" s="3" t="s">
        <v>319</v>
      </c>
    </row>
    <row r="322" spans="1:6" x14ac:dyDescent="0.3">
      <c r="A322" s="3" t="s">
        <v>230</v>
      </c>
      <c r="B322" s="3" t="s">
        <v>169</v>
      </c>
      <c r="C322" s="3" t="str">
        <f t="shared" si="4"/>
        <v>450013987880</v>
      </c>
      <c r="D322" s="4">
        <v>46300</v>
      </c>
      <c r="E322" s="3" t="s">
        <v>262</v>
      </c>
      <c r="F322" s="3" t="s">
        <v>337</v>
      </c>
    </row>
    <row r="323" spans="1:6" x14ac:dyDescent="0.3">
      <c r="A323" s="3" t="s">
        <v>230</v>
      </c>
      <c r="B323" s="3" t="s">
        <v>90</v>
      </c>
      <c r="C323" s="3" t="str">
        <f t="shared" ref="C323:C386" si="5">_xlfn.CONCAT(A323:B323)</f>
        <v>450013987890</v>
      </c>
      <c r="D323" s="4">
        <v>46300</v>
      </c>
      <c r="E323" s="3" t="s">
        <v>262</v>
      </c>
      <c r="F323" s="3" t="s">
        <v>337</v>
      </c>
    </row>
    <row r="324" spans="1:6" x14ac:dyDescent="0.3">
      <c r="A324" s="3" t="s">
        <v>84</v>
      </c>
      <c r="B324" s="3" t="s">
        <v>85</v>
      </c>
      <c r="C324" s="3" t="str">
        <f t="shared" si="5"/>
        <v>450013988670</v>
      </c>
      <c r="D324" s="4">
        <v>46300</v>
      </c>
      <c r="E324" s="3" t="s">
        <v>262</v>
      </c>
      <c r="F324" s="3" t="s">
        <v>345</v>
      </c>
    </row>
    <row r="325" spans="1:6" x14ac:dyDescent="0.3">
      <c r="A325" s="3" t="s">
        <v>246</v>
      </c>
      <c r="B325" s="3" t="s">
        <v>22</v>
      </c>
      <c r="C325" s="3" t="str">
        <f t="shared" si="5"/>
        <v>450014001110</v>
      </c>
      <c r="D325" s="4">
        <v>46300</v>
      </c>
      <c r="E325" s="3" t="s">
        <v>262</v>
      </c>
      <c r="F325" s="3" t="s">
        <v>280</v>
      </c>
    </row>
    <row r="326" spans="1:6" x14ac:dyDescent="0.3">
      <c r="A326" s="3" t="s">
        <v>246</v>
      </c>
      <c r="B326" s="3" t="s">
        <v>39</v>
      </c>
      <c r="C326" s="3" t="str">
        <f t="shared" si="5"/>
        <v>450014001130</v>
      </c>
      <c r="D326" s="4">
        <v>46300</v>
      </c>
      <c r="E326" s="3" t="s">
        <v>262</v>
      </c>
      <c r="F326" s="3" t="s">
        <v>280</v>
      </c>
    </row>
    <row r="327" spans="1:6" x14ac:dyDescent="0.3">
      <c r="A327" s="3" t="s">
        <v>246</v>
      </c>
      <c r="B327" s="3" t="s">
        <v>32</v>
      </c>
      <c r="C327" s="3" t="str">
        <f t="shared" si="5"/>
        <v>450014001140</v>
      </c>
      <c r="D327" s="4">
        <v>46300</v>
      </c>
      <c r="E327" s="3" t="s">
        <v>262</v>
      </c>
      <c r="F327" s="3" t="s">
        <v>280</v>
      </c>
    </row>
    <row r="328" spans="1:6" x14ac:dyDescent="0.3">
      <c r="A328" s="3" t="s">
        <v>246</v>
      </c>
      <c r="B328" s="3" t="s">
        <v>38</v>
      </c>
      <c r="C328" s="3" t="str">
        <f t="shared" si="5"/>
        <v>450014001150</v>
      </c>
      <c r="D328" s="4">
        <v>46300</v>
      </c>
      <c r="E328" s="3" t="s">
        <v>262</v>
      </c>
      <c r="F328" s="3" t="s">
        <v>280</v>
      </c>
    </row>
    <row r="329" spans="1:6" x14ac:dyDescent="0.3">
      <c r="A329" s="3" t="s">
        <v>246</v>
      </c>
      <c r="B329" s="3" t="s">
        <v>66</v>
      </c>
      <c r="C329" s="3" t="str">
        <f t="shared" si="5"/>
        <v>450014001160</v>
      </c>
      <c r="D329" s="4">
        <v>46300</v>
      </c>
      <c r="E329" s="3" t="s">
        <v>262</v>
      </c>
      <c r="F329" s="3" t="s">
        <v>280</v>
      </c>
    </row>
    <row r="330" spans="1:6" x14ac:dyDescent="0.3">
      <c r="A330" s="3" t="s">
        <v>246</v>
      </c>
      <c r="B330" s="3" t="s">
        <v>194</v>
      </c>
      <c r="C330" s="3" t="str">
        <f t="shared" si="5"/>
        <v>4500140011140</v>
      </c>
      <c r="D330" s="4">
        <v>46300</v>
      </c>
      <c r="E330" s="3" t="s">
        <v>262</v>
      </c>
      <c r="F330" s="3" t="s">
        <v>280</v>
      </c>
    </row>
    <row r="331" spans="1:6" x14ac:dyDescent="0.3">
      <c r="A331" s="3" t="s">
        <v>241</v>
      </c>
      <c r="B331" s="3" t="s">
        <v>89</v>
      </c>
      <c r="C331" s="3" t="str">
        <f t="shared" si="5"/>
        <v>4500140013100</v>
      </c>
      <c r="D331" s="4">
        <v>46300</v>
      </c>
      <c r="E331" s="3" t="s">
        <v>262</v>
      </c>
      <c r="F331" s="3" t="s">
        <v>353</v>
      </c>
    </row>
    <row r="332" spans="1:6" x14ac:dyDescent="0.3">
      <c r="A332" s="3" t="s">
        <v>241</v>
      </c>
      <c r="B332" s="3" t="s">
        <v>87</v>
      </c>
      <c r="C332" s="3" t="str">
        <f t="shared" si="5"/>
        <v>4500140013110</v>
      </c>
      <c r="D332" s="4">
        <v>46300</v>
      </c>
      <c r="E332" s="3" t="s">
        <v>262</v>
      </c>
      <c r="F332" s="3" t="s">
        <v>353</v>
      </c>
    </row>
    <row r="333" spans="1:6" x14ac:dyDescent="0.3">
      <c r="A333" s="3" t="s">
        <v>376</v>
      </c>
      <c r="B333" s="3" t="s">
        <v>22</v>
      </c>
      <c r="C333" s="3" t="str">
        <f t="shared" si="5"/>
        <v>450013662310</v>
      </c>
      <c r="D333" s="4">
        <v>46293</v>
      </c>
      <c r="E333" s="3" t="s">
        <v>285</v>
      </c>
      <c r="F333" s="3" t="s">
        <v>280</v>
      </c>
    </row>
    <row r="334" spans="1:6" x14ac:dyDescent="0.3">
      <c r="A334" s="3" t="s">
        <v>376</v>
      </c>
      <c r="B334" s="3" t="s">
        <v>48</v>
      </c>
      <c r="C334" s="3" t="str">
        <f t="shared" si="5"/>
        <v>450013662320</v>
      </c>
      <c r="D334" s="4">
        <v>46269</v>
      </c>
      <c r="E334" s="3" t="s">
        <v>285</v>
      </c>
      <c r="F334" s="3" t="s">
        <v>280</v>
      </c>
    </row>
    <row r="335" spans="1:6" x14ac:dyDescent="0.3">
      <c r="A335" s="3" t="s">
        <v>375</v>
      </c>
      <c r="B335" s="3" t="s">
        <v>48</v>
      </c>
      <c r="C335" s="3" t="str">
        <f t="shared" si="5"/>
        <v>450013909320</v>
      </c>
      <c r="D335" s="4">
        <v>46308</v>
      </c>
      <c r="E335" s="3" t="s">
        <v>312</v>
      </c>
      <c r="F335" s="3" t="s">
        <v>391</v>
      </c>
    </row>
    <row r="336" spans="1:6" x14ac:dyDescent="0.3">
      <c r="A336" s="3" t="s">
        <v>390</v>
      </c>
      <c r="B336" s="3" t="s">
        <v>22</v>
      </c>
      <c r="C336" s="3" t="str">
        <f t="shared" si="5"/>
        <v>450013913610</v>
      </c>
      <c r="D336" s="4">
        <v>46304</v>
      </c>
      <c r="E336" s="3" t="s">
        <v>283</v>
      </c>
      <c r="F336" s="3" t="s">
        <v>392</v>
      </c>
    </row>
    <row r="337" spans="1:6" x14ac:dyDescent="0.3">
      <c r="A337" s="3" t="s">
        <v>390</v>
      </c>
      <c r="B337" s="3" t="s">
        <v>48</v>
      </c>
      <c r="C337" s="3" t="str">
        <f t="shared" si="5"/>
        <v>450013913620</v>
      </c>
      <c r="D337" s="4">
        <v>46304</v>
      </c>
      <c r="E337" s="3" t="s">
        <v>283</v>
      </c>
      <c r="F337" s="3" t="s">
        <v>392</v>
      </c>
    </row>
    <row r="338" spans="1:6" x14ac:dyDescent="0.3">
      <c r="A338" s="3" t="s">
        <v>390</v>
      </c>
      <c r="B338" s="3" t="s">
        <v>39</v>
      </c>
      <c r="C338" s="3" t="str">
        <f t="shared" si="5"/>
        <v>450013913630</v>
      </c>
      <c r="D338" s="4">
        <v>46304</v>
      </c>
      <c r="E338" s="3" t="s">
        <v>283</v>
      </c>
      <c r="F338" s="3" t="s">
        <v>392</v>
      </c>
    </row>
    <row r="339" spans="1:6" x14ac:dyDescent="0.3">
      <c r="A339" s="3" t="s">
        <v>383</v>
      </c>
      <c r="B339" s="3" t="s">
        <v>22</v>
      </c>
      <c r="C339" s="3" t="str">
        <f t="shared" si="5"/>
        <v>450013947110</v>
      </c>
      <c r="D339" s="4">
        <v>46297</v>
      </c>
      <c r="E339" s="3" t="s">
        <v>281</v>
      </c>
      <c r="F339" s="3" t="s">
        <v>282</v>
      </c>
    </row>
    <row r="340" spans="1:6" x14ac:dyDescent="0.3">
      <c r="A340" s="3" t="s">
        <v>383</v>
      </c>
      <c r="B340" s="3" t="s">
        <v>48</v>
      </c>
      <c r="C340" s="3" t="str">
        <f t="shared" si="5"/>
        <v>450013947120</v>
      </c>
      <c r="D340" s="4">
        <v>46297</v>
      </c>
      <c r="E340" s="3" t="s">
        <v>281</v>
      </c>
      <c r="F340" s="3" t="s">
        <v>282</v>
      </c>
    </row>
    <row r="341" spans="1:6" x14ac:dyDescent="0.3">
      <c r="A341" s="3" t="s">
        <v>383</v>
      </c>
      <c r="B341" s="3" t="s">
        <v>39</v>
      </c>
      <c r="C341" s="3" t="str">
        <f t="shared" si="5"/>
        <v>450013947130</v>
      </c>
      <c r="D341" s="4">
        <v>46297</v>
      </c>
      <c r="E341" s="3" t="s">
        <v>281</v>
      </c>
      <c r="F341" s="3" t="s">
        <v>282</v>
      </c>
    </row>
    <row r="342" spans="1:6" x14ac:dyDescent="0.3">
      <c r="A342" s="3" t="s">
        <v>383</v>
      </c>
      <c r="B342" s="3" t="s">
        <v>32</v>
      </c>
      <c r="C342" s="3" t="str">
        <f t="shared" si="5"/>
        <v>450013947140</v>
      </c>
      <c r="D342" s="4">
        <v>46297</v>
      </c>
      <c r="E342" s="3" t="s">
        <v>281</v>
      </c>
      <c r="F342" s="3" t="s">
        <v>282</v>
      </c>
    </row>
    <row r="343" spans="1:6" x14ac:dyDescent="0.3">
      <c r="A343" s="3" t="s">
        <v>377</v>
      </c>
      <c r="B343" s="3" t="s">
        <v>22</v>
      </c>
      <c r="C343" s="3" t="str">
        <f t="shared" si="5"/>
        <v>450013957510</v>
      </c>
      <c r="D343" s="4">
        <v>46316</v>
      </c>
      <c r="E343" s="3" t="s">
        <v>281</v>
      </c>
      <c r="F343" s="3" t="s">
        <v>393</v>
      </c>
    </row>
    <row r="344" spans="1:6" x14ac:dyDescent="0.3">
      <c r="A344" s="3" t="s">
        <v>382</v>
      </c>
      <c r="B344" s="3" t="s">
        <v>22</v>
      </c>
      <c r="C344" s="3" t="str">
        <f t="shared" si="5"/>
        <v>450013958110</v>
      </c>
      <c r="D344" s="4">
        <v>46298</v>
      </c>
      <c r="E344" s="3" t="s">
        <v>281</v>
      </c>
      <c r="F344" s="3" t="s">
        <v>282</v>
      </c>
    </row>
    <row r="345" spans="1:6" x14ac:dyDescent="0.3">
      <c r="A345" s="3" t="s">
        <v>381</v>
      </c>
      <c r="B345" s="3" t="s">
        <v>22</v>
      </c>
      <c r="C345" s="3" t="str">
        <f t="shared" si="5"/>
        <v>450013981410</v>
      </c>
      <c r="D345" s="4">
        <v>46304</v>
      </c>
      <c r="E345" s="3" t="s">
        <v>281</v>
      </c>
      <c r="F345" s="3" t="s">
        <v>282</v>
      </c>
    </row>
    <row r="346" spans="1:6" x14ac:dyDescent="0.3">
      <c r="A346" s="3" t="s">
        <v>380</v>
      </c>
      <c r="B346" s="3" t="s">
        <v>22</v>
      </c>
      <c r="C346" s="3" t="str">
        <f t="shared" si="5"/>
        <v>450013987310</v>
      </c>
      <c r="D346" s="4">
        <v>46304</v>
      </c>
      <c r="E346" s="3" t="s">
        <v>350</v>
      </c>
      <c r="F346" s="3" t="s">
        <v>282</v>
      </c>
    </row>
    <row r="347" spans="1:6" x14ac:dyDescent="0.3">
      <c r="A347" s="3" t="s">
        <v>372</v>
      </c>
      <c r="B347" s="3" t="s">
        <v>22</v>
      </c>
      <c r="C347" s="3" t="str">
        <f t="shared" si="5"/>
        <v>450014031710</v>
      </c>
      <c r="D347" s="4">
        <v>46354</v>
      </c>
      <c r="E347" s="3" t="s">
        <v>269</v>
      </c>
      <c r="F347" s="3" t="s">
        <v>271</v>
      </c>
    </row>
    <row r="348" spans="1:6" x14ac:dyDescent="0.3">
      <c r="A348" s="3" t="s">
        <v>379</v>
      </c>
      <c r="B348" s="3" t="s">
        <v>22</v>
      </c>
      <c r="C348" s="3" t="str">
        <f t="shared" si="5"/>
        <v>450014036010</v>
      </c>
      <c r="D348" s="4">
        <v>46314</v>
      </c>
      <c r="E348" s="3" t="s">
        <v>262</v>
      </c>
      <c r="F348" s="3" t="s">
        <v>337</v>
      </c>
    </row>
    <row r="349" spans="1:6" x14ac:dyDescent="0.3">
      <c r="A349" s="3" t="s">
        <v>385</v>
      </c>
      <c r="B349" s="3" t="s">
        <v>32</v>
      </c>
      <c r="C349" s="3" t="str">
        <f t="shared" si="5"/>
        <v>450014042340</v>
      </c>
      <c r="D349" s="4">
        <v>46313</v>
      </c>
      <c r="E349" s="3" t="s">
        <v>262</v>
      </c>
      <c r="F349" s="3" t="s">
        <v>278</v>
      </c>
    </row>
    <row r="350" spans="1:6" x14ac:dyDescent="0.3">
      <c r="A350" s="3" t="s">
        <v>385</v>
      </c>
      <c r="B350" s="3" t="s">
        <v>38</v>
      </c>
      <c r="C350" s="3" t="str">
        <f t="shared" si="5"/>
        <v>450014042350</v>
      </c>
      <c r="D350" s="4">
        <v>46315</v>
      </c>
      <c r="E350" s="3" t="s">
        <v>262</v>
      </c>
      <c r="F350" s="3" t="s">
        <v>278</v>
      </c>
    </row>
    <row r="351" spans="1:6" x14ac:dyDescent="0.3">
      <c r="A351" s="3" t="s">
        <v>385</v>
      </c>
      <c r="B351" s="3" t="s">
        <v>66</v>
      </c>
      <c r="C351" s="3" t="str">
        <f t="shared" si="5"/>
        <v>450014042360</v>
      </c>
      <c r="D351" s="4">
        <v>46315</v>
      </c>
      <c r="E351" s="3" t="s">
        <v>262</v>
      </c>
      <c r="F351" s="3" t="s">
        <v>278</v>
      </c>
    </row>
    <row r="352" spans="1:6" x14ac:dyDescent="0.3">
      <c r="A352" s="3" t="s">
        <v>385</v>
      </c>
      <c r="B352" s="3" t="s">
        <v>85</v>
      </c>
      <c r="C352" s="3" t="str">
        <f t="shared" si="5"/>
        <v>450014042370</v>
      </c>
      <c r="D352" s="4">
        <v>46315</v>
      </c>
      <c r="E352" s="3" t="s">
        <v>262</v>
      </c>
      <c r="F352" s="3" t="s">
        <v>278</v>
      </c>
    </row>
    <row r="353" spans="1:6" x14ac:dyDescent="0.3">
      <c r="A353" s="3" t="s">
        <v>389</v>
      </c>
      <c r="B353" s="3" t="s">
        <v>22</v>
      </c>
      <c r="C353" s="3" t="str">
        <f t="shared" si="5"/>
        <v>450014046210</v>
      </c>
      <c r="D353" s="4">
        <v>46305</v>
      </c>
      <c r="E353" s="3" t="s">
        <v>394</v>
      </c>
      <c r="F353" s="3" t="s">
        <v>395</v>
      </c>
    </row>
    <row r="354" spans="1:6" x14ac:dyDescent="0.3">
      <c r="A354" s="3" t="s">
        <v>405</v>
      </c>
      <c r="B354" s="3" t="s">
        <v>22</v>
      </c>
      <c r="C354" s="3" t="str">
        <f t="shared" si="5"/>
        <v>450014024510</v>
      </c>
      <c r="D354" s="4">
        <v>46387</v>
      </c>
      <c r="E354" s="3" t="s">
        <v>259</v>
      </c>
      <c r="F354" s="3" t="s">
        <v>431</v>
      </c>
    </row>
    <row r="355" spans="1:6" x14ac:dyDescent="0.3">
      <c r="A355" s="3" t="s">
        <v>407</v>
      </c>
      <c r="B355" s="3" t="s">
        <v>48</v>
      </c>
      <c r="C355" s="3" t="str">
        <f t="shared" si="5"/>
        <v>450013980320</v>
      </c>
      <c r="D355" s="4">
        <v>46288</v>
      </c>
      <c r="E355" s="3" t="s">
        <v>259</v>
      </c>
      <c r="F355" s="3" t="s">
        <v>431</v>
      </c>
    </row>
    <row r="356" spans="1:6" x14ac:dyDescent="0.3">
      <c r="A356" s="3" t="s">
        <v>407</v>
      </c>
      <c r="B356" s="3" t="s">
        <v>22</v>
      </c>
      <c r="C356" s="3" t="str">
        <f t="shared" si="5"/>
        <v>450013980310</v>
      </c>
      <c r="D356" s="4">
        <v>46288</v>
      </c>
      <c r="E356" s="3" t="s">
        <v>259</v>
      </c>
      <c r="F356" s="3" t="s">
        <v>431</v>
      </c>
    </row>
    <row r="357" spans="1:6" x14ac:dyDescent="0.3">
      <c r="A357" s="3" t="s">
        <v>411</v>
      </c>
      <c r="B357" s="3" t="s">
        <v>89</v>
      </c>
      <c r="C357" s="3" t="str">
        <f t="shared" si="5"/>
        <v>4500140385100</v>
      </c>
      <c r="D357" s="4">
        <v>46315</v>
      </c>
      <c r="E357" s="3" t="s">
        <v>262</v>
      </c>
      <c r="F357" s="3" t="s">
        <v>280</v>
      </c>
    </row>
    <row r="358" spans="1:6" x14ac:dyDescent="0.3">
      <c r="A358" s="3" t="s">
        <v>411</v>
      </c>
      <c r="B358" s="3" t="s">
        <v>289</v>
      </c>
      <c r="C358" s="3" t="str">
        <f t="shared" si="5"/>
        <v>4500140385190</v>
      </c>
      <c r="D358" s="4">
        <v>46315</v>
      </c>
      <c r="E358" s="3" t="s">
        <v>262</v>
      </c>
      <c r="F358" s="3" t="s">
        <v>280</v>
      </c>
    </row>
    <row r="359" spans="1:6" x14ac:dyDescent="0.3">
      <c r="A359" s="3" t="s">
        <v>411</v>
      </c>
      <c r="B359" s="3" t="s">
        <v>87</v>
      </c>
      <c r="C359" s="3" t="str">
        <f t="shared" si="5"/>
        <v>4500140385110</v>
      </c>
      <c r="D359" s="4">
        <v>46315</v>
      </c>
      <c r="E359" s="3" t="s">
        <v>262</v>
      </c>
      <c r="F359" s="3" t="s">
        <v>280</v>
      </c>
    </row>
    <row r="360" spans="1:6" x14ac:dyDescent="0.3">
      <c r="A360" s="3" t="s">
        <v>409</v>
      </c>
      <c r="B360" s="3" t="s">
        <v>22</v>
      </c>
      <c r="C360" s="3" t="str">
        <f t="shared" si="5"/>
        <v>450013310910</v>
      </c>
      <c r="D360" s="4">
        <v>46352</v>
      </c>
      <c r="E360" s="3" t="s">
        <v>259</v>
      </c>
      <c r="F360" s="3" t="s">
        <v>431</v>
      </c>
    </row>
    <row r="361" spans="1:6" x14ac:dyDescent="0.3">
      <c r="A361" s="3" t="s">
        <v>428</v>
      </c>
      <c r="B361" s="3" t="s">
        <v>22</v>
      </c>
      <c r="C361" s="3" t="str">
        <f t="shared" si="5"/>
        <v>450012767310</v>
      </c>
      <c r="D361" s="4">
        <v>46329</v>
      </c>
      <c r="E361" s="3" t="s">
        <v>259</v>
      </c>
      <c r="F361" s="3" t="s">
        <v>432</v>
      </c>
    </row>
    <row r="362" spans="1:6" x14ac:dyDescent="0.3">
      <c r="A362" s="3" t="s">
        <v>399</v>
      </c>
      <c r="B362" s="3" t="s">
        <v>22</v>
      </c>
      <c r="C362" s="3" t="str">
        <f t="shared" si="5"/>
        <v>450013525010</v>
      </c>
      <c r="D362" s="4">
        <v>46264</v>
      </c>
      <c r="E362" s="3" t="s">
        <v>430</v>
      </c>
      <c r="F362" s="3" t="s">
        <v>433</v>
      </c>
    </row>
    <row r="363" spans="1:6" x14ac:dyDescent="0.3">
      <c r="A363" s="3" t="s">
        <v>397</v>
      </c>
      <c r="B363" s="3" t="s">
        <v>22</v>
      </c>
      <c r="C363" s="3" t="str">
        <f t="shared" si="5"/>
        <v>450013892310</v>
      </c>
      <c r="D363" s="4">
        <v>46303</v>
      </c>
      <c r="E363" s="3" t="s">
        <v>262</v>
      </c>
      <c r="F363" s="3" t="s">
        <v>338</v>
      </c>
    </row>
    <row r="364" spans="1:6" x14ac:dyDescent="0.3">
      <c r="A364" s="3" t="s">
        <v>397</v>
      </c>
      <c r="B364" s="3" t="s">
        <v>48</v>
      </c>
      <c r="C364" s="3" t="str">
        <f t="shared" si="5"/>
        <v>450013892320</v>
      </c>
      <c r="D364" s="4">
        <v>46303</v>
      </c>
      <c r="E364" s="3" t="s">
        <v>262</v>
      </c>
      <c r="F364" s="3" t="s">
        <v>338</v>
      </c>
    </row>
    <row r="365" spans="1:6" x14ac:dyDescent="0.3">
      <c r="A365" s="3" t="s">
        <v>397</v>
      </c>
      <c r="B365" s="3" t="s">
        <v>39</v>
      </c>
      <c r="C365" s="3" t="str">
        <f t="shared" si="5"/>
        <v>450013892330</v>
      </c>
      <c r="D365" s="4">
        <v>46303</v>
      </c>
      <c r="E365" s="3" t="s">
        <v>262</v>
      </c>
      <c r="F365" s="3" t="s">
        <v>338</v>
      </c>
    </row>
    <row r="366" spans="1:6" x14ac:dyDescent="0.3">
      <c r="A366" s="3" t="s">
        <v>397</v>
      </c>
      <c r="B366" s="3" t="s">
        <v>32</v>
      </c>
      <c r="C366" s="3" t="str">
        <f t="shared" si="5"/>
        <v>450013892340</v>
      </c>
      <c r="D366" s="4">
        <v>46303</v>
      </c>
      <c r="E366" s="3" t="s">
        <v>262</v>
      </c>
      <c r="F366" s="3" t="s">
        <v>338</v>
      </c>
    </row>
    <row r="367" spans="1:6" x14ac:dyDescent="0.3">
      <c r="A367" s="3" t="s">
        <v>397</v>
      </c>
      <c r="B367" s="3" t="s">
        <v>38</v>
      </c>
      <c r="C367" s="3" t="str">
        <f t="shared" si="5"/>
        <v>450013892350</v>
      </c>
      <c r="D367" s="4">
        <v>46303</v>
      </c>
      <c r="E367" s="3" t="s">
        <v>262</v>
      </c>
      <c r="F367" s="3" t="s">
        <v>338</v>
      </c>
    </row>
    <row r="368" spans="1:6" x14ac:dyDescent="0.3">
      <c r="A368" s="3" t="s">
        <v>397</v>
      </c>
      <c r="B368" s="3" t="s">
        <v>66</v>
      </c>
      <c r="C368" s="3" t="str">
        <f t="shared" si="5"/>
        <v>450013892360</v>
      </c>
      <c r="D368" s="4">
        <v>46303</v>
      </c>
      <c r="E368" s="3" t="s">
        <v>262</v>
      </c>
      <c r="F368" s="3" t="s">
        <v>338</v>
      </c>
    </row>
    <row r="369" spans="1:6" x14ac:dyDescent="0.3">
      <c r="A369" s="3" t="s">
        <v>397</v>
      </c>
      <c r="B369" s="3" t="s">
        <v>85</v>
      </c>
      <c r="C369" s="3" t="str">
        <f t="shared" si="5"/>
        <v>450013892370</v>
      </c>
      <c r="D369" s="4">
        <v>46303</v>
      </c>
      <c r="E369" s="3" t="s">
        <v>262</v>
      </c>
      <c r="F369" s="3" t="s">
        <v>338</v>
      </c>
    </row>
    <row r="370" spans="1:6" x14ac:dyDescent="0.3">
      <c r="A370" s="3" t="s">
        <v>424</v>
      </c>
      <c r="B370" s="3" t="s">
        <v>22</v>
      </c>
      <c r="C370" s="3" t="str">
        <f t="shared" si="5"/>
        <v>450013973610</v>
      </c>
      <c r="D370" s="4">
        <v>46314</v>
      </c>
      <c r="E370" s="3" t="s">
        <v>262</v>
      </c>
      <c r="F370" s="3" t="s">
        <v>314</v>
      </c>
    </row>
    <row r="371" spans="1:6" x14ac:dyDescent="0.3">
      <c r="A371" s="3" t="s">
        <v>418</v>
      </c>
      <c r="B371" s="3" t="s">
        <v>22</v>
      </c>
      <c r="C371" s="3" t="str">
        <f t="shared" si="5"/>
        <v>450013980810</v>
      </c>
      <c r="D371" s="4">
        <v>46304</v>
      </c>
      <c r="E371" s="3" t="s">
        <v>336</v>
      </c>
      <c r="F371" s="3" t="s">
        <v>328</v>
      </c>
    </row>
    <row r="372" spans="1:6" x14ac:dyDescent="0.3">
      <c r="A372" s="3" t="s">
        <v>415</v>
      </c>
      <c r="B372" s="3" t="s">
        <v>22</v>
      </c>
      <c r="C372" s="3" t="str">
        <f t="shared" si="5"/>
        <v>450014038310</v>
      </c>
      <c r="D372" s="4">
        <v>46315</v>
      </c>
      <c r="E372" s="3" t="s">
        <v>262</v>
      </c>
      <c r="F372" s="3" t="s">
        <v>280</v>
      </c>
    </row>
    <row r="373" spans="1:6" x14ac:dyDescent="0.3">
      <c r="A373" s="3" t="s">
        <v>415</v>
      </c>
      <c r="B373" s="3" t="s">
        <v>48</v>
      </c>
      <c r="C373" s="3" t="str">
        <f t="shared" si="5"/>
        <v>450014038320</v>
      </c>
      <c r="D373" s="4">
        <v>46315</v>
      </c>
      <c r="E373" s="3" t="s">
        <v>262</v>
      </c>
      <c r="F373" s="3" t="s">
        <v>280</v>
      </c>
    </row>
    <row r="374" spans="1:6" x14ac:dyDescent="0.3">
      <c r="A374" s="3" t="s">
        <v>415</v>
      </c>
      <c r="B374" s="3" t="s">
        <v>39</v>
      </c>
      <c r="C374" s="3" t="str">
        <f t="shared" si="5"/>
        <v>450014038330</v>
      </c>
      <c r="D374" s="4">
        <v>46315</v>
      </c>
      <c r="E374" s="3" t="s">
        <v>262</v>
      </c>
      <c r="F374" s="3" t="s">
        <v>280</v>
      </c>
    </row>
    <row r="375" spans="1:6" x14ac:dyDescent="0.3">
      <c r="A375" s="3" t="s">
        <v>415</v>
      </c>
      <c r="B375" s="3" t="s">
        <v>32</v>
      </c>
      <c r="C375" s="3" t="str">
        <f t="shared" si="5"/>
        <v>450014038340</v>
      </c>
      <c r="D375" s="4">
        <v>46315</v>
      </c>
      <c r="E375" s="3" t="s">
        <v>262</v>
      </c>
      <c r="F375" s="3" t="s">
        <v>280</v>
      </c>
    </row>
    <row r="376" spans="1:6" x14ac:dyDescent="0.3">
      <c r="A376" s="3" t="s">
        <v>415</v>
      </c>
      <c r="B376" s="3" t="s">
        <v>38</v>
      </c>
      <c r="C376" s="3" t="str">
        <f t="shared" si="5"/>
        <v>450014038350</v>
      </c>
      <c r="D376" s="4">
        <v>46315</v>
      </c>
      <c r="E376" s="3" t="s">
        <v>262</v>
      </c>
      <c r="F376" s="3" t="s">
        <v>280</v>
      </c>
    </row>
    <row r="377" spans="1:6" x14ac:dyDescent="0.3">
      <c r="A377" s="3" t="s">
        <v>415</v>
      </c>
      <c r="B377" s="3" t="s">
        <v>66</v>
      </c>
      <c r="C377" s="3" t="str">
        <f t="shared" si="5"/>
        <v>450014038360</v>
      </c>
      <c r="D377" s="4">
        <v>46315</v>
      </c>
      <c r="E377" s="3" t="s">
        <v>262</v>
      </c>
      <c r="F377" s="3" t="s">
        <v>280</v>
      </c>
    </row>
    <row r="378" spans="1:6" x14ac:dyDescent="0.3">
      <c r="A378" s="3" t="s">
        <v>415</v>
      </c>
      <c r="B378" s="3" t="s">
        <v>85</v>
      </c>
      <c r="C378" s="3" t="str">
        <f t="shared" si="5"/>
        <v>450014038370</v>
      </c>
      <c r="D378" s="4">
        <v>46315</v>
      </c>
      <c r="E378" s="3" t="s">
        <v>262</v>
      </c>
      <c r="F378" s="3" t="s">
        <v>280</v>
      </c>
    </row>
    <row r="379" spans="1:6" x14ac:dyDescent="0.3">
      <c r="A379" s="3" t="s">
        <v>415</v>
      </c>
      <c r="B379" s="3" t="s">
        <v>193</v>
      </c>
      <c r="C379" s="3" t="str">
        <f t="shared" si="5"/>
        <v>4500140383130</v>
      </c>
      <c r="D379" s="4">
        <v>46315</v>
      </c>
      <c r="E379" s="3" t="s">
        <v>262</v>
      </c>
      <c r="F379" s="3" t="s">
        <v>280</v>
      </c>
    </row>
    <row r="380" spans="1:6" x14ac:dyDescent="0.3">
      <c r="A380" s="3" t="s">
        <v>415</v>
      </c>
      <c r="B380" s="3" t="s">
        <v>40</v>
      </c>
      <c r="C380" s="3" t="str">
        <f t="shared" si="5"/>
        <v>4500140383170</v>
      </c>
      <c r="D380" s="4">
        <v>46315</v>
      </c>
      <c r="E380" s="3" t="s">
        <v>262</v>
      </c>
      <c r="F380" s="3" t="s">
        <v>280</v>
      </c>
    </row>
    <row r="381" spans="1:6" x14ac:dyDescent="0.3">
      <c r="A381" s="3" t="s">
        <v>415</v>
      </c>
      <c r="B381" s="3" t="s">
        <v>288</v>
      </c>
      <c r="C381" s="3" t="str">
        <f t="shared" si="5"/>
        <v>4500140383180</v>
      </c>
      <c r="D381" s="4">
        <v>46313</v>
      </c>
      <c r="E381" s="3" t="s">
        <v>262</v>
      </c>
      <c r="F381" s="3" t="s">
        <v>280</v>
      </c>
    </row>
    <row r="382" spans="1:6" x14ac:dyDescent="0.3">
      <c r="A382" s="3" t="s">
        <v>411</v>
      </c>
      <c r="B382" s="3" t="s">
        <v>169</v>
      </c>
      <c r="C382" s="3" t="str">
        <f t="shared" si="5"/>
        <v>450014038580</v>
      </c>
      <c r="D382" s="4">
        <v>46315</v>
      </c>
      <c r="E382" s="3" t="s">
        <v>262</v>
      </c>
      <c r="F382" s="3" t="s">
        <v>280</v>
      </c>
    </row>
    <row r="383" spans="1:6" x14ac:dyDescent="0.3">
      <c r="A383" s="3" t="s">
        <v>411</v>
      </c>
      <c r="B383" s="3" t="s">
        <v>90</v>
      </c>
      <c r="C383" s="3" t="str">
        <f t="shared" si="5"/>
        <v>450014038590</v>
      </c>
      <c r="D383" s="4">
        <v>46315</v>
      </c>
      <c r="E383" s="3" t="s">
        <v>262</v>
      </c>
      <c r="F383" s="3" t="s">
        <v>280</v>
      </c>
    </row>
    <row r="384" spans="1:6" x14ac:dyDescent="0.3">
      <c r="A384" s="3" t="s">
        <v>411</v>
      </c>
      <c r="B384" s="3" t="s">
        <v>88</v>
      </c>
      <c r="C384" s="3" t="str">
        <f t="shared" si="5"/>
        <v>4500140385120</v>
      </c>
      <c r="D384" s="4">
        <v>46315</v>
      </c>
      <c r="E384" s="3" t="s">
        <v>262</v>
      </c>
      <c r="F384" s="3" t="s">
        <v>280</v>
      </c>
    </row>
    <row r="385" spans="1:6" x14ac:dyDescent="0.3">
      <c r="A385" s="3" t="s">
        <v>411</v>
      </c>
      <c r="B385" s="3" t="s">
        <v>194</v>
      </c>
      <c r="C385" s="3" t="str">
        <f t="shared" si="5"/>
        <v>4500140385140</v>
      </c>
      <c r="D385" s="4">
        <v>46315</v>
      </c>
      <c r="E385" s="3" t="s">
        <v>262</v>
      </c>
      <c r="F385" s="3" t="s">
        <v>280</v>
      </c>
    </row>
    <row r="386" spans="1:6" x14ac:dyDescent="0.3">
      <c r="A386" s="3" t="s">
        <v>411</v>
      </c>
      <c r="B386" s="3" t="s">
        <v>195</v>
      </c>
      <c r="C386" s="3" t="str">
        <f t="shared" si="5"/>
        <v>4500140385150</v>
      </c>
      <c r="D386" s="4">
        <v>46315</v>
      </c>
      <c r="E386" s="3" t="s">
        <v>262</v>
      </c>
      <c r="F386" s="3" t="s">
        <v>280</v>
      </c>
    </row>
    <row r="387" spans="1:6" x14ac:dyDescent="0.3">
      <c r="A387" s="3" t="s">
        <v>411</v>
      </c>
      <c r="B387" s="3" t="s">
        <v>198</v>
      </c>
      <c r="C387" s="3" t="str">
        <f t="shared" ref="C387:C450" si="6">_xlfn.CONCAT(A387:B387)</f>
        <v>4500140385160</v>
      </c>
      <c r="D387" s="4">
        <v>46315</v>
      </c>
      <c r="E387" s="3" t="s">
        <v>262</v>
      </c>
      <c r="F387" s="3" t="s">
        <v>280</v>
      </c>
    </row>
    <row r="388" spans="1:6" x14ac:dyDescent="0.3">
      <c r="A388" s="3" t="s">
        <v>411</v>
      </c>
      <c r="B388" s="3" t="s">
        <v>288</v>
      </c>
      <c r="C388" s="3" t="str">
        <f t="shared" si="6"/>
        <v>4500140385180</v>
      </c>
      <c r="D388" s="4">
        <v>46315</v>
      </c>
      <c r="E388" s="3" t="s">
        <v>262</v>
      </c>
      <c r="F388" s="3" t="s">
        <v>280</v>
      </c>
    </row>
    <row r="389" spans="1:6" x14ac:dyDescent="0.3">
      <c r="A389" s="3" t="s">
        <v>411</v>
      </c>
      <c r="B389" s="3" t="s">
        <v>290</v>
      </c>
      <c r="C389" s="3" t="str">
        <f t="shared" si="6"/>
        <v>4500140385200</v>
      </c>
      <c r="D389" s="4">
        <v>46315</v>
      </c>
      <c r="E389" s="3" t="s">
        <v>262</v>
      </c>
      <c r="F389" s="3" t="s">
        <v>280</v>
      </c>
    </row>
    <row r="390" spans="1:6" x14ac:dyDescent="0.3">
      <c r="A390" s="3" t="s">
        <v>411</v>
      </c>
      <c r="B390" s="3" t="s">
        <v>291</v>
      </c>
      <c r="C390" s="3" t="str">
        <f t="shared" si="6"/>
        <v>4500140385210</v>
      </c>
      <c r="D390" s="4">
        <v>46315</v>
      </c>
      <c r="E390" s="3" t="s">
        <v>262</v>
      </c>
      <c r="F390" s="3" t="s">
        <v>280</v>
      </c>
    </row>
    <row r="391" spans="1:6" x14ac:dyDescent="0.3">
      <c r="A391" s="3" t="s">
        <v>413</v>
      </c>
      <c r="B391" s="3" t="s">
        <v>38</v>
      </c>
      <c r="C391" s="3" t="str">
        <f t="shared" si="6"/>
        <v>450014039250</v>
      </c>
      <c r="D391" s="4">
        <v>46313</v>
      </c>
      <c r="E391" s="3" t="s">
        <v>262</v>
      </c>
      <c r="F391" s="3" t="s">
        <v>280</v>
      </c>
    </row>
    <row r="392" spans="1:6" x14ac:dyDescent="0.3">
      <c r="A392" s="3" t="s">
        <v>413</v>
      </c>
      <c r="B392" s="3" t="s">
        <v>85</v>
      </c>
      <c r="C392" s="3" t="str">
        <f t="shared" si="6"/>
        <v>450014039270</v>
      </c>
      <c r="D392" s="4">
        <v>46313</v>
      </c>
      <c r="E392" s="3" t="s">
        <v>262</v>
      </c>
      <c r="F392" s="3" t="s">
        <v>280</v>
      </c>
    </row>
    <row r="393" spans="1:6" x14ac:dyDescent="0.3">
      <c r="A393" s="3" t="s">
        <v>413</v>
      </c>
      <c r="B393" s="3" t="s">
        <v>90</v>
      </c>
      <c r="C393" s="3" t="str">
        <f t="shared" si="6"/>
        <v>450014039290</v>
      </c>
      <c r="D393" s="4">
        <v>46313</v>
      </c>
      <c r="E393" s="3" t="s">
        <v>262</v>
      </c>
      <c r="F393" s="3" t="s">
        <v>280</v>
      </c>
    </row>
    <row r="394" spans="1:6" x14ac:dyDescent="0.3">
      <c r="A394" s="3" t="s">
        <v>420</v>
      </c>
      <c r="B394" s="3" t="s">
        <v>48</v>
      </c>
      <c r="C394" s="3" t="str">
        <f t="shared" si="6"/>
        <v>450014041420</v>
      </c>
      <c r="D394" s="4">
        <v>46308</v>
      </c>
      <c r="E394" s="3" t="s">
        <v>281</v>
      </c>
      <c r="F394" s="3" t="s">
        <v>282</v>
      </c>
    </row>
    <row r="395" spans="1:6" x14ac:dyDescent="0.3">
      <c r="A395" s="3" t="s">
        <v>420</v>
      </c>
      <c r="B395" s="3" t="s">
        <v>39</v>
      </c>
      <c r="C395" s="3" t="str">
        <f t="shared" si="6"/>
        <v>450014041430</v>
      </c>
      <c r="D395" s="4">
        <v>46308</v>
      </c>
      <c r="E395" s="3" t="s">
        <v>281</v>
      </c>
      <c r="F395" s="3" t="s">
        <v>282</v>
      </c>
    </row>
    <row r="396" spans="1:6" x14ac:dyDescent="0.3">
      <c r="A396" s="3" t="s">
        <v>420</v>
      </c>
      <c r="B396" s="3" t="s">
        <v>32</v>
      </c>
      <c r="C396" s="3" t="str">
        <f t="shared" si="6"/>
        <v>450014041440</v>
      </c>
      <c r="D396" s="4">
        <v>46308</v>
      </c>
      <c r="E396" s="3" t="s">
        <v>281</v>
      </c>
      <c r="F396" s="3" t="s">
        <v>282</v>
      </c>
    </row>
    <row r="397" spans="1:6" x14ac:dyDescent="0.3">
      <c r="A397" s="3" t="s">
        <v>420</v>
      </c>
      <c r="B397" s="3" t="s">
        <v>66</v>
      </c>
      <c r="C397" s="3" t="str">
        <f t="shared" si="6"/>
        <v>450014041460</v>
      </c>
      <c r="D397" s="4">
        <v>46308</v>
      </c>
      <c r="E397" s="3" t="s">
        <v>281</v>
      </c>
      <c r="F397" s="3" t="s">
        <v>282</v>
      </c>
    </row>
    <row r="398" spans="1:6" x14ac:dyDescent="0.3">
      <c r="A398" s="3" t="s">
        <v>420</v>
      </c>
      <c r="B398" s="3" t="s">
        <v>85</v>
      </c>
      <c r="C398" s="3" t="str">
        <f t="shared" si="6"/>
        <v>450014041470</v>
      </c>
      <c r="D398" s="4">
        <v>46308</v>
      </c>
      <c r="E398" s="3" t="s">
        <v>281</v>
      </c>
      <c r="F398" s="3" t="s">
        <v>282</v>
      </c>
    </row>
    <row r="399" spans="1:6" x14ac:dyDescent="0.3">
      <c r="A399" s="3" t="s">
        <v>420</v>
      </c>
      <c r="B399" s="3" t="s">
        <v>169</v>
      </c>
      <c r="C399" s="3" t="str">
        <f t="shared" si="6"/>
        <v>450014041480</v>
      </c>
      <c r="D399" s="4">
        <v>46308</v>
      </c>
      <c r="E399" s="3" t="s">
        <v>281</v>
      </c>
      <c r="F399" s="3" t="s">
        <v>282</v>
      </c>
    </row>
    <row r="400" spans="1:6" x14ac:dyDescent="0.3">
      <c r="A400" s="3" t="s">
        <v>401</v>
      </c>
      <c r="B400" s="3" t="s">
        <v>22</v>
      </c>
      <c r="C400" s="3" t="str">
        <f t="shared" si="6"/>
        <v>450014043010</v>
      </c>
      <c r="D400" s="4">
        <v>46314</v>
      </c>
      <c r="E400" s="3" t="s">
        <v>259</v>
      </c>
      <c r="F400" s="3" t="s">
        <v>261</v>
      </c>
    </row>
    <row r="401" spans="1:6" x14ac:dyDescent="0.3">
      <c r="A401" s="3" t="s">
        <v>401</v>
      </c>
      <c r="B401" s="3" t="s">
        <v>48</v>
      </c>
      <c r="C401" s="3" t="str">
        <f t="shared" si="6"/>
        <v>450014043020</v>
      </c>
      <c r="D401" s="4">
        <v>46314</v>
      </c>
      <c r="E401" s="3" t="s">
        <v>259</v>
      </c>
      <c r="F401" s="3" t="s">
        <v>261</v>
      </c>
    </row>
    <row r="402" spans="1:6" x14ac:dyDescent="0.3">
      <c r="A402" s="3" t="s">
        <v>417</v>
      </c>
      <c r="B402" s="3" t="s">
        <v>169</v>
      </c>
      <c r="C402" s="3" t="str">
        <f t="shared" si="6"/>
        <v>450014050980</v>
      </c>
      <c r="D402" s="4">
        <v>46313</v>
      </c>
      <c r="E402" s="3" t="s">
        <v>262</v>
      </c>
      <c r="F402" s="3" t="s">
        <v>286</v>
      </c>
    </row>
    <row r="403" spans="1:6" x14ac:dyDescent="0.3">
      <c r="A403" s="3" t="s">
        <v>422</v>
      </c>
      <c r="B403" s="3" t="s">
        <v>22</v>
      </c>
      <c r="C403" s="3" t="str">
        <f t="shared" si="6"/>
        <v>450014064210</v>
      </c>
      <c r="D403" s="4">
        <v>46317</v>
      </c>
      <c r="E403" s="3" t="s">
        <v>262</v>
      </c>
      <c r="F403" s="3" t="s">
        <v>282</v>
      </c>
    </row>
    <row r="404" spans="1:6" x14ac:dyDescent="0.3">
      <c r="A404" s="3" t="s">
        <v>422</v>
      </c>
      <c r="B404" s="3" t="s">
        <v>48</v>
      </c>
      <c r="C404" s="3" t="str">
        <f t="shared" si="6"/>
        <v>450014064220</v>
      </c>
      <c r="D404" s="4">
        <v>46317</v>
      </c>
      <c r="E404" s="3" t="s">
        <v>262</v>
      </c>
      <c r="F404" s="3" t="s">
        <v>282</v>
      </c>
    </row>
    <row r="405" spans="1:6" x14ac:dyDescent="0.3">
      <c r="A405" s="3" t="s">
        <v>422</v>
      </c>
      <c r="B405" s="3" t="s">
        <v>39</v>
      </c>
      <c r="C405" s="3" t="str">
        <f t="shared" si="6"/>
        <v>450014064230</v>
      </c>
      <c r="D405" s="4">
        <v>46317</v>
      </c>
      <c r="E405" s="3" t="s">
        <v>262</v>
      </c>
      <c r="F405" s="3" t="s">
        <v>282</v>
      </c>
    </row>
    <row r="406" spans="1:6" x14ac:dyDescent="0.3">
      <c r="A406" s="3" t="s">
        <v>422</v>
      </c>
      <c r="B406" s="3" t="s">
        <v>32</v>
      </c>
      <c r="C406" s="3" t="str">
        <f t="shared" si="6"/>
        <v>450014064240</v>
      </c>
      <c r="D406" s="4">
        <v>46317</v>
      </c>
      <c r="E406" s="3" t="s">
        <v>262</v>
      </c>
      <c r="F406" s="3" t="s">
        <v>282</v>
      </c>
    </row>
    <row r="407" spans="1:6" x14ac:dyDescent="0.3">
      <c r="A407" s="3" t="s">
        <v>422</v>
      </c>
      <c r="B407" s="3" t="s">
        <v>38</v>
      </c>
      <c r="C407" s="3" t="str">
        <f t="shared" si="6"/>
        <v>450014064250</v>
      </c>
      <c r="D407" s="4">
        <v>46317</v>
      </c>
      <c r="E407" s="3" t="s">
        <v>262</v>
      </c>
      <c r="F407" s="3" t="s">
        <v>282</v>
      </c>
    </row>
    <row r="408" spans="1:6" x14ac:dyDescent="0.3">
      <c r="A408" s="3" t="s">
        <v>422</v>
      </c>
      <c r="B408" s="3" t="s">
        <v>169</v>
      </c>
      <c r="C408" s="3" t="str">
        <f t="shared" si="6"/>
        <v>450014064280</v>
      </c>
      <c r="D408" s="4">
        <v>46317</v>
      </c>
      <c r="E408" s="3" t="s">
        <v>262</v>
      </c>
      <c r="F408" s="3" t="s">
        <v>282</v>
      </c>
    </row>
    <row r="409" spans="1:6" x14ac:dyDescent="0.3">
      <c r="A409" s="3" t="s">
        <v>422</v>
      </c>
      <c r="B409" s="3" t="s">
        <v>90</v>
      </c>
      <c r="C409" s="3" t="str">
        <f t="shared" si="6"/>
        <v>450014064290</v>
      </c>
      <c r="D409" s="4">
        <v>46317</v>
      </c>
      <c r="E409" s="3" t="s">
        <v>262</v>
      </c>
      <c r="F409" s="3" t="s">
        <v>282</v>
      </c>
    </row>
    <row r="410" spans="1:6" x14ac:dyDescent="0.3">
      <c r="A410" s="3" t="s">
        <v>422</v>
      </c>
      <c r="B410" s="3" t="s">
        <v>193</v>
      </c>
      <c r="C410" s="3" t="str">
        <f t="shared" si="6"/>
        <v>4500140642130</v>
      </c>
      <c r="D410" s="4">
        <v>46313</v>
      </c>
      <c r="E410" s="3" t="s">
        <v>262</v>
      </c>
      <c r="F410" s="3" t="s">
        <v>282</v>
      </c>
    </row>
    <row r="411" spans="1:6" x14ac:dyDescent="0.3">
      <c r="A411" s="3" t="s">
        <v>422</v>
      </c>
      <c r="B411" s="3" t="s">
        <v>290</v>
      </c>
      <c r="C411" s="3" t="str">
        <f t="shared" si="6"/>
        <v>4500140642200</v>
      </c>
      <c r="D411" s="4">
        <v>46313</v>
      </c>
      <c r="E411" s="3" t="s">
        <v>262</v>
      </c>
      <c r="F411" s="3" t="s">
        <v>282</v>
      </c>
    </row>
    <row r="412" spans="1:6" x14ac:dyDescent="0.3">
      <c r="A412" s="3" t="s">
        <v>422</v>
      </c>
      <c r="B412" s="3" t="s">
        <v>27</v>
      </c>
      <c r="C412" s="3" t="str">
        <f t="shared" si="6"/>
        <v>4500140642320</v>
      </c>
      <c r="D412" s="4">
        <v>46310</v>
      </c>
      <c r="E412" s="3" t="s">
        <v>262</v>
      </c>
      <c r="F412" s="3" t="s">
        <v>282</v>
      </c>
    </row>
    <row r="413" spans="1:6" x14ac:dyDescent="0.3">
      <c r="A413" s="3" t="s">
        <v>422</v>
      </c>
      <c r="B413" s="3" t="s">
        <v>296</v>
      </c>
      <c r="C413" s="3" t="str">
        <f t="shared" si="6"/>
        <v>4500140642350</v>
      </c>
      <c r="D413" s="4">
        <v>46317</v>
      </c>
      <c r="E413" s="3" t="s">
        <v>262</v>
      </c>
      <c r="F413" s="3" t="s">
        <v>282</v>
      </c>
    </row>
    <row r="414" spans="1:6" x14ac:dyDescent="0.3">
      <c r="A414" s="3" t="s">
        <v>429</v>
      </c>
      <c r="B414" s="3" t="s">
        <v>22</v>
      </c>
      <c r="C414" s="3" t="str">
        <f t="shared" si="6"/>
        <v>450014064510</v>
      </c>
      <c r="D414" s="4">
        <v>46320</v>
      </c>
      <c r="E414" s="3" t="s">
        <v>262</v>
      </c>
      <c r="F414" s="3" t="s">
        <v>434</v>
      </c>
    </row>
    <row r="415" spans="1:6" x14ac:dyDescent="0.3">
      <c r="A415" s="3" t="s">
        <v>400</v>
      </c>
      <c r="B415" s="3" t="s">
        <v>39</v>
      </c>
      <c r="C415" s="3" t="str">
        <f t="shared" si="6"/>
        <v>450014065230</v>
      </c>
      <c r="D415" s="4">
        <v>46310</v>
      </c>
      <c r="E415" s="3" t="s">
        <v>262</v>
      </c>
      <c r="F415" s="3" t="s">
        <v>435</v>
      </c>
    </row>
    <row r="416" spans="1:6" x14ac:dyDescent="0.3">
      <c r="A416" s="3" t="s">
        <v>456</v>
      </c>
      <c r="B416" s="3" t="s">
        <v>22</v>
      </c>
      <c r="C416" s="3" t="str">
        <f t="shared" si="6"/>
        <v>450014081210</v>
      </c>
      <c r="D416" s="4">
        <v>46325</v>
      </c>
      <c r="E416" s="3" t="s">
        <v>262</v>
      </c>
      <c r="F416" s="3" t="s">
        <v>457</v>
      </c>
    </row>
    <row r="417" spans="1:6" x14ac:dyDescent="0.3">
      <c r="A417" s="3" t="s">
        <v>456</v>
      </c>
      <c r="B417" s="3" t="s">
        <v>48</v>
      </c>
      <c r="C417" s="3" t="str">
        <f t="shared" si="6"/>
        <v>450014081220</v>
      </c>
      <c r="D417" s="4">
        <v>46325</v>
      </c>
      <c r="E417" s="3" t="s">
        <v>262</v>
      </c>
      <c r="F417" s="3" t="s">
        <v>457</v>
      </c>
    </row>
    <row r="418" spans="1:6" x14ac:dyDescent="0.3">
      <c r="A418" s="3" t="s">
        <v>455</v>
      </c>
      <c r="B418" s="3" t="s">
        <v>22</v>
      </c>
      <c r="C418" s="3" t="str">
        <f t="shared" si="6"/>
        <v>450013920110</v>
      </c>
      <c r="D418" s="4">
        <v>46302</v>
      </c>
      <c r="E418" s="3" t="s">
        <v>285</v>
      </c>
      <c r="F418" s="3" t="s">
        <v>309</v>
      </c>
    </row>
    <row r="419" spans="1:6" x14ac:dyDescent="0.3">
      <c r="A419" s="3" t="s">
        <v>455</v>
      </c>
      <c r="B419" s="3" t="s">
        <v>48</v>
      </c>
      <c r="C419" s="3" t="str">
        <f t="shared" si="6"/>
        <v>450013920120</v>
      </c>
      <c r="D419" s="4">
        <v>46302</v>
      </c>
      <c r="E419" s="3" t="s">
        <v>285</v>
      </c>
      <c r="F419" s="3" t="s">
        <v>309</v>
      </c>
    </row>
    <row r="420" spans="1:6" x14ac:dyDescent="0.3">
      <c r="A420" s="3" t="s">
        <v>448</v>
      </c>
      <c r="B420" s="3" t="s">
        <v>22</v>
      </c>
      <c r="C420" s="3" t="str">
        <f t="shared" si="6"/>
        <v>450014037210</v>
      </c>
      <c r="D420" s="4">
        <v>46314</v>
      </c>
      <c r="E420" s="3" t="s">
        <v>350</v>
      </c>
      <c r="F420" s="3" t="s">
        <v>458</v>
      </c>
    </row>
    <row r="421" spans="1:6" x14ac:dyDescent="0.3">
      <c r="A421" s="3" t="s">
        <v>448</v>
      </c>
      <c r="B421" s="3" t="s">
        <v>48</v>
      </c>
      <c r="C421" s="3" t="str">
        <f t="shared" si="6"/>
        <v>450014037220</v>
      </c>
      <c r="D421" s="4">
        <v>46314</v>
      </c>
      <c r="E421" s="3" t="s">
        <v>350</v>
      </c>
      <c r="F421" s="3" t="s">
        <v>458</v>
      </c>
    </row>
    <row r="422" spans="1:6" x14ac:dyDescent="0.3">
      <c r="A422" s="3" t="s">
        <v>439</v>
      </c>
      <c r="B422" s="3" t="s">
        <v>22</v>
      </c>
      <c r="C422" s="3" t="str">
        <f t="shared" si="6"/>
        <v>450014062510</v>
      </c>
      <c r="D422" s="4">
        <v>46315</v>
      </c>
      <c r="E422" s="3" t="s">
        <v>285</v>
      </c>
      <c r="F422" s="3" t="s">
        <v>280</v>
      </c>
    </row>
    <row r="423" spans="1:6" x14ac:dyDescent="0.3">
      <c r="A423" s="3" t="s">
        <v>439</v>
      </c>
      <c r="B423" s="3" t="s">
        <v>48</v>
      </c>
      <c r="C423" s="3" t="str">
        <f t="shared" si="6"/>
        <v>450014062520</v>
      </c>
      <c r="D423" s="4">
        <v>46315</v>
      </c>
      <c r="E423" s="3" t="s">
        <v>285</v>
      </c>
      <c r="F423" s="3" t="s">
        <v>280</v>
      </c>
    </row>
    <row r="424" spans="1:6" x14ac:dyDescent="0.3">
      <c r="A424" s="3" t="s">
        <v>439</v>
      </c>
      <c r="B424" s="3" t="s">
        <v>194</v>
      </c>
      <c r="C424" s="3" t="str">
        <f t="shared" si="6"/>
        <v>4500140625140</v>
      </c>
      <c r="D424" s="4">
        <v>46315</v>
      </c>
      <c r="E424" s="3" t="s">
        <v>285</v>
      </c>
      <c r="F424" s="3" t="s">
        <v>280</v>
      </c>
    </row>
    <row r="425" spans="1:6" x14ac:dyDescent="0.3">
      <c r="A425" s="3" t="s">
        <v>439</v>
      </c>
      <c r="B425" s="3" t="s">
        <v>195</v>
      </c>
      <c r="C425" s="3" t="str">
        <f t="shared" si="6"/>
        <v>4500140625150</v>
      </c>
      <c r="D425" s="4">
        <v>46315</v>
      </c>
      <c r="E425" s="3" t="s">
        <v>285</v>
      </c>
      <c r="F425" s="3" t="s">
        <v>280</v>
      </c>
    </row>
    <row r="426" spans="1:6" x14ac:dyDescent="0.3">
      <c r="A426" s="3" t="s">
        <v>439</v>
      </c>
      <c r="B426" s="3" t="s">
        <v>329</v>
      </c>
      <c r="C426" s="3" t="str">
        <f t="shared" si="6"/>
        <v>4500140625220</v>
      </c>
      <c r="D426" s="4">
        <v>46315</v>
      </c>
      <c r="E426" s="3" t="s">
        <v>285</v>
      </c>
      <c r="F426" s="3" t="s">
        <v>280</v>
      </c>
    </row>
    <row r="427" spans="1:6" x14ac:dyDescent="0.3">
      <c r="A427" s="3" t="s">
        <v>443</v>
      </c>
      <c r="B427" s="3" t="s">
        <v>22</v>
      </c>
      <c r="C427" s="3" t="str">
        <f t="shared" si="6"/>
        <v>450014064710</v>
      </c>
      <c r="D427" s="4">
        <v>46317</v>
      </c>
      <c r="E427" s="3" t="s">
        <v>262</v>
      </c>
      <c r="F427" s="3" t="s">
        <v>328</v>
      </c>
    </row>
    <row r="428" spans="1:6" x14ac:dyDescent="0.3">
      <c r="A428" s="3" t="s">
        <v>443</v>
      </c>
      <c r="B428" s="3" t="s">
        <v>32</v>
      </c>
      <c r="C428" s="3" t="str">
        <f t="shared" si="6"/>
        <v>450014064740</v>
      </c>
      <c r="D428" s="4">
        <v>46317</v>
      </c>
      <c r="E428" s="3" t="s">
        <v>262</v>
      </c>
      <c r="F428" s="3" t="s">
        <v>328</v>
      </c>
    </row>
    <row r="429" spans="1:6" x14ac:dyDescent="0.3">
      <c r="A429" s="3" t="s">
        <v>441</v>
      </c>
      <c r="B429" s="3" t="s">
        <v>48</v>
      </c>
      <c r="C429" s="3" t="str">
        <f t="shared" si="6"/>
        <v>450014064820</v>
      </c>
      <c r="D429" s="4">
        <v>46317</v>
      </c>
      <c r="E429" s="3" t="s">
        <v>262</v>
      </c>
      <c r="F429" s="3" t="s">
        <v>337</v>
      </c>
    </row>
    <row r="430" spans="1:6" x14ac:dyDescent="0.3">
      <c r="A430" s="3" t="s">
        <v>436</v>
      </c>
      <c r="B430" s="3" t="s">
        <v>22</v>
      </c>
      <c r="C430" s="3" t="str">
        <f t="shared" si="6"/>
        <v>450014068210</v>
      </c>
      <c r="D430" s="4">
        <v>46325</v>
      </c>
      <c r="E430" s="3" t="s">
        <v>318</v>
      </c>
      <c r="F430" s="3" t="s">
        <v>348</v>
      </c>
    </row>
    <row r="431" spans="1:6" x14ac:dyDescent="0.3">
      <c r="A431" s="3" t="s">
        <v>436</v>
      </c>
      <c r="B431" s="3" t="s">
        <v>48</v>
      </c>
      <c r="C431" s="3" t="str">
        <f t="shared" si="6"/>
        <v>450014068220</v>
      </c>
      <c r="D431" s="4">
        <v>46325</v>
      </c>
      <c r="E431" s="3" t="s">
        <v>318</v>
      </c>
      <c r="F431" s="3" t="s">
        <v>348</v>
      </c>
    </row>
    <row r="432" spans="1:6" x14ac:dyDescent="0.3">
      <c r="A432" s="3" t="s">
        <v>436</v>
      </c>
      <c r="B432" s="3" t="s">
        <v>39</v>
      </c>
      <c r="C432" s="3" t="str">
        <f t="shared" si="6"/>
        <v>450014068230</v>
      </c>
      <c r="D432" s="4">
        <v>46325</v>
      </c>
      <c r="E432" s="3" t="s">
        <v>318</v>
      </c>
      <c r="F432" s="3" t="s">
        <v>348</v>
      </c>
    </row>
    <row r="433" spans="1:6" x14ac:dyDescent="0.3">
      <c r="A433" s="3" t="s">
        <v>438</v>
      </c>
      <c r="B433" s="3" t="s">
        <v>22</v>
      </c>
      <c r="C433" s="3" t="str">
        <f t="shared" si="6"/>
        <v>450014068810</v>
      </c>
      <c r="D433" s="4">
        <v>46325</v>
      </c>
      <c r="E433" s="3" t="s">
        <v>318</v>
      </c>
      <c r="F433" s="3" t="s">
        <v>278</v>
      </c>
    </row>
    <row r="434" spans="1:6" x14ac:dyDescent="0.3">
      <c r="A434" s="3" t="s">
        <v>438</v>
      </c>
      <c r="B434" s="3" t="s">
        <v>48</v>
      </c>
      <c r="C434" s="3" t="str">
        <f t="shared" si="6"/>
        <v>450014068820</v>
      </c>
      <c r="D434" s="4">
        <v>46325</v>
      </c>
      <c r="E434" s="3" t="s">
        <v>318</v>
      </c>
      <c r="F434" s="3" t="s">
        <v>278</v>
      </c>
    </row>
    <row r="435" spans="1:6" x14ac:dyDescent="0.3">
      <c r="A435" s="3" t="s">
        <v>438</v>
      </c>
      <c r="B435" s="3" t="s">
        <v>32</v>
      </c>
      <c r="C435" s="3" t="str">
        <f t="shared" si="6"/>
        <v>450014068840</v>
      </c>
      <c r="D435" s="4">
        <v>46325</v>
      </c>
      <c r="E435" s="3" t="s">
        <v>318</v>
      </c>
      <c r="F435" s="3" t="s">
        <v>278</v>
      </c>
    </row>
    <row r="436" spans="1:6" x14ac:dyDescent="0.3">
      <c r="A436" s="3" t="s">
        <v>450</v>
      </c>
      <c r="B436" s="3" t="s">
        <v>22</v>
      </c>
      <c r="C436" s="3" t="str">
        <f t="shared" si="6"/>
        <v>450014070210</v>
      </c>
      <c r="D436" s="4">
        <v>46318</v>
      </c>
      <c r="E436" s="3" t="s">
        <v>350</v>
      </c>
      <c r="F436" s="3" t="s">
        <v>286</v>
      </c>
    </row>
    <row r="437" spans="1:6" x14ac:dyDescent="0.3">
      <c r="A437" s="3" t="s">
        <v>449</v>
      </c>
      <c r="B437" s="3" t="s">
        <v>38</v>
      </c>
      <c r="C437" s="3" t="str">
        <f t="shared" si="6"/>
        <v>450014073950</v>
      </c>
      <c r="D437" s="4">
        <v>46315</v>
      </c>
      <c r="E437" s="3" t="s">
        <v>336</v>
      </c>
      <c r="F437" s="3" t="s">
        <v>286</v>
      </c>
    </row>
    <row r="438" spans="1:6" x14ac:dyDescent="0.3">
      <c r="A438" s="3" t="s">
        <v>449</v>
      </c>
      <c r="B438" s="3" t="s">
        <v>85</v>
      </c>
      <c r="C438" s="3" t="str">
        <f t="shared" si="6"/>
        <v>450014073970</v>
      </c>
      <c r="D438" s="4">
        <v>46315</v>
      </c>
      <c r="E438" s="3" t="s">
        <v>336</v>
      </c>
      <c r="F438" s="3" t="s">
        <v>286</v>
      </c>
    </row>
    <row r="439" spans="1:6" x14ac:dyDescent="0.3">
      <c r="A439" s="3" t="s">
        <v>445</v>
      </c>
      <c r="B439" s="3" t="s">
        <v>193</v>
      </c>
      <c r="C439" s="3" t="str">
        <f t="shared" si="6"/>
        <v>4500140742130</v>
      </c>
      <c r="D439" s="4">
        <v>46310</v>
      </c>
      <c r="E439" s="3" t="s">
        <v>262</v>
      </c>
      <c r="F439" s="3" t="s">
        <v>323</v>
      </c>
    </row>
    <row r="440" spans="1:6" x14ac:dyDescent="0.3">
      <c r="A440" s="3" t="s">
        <v>445</v>
      </c>
      <c r="B440" s="3" t="s">
        <v>194</v>
      </c>
      <c r="C440" s="3" t="str">
        <f t="shared" si="6"/>
        <v>4500140742140</v>
      </c>
      <c r="D440" s="4">
        <v>46310</v>
      </c>
      <c r="E440" s="3" t="s">
        <v>262</v>
      </c>
      <c r="F440" s="3" t="s">
        <v>323</v>
      </c>
    </row>
    <row r="441" spans="1:6" x14ac:dyDescent="0.3">
      <c r="A441" s="3" t="s">
        <v>453</v>
      </c>
      <c r="B441" s="3" t="s">
        <v>22</v>
      </c>
      <c r="C441" s="3" t="str">
        <f t="shared" si="6"/>
        <v>450014079410</v>
      </c>
      <c r="D441" s="4">
        <v>46322</v>
      </c>
      <c r="E441" s="3" t="s">
        <v>262</v>
      </c>
      <c r="F441" s="3" t="s">
        <v>459</v>
      </c>
    </row>
    <row r="442" spans="1:6" x14ac:dyDescent="0.3">
      <c r="A442" s="3" t="s">
        <v>453</v>
      </c>
      <c r="B442" s="3" t="s">
        <v>48</v>
      </c>
      <c r="C442" s="3" t="str">
        <f t="shared" si="6"/>
        <v>450014079420</v>
      </c>
      <c r="D442" s="4">
        <v>46322</v>
      </c>
      <c r="E442" s="3" t="s">
        <v>262</v>
      </c>
      <c r="F442" s="3" t="s">
        <v>459</v>
      </c>
    </row>
    <row r="443" spans="1:6" x14ac:dyDescent="0.3">
      <c r="A443" s="3" t="s">
        <v>477</v>
      </c>
      <c r="B443" s="3" t="s">
        <v>48</v>
      </c>
      <c r="C443" s="3" t="str">
        <f t="shared" si="6"/>
        <v>450014088820</v>
      </c>
      <c r="D443" s="4">
        <v>46318</v>
      </c>
      <c r="E443" s="3" t="s">
        <v>336</v>
      </c>
      <c r="F443" s="3" t="s">
        <v>353</v>
      </c>
    </row>
    <row r="444" spans="1:6" x14ac:dyDescent="0.3">
      <c r="A444" s="3" t="s">
        <v>463</v>
      </c>
      <c r="B444" s="3" t="s">
        <v>22</v>
      </c>
      <c r="C444" s="3" t="str">
        <f t="shared" si="6"/>
        <v>450013462810</v>
      </c>
      <c r="D444" s="4">
        <v>46314</v>
      </c>
      <c r="E444" s="3" t="s">
        <v>262</v>
      </c>
      <c r="F444" s="3" t="s">
        <v>481</v>
      </c>
    </row>
    <row r="445" spans="1:6" x14ac:dyDescent="0.3">
      <c r="A445" s="3" t="s">
        <v>463</v>
      </c>
      <c r="B445" s="3" t="s">
        <v>48</v>
      </c>
      <c r="C445" s="3" t="str">
        <f t="shared" si="6"/>
        <v>450013462820</v>
      </c>
      <c r="D445" s="4">
        <v>46251</v>
      </c>
      <c r="E445" s="3" t="s">
        <v>262</v>
      </c>
      <c r="F445" s="3" t="s">
        <v>481</v>
      </c>
    </row>
    <row r="446" spans="1:6" x14ac:dyDescent="0.3">
      <c r="A446" s="3" t="s">
        <v>463</v>
      </c>
      <c r="B446" s="3" t="s">
        <v>39</v>
      </c>
      <c r="C446" s="3" t="str">
        <f t="shared" si="6"/>
        <v>450013462830</v>
      </c>
      <c r="D446" s="4">
        <v>46251</v>
      </c>
      <c r="E446" s="3" t="s">
        <v>262</v>
      </c>
      <c r="F446" s="3" t="s">
        <v>481</v>
      </c>
    </row>
    <row r="447" spans="1:6" x14ac:dyDescent="0.3">
      <c r="A447" s="3" t="s">
        <v>463</v>
      </c>
      <c r="B447" s="3" t="s">
        <v>32</v>
      </c>
      <c r="C447" s="3" t="str">
        <f t="shared" si="6"/>
        <v>450013462840</v>
      </c>
      <c r="D447" s="4">
        <v>46251</v>
      </c>
      <c r="E447" s="3" t="s">
        <v>262</v>
      </c>
      <c r="F447" s="3" t="s">
        <v>481</v>
      </c>
    </row>
    <row r="448" spans="1:6" x14ac:dyDescent="0.3">
      <c r="A448" s="3" t="s">
        <v>463</v>
      </c>
      <c r="B448" s="3" t="s">
        <v>38</v>
      </c>
      <c r="C448" s="3" t="str">
        <f t="shared" si="6"/>
        <v>450013462850</v>
      </c>
      <c r="D448" s="4">
        <v>46251</v>
      </c>
      <c r="E448" s="3" t="s">
        <v>262</v>
      </c>
      <c r="F448" s="3" t="s">
        <v>481</v>
      </c>
    </row>
    <row r="449" spans="1:6" x14ac:dyDescent="0.3">
      <c r="A449" s="3" t="s">
        <v>475</v>
      </c>
      <c r="B449" s="3" t="s">
        <v>22</v>
      </c>
      <c r="C449" s="3" t="str">
        <f t="shared" si="6"/>
        <v>450014073010</v>
      </c>
      <c r="D449" s="4">
        <v>46315</v>
      </c>
      <c r="E449" s="3" t="s">
        <v>336</v>
      </c>
      <c r="F449" s="3" t="s">
        <v>337</v>
      </c>
    </row>
    <row r="450" spans="1:6" x14ac:dyDescent="0.3">
      <c r="A450" s="3" t="s">
        <v>475</v>
      </c>
      <c r="B450" s="3" t="s">
        <v>48</v>
      </c>
      <c r="C450" s="3" t="str">
        <f t="shared" si="6"/>
        <v>450014073020</v>
      </c>
      <c r="D450" s="4">
        <v>46315</v>
      </c>
      <c r="E450" s="3" t="s">
        <v>336</v>
      </c>
      <c r="F450" s="3" t="s">
        <v>337</v>
      </c>
    </row>
    <row r="451" spans="1:6" x14ac:dyDescent="0.3">
      <c r="A451" s="3" t="s">
        <v>475</v>
      </c>
      <c r="B451" s="3" t="s">
        <v>39</v>
      </c>
      <c r="C451" s="3" t="str">
        <f t="shared" ref="C451:C460" si="7">_xlfn.CONCAT(A451:B451)</f>
        <v>450014073030</v>
      </c>
      <c r="D451" s="4">
        <v>46315</v>
      </c>
      <c r="E451" s="3" t="s">
        <v>336</v>
      </c>
      <c r="F451" s="3" t="s">
        <v>337</v>
      </c>
    </row>
    <row r="452" spans="1:6" x14ac:dyDescent="0.3">
      <c r="A452" s="3" t="s">
        <v>475</v>
      </c>
      <c r="B452" s="3" t="s">
        <v>32</v>
      </c>
      <c r="C452" s="3" t="str">
        <f t="shared" si="7"/>
        <v>450014073040</v>
      </c>
      <c r="D452" s="4">
        <v>46315</v>
      </c>
      <c r="E452" s="3" t="s">
        <v>336</v>
      </c>
      <c r="F452" s="3" t="s">
        <v>337</v>
      </c>
    </row>
    <row r="453" spans="1:6" x14ac:dyDescent="0.3">
      <c r="A453" s="3" t="s">
        <v>470</v>
      </c>
      <c r="B453" s="3" t="s">
        <v>22</v>
      </c>
      <c r="C453" s="3" t="str">
        <f t="shared" si="7"/>
        <v>450014079210</v>
      </c>
      <c r="D453" s="4">
        <v>46316</v>
      </c>
      <c r="E453" s="3" t="s">
        <v>259</v>
      </c>
      <c r="F453" s="3" t="s">
        <v>432</v>
      </c>
    </row>
    <row r="454" spans="1:6" x14ac:dyDescent="0.3">
      <c r="A454" s="3" t="s">
        <v>477</v>
      </c>
      <c r="B454" s="3" t="s">
        <v>22</v>
      </c>
      <c r="C454" s="3" t="str">
        <f t="shared" si="7"/>
        <v>450014088810</v>
      </c>
      <c r="D454" s="4">
        <v>46318</v>
      </c>
      <c r="E454" s="3" t="s">
        <v>336</v>
      </c>
      <c r="F454" s="3" t="s">
        <v>353</v>
      </c>
    </row>
    <row r="455" spans="1:6" x14ac:dyDescent="0.3">
      <c r="A455" s="3" t="s">
        <v>477</v>
      </c>
      <c r="B455" s="3" t="s">
        <v>39</v>
      </c>
      <c r="C455" s="3" t="str">
        <f t="shared" si="7"/>
        <v>450014088830</v>
      </c>
      <c r="D455" s="4">
        <v>46318</v>
      </c>
      <c r="E455" s="3" t="s">
        <v>336</v>
      </c>
      <c r="F455" s="3" t="s">
        <v>353</v>
      </c>
    </row>
    <row r="456" spans="1:6" x14ac:dyDescent="0.3">
      <c r="A456" s="3" t="s">
        <v>480</v>
      </c>
      <c r="B456" s="3" t="s">
        <v>39</v>
      </c>
      <c r="C456" s="3" t="str">
        <f t="shared" si="7"/>
        <v>450014097130</v>
      </c>
      <c r="D456" s="4">
        <v>46325</v>
      </c>
      <c r="E456" s="3" t="s">
        <v>336</v>
      </c>
      <c r="F456" s="3" t="s">
        <v>344</v>
      </c>
    </row>
    <row r="457" spans="1:6" x14ac:dyDescent="0.3">
      <c r="A457" s="3" t="s">
        <v>480</v>
      </c>
      <c r="B457" s="3" t="s">
        <v>38</v>
      </c>
      <c r="C457" s="3" t="str">
        <f t="shared" si="7"/>
        <v>450014097150</v>
      </c>
      <c r="D457" s="4">
        <v>46327</v>
      </c>
      <c r="E457" s="3" t="s">
        <v>336</v>
      </c>
      <c r="F457" s="3" t="s">
        <v>344</v>
      </c>
    </row>
    <row r="458" spans="1:6" x14ac:dyDescent="0.3">
      <c r="A458" s="3" t="s">
        <v>466</v>
      </c>
      <c r="B458" s="3" t="s">
        <v>22</v>
      </c>
      <c r="C458" s="3" t="str">
        <f t="shared" si="7"/>
        <v>450014100510</v>
      </c>
      <c r="D458" s="4">
        <v>46310</v>
      </c>
      <c r="E458" s="3" t="s">
        <v>262</v>
      </c>
      <c r="F458" s="3" t="s">
        <v>482</v>
      </c>
    </row>
    <row r="459" spans="1:6" x14ac:dyDescent="0.3">
      <c r="A459" s="3" t="s">
        <v>468</v>
      </c>
      <c r="B459" s="3" t="s">
        <v>89</v>
      </c>
      <c r="C459" s="3" t="str">
        <f t="shared" si="7"/>
        <v>4500141053100</v>
      </c>
      <c r="D459" s="4">
        <v>46317</v>
      </c>
      <c r="E459" s="3" t="s">
        <v>262</v>
      </c>
      <c r="F459" s="3" t="s">
        <v>282</v>
      </c>
    </row>
    <row r="460" spans="1:6" x14ac:dyDescent="0.3">
      <c r="A460" s="3" t="s">
        <v>473</v>
      </c>
      <c r="B460" s="3" t="s">
        <v>22</v>
      </c>
      <c r="C460" s="3" t="str">
        <f t="shared" si="7"/>
        <v>450014106410</v>
      </c>
      <c r="D460" s="4">
        <v>46310</v>
      </c>
      <c r="E460" s="3" t="s">
        <v>262</v>
      </c>
      <c r="F460" s="3" t="s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</vt:lpstr>
      <vt:lpstr>Hoja2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David Ezequiel Benitez</cp:lastModifiedBy>
  <cp:revision>1</cp:revision>
  <dcterms:created xsi:type="dcterms:W3CDTF">2026-10-05T19:02:33Z</dcterms:created>
  <dcterms:modified xsi:type="dcterms:W3CDTF">2026-10-19T14:58:03Z</dcterms:modified>
  <cp:category/>
</cp:coreProperties>
</file>