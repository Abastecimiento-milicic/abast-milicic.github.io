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F5E0FAFE-4395-4E88-B170-1B2900A8BC7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1" hidden="1">Hoja2!$A$1:$D$334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2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2" i="3"/>
  <c r="Q3" i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6" i="1" a="1"/>
  <c r="Q57" i="1" a="1"/>
  <c r="Q58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4" i="1" a="1"/>
  <c r="Q75" i="1" a="1"/>
  <c r="Q76" i="1" a="1"/>
  <c r="Q77" i="1" a="1"/>
  <c r="Q78" i="1" a="1"/>
  <c r="Q79" i="1" a="1"/>
  <c r="Q80" i="1" a="1"/>
  <c r="Q81" i="1" a="1"/>
  <c r="Q82" i="1" a="1"/>
  <c r="Q83" i="1" a="1"/>
  <c r="Q84" i="1" a="1"/>
  <c r="Q85" i="1" a="1"/>
  <c r="Q86" i="1" a="1"/>
  <c r="Q87" i="1" a="1"/>
  <c r="Q88" i="1" a="1"/>
  <c r="Q89" i="1" a="1"/>
  <c r="Q90" i="1" a="1"/>
  <c r="Q91" i="1" a="1"/>
  <c r="Q92" i="1" a="1"/>
  <c r="Q93" i="1" a="1"/>
  <c r="Q94" i="1" a="1"/>
  <c r="Q95" i="1" a="1"/>
  <c r="Q96" i="1" a="1"/>
  <c r="Q97" i="1" a="1"/>
  <c r="Q98" i="1" a="1"/>
  <c r="Q99" i="1" a="1"/>
  <c r="Q100" i="1" a="1"/>
  <c r="Q101" i="1" a="1"/>
  <c r="Q102" i="1" a="1"/>
  <c r="Q103" i="1" a="1"/>
  <c r="Q104" i="1" a="1"/>
  <c r="Q105" i="1" a="1"/>
  <c r="Q106" i="1" a="1"/>
  <c r="Q107" i="1" a="1"/>
  <c r="Q108" i="1" a="1"/>
  <c r="Q109" i="1" a="1"/>
  <c r="Q110" i="1" a="1"/>
  <c r="Q111" i="1" a="1"/>
  <c r="Q112" i="1" a="1"/>
  <c r="Q113" i="1" a="1"/>
  <c r="Q114" i="1" a="1"/>
  <c r="Q115" i="1" a="1"/>
  <c r="Q116" i="1" a="1"/>
  <c r="Q117" i="1" a="1"/>
  <c r="Q118" i="1" a="1"/>
  <c r="Q119" i="1" a="1"/>
  <c r="Q120" i="1" a="1"/>
  <c r="Q121" i="1" a="1"/>
  <c r="Q122" i="1" a="1"/>
  <c r="Q123" i="1" a="1"/>
  <c r="Q124" i="1" a="1"/>
  <c r="Q125" i="1" a="1"/>
  <c r="Q126" i="1" a="1"/>
  <c r="Q127" i="1" a="1"/>
  <c r="Q128" i="1" a="1"/>
  <c r="Q129" i="1" a="1"/>
  <c r="Q130" i="1" a="1"/>
  <c r="Q131" i="1" a="1"/>
  <c r="Q132" i="1" a="1"/>
  <c r="Q133" i="1" a="1"/>
  <c r="Q134" i="1" a="1"/>
  <c r="Q135" i="1" a="1"/>
  <c r="Q136" i="1" a="1"/>
  <c r="Q137" i="1" a="1"/>
  <c r="Q138" i="1" a="1"/>
  <c r="Q139" i="1" a="1"/>
  <c r="Q140" i="1" a="1"/>
  <c r="Q141" i="1" a="1"/>
  <c r="Q142" i="1" a="1"/>
  <c r="Q143" i="1" a="1"/>
  <c r="Q144" i="1" a="1"/>
  <c r="Q145" i="1" a="1"/>
  <c r="Q146" i="1" a="1"/>
  <c r="Q147" i="1" a="1"/>
  <c r="Q148" i="1" a="1"/>
  <c r="Q149" i="1" a="1"/>
  <c r="Q150" i="1" a="1"/>
  <c r="Q151" i="1" a="1"/>
  <c r="Q152" i="1" a="1"/>
  <c r="Q153" i="1" a="1"/>
  <c r="Q154" i="1" a="1"/>
  <c r="Q155" i="1" a="1"/>
  <c r="Q156" i="1" a="1"/>
  <c r="Q157" i="1" a="1"/>
  <c r="Q158" i="1" a="1"/>
  <c r="Q159" i="1" a="1"/>
  <c r="Q160" i="1" a="1"/>
  <c r="Q161" i="1" a="1"/>
  <c r="Q162" i="1" a="1"/>
  <c r="Q163" i="1" a="1"/>
  <c r="Q164" i="1" a="1"/>
  <c r="Q165" i="1" a="1"/>
  <c r="Q166" i="1" a="1"/>
  <c r="Q167" i="1" a="1"/>
  <c r="Q168" i="1" a="1"/>
  <c r="Q169" i="1" a="1"/>
  <c r="Q170" i="1" a="1"/>
  <c r="Q171" i="1" a="1"/>
  <c r="Q172" i="1" a="1"/>
  <c r="Q173" i="1" a="1"/>
  <c r="Q174" i="1" a="1"/>
  <c r="Q175" i="1" a="1"/>
  <c r="Q176" i="1" a="1"/>
  <c r="Q177" i="1" a="1"/>
  <c r="Q178" i="1" a="1"/>
  <c r="Q179" i="1" a="1"/>
  <c r="Q180" i="1" a="1"/>
  <c r="Q181" i="1" a="1"/>
  <c r="Q182" i="1" a="1"/>
  <c r="Q183" i="1" a="1"/>
  <c r="Q184" i="1" a="1"/>
  <c r="Q185" i="1" a="1"/>
  <c r="Q186" i="1" a="1"/>
  <c r="Q187" i="1" a="1"/>
  <c r="Q188" i="1" a="1"/>
  <c r="Q189" i="1" a="1"/>
  <c r="Q190" i="1" a="1"/>
  <c r="Q191" i="1" a="1"/>
  <c r="Q192" i="1" a="1"/>
  <c r="Q193" i="1" a="1"/>
  <c r="Q194" i="1" a="1"/>
  <c r="Q195" i="1" a="1"/>
  <c r="Q196" i="1" a="1"/>
  <c r="Q197" i="1" a="1"/>
  <c r="Q198" i="1" a="1"/>
  <c r="Q199" i="1" a="1"/>
  <c r="Q200" i="1" a="1"/>
  <c r="Q201" i="1" a="1"/>
  <c r="Q202" i="1" a="1"/>
  <c r="Q203" i="1" a="1"/>
  <c r="Q204" i="1" a="1"/>
  <c r="Q205" i="1" a="1"/>
  <c r="Q206" i="1" a="1"/>
  <c r="Q207" i="1" a="1"/>
  <c r="Q208" i="1" a="1"/>
  <c r="Q209" i="1" a="1"/>
  <c r="Q210" i="1" a="1"/>
  <c r="Q211" i="1" a="1"/>
  <c r="Q212" i="1" a="1"/>
  <c r="Q213" i="1" a="1"/>
  <c r="Q214" i="1" a="1"/>
  <c r="Q215" i="1" a="1"/>
  <c r="Q216" i="1" a="1"/>
  <c r="Q217" i="1" a="1"/>
  <c r="Q218" i="1" a="1"/>
  <c r="Q219" i="1" a="1"/>
  <c r="Q220" i="1" a="1"/>
  <c r="Q221" i="1" a="1"/>
  <c r="Q222" i="1" a="1"/>
  <c r="Q223" i="1" a="1"/>
  <c r="Q224" i="1" a="1"/>
  <c r="Q225" i="1" a="1"/>
  <c r="Q226" i="1" a="1"/>
  <c r="Q227" i="1" a="1"/>
  <c r="Q228" i="1" a="1"/>
  <c r="Q229" i="1" a="1"/>
  <c r="Q230" i="1" a="1"/>
  <c r="Q231" i="1" a="1"/>
  <c r="Q232" i="1" a="1"/>
  <c r="Q233" i="1" a="1"/>
  <c r="Q234" i="1" a="1"/>
  <c r="Q235" i="1" a="1"/>
  <c r="Q236" i="1" a="1"/>
  <c r="Q237" i="1" a="1"/>
  <c r="Q238" i="1" a="1"/>
  <c r="Q239" i="1" a="1"/>
  <c r="Q240" i="1" a="1"/>
  <c r="Q241" i="1" a="1"/>
  <c r="Q242" i="1" a="1"/>
  <c r="Q243" i="1" a="1"/>
  <c r="Q244" i="1" a="1"/>
  <c r="Q245" i="1" a="1"/>
  <c r="Q246" i="1" a="1"/>
  <c r="Q247" i="1" a="1"/>
  <c r="Q248" i="1" a="1"/>
  <c r="Q249" i="1" a="1"/>
  <c r="Q250" i="1" a="1"/>
  <c r="Q251" i="1" a="1"/>
  <c r="Q252" i="1" a="1"/>
  <c r="Q253" i="1" a="1"/>
  <c r="Q254" i="1" a="1"/>
  <c r="Q255" i="1" a="1"/>
  <c r="Q256" i="1" a="1"/>
  <c r="Q257" i="1" a="1"/>
  <c r="Q258" i="1" a="1"/>
  <c r="Q259" i="1" a="1"/>
  <c r="Q260" i="1" a="1"/>
  <c r="Q261" i="1" a="1"/>
  <c r="Q262" i="1" a="1"/>
  <c r="Q263" i="1" a="1"/>
  <c r="Q264" i="1" a="1"/>
  <c r="Q265" i="1" a="1"/>
  <c r="Q266" i="1" a="1"/>
  <c r="Q267" i="1" a="1"/>
  <c r="Q268" i="1" a="1"/>
  <c r="Q269" i="1" a="1"/>
  <c r="Q270" i="1" a="1"/>
  <c r="Q271" i="1" a="1"/>
  <c r="Q272" i="1" a="1"/>
  <c r="Q273" i="1" a="1"/>
  <c r="Q274" i="1" a="1"/>
  <c r="Q275" i="1" a="1"/>
  <c r="Q276" i="1" a="1"/>
  <c r="Q277" i="1" a="1"/>
  <c r="Q278" i="1" a="1"/>
  <c r="Q279" i="1" a="1"/>
  <c r="Q280" i="1" a="1"/>
  <c r="Q281" i="1" a="1"/>
  <c r="Q282" i="1" a="1"/>
  <c r="Q283" i="1" a="1"/>
  <c r="Q284" i="1" a="1"/>
  <c r="Q285" i="1" a="1"/>
  <c r="Q286" i="1" a="1"/>
  <c r="Q287" i="1" a="1"/>
  <c r="Q288" i="1" a="1"/>
  <c r="Q289" i="1" a="1"/>
  <c r="Q290" i="1" a="1"/>
  <c r="Q291" i="1" a="1"/>
  <c r="Q292" i="1" a="1"/>
  <c r="Q293" i="1" a="1"/>
  <c r="Q294" i="1" a="1"/>
  <c r="Q295" i="1" a="1"/>
  <c r="Q296" i="1" a="1"/>
  <c r="Q297" i="1" a="1"/>
  <c r="Q298" i="1" a="1"/>
  <c r="Q299" i="1" a="1"/>
  <c r="Q300" i="1" a="1"/>
  <c r="Q301" i="1" a="1"/>
  <c r="Q302" i="1" a="1"/>
  <c r="Q303" i="1" a="1"/>
  <c r="Q304" i="1" a="1"/>
  <c r="Q305" i="1" a="1"/>
  <c r="Q306" i="1" a="1"/>
  <c r="Q307" i="1" a="1"/>
  <c r="Q308" i="1" a="1"/>
  <c r="Q309" i="1" a="1"/>
  <c r="Q310" i="1" a="1"/>
  <c r="Q311" i="1" a="1"/>
  <c r="Q312" i="1" a="1"/>
  <c r="Q313" i="1" a="1"/>
  <c r="Q314" i="1" a="1"/>
  <c r="Q315" i="1" a="1"/>
  <c r="Q316" i="1" a="1"/>
  <c r="Q317" i="1" a="1"/>
  <c r="Q318" i="1" a="1"/>
  <c r="Q319" i="1" a="1"/>
  <c r="Q320" i="1" a="1"/>
  <c r="Q321" i="1" a="1"/>
  <c r="Q322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2" i="1" a="1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<sst xmlns="http://schemas.openxmlformats.org/spreadsheetml/2006/main" count="6421" uniqueCount="791">
  <si>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</si>
  <si>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</si>
  <si>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</si>
  <si>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</si>
  <si>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</si>
  <si>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</si>
  <si>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</si>
  <si>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</si>
  <si>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</si>
  <si>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</si>
  <si>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</si>
  <si>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</si>
  <si>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</si>
  <si>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</si>
  <si>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</si>
  <si>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/>
  </si>
  <si>
    <t>1900000617</t>
  </si>
  <si>
    <t>GR</t>
  </si>
  <si>
    <t>86</t>
  </si>
  <si>
    <t>ARS</t>
  </si>
  <si>
    <t>C2</t>
  </si>
  <si>
    <t>HELING S.A.</t>
  </si>
  <si>
    <t>4500126363</t>
  </si>
  <si>
    <t>10</t>
  </si>
  <si>
    <t>1900000618</t>
  </si>
  <si>
    <t>C1</t>
  </si>
  <si>
    <t>HELING S.A.</t>
  </si>
  <si>
    <t>4500127116</t>
  </si>
  <si>
    <t>HELING S.A.</t>
  </si>
  <si>
    <t>4500114743</t>
  </si>
  <si>
    <t>320</t>
  </si>
  <si>
    <t>HELING S.A.</t>
  </si>
  <si>
    <t>330</t>
  </si>
  <si>
    <t>5100000267</t>
  </si>
  <si>
    <t>RE</t>
  </si>
  <si>
    <t>HELING S.A.</t>
  </si>
  <si>
    <t>5100000296</t>
  </si>
  <si>
    <t>HELING S.A.</t>
  </si>
  <si>
    <t>40</t>
  </si>
  <si>
    <t>HELING S.A.</t>
  </si>
  <si>
    <t>270</t>
  </si>
  <si>
    <t>5100000400</t>
  </si>
  <si>
    <t>ANTONIO B ATENOR E HIJOS S R L</t>
  </si>
  <si>
    <t>4500117831</t>
  </si>
  <si>
    <t>5100000461</t>
  </si>
  <si>
    <t>HELING S.A.</t>
  </si>
  <si>
    <t>HELING S.A.</t>
  </si>
  <si>
    <t>50</t>
  </si>
  <si>
    <t>HELING S.A.</t>
  </si>
  <si>
    <t>30</t>
  </si>
  <si>
    <t>HELING S.A.</t>
  </si>
  <si>
    <t>170</t>
  </si>
  <si>
    <t>HELING S.A.</t>
  </si>
  <si>
    <t>480</t>
  </si>
  <si>
    <t>HELING S.A.</t>
  </si>
  <si>
    <t>5100000636</t>
  </si>
  <si>
    <t>7000</t>
  </si>
  <si>
    <t>JACARANDA S.A.</t>
  </si>
  <si>
    <t>4500109514</t>
  </si>
  <si>
    <t>5100000828</t>
  </si>
  <si>
    <t>HELING S.A.</t>
  </si>
  <si>
    <t>4500127295</t>
  </si>
  <si>
    <t>20</t>
  </si>
  <si>
    <t>5100001133</t>
  </si>
  <si>
    <t>96</t>
  </si>
  <si>
    <t>MARADONA PRADO ISABEL MARGARIT</t>
  </si>
  <si>
    <t>4500126954</t>
  </si>
  <si>
    <t>MARADONA PRADO ISABEL MARGARIT</t>
  </si>
  <si>
    <t>5100001148</t>
  </si>
  <si>
    <t>PRODUCTOS SERVICIOS Y DISTRIBUCIONE</t>
  </si>
  <si>
    <t>4500123262</t>
  </si>
  <si>
    <t>5100001289</t>
  </si>
  <si>
    <t>JACARANDA S.A.</t>
  </si>
  <si>
    <t>4500123036</t>
  </si>
  <si>
    <t>5100001316</t>
  </si>
  <si>
    <t>TRANSPORTE TMS S. A. S.</t>
  </si>
  <si>
    <t>4500128543</t>
  </si>
  <si>
    <t>5100001479</t>
  </si>
  <si>
    <t>TRANSPORTE TMS S. A. S.</t>
  </si>
  <si>
    <t>4500137227</t>
  </si>
  <si>
    <t>5100001520</t>
  </si>
  <si>
    <t>JACARANDA S.A.</t>
  </si>
  <si>
    <t>5100001533</t>
  </si>
  <si>
    <t>ROLCAR SA</t>
  </si>
  <si>
    <t>4500137107</t>
  </si>
  <si>
    <t>5100001553</t>
  </si>
  <si>
    <t>SERVICIOS VIALES DE STA. FE SA</t>
  </si>
  <si>
    <t>4500129061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</si>
  <si>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</si>
  <si>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</si>
  <si>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</si>
  <si>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</si>
  <si>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</si>
  <si>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</si>
  <si>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</si>
  <si>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60</t>
  </si>
  <si>
    <t>5100001554</t>
  </si>
  <si>
    <t>SERVICIOS VIALES DE STA. FE SA</t>
  </si>
  <si>
    <t>4500135587</t>
  </si>
  <si>
    <t>5100001555</t>
  </si>
  <si>
    <t>LABTEC S. R. L.</t>
  </si>
  <si>
    <t>4500139175</t>
  </si>
  <si>
    <t>5100001556</t>
  </si>
  <si>
    <t>C9</t>
  </si>
  <si>
    <t>FLORES OSCAR ARIEL</t>
  </si>
  <si>
    <t>4500139598</t>
  </si>
  <si>
    <t>5100001557</t>
  </si>
  <si>
    <t>FLORES CARLOS FELIPE Y OTROS S H</t>
  </si>
  <si>
    <t>4500138464</t>
  </si>
  <si>
    <t>5100001558</t>
  </si>
  <si>
    <t>OLIVARES ANTONIO ALBERTO</t>
  </si>
  <si>
    <t>4500136353</t>
  </si>
  <si>
    <t>5100001560</t>
  </si>
  <si>
    <t>FLORES CARLOS FELIPE Y OTROS S H</t>
  </si>
  <si>
    <t>4500136455</t>
  </si>
  <si>
    <t>230</t>
  </si>
  <si>
    <t>5100001562</t>
  </si>
  <si>
    <t>GO CLEAN S.A.S.</t>
  </si>
  <si>
    <t>4500137799</t>
  </si>
  <si>
    <t>GO CLEAN S.A.S.</t>
  </si>
  <si>
    <t>GO CLEAN S.A.S.</t>
  </si>
  <si>
    <t>5100001564</t>
  </si>
  <si>
    <t>GO CLEAN S.A.S.</t>
  </si>
  <si>
    <t>4500139325</t>
  </si>
  <si>
    <t>GO CLEAN S.A.S.</t>
  </si>
  <si>
    <t>GO CLEAN S.A.S.</t>
  </si>
  <si>
    <t>GO CLEAN S.A.S.</t>
  </si>
  <si>
    <t>GO CLEAN S.A.S.</t>
  </si>
  <si>
    <t>5100001565</t>
  </si>
  <si>
    <t>PROAR IMAGEN PROMOCIONAL SRL</t>
  </si>
  <si>
    <t>4500139670</t>
  </si>
  <si>
    <t>PROAR IMAGEN PROMOCIONAL SRL</t>
  </si>
  <si>
    <t>5100001566</t>
  </si>
  <si>
    <t>SALLAGO FEDERICO MIGUEL</t>
  </si>
  <si>
    <t>4500138147</t>
  </si>
  <si>
    <t>5100001567</t>
  </si>
  <si>
    <t>LOPEZ DIESEL S.A.</t>
  </si>
  <si>
    <t>4500139011</t>
  </si>
  <si>
    <t>5100001568</t>
  </si>
  <si>
    <t>ARZE MIGUEL ANGEL</t>
  </si>
  <si>
    <t>4500139886</t>
  </si>
  <si>
    <t>70</t>
  </si>
  <si>
    <t>5100001569</t>
  </si>
  <si>
    <t>AGRONORTE S.R.L.</t>
  </si>
  <si>
    <t>4500138691</t>
  </si>
  <si>
    <t>5100001570</t>
  </si>
  <si>
    <t>AGRONORTE S.R.L.</t>
  </si>
  <si>
    <t>AGRONORTE S.R.L.</t>
  </si>
  <si>
    <t>110</t>
  </si>
  <si>
    <t>AGRONORTE S.R.L.</t>
  </si>
  <si>
    <t>AGRONORTE S.R.L.</t>
  </si>
  <si>
    <t>120</t>
  </si>
  <si>
    <t>AGRONORTE S.R.L.</t>
  </si>
  <si>
    <t>AGRONORTE S.R.L.</t>
  </si>
  <si>
    <t>AGRONORTE S.R.L.</t>
  </si>
  <si>
    <t>AGRONORTE S.R.L.</t>
  </si>
  <si>
    <t>100</t>
  </si>
  <si>
    <t>AGRONORTE S.R.L.</t>
  </si>
  <si>
    <t>90</t>
  </si>
  <si>
    <t>AGRONORTE S.R.L.</t>
  </si>
  <si>
    <t>AGRONORTE S.R.L.</t>
  </si>
  <si>
    <t>5100001571</t>
  </si>
  <si>
    <t>YEMA REPUESTOS SRL</t>
  </si>
  <si>
    <t>4500137922</t>
  </si>
  <si>
    <t>5100001572</t>
  </si>
  <si>
    <t>SYS IMPORT S.R.L.</t>
  </si>
  <si>
    <t>4500136943</t>
  </si>
  <si>
    <t>5100001573</t>
  </si>
  <si>
    <t>SYS IMPORT S.R.L.</t>
  </si>
  <si>
    <t>4500137130</t>
  </si>
  <si>
    <t>SYS IMPORT S.R.L.</t>
  </si>
  <si>
    <t>5100001574</t>
  </si>
  <si>
    <t>LENOR SRL</t>
  </si>
  <si>
    <t>4500139004</t>
  </si>
  <si>
    <t>LENOR SRL</t>
  </si>
  <si>
    <t>LENOR SRL</t>
  </si>
  <si>
    <t>5100001575</t>
  </si>
  <si>
    <t>BLEXA S. A.</t>
  </si>
  <si>
    <t>4500135067</t>
  </si>
  <si>
    <t>BLEXA S. A.</t>
  </si>
  <si>
    <t>5100001576</t>
  </si>
  <si>
    <t>BLEXA S. A.</t>
  </si>
  <si>
    <t>4500137878</t>
  </si>
  <si>
    <t>BLEXA S. A.</t>
  </si>
  <si>
    <t>BLEXA S. A.</t>
  </si>
  <si>
    <t>5100001577</t>
  </si>
  <si>
    <t>POBERAJ S.A.</t>
  </si>
  <si>
    <t>4500137353</t>
  </si>
  <si>
    <t>5100001578</t>
  </si>
  <si>
    <t>OLIVARES ANTONIO ALBERTO</t>
  </si>
  <si>
    <t>5100001579</t>
  </si>
  <si>
    <t>ARROYITO MAQUINARIAS S.R.L.</t>
  </si>
  <si>
    <t>4500139338</t>
  </si>
  <si>
    <t>5100001580</t>
  </si>
  <si>
    <t>FLORES CARLOS FELIPE Y OTROS S H</t>
  </si>
  <si>
    <t>4500139731</t>
  </si>
  <si>
    <t>5000000018</t>
  </si>
  <si>
    <t>WE</t>
  </si>
  <si>
    <t>ANTONIO B ATENOR E HIJOS S R L</t>
  </si>
  <si>
    <t>4500112079</t>
  </si>
  <si>
    <t>5000000166</t>
  </si>
  <si>
    <t>EXTINGNORT S.R.L.</t>
  </si>
  <si>
    <t>4500113800</t>
  </si>
  <si>
    <t>EXTINGNORT S.R.L.</t>
  </si>
  <si>
    <t>EXTINGNORT S.R.L.</t>
  </si>
  <si>
    <t>5000000446</t>
  </si>
  <si>
    <t>BOLLINI S.A</t>
  </si>
  <si>
    <t>4500109841</t>
  </si>
  <si>
    <t>BOLLINI S.A</t>
  </si>
  <si>
    <t>BOLLINI S.A</t>
  </si>
  <si>
    <t>5000000556</t>
  </si>
  <si>
    <t>LABTEC S. R. L.</t>
  </si>
  <si>
    <t>4500109709</t>
  </si>
  <si>
    <t>5000000641</t>
  </si>
  <si>
    <t>HELING S.A.</t>
  </si>
  <si>
    <t>HELING S.A.</t>
  </si>
  <si>
    <t>HELING S.A.</t>
  </si>
  <si>
    <t>HELING S.A.</t>
  </si>
  <si>
    <t>HELING S.A.</t>
  </si>
  <si>
    <t>5000000651</t>
  </si>
  <si>
    <t>SALAS S.R.L</t>
  </si>
  <si>
    <t>4500121800</t>
  </si>
  <si>
    <t>5000000684</t>
  </si>
  <si>
    <t>JACARANDA S.A.</t>
  </si>
  <si>
    <t>5000000714</t>
  </si>
  <si>
    <t>HAULOTTE ARGENTINA S.A.</t>
  </si>
  <si>
    <t>4500110226</t>
  </si>
  <si>
    <t>5000000762</t>
  </si>
  <si>
    <t>JACARANDA S.A.</t>
  </si>
  <si>
    <t>5000000763</t>
  </si>
  <si>
    <t>JACARANDA S.A.</t>
  </si>
  <si>
    <t>5000000883</t>
  </si>
  <si>
    <t>V.MASSON TRAP.CRUZ DEL SUR SA</t>
  </si>
  <si>
    <t>4500114168</t>
  </si>
  <si>
    <t>5000000937</t>
  </si>
  <si>
    <t>LABTEC S. R. L.</t>
  </si>
  <si>
    <t>5000001070</t>
  </si>
  <si>
    <t>FINNING ARGENTINA S.A.</t>
  </si>
  <si>
    <t>4500126872</t>
  </si>
  <si>
    <t>5000001120</t>
  </si>
  <si>
    <t>ZAMBRANA SAMUEL</t>
  </si>
  <si>
    <t>4500113920</t>
  </si>
  <si>
    <t>5000001126</t>
  </si>
  <si>
    <t>HELING S.A.</t>
  </si>
  <si>
    <t>5000001132</t>
  </si>
  <si>
    <t>FINNING ARGENTINA S.A.</t>
  </si>
  <si>
    <t>5000001138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</si>
  <si>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</si>
  <si>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</si>
  <si>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</si>
  <si>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</si>
  <si>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</si>
  <si>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</si>
  <si>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5000001151</t>
  </si>
  <si>
    <t>LABTEC S. R. L.</t>
  </si>
  <si>
    <t>5000001155</t>
  </si>
  <si>
    <t>SERVICIOS VIALES DE STA. FE SA</t>
  </si>
  <si>
    <t>5000001174</t>
  </si>
  <si>
    <t>QUANTUM S.R.L.</t>
  </si>
  <si>
    <t>4500129674</t>
  </si>
  <si>
    <t>5000001231</t>
  </si>
  <si>
    <t>PLANTA REVESA SRL</t>
  </si>
  <si>
    <t>4500129754</t>
  </si>
  <si>
    <t>5000001272</t>
  </si>
  <si>
    <t>PLANTA REVESA SRL</t>
  </si>
  <si>
    <t>5000001301</t>
  </si>
  <si>
    <t>NSA ECO SRL</t>
  </si>
  <si>
    <t>4500131807</t>
  </si>
  <si>
    <t>5000001310</t>
  </si>
  <si>
    <t>LABTEC S. R. L.</t>
  </si>
  <si>
    <t>5000001322</t>
  </si>
  <si>
    <t>PRODUCTOS SERVICIOS Y DISTRIBUCIONE</t>
  </si>
  <si>
    <t>5000001340</t>
  </si>
  <si>
    <t>ELEVA MUNDO S.R.L.</t>
  </si>
  <si>
    <t>4500131378</t>
  </si>
  <si>
    <t>5000001341</t>
  </si>
  <si>
    <t>ELEVA MUNDO S.R.L.</t>
  </si>
  <si>
    <t>4500130762</t>
  </si>
  <si>
    <t>5000001385</t>
  </si>
  <si>
    <t>IGARRETA MAQUINAS S.A.</t>
  </si>
  <si>
    <t>4500132138</t>
  </si>
  <si>
    <t>5000001443</t>
  </si>
  <si>
    <t>PLANTA REVESA SRL</t>
  </si>
  <si>
    <t>5000001452</t>
  </si>
  <si>
    <t>ANTONIO B ATENOR E HIJOS S R L</t>
  </si>
  <si>
    <t>4500133814</t>
  </si>
  <si>
    <t>ANTONIO B ATENOR E HIJOS S R L</t>
  </si>
  <si>
    <t>5000001456</t>
  </si>
  <si>
    <t>ZAMBRANA SAMUEL</t>
  </si>
  <si>
    <t>4500134022</t>
  </si>
  <si>
    <t>5000001460</t>
  </si>
  <si>
    <t>JACARANDA S.A.</t>
  </si>
  <si>
    <t>5000001466</t>
  </si>
  <si>
    <t>ZAMBRANA SAMUEL</t>
  </si>
  <si>
    <t>5000001485</t>
  </si>
  <si>
    <t>LABTEC S. R. L.</t>
  </si>
  <si>
    <t>5000001487</t>
  </si>
  <si>
    <t>SERVICIOS VIALES DE STA. FE SA</t>
  </si>
  <si>
    <t>5000001490</t>
  </si>
  <si>
    <t>GASOL S.R.L.</t>
  </si>
  <si>
    <t>4500129890</t>
  </si>
  <si>
    <t>5000001492</t>
  </si>
  <si>
    <t>AUTOLUX SA</t>
  </si>
  <si>
    <t>4500133709</t>
  </si>
  <si>
    <t>AUTOLUX SA</t>
  </si>
  <si>
    <t>5000001493</t>
  </si>
  <si>
    <t>PRODUCTOS SERVICIOS Y DISTRIBUCIONE</t>
  </si>
  <si>
    <t>4500128533</t>
  </si>
  <si>
    <t>5000001500</t>
  </si>
  <si>
    <t>TRANSPORTE TMS S. A. S.</t>
  </si>
  <si>
    <t>5000001504</t>
  </si>
  <si>
    <t>TUKUY S.R.L.</t>
  </si>
  <si>
    <t>4500134631</t>
  </si>
  <si>
    <t>5000001523</t>
  </si>
  <si>
    <t>BLEXA S. A.</t>
  </si>
  <si>
    <t>BLEXA S. A.</t>
  </si>
  <si>
    <t>5000001557</t>
  </si>
  <si>
    <t>SERVICIOS VIALES DE STA. FE SA</t>
  </si>
  <si>
    <t>5000001561</t>
  </si>
  <si>
    <t>JACARANDA S.A.</t>
  </si>
  <si>
    <t>4500134256</t>
  </si>
  <si>
    <t>5000001562</t>
  </si>
  <si>
    <t>JACARANDA S.A.</t>
  </si>
  <si>
    <t>5000001563</t>
  </si>
  <si>
    <t>JACARANDA S.A.</t>
  </si>
  <si>
    <t>5000001565</t>
  </si>
  <si>
    <t>GASOL S.R.L.</t>
  </si>
  <si>
    <t>5000001568</t>
  </si>
  <si>
    <t>ANTONIO B ATENOR E HIJOS S R L</t>
  </si>
  <si>
    <t>4500130750</t>
  </si>
  <si>
    <t>5000001580</t>
  </si>
  <si>
    <t>BOLLINI S.A</t>
  </si>
  <si>
    <t>4500135119</t>
  </si>
  <si>
    <t>BOLLINI S.A</t>
  </si>
  <si>
    <t>5000001581</t>
  </si>
  <si>
    <t>BLEXA S. A.</t>
  </si>
  <si>
    <t>4500135669</t>
  </si>
  <si>
    <t>5000001587</t>
  </si>
  <si>
    <t>HERSAPEL SOCIEDAD DE RESPONSABILIDA</t>
  </si>
  <si>
    <t>4500136426</t>
  </si>
  <si>
    <t>HERSAPEL SOCIEDAD DE RESPONSABILIDA</t>
  </si>
  <si>
    <t>HERSAPEL SOCIEDAD DE RESPONSABILIDA</t>
  </si>
  <si>
    <t>5000001592</t>
  </si>
  <si>
    <t>FLORES CARLOS FELIPE Y OTROS S H</t>
  </si>
  <si>
    <t>4500136544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</si>
  <si>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</si>
  <si>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</si>
  <si>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</si>
  <si>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</si>
  <si>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</si>
  <si>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</si>
  <si>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80</t>
  </si>
  <si>
    <t>FLORES CARLOS FELIPE Y OTROS S H</t>
  </si>
  <si>
    <t>FLORES CARLOS FELIPE Y OTROS S H</t>
  </si>
  <si>
    <t>5000001603</t>
  </si>
  <si>
    <t>BOLLINI S.A</t>
  </si>
  <si>
    <t>BOLLINI S.A</t>
  </si>
  <si>
    <t>5000001609</t>
  </si>
  <si>
    <t>BOLLINI S.A</t>
  </si>
  <si>
    <t>4500137046</t>
  </si>
  <si>
    <t>BOLLINI S.A</t>
  </si>
  <si>
    <t>BOLLINI S.A</t>
  </si>
  <si>
    <t>BOLLINI S.A</t>
  </si>
  <si>
    <t>BOLLINI S.A</t>
  </si>
  <si>
    <t>5000001611</t>
  </si>
  <si>
    <t>FLORES CARLOS FELIPE Y OTROS S H</t>
  </si>
  <si>
    <t>4500136896</t>
  </si>
  <si>
    <t>5000001625</t>
  </si>
  <si>
    <t>PROAR IMAGEN PROMOCIONAL SRL</t>
  </si>
  <si>
    <t>4500136625</t>
  </si>
  <si>
    <t>PROAR IMAGEN PROMOCIONAL SRL</t>
  </si>
  <si>
    <t>5000001639</t>
  </si>
  <si>
    <t>LABTEC S. R. L.</t>
  </si>
  <si>
    <t>5000001649</t>
  </si>
  <si>
    <t>HERSAPEL SOCIEDAD DE RESPONSABILIDA</t>
  </si>
  <si>
    <t>5000001650</t>
  </si>
  <si>
    <t>POBERAJ S.A.</t>
  </si>
  <si>
    <t>5000001653</t>
  </si>
  <si>
    <t>OLIVARES ANTONIO ALBERTO</t>
  </si>
  <si>
    <t>5000001654</t>
  </si>
  <si>
    <t>HAULOTTE ARGENTINA S.A.</t>
  </si>
  <si>
    <t>4500136542</t>
  </si>
  <si>
    <t>HAULOTTE ARGENTINA S.A.</t>
  </si>
  <si>
    <t>HAULOTTE ARGENTINA S.A.</t>
  </si>
  <si>
    <t>HAULOTTE ARGENTINA S.A.</t>
  </si>
  <si>
    <t>5000001655</t>
  </si>
  <si>
    <t>ELEVA MUNDO S.R.L.</t>
  </si>
  <si>
    <t>4500135495</t>
  </si>
  <si>
    <t>5000001656</t>
  </si>
  <si>
    <t>TRANSPORTE TMS S. A. S.</t>
  </si>
  <si>
    <t>5000001660</t>
  </si>
  <si>
    <t>SALLAGO FEDERICO MIGUEL</t>
  </si>
  <si>
    <t>4500137888</t>
  </si>
  <si>
    <t>5000001662</t>
  </si>
  <si>
    <t>TRANSPORTE TMS S. A. S.</t>
  </si>
  <si>
    <t>5000001671</t>
  </si>
  <si>
    <t>SALLAGO FEDERICO MIGUEL</t>
  </si>
  <si>
    <t>5000001675</t>
  </si>
  <si>
    <t>FLORES CARLOS FELIPE Y OTROS S H</t>
  </si>
  <si>
    <t>4500137886</t>
  </si>
  <si>
    <t>FLORES CARLOS FELIPE Y OTROS S H</t>
  </si>
  <si>
    <t>FLORES CARLOS FELIPE Y OTROS S H</t>
  </si>
  <si>
    <t>FLORES CARLOS FELIPE Y OTROS S H</t>
  </si>
  <si>
    <t>5000001677</t>
  </si>
  <si>
    <t>GO CLEAN S.A.S.</t>
  </si>
  <si>
    <t>GO CLEAN S.A.S.</t>
  </si>
  <si>
    <t>GO CLEAN S.A.S.</t>
  </si>
  <si>
    <t>5000001681</t>
  </si>
  <si>
    <t>BLEXA S. A.</t>
  </si>
  <si>
    <t>5000001682</t>
  </si>
  <si>
    <t>ESCANDINAVIA DEL PLATA SA</t>
  </si>
  <si>
    <t>4500137146</t>
  </si>
  <si>
    <t>5000001684</t>
  </si>
  <si>
    <t>SYS IMPORT S.R.L.</t>
  </si>
  <si>
    <t>5000001687</t>
  </si>
  <si>
    <t>FLORES CARLOS FELIPE Y OTROS S H</t>
  </si>
  <si>
    <t>4500138182</t>
  </si>
  <si>
    <t>FLORES CARLOS FELIPE Y OTROS S H</t>
  </si>
  <si>
    <t>5000001690</t>
  </si>
  <si>
    <t>IGARRETA MAQUINAS S.A.</t>
  </si>
  <si>
    <t>4500135345</t>
  </si>
  <si>
    <t>5000001691</t>
  </si>
  <si>
    <t>GO CLEAN S.A.S.</t>
  </si>
  <si>
    <t>4500138339</t>
  </si>
  <si>
    <t>5000001695</t>
  </si>
  <si>
    <t>YEMA REPUESTOS SRL</t>
  </si>
  <si>
    <t>5000001699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</si>
  <si>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</si>
  <si>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</si>
  <si>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</si>
  <si>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</si>
  <si>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</si>
  <si>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</si>
  <si>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</si>
  <si>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</si>
  <si>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</si>
  <si>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</si>
  <si>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</si>
  <si>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5000001702</t>
  </si>
  <si>
    <t>FLORES CARLOS FELIPE Y OTROS S H</t>
  </si>
  <si>
    <t>5000001703</t>
  </si>
  <si>
    <t>FLORES CARLOS FELIPE Y OTROS S H</t>
  </si>
  <si>
    <t>5000001705</t>
  </si>
  <si>
    <t>BLEXA S. A.</t>
  </si>
  <si>
    <t>BLEXA S. A.</t>
  </si>
  <si>
    <t>BLEXA S. A.</t>
  </si>
  <si>
    <t>5000001707</t>
  </si>
  <si>
    <t>FLORES CARLOS FELIPE Y OTROS S H</t>
  </si>
  <si>
    <t>4500138858</t>
  </si>
  <si>
    <t>5000001708</t>
  </si>
  <si>
    <t>FLORES CARLOS FELIPE Y OTROS S H</t>
  </si>
  <si>
    <t>4500138875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</si>
  <si>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</si>
  <si>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</si>
  <si>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</si>
  <si>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</si>
  <si>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</si>
  <si>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</si>
  <si>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</si>
  <si>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</si>
  <si>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</si>
  <si>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</si>
  <si>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</si>
  <si>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</si>
  <si>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130</t>
  </si>
  <si>
    <t>FLORES CARLOS FELIPE Y OTROS S H</t>
  </si>
  <si>
    <t>140</t>
  </si>
  <si>
    <t>FLORES CARLOS FELIPE Y OTROS S H</t>
  </si>
  <si>
    <t>150</t>
  </si>
  <si>
    <t>5000001709</t>
  </si>
  <si>
    <t>FLORES CARLOS FELIPE Y OTROS S H</t>
  </si>
  <si>
    <t>4500138865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</si>
  <si>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</si>
  <si>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</si>
  <si>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</si>
  <si>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</si>
  <si>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</si>
  <si>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</si>
  <si>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</si>
  <si>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</si>
  <si>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5000001710</t>
  </si>
  <si>
    <t>FLORES CARLOS FELIPE Y OTROS S H</t>
  </si>
  <si>
    <t>4500138869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</si>
  <si>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</si>
  <si>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</si>
  <si>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</si>
  <si>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</si>
  <si>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</si>
  <si>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</si>
  <si>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</si>
  <si>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</si>
  <si>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</si>
  <si>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</si>
  <si>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</si>
  <si>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</si>
  <si>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</si>
  <si>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</si>
  <si>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</si>
  <si>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160</t>
  </si>
  <si>
    <t>5000001712</t>
  </si>
  <si>
    <t>LENOR SRL</t>
  </si>
  <si>
    <t>LENOR SRL</t>
  </si>
  <si>
    <t>LENOR SRL</t>
  </si>
  <si>
    <t>5000001717</t>
  </si>
  <si>
    <t>LOPEZ DIESEL S.A.</t>
  </si>
  <si>
    <t>5000001718</t>
  </si>
  <si>
    <t>FERNANDEZ INSUA S.A.</t>
  </si>
  <si>
    <t>4500138358</t>
  </si>
  <si>
    <t>5000001721</t>
  </si>
  <si>
    <t>SAKURA MOTORS S. A.</t>
  </si>
  <si>
    <t>4500139062</t>
  </si>
  <si>
    <t>SAKURA MOTORS S. A.</t>
  </si>
  <si>
    <t>SAKURA MOTORS S. A.</t>
  </si>
  <si>
    <t>SAKURA MOTORS S. A.</t>
  </si>
  <si>
    <t>5000001723</t>
  </si>
  <si>
    <t>GO CLEAN S.A.S.</t>
  </si>
  <si>
    <t>4500139151</t>
  </si>
  <si>
    <t>5000001724</t>
  </si>
  <si>
    <t>ARZE MIGUEL ANGEL</t>
  </si>
  <si>
    <t>4500138976</t>
  </si>
  <si>
    <t>5000001726</t>
  </si>
  <si>
    <t>SYS IMPORT S.R.L.</t>
  </si>
  <si>
    <t>SYS IMPORT S.R.L.</t>
  </si>
  <si>
    <t>5000001727</t>
  </si>
  <si>
    <t>RAMOS MARIO SEBASTIAN</t>
  </si>
  <si>
    <t>4500139215</t>
  </si>
  <si>
    <t>5000001729</t>
  </si>
  <si>
    <t>BLEXA S. A.</t>
  </si>
  <si>
    <t>4500139198</t>
  </si>
  <si>
    <t>5000001730</t>
  </si>
  <si>
    <t>RAMOS MARIO SEBASTIAN</t>
  </si>
  <si>
    <t>4500139261</t>
  </si>
  <si>
    <t>5000001731</t>
  </si>
  <si>
    <t>OLIVARES ANTONIO ALBERTO</t>
  </si>
  <si>
    <t>5000001732</t>
  </si>
  <si>
    <t>RAMOS MARIO SEBASTIAN</t>
  </si>
  <si>
    <t>4500139281</t>
  </si>
  <si>
    <t>5000001733</t>
  </si>
  <si>
    <t>RAMOS MARIO SEBASTIAN</t>
  </si>
  <si>
    <t>4500139282</t>
  </si>
  <si>
    <t>5000001735</t>
  </si>
  <si>
    <t>IGARRETA MAQUINAS S.A.</t>
  </si>
  <si>
    <t>4500139164</t>
  </si>
  <si>
    <t>IGARRETA MAQUINAS S.A.</t>
  </si>
  <si>
    <t>5000001736</t>
  </si>
  <si>
    <t>FLORES CARLOS FELIPE Y OTROS S H</t>
  </si>
  <si>
    <t>4500139302</t>
  </si>
  <si>
    <t>FLORES CARLOS FELIPE Y OTROS S H</t>
  </si>
  <si>
    <t>FLORES CARLOS FELIPE Y OTROS S H</t>
  </si>
  <si>
    <t>FLORES CARLOS FELIPE Y OTROS S H</t>
  </si>
  <si>
    <t>5000001738</t>
  </si>
  <si>
    <t>FINNING ARGENTINA S.A.</t>
  </si>
  <si>
    <t>4500137301</t>
  </si>
  <si>
    <t>FINNING ARGENTINA S.A.</t>
  </si>
  <si>
    <t>FINNING ARGENTINA S.A.</t>
  </si>
  <si>
    <t>5000001739</t>
  </si>
  <si>
    <t>BOLLINI S.A</t>
  </si>
  <si>
    <t>4500139285</t>
  </si>
  <si>
    <t>BOLLINI S.A</t>
  </si>
  <si>
    <t>5000001742</t>
  </si>
  <si>
    <t>HELING S.A.</t>
  </si>
  <si>
    <t>HELING S.A.</t>
  </si>
  <si>
    <t>HELING S.A.</t>
  </si>
  <si>
    <t>5000001745</t>
  </si>
  <si>
    <t>IMPLEMENTOS INDUSTRIALES S R L</t>
  </si>
  <si>
    <t>4500138867</t>
  </si>
  <si>
    <t>5000001747</t>
  </si>
  <si>
    <t>LABTEC S. R. L.</t>
  </si>
  <si>
    <t>5000001748</t>
  </si>
  <si>
    <t>GO CLEAN S.A.S.</t>
  </si>
  <si>
    <t>GO CLEAN S.A.S.</t>
  </si>
  <si>
    <t>GO CLEAN S.A.S.</t>
  </si>
  <si>
    <t>GO CLEAN S.A.S.</t>
  </si>
  <si>
    <t>GO CLEAN S.A.S.</t>
  </si>
  <si>
    <t>5000001750</t>
  </si>
  <si>
    <t>CAMPO BRAVO S. A. S.</t>
  </si>
  <si>
    <t>4500139019</t>
  </si>
  <si>
    <t>5000001751</t>
  </si>
  <si>
    <t>FLORES OSCAR ARIEL</t>
  </si>
  <si>
    <t>5000001752</t>
  </si>
  <si>
    <t>LOPEZ DIESEL S.A.</t>
  </si>
  <si>
    <t>4500139620</t>
  </si>
  <si>
    <t>5000001753</t>
  </si>
  <si>
    <t>AGRONORTE S.R.L.</t>
  </si>
  <si>
    <t>5000001754</t>
  </si>
  <si>
    <t>FINNING ARGENTINA S.A.</t>
  </si>
  <si>
    <t>4500139231</t>
  </si>
  <si>
    <t>FINNING ARGENTINA S.A.</t>
  </si>
  <si>
    <t>5000001757</t>
  </si>
  <si>
    <t>ZAMBRANA SAMUEL</t>
  </si>
  <si>
    <t>5000001758</t>
  </si>
  <si>
    <t>HAULOTTE ARGENTINA S.A.</t>
  </si>
  <si>
    <t>4500139437</t>
  </si>
  <si>
    <t>5000001759</t>
  </si>
  <si>
    <t>TUKUY S.R.L.</t>
  </si>
  <si>
    <t>4500139379</t>
  </si>
  <si>
    <t>5000001760</t>
  </si>
  <si>
    <t>NSA ECO SRL</t>
  </si>
  <si>
    <t>4500139853</t>
  </si>
  <si>
    <t>5000001761</t>
  </si>
  <si>
    <t>PROAR IMAGEN PROMOCIONAL SRL</t>
  </si>
  <si>
    <t>PROAR IMAGEN PROMOCIONAL SRL</t>
  </si>
  <si>
    <t>5000001762</t>
  </si>
  <si>
    <t>ARZE MIGUEL ANGEL</t>
  </si>
  <si>
    <t>5000001763</t>
  </si>
  <si>
    <t>GO CLEAN S.A.S.</t>
  </si>
  <si>
    <t>4500139878</t>
  </si>
  <si>
    <t>GO CLEAN S.A.S.</t>
  </si>
  <si>
    <t>5000001764</t>
  </si>
  <si>
    <t>ARROYITO MAQUINARIAS S.R.L.</t>
  </si>
  <si>
    <t>5000001765</t>
  </si>
  <si>
    <t>CAMPO BRAVO S. A. S.</t>
  </si>
  <si>
    <t>5000001766</t>
  </si>
  <si>
    <t>FINNING ARGENTINA S.A.</t>
  </si>
  <si>
    <t>5000001767</t>
  </si>
  <si>
    <t>FLORES CARLOS FELIPE Y OTROS S H</t>
  </si>
  <si>
    <t>5000001768</t>
  </si>
  <si>
    <t>FLORES OSCAR ARIEL</t>
  </si>
  <si>
    <t>4500139809</t>
  </si>
  <si>
    <t>5000001769</t>
  </si>
  <si>
    <t>JAWIT S.A.</t>
  </si>
  <si>
    <t>4500139245</t>
  </si>
  <si>
    <t>5000001770</t>
  </si>
  <si>
    <t>TRANSPORTES LA SEVILLANITA SRL</t>
  </si>
  <si>
    <t>4500120184</t>
  </si>
  <si>
    <t>5000001771</t>
  </si>
  <si>
    <t>INTREC SAS</t>
  </si>
  <si>
    <t>4500139524</t>
  </si>
  <si>
    <t>5000001772</t>
  </si>
  <si>
    <t>FLORES CARLOS FELIPE Y OTROS S H</t>
  </si>
  <si>
    <t>4500139816</t>
  </si>
  <si>
    <t>5000001773</t>
  </si>
  <si>
    <t>LIBRERIA SAN PABLO S.R.L.</t>
  </si>
  <si>
    <t>4500140013</t>
  </si>
  <si>
    <t>LIBRERIA SAN PABLO S.R.L.</t>
  </si>
  <si>
    <t>5000001774</t>
  </si>
  <si>
    <t>SERVICIOS VIALES DE STA. FE SA</t>
  </si>
  <si>
    <t>4500140130</t>
  </si>
  <si>
    <t>SERVICIOS VIALES DE STA. FE SA</t>
  </si>
  <si>
    <t>5000001775</t>
  </si>
  <si>
    <t>FLORES CARLOS FELIPE Y OTROS S H</t>
  </si>
  <si>
    <t>4500139293</t>
  </si>
  <si>
    <t>5000001776</t>
  </si>
  <si>
    <t>FLORES CARLOS FELIPE Y OTROS S H</t>
  </si>
  <si>
    <t>4500140011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</si>
  <si>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</si>
  <si>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</si>
  <si>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</si>
  <si>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</si>
  <si>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</si>
  <si>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</si>
  <si>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5000001777</t>
  </si>
  <si>
    <t>RASGIDO GASTON ANDRES</t>
  </si>
  <si>
    <t>4500137422</t>
  </si>
  <si>
    <t>RASGIDO GASTON ANDRES</t>
  </si>
  <si>
    <t>5000001778</t>
  </si>
  <si>
    <t>PRODUCTOS SERVICIOS Y DISTRIBUCIONE</t>
  </si>
  <si>
    <t>4500134824</t>
  </si>
  <si>
    <t>5000001779</t>
  </si>
  <si>
    <t>PRODUCTOS SERVICIOS Y DISTRIBUCIONE</t>
  </si>
  <si>
    <t>PRODUCTOS SERVICIOS Y DISTRIBUCIONE</t>
  </si>
  <si>
    <t>5000001780</t>
  </si>
  <si>
    <t>TRANSPORTE TMS S. A. S.</t>
  </si>
  <si>
    <t>4500139298</t>
  </si>
  <si>
    <t>TRANSPORTE TMS S. A. S.</t>
  </si>
  <si>
    <t>5000001781</t>
  </si>
  <si>
    <t>TRANSPORTE TMS S. A. S.</t>
  </si>
  <si>
    <t>TRANSPORTE TMS S. A. S.</t>
  </si>
  <si>
    <t>5000001782</t>
  </si>
  <si>
    <t>FAES DISTRIBUCIONES S.R.L.</t>
  </si>
  <si>
    <t>4500139845</t>
  </si>
  <si>
    <t>CONCATENA</t>
  </si>
  <si>
    <t>Fecha de entrega</t>
  </si>
  <si>
    <t>Grupo de compras</t>
  </si>
  <si>
    <t>Proveedor/Centro suministrador</t>
  </si>
  <si>
    <t>C15</t>
  </si>
  <si>
    <t>1000000069 V.MASSON TRAP.CRUZ DEL SUR SA</t>
  </si>
  <si>
    <t>1000000104 TRANSPORTES LA SEVILLANITA SRL</t>
  </si>
  <si>
    <t>C25</t>
  </si>
  <si>
    <t>1000012097 TRANSPORTE TMS S. A. S.</t>
  </si>
  <si>
    <t>1000007510 LABTEC S. R. L.</t>
  </si>
  <si>
    <t>C01</t>
  </si>
  <si>
    <t>1000008967 JACARANDA S.A.</t>
  </si>
  <si>
    <t>1000012293 ZAMBRANA SAMUEL</t>
  </si>
  <si>
    <t>1000012132 PRODUCTOS SERVICIOS Y DISTRIBUCIONE</t>
  </si>
  <si>
    <t>390</t>
  </si>
  <si>
    <t>CGT</t>
  </si>
  <si>
    <t>1000001583 HELING S.A.</t>
  </si>
  <si>
    <t>C24</t>
  </si>
  <si>
    <t>1000012877 RASGIDO GASTON ANDRES</t>
  </si>
  <si>
    <t>1000009058 FLORES OSCAR ARIEL</t>
  </si>
  <si>
    <t>370</t>
  </si>
  <si>
    <t>1000013615 CAMPO BRAVO S. A. S.</t>
  </si>
  <si>
    <t>1000013466 INTREC SAS</t>
  </si>
  <si>
    <t>380</t>
  </si>
  <si>
    <t>C29</t>
  </si>
  <si>
    <t>1000007795 JAWIT S.A.</t>
  </si>
  <si>
    <t>1000000907 SERVICIOS VIALES DE STA. FE SA</t>
  </si>
  <si>
    <t>1000013513 ROLCAR SA</t>
  </si>
  <si>
    <t>1000007451 FLORES CARLOS FELIPE Y OTROS S H</t>
  </si>
  <si>
    <t>C27</t>
  </si>
  <si>
    <t>1000000295 BOLLINI S.A</t>
  </si>
  <si>
    <t>C03</t>
  </si>
  <si>
    <t>1000001123 HAULOTTE ARGENTINA S.A.</t>
  </si>
  <si>
    <t>C28</t>
  </si>
  <si>
    <t>1000007611 ANTONIO B ATENOR E HIJOS S R L</t>
  </si>
  <si>
    <t>1000007609 EXTINGNORT S.R.L.</t>
  </si>
  <si>
    <t>180</t>
  </si>
  <si>
    <t>190</t>
  </si>
  <si>
    <t>200</t>
  </si>
  <si>
    <t>210</t>
  </si>
  <si>
    <t>290</t>
  </si>
  <si>
    <t>300</t>
  </si>
  <si>
    <t>310</t>
  </si>
  <si>
    <t>340</t>
  </si>
  <si>
    <t>350</t>
  </si>
  <si>
    <t>360</t>
  </si>
  <si>
    <t>400</t>
  </si>
  <si>
    <t>410</t>
  </si>
  <si>
    <t>420</t>
  </si>
  <si>
    <t>430</t>
  </si>
  <si>
    <t>440</t>
  </si>
  <si>
    <t>450</t>
  </si>
  <si>
    <t>460</t>
  </si>
  <si>
    <t>470</t>
  </si>
  <si>
    <t>550</t>
  </si>
  <si>
    <t>560</t>
  </si>
  <si>
    <t>570</t>
  </si>
  <si>
    <t>1000010642 SALAS S.R.L</t>
  </si>
  <si>
    <t>1000000062 FINNING ARGENTINA S.A.</t>
  </si>
  <si>
    <t>1000001560 MARADONA PRADO ISABEL MARGARIT</t>
  </si>
  <si>
    <t>F13</t>
  </si>
  <si>
    <t>1000010146 QUANTUM S.R.L.</t>
  </si>
  <si>
    <t>1000008707 PLANTA REVESA SRL</t>
  </si>
  <si>
    <t>1000007890 GASOL S.R.L.</t>
  </si>
  <si>
    <t>F05</t>
  </si>
  <si>
    <t>1000009607 ELEVA MUNDO S.R.L.</t>
  </si>
  <si>
    <t>F04</t>
  </si>
  <si>
    <t>1000003790 NSA ECO SRL</t>
  </si>
  <si>
    <t>1000000012 IGARRETA MAQUINAS S.A.</t>
  </si>
  <si>
    <t>1000000566 AUTOLUX SA</t>
  </si>
  <si>
    <t>1000007607 TUKUY S.R.L.</t>
  </si>
  <si>
    <t>1000012974 BLEXA S. A.</t>
  </si>
  <si>
    <t>F03</t>
  </si>
  <si>
    <t>L01</t>
  </si>
  <si>
    <t>C43</t>
  </si>
  <si>
    <t>1000001550 OLIVARES ANTONIO ALBERTO</t>
  </si>
  <si>
    <t>1000007766 HERSAPEL SOCIEDAD DE RESPONSABILIDA</t>
  </si>
  <si>
    <t>220</t>
  </si>
  <si>
    <t>240</t>
  </si>
  <si>
    <t>1000012043 PROAR IMAGEN PROMOCIONAL SRL</t>
  </si>
  <si>
    <t>1000001035 SYS IMPORT S.R.L.</t>
  </si>
  <si>
    <t>F06</t>
  </si>
  <si>
    <t>1000000561 ESCANDINAVIA DEL PLATA SA</t>
  </si>
  <si>
    <t>1000000189 POBERAJ S.A.</t>
  </si>
  <si>
    <t>C17</t>
  </si>
  <si>
    <t>1000012333 GO CLEAN S.A.S.</t>
  </si>
  <si>
    <t>1000011519 SALLAGO FEDERICO MIGUEL</t>
  </si>
  <si>
    <t>1000010268 YEMA REPUESTOS SRL</t>
  </si>
  <si>
    <t>G04</t>
  </si>
  <si>
    <t>1000000190 FERNANDEZ INSUA S.A.</t>
  </si>
  <si>
    <t>G05</t>
  </si>
  <si>
    <t>1000001129 AGRONORTE S.R.L.</t>
  </si>
  <si>
    <t>1000007610 IMPLEMENTOS INDUSTRIALES S R L</t>
  </si>
  <si>
    <t>1000010215 ARZE MIGUEL ANGEL</t>
  </si>
  <si>
    <t>1000001691 LENOR SRL</t>
  </si>
  <si>
    <t>1000003040 LOPEZ DIESEL S.A.</t>
  </si>
  <si>
    <t>1000008805 SAKURA MOTORS S. A.</t>
  </si>
  <si>
    <t>1000010025 RAMOS MARIO SEBASTIAN</t>
  </si>
  <si>
    <t>C22</t>
  </si>
  <si>
    <t>1000000003 ARROYITO MAQUINARIAS S.R.L.</t>
  </si>
  <si>
    <t>1000012527 FAES DISTRIBUCIONES S.R.L.</t>
  </si>
  <si>
    <t>1000008136 LIBRERIA SAN PABLO S.R.L.</t>
  </si>
  <si>
    <t>NRO. OC</t>
  </si>
  <si>
    <t>POS. OC</t>
  </si>
  <si>
    <t>OPERADOR OC</t>
  </si>
  <si>
    <t>MMOHR</t>
  </si>
  <si>
    <t>JESPARZA</t>
  </si>
  <si>
    <t>EFUNES</t>
  </si>
  <si>
    <t>MPITTIA</t>
  </si>
  <si>
    <t>GJULIANI</t>
  </si>
  <si>
    <t>GDIAZ</t>
  </si>
  <si>
    <t>GLUNA</t>
  </si>
  <si>
    <t>WVENTURINI</t>
  </si>
  <si>
    <t>RPEREZ</t>
  </si>
  <si>
    <t>AZAPANA</t>
  </si>
  <si>
    <t>PRODRIGUEZ</t>
  </si>
  <si>
    <t>FBERARDO</t>
  </si>
  <si>
    <t>MFREIJOMIL</t>
  </si>
  <si>
    <t>JPUPULIN</t>
  </si>
  <si>
    <t>ALOPEZ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</si>
</sst>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8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0" fontId="1" fillId="3" borderId="0" xfId="0" applyFont="1" applyFill="1" applyAlignment="1">
      <alignment vertical="top"/>
    </xf>
    <xf numFmtId="4" fontId="1" fillId="3" borderId="0" xfId="0" quotePrefix="1" applyNumberFormat="1" applyFont="1" applyFill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00000000-0008-0000-0000-00003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00000000-0008-0000-0000-00003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00000000-0008-0000-0000-00004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00000000-0008-0000-0000-00004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00000000-0008-0000-0000-00004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00000000-0008-0000-0000-00004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00000000-0008-0000-0000-00004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00000000-0008-0000-0000-00004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00000000-0008-0000-0000-00004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00000000-0008-0000-0000-00004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00000000-0008-0000-0000-00004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00000000-0008-0000-0000-00004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00000000-0008-0000-0000-00004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00000000-0008-0000-0000-00004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00000000-0008-0000-0000-00004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00000000-0008-0000-0000-00005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00000000-0008-0000-0000-00005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00000000-0008-0000-0000-00005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0"/>
  <sheetViews>
    <sheetView tabSelected="1" topLeftCell="M1" workbookViewId="0">
      <pane ySplit="1" topLeftCell="A2" activePane="bottomLeft" state="frozen"/>
      <selection pane="bottomLeft" activeCell="W4" sqref="W4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16" customWidth="1"/>
    <col min="17" max="17" width="19.5546875" style="9" customWidth="1"/>
    <col min="18" max="18" width="17.6640625" customWidth="1"/>
    <col min="19" max="19" width="42.88671875" customWidth="1"/>
    <col min="20" max="20" width="16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671</v>
      </c>
      <c r="Q1" s="1" t="s">
        <v>672</v>
      </c>
      <c r="R1" s="1" t="s">
        <v>673</v>
      </c>
      <c r="S1" s="1" t="s">
        <v>674</v>
      </c>
      <c r="T1" t="s">
        <v>775</v>
      </c>
    </row>
    <row r="2" spans="1:20" x14ac:dyDescent="0.3">
      <c r="A2" s="2" t="s">
        <v>15</v>
      </c>
      <c r="B2" s="3" t="s">
        <v>15</v>
      </c>
      <c r="C2" s="3" t="s">
        <v>16</v>
      </c>
      <c r="D2" s="3" t="s">
        <v>15</v>
      </c>
      <c r="E2" s="3" t="s">
        <v>17</v>
      </c>
      <c r="F2" s="4">
        <v>46283</v>
      </c>
      <c r="G2" s="3" t="s">
        <v>18</v>
      </c>
      <c r="H2" s="5">
        <v>1349265</v>
      </c>
      <c r="I2" s="3" t="s">
        <v>19</v>
      </c>
      <c r="J2" s="3" t="s">
        <v>20</v>
      </c>
      <c r="K2" s="3" t="s">
        <v>15</v>
      </c>
      <c r="L2" s="3" t="s">
        <v>21</v>
      </c>
      <c r="M2" s="4">
        <v>46283</v>
      </c>
      <c r="N2" s="3" t="s">
        <v>22</v>
      </c>
      <c r="O2" s="3" t="s">
        <v>23</v>
      </c>
      <c r="P2" t="str">
        <f>_xlfn.CONCAT(N2:O2)</f>
        <v>450012636310</v>
      </c>
      <c r="Q2" s="9" cm="1">
        <f t="array" ref="Q2:S2">VLOOKUP(P2,Hoja1!C:F,{2,3,4},FALSE)</f>
        <v>46301</v>
      </c>
      <c r="R2" t="str">
        <v>C29</v>
      </c>
      <c r="S2" t="str">
        <v>1000001583 HELING S.A.</v>
      </c>
      <c r="T2" t="str">
        <f>VLOOKUP(P2,Hoja2!C:D,2,FALSE)</f>
        <v>WVENTURINI</v>
      </c>
    </row>
    <row r="3" spans="1:20" x14ac:dyDescent="0.3">
      <c r="A3" s="2" t="s">
        <v>15</v>
      </c>
      <c r="B3" s="3" t="s">
        <v>15</v>
      </c>
      <c r="C3" s="3" t="s">
        <v>24</v>
      </c>
      <c r="D3" s="3" t="s">
        <v>15</v>
      </c>
      <c r="E3" s="3" t="s">
        <v>17</v>
      </c>
      <c r="F3" s="4">
        <v>46283</v>
      </c>
      <c r="G3" s="3" t="s">
        <v>18</v>
      </c>
      <c r="H3" s="5">
        <v>402804.5</v>
      </c>
      <c r="I3" s="3" t="s">
        <v>19</v>
      </c>
      <c r="J3" s="3" t="s">
        <v>25</v>
      </c>
      <c r="K3" s="3" t="s">
        <v>15</v>
      </c>
      <c r="L3" s="3" t="s">
        <v>26</v>
      </c>
      <c r="M3" s="4">
        <v>46283</v>
      </c>
      <c r="N3" s="3" t="s">
        <v>27</v>
      </c>
      <c r="O3" s="3" t="s">
        <v>23</v>
      </c>
      <c r="P3" t="str">
        <f t="shared" ref="P3:P66" si="0">_xlfn.CONCAT(N3:O3)</f>
        <v>450012711610</v>
      </c>
      <c r="Q3" s="9" cm="1">
        <f t="array" ref="Q3:S3">VLOOKUP(P3,Hoja1!C:F,{2,3,4},FALSE)</f>
        <v>46210</v>
      </c>
      <c r="R3" t="str">
        <v>CGT</v>
      </c>
      <c r="S3" t="str">
        <v>1000001583 HELING S.A.</v>
      </c>
      <c r="T3" t="str">
        <f>VLOOKUP(P3,Hoja2!C:D,2,FALSE)</f>
        <v>WVENTURINI</v>
      </c>
    </row>
    <row r="4" spans="1:20" x14ac:dyDescent="0.3">
      <c r="A4" s="2" t="s">
        <v>15</v>
      </c>
      <c r="B4" s="3" t="s">
        <v>15</v>
      </c>
      <c r="C4" s="3" t="s">
        <v>24</v>
      </c>
      <c r="D4" s="3" t="s">
        <v>15</v>
      </c>
      <c r="E4" s="3" t="s">
        <v>17</v>
      </c>
      <c r="F4" s="4">
        <v>46283</v>
      </c>
      <c r="G4" s="3" t="s">
        <v>18</v>
      </c>
      <c r="H4" s="5">
        <v>50094</v>
      </c>
      <c r="I4" s="3" t="s">
        <v>19</v>
      </c>
      <c r="J4" s="3" t="s">
        <v>25</v>
      </c>
      <c r="K4" s="3" t="s">
        <v>15</v>
      </c>
      <c r="L4" s="3" t="s">
        <v>28</v>
      </c>
      <c r="M4" s="4">
        <v>46283</v>
      </c>
      <c r="N4" s="3" t="s">
        <v>29</v>
      </c>
      <c r="O4" s="3" t="s">
        <v>30</v>
      </c>
      <c r="P4" t="str">
        <f t="shared" si="0"/>
        <v>4500114743320</v>
      </c>
      <c r="Q4" s="9" cm="1">
        <f t="array" ref="Q4:S4">VLOOKUP(P4,Hoja1!C:F,{2,3,4},FALSE)</f>
        <v>46290</v>
      </c>
      <c r="R4" t="str">
        <v>CGT</v>
      </c>
      <c r="S4" t="str">
        <v>1000001583 HELING S.A.</v>
      </c>
      <c r="T4" t="str">
        <f>VLOOKUP(P4,Hoja2!C:D,2,FALSE)</f>
        <v>EFUNES</v>
      </c>
    </row>
    <row r="5" spans="1:20" x14ac:dyDescent="0.3">
      <c r="A5" s="2" t="s">
        <v>15</v>
      </c>
      <c r="B5" s="3" t="s">
        <v>15</v>
      </c>
      <c r="C5" s="3" t="s">
        <v>24</v>
      </c>
      <c r="D5" s="3" t="s">
        <v>15</v>
      </c>
      <c r="E5" s="3" t="s">
        <v>17</v>
      </c>
      <c r="F5" s="4">
        <v>46283</v>
      </c>
      <c r="G5" s="3" t="s">
        <v>18</v>
      </c>
      <c r="H5" s="5">
        <v>181130</v>
      </c>
      <c r="I5" s="3" t="s">
        <v>19</v>
      </c>
      <c r="J5" s="3" t="s">
        <v>25</v>
      </c>
      <c r="K5" s="3" t="s">
        <v>15</v>
      </c>
      <c r="L5" s="3" t="s">
        <v>31</v>
      </c>
      <c r="M5" s="4">
        <v>46283</v>
      </c>
      <c r="N5" s="3" t="s">
        <v>29</v>
      </c>
      <c r="O5" s="3" t="s">
        <v>32</v>
      </c>
      <c r="P5" t="str">
        <f t="shared" si="0"/>
        <v>4500114743330</v>
      </c>
      <c r="Q5" s="9" cm="1">
        <f t="array" ref="Q5:S5">VLOOKUP(P5,Hoja1!C:F,{2,3,4},FALSE)</f>
        <v>46301</v>
      </c>
      <c r="R5" t="str">
        <v>CGT</v>
      </c>
      <c r="S5" t="str">
        <v>1000001583 HELING S.A.</v>
      </c>
      <c r="T5" t="str">
        <f>VLOOKUP(P5,Hoja2!C:D,2,FALSE)</f>
        <v>EFUNES</v>
      </c>
    </row>
    <row r="6" spans="1:20" x14ac:dyDescent="0.3">
      <c r="A6" s="2" t="s">
        <v>15</v>
      </c>
      <c r="B6" s="3" t="s">
        <v>15</v>
      </c>
      <c r="C6" s="3" t="s">
        <v>33</v>
      </c>
      <c r="D6" s="3" t="s">
        <v>15</v>
      </c>
      <c r="E6" s="3" t="s">
        <v>34</v>
      </c>
      <c r="F6" s="4">
        <v>46029</v>
      </c>
      <c r="G6" s="3" t="s">
        <v>18</v>
      </c>
      <c r="H6" s="5">
        <v>140530</v>
      </c>
      <c r="I6" s="3" t="s">
        <v>19</v>
      </c>
      <c r="J6" s="3" t="s">
        <v>25</v>
      </c>
      <c r="K6" s="3" t="s">
        <v>15</v>
      </c>
      <c r="L6" s="3" t="s">
        <v>35</v>
      </c>
      <c r="M6" s="4">
        <v>46029</v>
      </c>
      <c r="N6" s="3" t="s">
        <v>29</v>
      </c>
      <c r="O6" s="3" t="s">
        <v>23</v>
      </c>
      <c r="P6" t="str">
        <f t="shared" si="0"/>
        <v>450011474310</v>
      </c>
      <c r="Q6" s="9" cm="1">
        <f t="array" ref="Q6:S6">VLOOKUP(P6,Hoja1!C:F,{2,3,4},FALSE)</f>
        <v>46290</v>
      </c>
      <c r="R6" t="str">
        <v>CGT</v>
      </c>
      <c r="S6" t="str">
        <v>1000001583 HELING S.A.</v>
      </c>
      <c r="T6" t="str">
        <f>VLOOKUP(P6,Hoja2!C:D,2,FALSE)</f>
        <v>EFUNES</v>
      </c>
    </row>
    <row r="7" spans="1:20" x14ac:dyDescent="0.3">
      <c r="A7" s="2" t="s">
        <v>15</v>
      </c>
      <c r="B7" s="3" t="s">
        <v>15</v>
      </c>
      <c r="C7" s="3" t="s">
        <v>36</v>
      </c>
      <c r="D7" s="3" t="s">
        <v>15</v>
      </c>
      <c r="E7" s="3" t="s">
        <v>34</v>
      </c>
      <c r="F7" s="4">
        <v>46037</v>
      </c>
      <c r="G7" s="3" t="s">
        <v>18</v>
      </c>
      <c r="H7" s="5">
        <v>4388722</v>
      </c>
      <c r="I7" s="3" t="s">
        <v>19</v>
      </c>
      <c r="J7" s="3" t="s">
        <v>25</v>
      </c>
      <c r="K7" s="3" t="s">
        <v>15</v>
      </c>
      <c r="L7" s="3" t="s">
        <v>37</v>
      </c>
      <c r="M7" s="4">
        <v>46038</v>
      </c>
      <c r="N7" s="3" t="s">
        <v>29</v>
      </c>
      <c r="O7" s="3" t="s">
        <v>38</v>
      </c>
      <c r="P7" t="str">
        <f t="shared" si="0"/>
        <v>450011474340</v>
      </c>
      <c r="Q7" s="9" cm="1">
        <f t="array" ref="Q7:S7">VLOOKUP(P7,Hoja1!C:F,{2,3,4},FALSE)</f>
        <v>46290</v>
      </c>
      <c r="R7" t="str">
        <v>CGT</v>
      </c>
      <c r="S7" t="str">
        <v>1000001583 HELING S.A.</v>
      </c>
      <c r="T7" t="str">
        <f>VLOOKUP(P7,Hoja2!C:D,2,FALSE)</f>
        <v>EFUNES</v>
      </c>
    </row>
    <row r="8" spans="1:20" x14ac:dyDescent="0.3">
      <c r="A8" s="2" t="s">
        <v>15</v>
      </c>
      <c r="B8" s="3" t="s">
        <v>15</v>
      </c>
      <c r="C8" s="3" t="s">
        <v>36</v>
      </c>
      <c r="D8" s="3" t="s">
        <v>15</v>
      </c>
      <c r="E8" s="3" t="s">
        <v>34</v>
      </c>
      <c r="F8" s="4">
        <v>46037</v>
      </c>
      <c r="G8" s="3" t="s">
        <v>18</v>
      </c>
      <c r="H8" s="5">
        <v>1314105</v>
      </c>
      <c r="I8" s="3" t="s">
        <v>19</v>
      </c>
      <c r="J8" s="3" t="s">
        <v>25</v>
      </c>
      <c r="K8" s="3" t="s">
        <v>15</v>
      </c>
      <c r="L8" s="3" t="s">
        <v>39</v>
      </c>
      <c r="M8" s="4">
        <v>46038</v>
      </c>
      <c r="N8" s="3" t="s">
        <v>29</v>
      </c>
      <c r="O8" s="3" t="s">
        <v>40</v>
      </c>
      <c r="P8" t="str">
        <f t="shared" si="0"/>
        <v>4500114743270</v>
      </c>
      <c r="Q8" s="9" cm="1">
        <f t="array" ref="Q8:S8">VLOOKUP(P8,Hoja1!C:F,{2,3,4},FALSE)</f>
        <v>46290</v>
      </c>
      <c r="R8" t="str">
        <v>CGT</v>
      </c>
      <c r="S8" t="str">
        <v>1000001583 HELING S.A.</v>
      </c>
      <c r="T8" t="str">
        <f>VLOOKUP(P8,Hoja2!C:D,2,FALSE)</f>
        <v>EFUNES</v>
      </c>
    </row>
    <row r="9" spans="1:20" x14ac:dyDescent="0.3">
      <c r="A9" s="2" t="s">
        <v>15</v>
      </c>
      <c r="B9" s="3" t="s">
        <v>15</v>
      </c>
      <c r="C9" s="3" t="s">
        <v>41</v>
      </c>
      <c r="D9" s="3" t="s">
        <v>15</v>
      </c>
      <c r="E9" s="3" t="s">
        <v>34</v>
      </c>
      <c r="F9" s="4">
        <v>46057</v>
      </c>
      <c r="G9" s="3" t="s">
        <v>18</v>
      </c>
      <c r="H9" s="5">
        <v>245000</v>
      </c>
      <c r="I9" s="3" t="s">
        <v>19</v>
      </c>
      <c r="J9" s="3" t="s">
        <v>25</v>
      </c>
      <c r="K9" s="3" t="s">
        <v>15</v>
      </c>
      <c r="L9" s="3" t="s">
        <v>42</v>
      </c>
      <c r="M9" s="4">
        <v>46062</v>
      </c>
      <c r="N9" s="3" t="s">
        <v>43</v>
      </c>
      <c r="O9" s="3" t="s">
        <v>23</v>
      </c>
      <c r="P9" t="str">
        <f t="shared" si="0"/>
        <v>450011783110</v>
      </c>
      <c r="Q9" s="9" cm="1">
        <f t="array" ref="Q9:S9">VLOOKUP(P9,Hoja1!C:F,{2,3,4},FALSE)</f>
        <v>46056</v>
      </c>
      <c r="R9" t="str">
        <v>C27</v>
      </c>
      <c r="S9" t="str">
        <v>1000007611 ANTONIO B ATENOR E HIJOS S R L</v>
      </c>
      <c r="T9" t="str">
        <f>VLOOKUP(P9,Hoja2!C:D,2,FALSE)</f>
        <v>JESPARZA</v>
      </c>
    </row>
    <row r="10" spans="1:20" x14ac:dyDescent="0.3">
      <c r="A10" s="2" t="s">
        <v>15</v>
      </c>
      <c r="B10" s="3" t="s">
        <v>15</v>
      </c>
      <c r="C10" s="3" t="s">
        <v>44</v>
      </c>
      <c r="D10" s="3" t="s">
        <v>15</v>
      </c>
      <c r="E10" s="3" t="s">
        <v>34</v>
      </c>
      <c r="F10" s="4">
        <v>46083</v>
      </c>
      <c r="G10" s="3" t="s">
        <v>18</v>
      </c>
      <c r="H10" s="5">
        <v>4104100</v>
      </c>
      <c r="I10" s="3" t="s">
        <v>19</v>
      </c>
      <c r="J10" s="3" t="s">
        <v>25</v>
      </c>
      <c r="K10" s="3" t="s">
        <v>15</v>
      </c>
      <c r="L10" s="3" t="s">
        <v>45</v>
      </c>
      <c r="M10" s="4">
        <v>46083</v>
      </c>
      <c r="N10" s="3" t="s">
        <v>29</v>
      </c>
      <c r="O10" s="3" t="s">
        <v>38</v>
      </c>
      <c r="P10" t="str">
        <f t="shared" si="0"/>
        <v>450011474340</v>
      </c>
      <c r="Q10" s="9" cm="1">
        <f t="array" ref="Q10:S10">VLOOKUP(P10,Hoja1!C:F,{2,3,4},FALSE)</f>
        <v>46290</v>
      </c>
      <c r="R10" t="str">
        <v>CGT</v>
      </c>
      <c r="S10" t="str">
        <v>1000001583 HELING S.A.</v>
      </c>
      <c r="T10" t="str">
        <f>VLOOKUP(P10,Hoja2!C:D,2,FALSE)</f>
        <v>EFUNES</v>
      </c>
    </row>
    <row r="11" spans="1:20" x14ac:dyDescent="0.3">
      <c r="A11" s="2" t="s">
        <v>15</v>
      </c>
      <c r="B11" s="3" t="s">
        <v>15</v>
      </c>
      <c r="C11" s="3" t="s">
        <v>44</v>
      </c>
      <c r="D11" s="3" t="s">
        <v>15</v>
      </c>
      <c r="E11" s="3" t="s">
        <v>34</v>
      </c>
      <c r="F11" s="4">
        <v>46083</v>
      </c>
      <c r="G11" s="3" t="s">
        <v>18</v>
      </c>
      <c r="H11" s="5">
        <v>3693690</v>
      </c>
      <c r="I11" s="3" t="s">
        <v>19</v>
      </c>
      <c r="J11" s="3" t="s">
        <v>25</v>
      </c>
      <c r="K11" s="3" t="s">
        <v>15</v>
      </c>
      <c r="L11" s="3" t="s">
        <v>46</v>
      </c>
      <c r="M11" s="4">
        <v>46083</v>
      </c>
      <c r="N11" s="3" t="s">
        <v>29</v>
      </c>
      <c r="O11" s="3" t="s">
        <v>47</v>
      </c>
      <c r="P11" t="str">
        <f t="shared" si="0"/>
        <v>450011474350</v>
      </c>
      <c r="Q11" s="9" cm="1">
        <f t="array" ref="Q11:S11">VLOOKUP(P11,Hoja1!C:F,{2,3,4},FALSE)</f>
        <v>46290</v>
      </c>
      <c r="R11" t="str">
        <v>CGT</v>
      </c>
      <c r="S11" t="str">
        <v>1000001583 HELING S.A.</v>
      </c>
      <c r="T11" t="str">
        <f>VLOOKUP(P11,Hoja2!C:D,2,FALSE)</f>
        <v>EFUNES</v>
      </c>
    </row>
    <row r="12" spans="1:20" x14ac:dyDescent="0.3">
      <c r="A12" s="2" t="s">
        <v>15</v>
      </c>
      <c r="B12" s="3" t="s">
        <v>15</v>
      </c>
      <c r="C12" s="3" t="s">
        <v>44</v>
      </c>
      <c r="D12" s="3" t="s">
        <v>15</v>
      </c>
      <c r="E12" s="3" t="s">
        <v>34</v>
      </c>
      <c r="F12" s="4">
        <v>46083</v>
      </c>
      <c r="G12" s="3" t="s">
        <v>18</v>
      </c>
      <c r="H12" s="5">
        <v>783640</v>
      </c>
      <c r="I12" s="3" t="s">
        <v>19</v>
      </c>
      <c r="J12" s="3" t="s">
        <v>25</v>
      </c>
      <c r="K12" s="3" t="s">
        <v>15</v>
      </c>
      <c r="L12" s="3" t="s">
        <v>48</v>
      </c>
      <c r="M12" s="4">
        <v>46083</v>
      </c>
      <c r="N12" s="3" t="s">
        <v>29</v>
      </c>
      <c r="O12" s="3" t="s">
        <v>49</v>
      </c>
      <c r="P12" t="str">
        <f t="shared" si="0"/>
        <v>450011474330</v>
      </c>
      <c r="Q12" s="9" cm="1">
        <f t="array" ref="Q12:S12">VLOOKUP(P12,Hoja1!C:F,{2,3,4},FALSE)</f>
        <v>46290</v>
      </c>
      <c r="R12" t="str">
        <v>CGT</v>
      </c>
      <c r="S12" t="str">
        <v>1000001583 HELING S.A.</v>
      </c>
      <c r="T12" t="str">
        <f>VLOOKUP(P12,Hoja2!C:D,2,FALSE)</f>
        <v>EFUNES</v>
      </c>
    </row>
    <row r="13" spans="1:20" x14ac:dyDescent="0.3">
      <c r="A13" s="2" t="s">
        <v>15</v>
      </c>
      <c r="B13" s="3" t="s">
        <v>15</v>
      </c>
      <c r="C13" s="3" t="s">
        <v>44</v>
      </c>
      <c r="D13" s="3" t="s">
        <v>15</v>
      </c>
      <c r="E13" s="3" t="s">
        <v>34</v>
      </c>
      <c r="F13" s="4">
        <v>46083</v>
      </c>
      <c r="G13" s="3" t="s">
        <v>18</v>
      </c>
      <c r="H13" s="5">
        <v>1430</v>
      </c>
      <c r="I13" s="3" t="s">
        <v>19</v>
      </c>
      <c r="J13" s="3" t="s">
        <v>25</v>
      </c>
      <c r="K13" s="3" t="s">
        <v>15</v>
      </c>
      <c r="L13" s="3" t="s">
        <v>50</v>
      </c>
      <c r="M13" s="4">
        <v>46083</v>
      </c>
      <c r="N13" s="3" t="s">
        <v>29</v>
      </c>
      <c r="O13" s="3" t="s">
        <v>51</v>
      </c>
      <c r="P13" t="str">
        <f t="shared" si="0"/>
        <v>4500114743170</v>
      </c>
      <c r="Q13" s="9" cm="1">
        <f t="array" ref="Q13:S13">VLOOKUP(P13,Hoja1!C:F,{2,3,4},FALSE)</f>
        <v>46290</v>
      </c>
      <c r="R13" t="str">
        <v>CGT</v>
      </c>
      <c r="S13" t="str">
        <v>1000001583 HELING S.A.</v>
      </c>
      <c r="T13" t="str">
        <f>VLOOKUP(P13,Hoja2!C:D,2,FALSE)</f>
        <v>EFUNES</v>
      </c>
    </row>
    <row r="14" spans="1:20" x14ac:dyDescent="0.3">
      <c r="A14" s="2" t="s">
        <v>15</v>
      </c>
      <c r="B14" s="3" t="s">
        <v>15</v>
      </c>
      <c r="C14" s="3" t="s">
        <v>44</v>
      </c>
      <c r="D14" s="3" t="s">
        <v>15</v>
      </c>
      <c r="E14" s="3" t="s">
        <v>34</v>
      </c>
      <c r="F14" s="4">
        <v>46083</v>
      </c>
      <c r="G14" s="3" t="s">
        <v>18</v>
      </c>
      <c r="H14" s="5">
        <v>42900</v>
      </c>
      <c r="I14" s="3" t="s">
        <v>19</v>
      </c>
      <c r="J14" s="3" t="s">
        <v>25</v>
      </c>
      <c r="K14" s="3" t="s">
        <v>15</v>
      </c>
      <c r="L14" s="3" t="s">
        <v>52</v>
      </c>
      <c r="M14" s="4">
        <v>46083</v>
      </c>
      <c r="N14" s="3" t="s">
        <v>29</v>
      </c>
      <c r="O14" s="3" t="s">
        <v>53</v>
      </c>
      <c r="P14" t="str">
        <f t="shared" si="0"/>
        <v>4500114743480</v>
      </c>
      <c r="Q14" s="9" cm="1">
        <f t="array" ref="Q14:S14">VLOOKUP(P14,Hoja1!C:F,{2,3,4},FALSE)</f>
        <v>46290</v>
      </c>
      <c r="R14" t="str">
        <v>CGT</v>
      </c>
      <c r="S14" t="str">
        <v>1000001583 HELING S.A.</v>
      </c>
      <c r="T14" t="str">
        <f>VLOOKUP(P14,Hoja2!C:D,2,FALSE)</f>
        <v>EFUNES</v>
      </c>
    </row>
    <row r="15" spans="1:20" x14ac:dyDescent="0.3">
      <c r="A15" s="2" t="s">
        <v>15</v>
      </c>
      <c r="B15" s="3" t="s">
        <v>15</v>
      </c>
      <c r="C15" s="3" t="s">
        <v>44</v>
      </c>
      <c r="D15" s="3" t="s">
        <v>15</v>
      </c>
      <c r="E15" s="3" t="s">
        <v>34</v>
      </c>
      <c r="F15" s="4">
        <v>46083</v>
      </c>
      <c r="G15" s="3" t="s">
        <v>18</v>
      </c>
      <c r="H15" s="5">
        <v>1430</v>
      </c>
      <c r="I15" s="3" t="s">
        <v>19</v>
      </c>
      <c r="J15" s="3" t="s">
        <v>25</v>
      </c>
      <c r="K15" s="3" t="s">
        <v>15</v>
      </c>
      <c r="L15" s="3" t="s">
        <v>54</v>
      </c>
      <c r="M15" s="4">
        <v>46083</v>
      </c>
      <c r="N15" s="3" t="s">
        <v>29</v>
      </c>
      <c r="O15" s="3" t="s">
        <v>30</v>
      </c>
      <c r="P15" t="str">
        <f t="shared" si="0"/>
        <v>4500114743320</v>
      </c>
      <c r="Q15" s="9" cm="1">
        <f t="array" ref="Q15:S15">VLOOKUP(P15,Hoja1!C:F,{2,3,4},FALSE)</f>
        <v>46290</v>
      </c>
      <c r="R15" t="str">
        <v>CGT</v>
      </c>
      <c r="S15" t="str">
        <v>1000001583 HELING S.A.</v>
      </c>
      <c r="T15" t="str">
        <f>VLOOKUP(P15,Hoja2!C:D,2,FALSE)</f>
        <v>EFUNES</v>
      </c>
    </row>
    <row r="16" spans="1:20" x14ac:dyDescent="0.3">
      <c r="A16" s="2" t="s">
        <v>15</v>
      </c>
      <c r="B16" s="3" t="s">
        <v>15</v>
      </c>
      <c r="C16" s="3" t="s">
        <v>55</v>
      </c>
      <c r="D16" s="3" t="s">
        <v>56</v>
      </c>
      <c r="E16" s="3" t="s">
        <v>34</v>
      </c>
      <c r="F16" s="4">
        <v>46038</v>
      </c>
      <c r="G16" s="3" t="s">
        <v>18</v>
      </c>
      <c r="H16" s="5">
        <v>85148.23</v>
      </c>
      <c r="I16" s="3" t="s">
        <v>19</v>
      </c>
      <c r="J16" s="3" t="s">
        <v>25</v>
      </c>
      <c r="K16" s="3" t="s">
        <v>15</v>
      </c>
      <c r="L16" s="3" t="s">
        <v>57</v>
      </c>
      <c r="M16" s="4">
        <v>46118</v>
      </c>
      <c r="N16" s="3" t="s">
        <v>58</v>
      </c>
      <c r="O16" s="3" t="s">
        <v>23</v>
      </c>
      <c r="P16" t="str">
        <f t="shared" si="0"/>
        <v>450010951410</v>
      </c>
      <c r="Q16" s="9" cm="1">
        <f t="array" ref="Q16:S16">VLOOKUP(P16,Hoja1!C:F,{2,3,4},FALSE)</f>
        <v>46162</v>
      </c>
      <c r="R16" t="str">
        <v>C01</v>
      </c>
      <c r="S16" t="str">
        <v>1000008967 JACARANDA S.A.</v>
      </c>
      <c r="T16" t="str">
        <f>VLOOKUP(P16,Hoja2!C:D,2,FALSE)</f>
        <v>MMOHR</v>
      </c>
    </row>
    <row r="17" spans="1:20" x14ac:dyDescent="0.3">
      <c r="A17" s="2" t="s">
        <v>15</v>
      </c>
      <c r="B17" s="3" t="s">
        <v>15</v>
      </c>
      <c r="C17" s="3" t="s">
        <v>59</v>
      </c>
      <c r="D17" s="3" t="s">
        <v>15</v>
      </c>
      <c r="E17" s="3" t="s">
        <v>34</v>
      </c>
      <c r="F17" s="4">
        <v>46153</v>
      </c>
      <c r="G17" s="3" t="s">
        <v>18</v>
      </c>
      <c r="H17" s="5">
        <v>815080</v>
      </c>
      <c r="I17" s="3" t="s">
        <v>19</v>
      </c>
      <c r="J17" s="3" t="s">
        <v>25</v>
      </c>
      <c r="K17" s="3" t="s">
        <v>15</v>
      </c>
      <c r="L17" s="3" t="s">
        <v>60</v>
      </c>
      <c r="M17" s="4">
        <v>46153</v>
      </c>
      <c r="N17" s="3" t="s">
        <v>61</v>
      </c>
      <c r="O17" s="3" t="s">
        <v>62</v>
      </c>
      <c r="P17" t="str">
        <f t="shared" si="0"/>
        <v>450012729520</v>
      </c>
      <c r="Q17" s="9" cm="1">
        <f t="array" ref="Q17:S17">VLOOKUP(P17,Hoja1!C:F,{2,3,4},FALSE)</f>
        <v>46301</v>
      </c>
      <c r="R17" t="str">
        <v>CGT</v>
      </c>
      <c r="S17" t="str">
        <v>1000001583 HELING S.A.</v>
      </c>
      <c r="T17" t="str">
        <f>VLOOKUP(P17,Hoja2!C:D,2,FALSE)</f>
        <v>WVENTURINI</v>
      </c>
    </row>
    <row r="18" spans="1:20" x14ac:dyDescent="0.3">
      <c r="A18" s="2" t="s">
        <v>15</v>
      </c>
      <c r="B18" s="3" t="s">
        <v>15</v>
      </c>
      <c r="C18" s="3" t="s">
        <v>63</v>
      </c>
      <c r="D18" s="3" t="s">
        <v>56</v>
      </c>
      <c r="E18" s="3" t="s">
        <v>34</v>
      </c>
      <c r="F18" s="4">
        <v>46149</v>
      </c>
      <c r="G18" s="3" t="s">
        <v>64</v>
      </c>
      <c r="H18" s="6">
        <v>-350000</v>
      </c>
      <c r="I18" s="3" t="s">
        <v>19</v>
      </c>
      <c r="J18" s="3" t="s">
        <v>25</v>
      </c>
      <c r="K18" s="3" t="s">
        <v>15</v>
      </c>
      <c r="L18" s="3" t="s">
        <v>65</v>
      </c>
      <c r="M18" s="4">
        <v>46184</v>
      </c>
      <c r="N18" s="3" t="s">
        <v>66</v>
      </c>
      <c r="O18" s="3" t="s">
        <v>23</v>
      </c>
      <c r="P18" t="str">
        <f t="shared" si="0"/>
        <v>450012695410</v>
      </c>
      <c r="Q18" s="9" cm="1">
        <f t="array" ref="Q18:S18">VLOOKUP(P18,Hoja1!C:F,{2,3,4},FALSE)</f>
        <v>46169</v>
      </c>
      <c r="R18" t="str">
        <v>C01</v>
      </c>
      <c r="S18" t="str">
        <v>1000001560 MARADONA PRADO ISABEL MARGARIT</v>
      </c>
      <c r="T18" t="str">
        <f>VLOOKUP(P18,Hoja2!C:D,2,FALSE)</f>
        <v>AZAPANA</v>
      </c>
    </row>
    <row r="19" spans="1:20" x14ac:dyDescent="0.3">
      <c r="A19" s="2" t="s">
        <v>15</v>
      </c>
      <c r="B19" s="3" t="s">
        <v>15</v>
      </c>
      <c r="C19" s="3" t="s">
        <v>63</v>
      </c>
      <c r="D19" s="3" t="s">
        <v>56</v>
      </c>
      <c r="E19" s="3" t="s">
        <v>34</v>
      </c>
      <c r="F19" s="4">
        <v>46149</v>
      </c>
      <c r="G19" s="3" t="s">
        <v>64</v>
      </c>
      <c r="H19" s="6">
        <v>-560000</v>
      </c>
      <c r="I19" s="3" t="s">
        <v>19</v>
      </c>
      <c r="J19" s="3" t="s">
        <v>25</v>
      </c>
      <c r="K19" s="3" t="s">
        <v>15</v>
      </c>
      <c r="L19" s="3" t="s">
        <v>67</v>
      </c>
      <c r="M19" s="4">
        <v>46184</v>
      </c>
      <c r="N19" s="3" t="s">
        <v>66</v>
      </c>
      <c r="O19" s="3" t="s">
        <v>62</v>
      </c>
      <c r="P19" t="str">
        <f t="shared" si="0"/>
        <v>450012695420</v>
      </c>
      <c r="Q19" s="9" cm="1">
        <f t="array" ref="Q19:S19">VLOOKUP(P19,Hoja1!C:F,{2,3,4},FALSE)</f>
        <v>46169</v>
      </c>
      <c r="R19" t="str">
        <v>C01</v>
      </c>
      <c r="S19" t="str">
        <v>1000001560 MARADONA PRADO ISABEL MARGARIT</v>
      </c>
      <c r="T19" t="str">
        <f>VLOOKUP(P19,Hoja2!C:D,2,FALSE)</f>
        <v>AZAPANA</v>
      </c>
    </row>
    <row r="20" spans="1:20" x14ac:dyDescent="0.3">
      <c r="A20" s="2" t="s">
        <v>15</v>
      </c>
      <c r="B20" s="3" t="s">
        <v>15</v>
      </c>
      <c r="C20" s="3" t="s">
        <v>68</v>
      </c>
      <c r="D20" s="3" t="s">
        <v>56</v>
      </c>
      <c r="E20" s="3" t="s">
        <v>34</v>
      </c>
      <c r="F20" s="4">
        <v>46205</v>
      </c>
      <c r="G20" s="3" t="s">
        <v>18</v>
      </c>
      <c r="H20" s="5">
        <v>411800</v>
      </c>
      <c r="I20" s="3" t="s">
        <v>19</v>
      </c>
      <c r="J20" s="3" t="s">
        <v>20</v>
      </c>
      <c r="K20" s="3" t="s">
        <v>15</v>
      </c>
      <c r="L20" s="3" t="s">
        <v>69</v>
      </c>
      <c r="M20" s="4">
        <v>46209</v>
      </c>
      <c r="N20" s="3" t="s">
        <v>70</v>
      </c>
      <c r="O20" s="3" t="s">
        <v>23</v>
      </c>
      <c r="P20" t="str">
        <f t="shared" si="0"/>
        <v>450012326210</v>
      </c>
      <c r="Q20" s="9" cm="1">
        <f t="array" ref="Q20:S20">VLOOKUP(P20,Hoja1!C:F,{2,3,4},FALSE)</f>
        <v>46233</v>
      </c>
      <c r="R20" t="str">
        <v>C25</v>
      </c>
      <c r="S20" t="str">
        <v>1000012132 PRODUCTOS SERVICIOS Y DISTRIBUCIONE</v>
      </c>
      <c r="T20" t="str">
        <f>VLOOKUP(P20,Hoja2!C:D,2,FALSE)</f>
        <v>MPITTIA</v>
      </c>
    </row>
    <row r="21" spans="1:20" x14ac:dyDescent="0.3">
      <c r="A21" s="2" t="s">
        <v>15</v>
      </c>
      <c r="B21" s="3" t="s">
        <v>15</v>
      </c>
      <c r="C21" s="3" t="s">
        <v>71</v>
      </c>
      <c r="D21" s="3" t="s">
        <v>56</v>
      </c>
      <c r="E21" s="3" t="s">
        <v>34</v>
      </c>
      <c r="F21" s="4">
        <v>46219</v>
      </c>
      <c r="G21" s="3" t="s">
        <v>18</v>
      </c>
      <c r="H21" s="5">
        <v>118860</v>
      </c>
      <c r="I21" s="3" t="s">
        <v>19</v>
      </c>
      <c r="J21" s="3" t="s">
        <v>25</v>
      </c>
      <c r="K21" s="3" t="s">
        <v>15</v>
      </c>
      <c r="L21" s="3" t="s">
        <v>72</v>
      </c>
      <c r="M21" s="4">
        <v>46232</v>
      </c>
      <c r="N21" s="3" t="s">
        <v>73</v>
      </c>
      <c r="O21" s="3" t="s">
        <v>23</v>
      </c>
      <c r="P21" t="str">
        <f t="shared" si="0"/>
        <v>450012303610</v>
      </c>
      <c r="Q21" s="9" cm="1">
        <f t="array" ref="Q21:S21">VLOOKUP(P21,Hoja1!C:F,{2,3,4},FALSE)</f>
        <v>46282</v>
      </c>
      <c r="R21" t="str">
        <v>C01</v>
      </c>
      <c r="S21" t="str">
        <v>1000008967 JACARANDA S.A.</v>
      </c>
      <c r="T21" t="str">
        <f>VLOOKUP(P21,Hoja2!C:D,2,FALSE)</f>
        <v>GLUNA</v>
      </c>
    </row>
    <row r="22" spans="1:20" x14ac:dyDescent="0.3">
      <c r="A22" s="2" t="s">
        <v>15</v>
      </c>
      <c r="B22" s="3" t="s">
        <v>15</v>
      </c>
      <c r="C22" s="3" t="s">
        <v>74</v>
      </c>
      <c r="D22" s="3" t="s">
        <v>56</v>
      </c>
      <c r="E22" s="3" t="s">
        <v>34</v>
      </c>
      <c r="F22" s="4">
        <v>46234</v>
      </c>
      <c r="G22" s="3" t="s">
        <v>18</v>
      </c>
      <c r="H22" s="5">
        <v>7500000</v>
      </c>
      <c r="I22" s="3" t="s">
        <v>19</v>
      </c>
      <c r="J22" s="3" t="s">
        <v>20</v>
      </c>
      <c r="K22" s="3" t="s">
        <v>15</v>
      </c>
      <c r="L22" s="3" t="s">
        <v>75</v>
      </c>
      <c r="M22" s="4">
        <v>46238</v>
      </c>
      <c r="N22" s="3" t="s">
        <v>76</v>
      </c>
      <c r="O22" s="3" t="s">
        <v>23</v>
      </c>
      <c r="P22" t="str">
        <f t="shared" si="0"/>
        <v>450012854310</v>
      </c>
      <c r="Q22" s="9" cm="1">
        <f t="array" ref="Q22:S22">VLOOKUP(P22,Hoja1!C:F,{2,3,4},FALSE)</f>
        <v>46236</v>
      </c>
      <c r="R22" t="str">
        <v>C25</v>
      </c>
      <c r="S22" t="str">
        <v>1000012097 TRANSPORTE TMS S. A. S.</v>
      </c>
      <c r="T22" t="str">
        <f>VLOOKUP(P22,Hoja2!C:D,2,FALSE)</f>
        <v>MPITTIA</v>
      </c>
    </row>
    <row r="23" spans="1:20" x14ac:dyDescent="0.3">
      <c r="A23" s="2" t="s">
        <v>15</v>
      </c>
      <c r="B23" s="3" t="s">
        <v>15</v>
      </c>
      <c r="C23" s="3" t="s">
        <v>77</v>
      </c>
      <c r="D23" s="3" t="s">
        <v>56</v>
      </c>
      <c r="E23" s="3" t="s">
        <v>34</v>
      </c>
      <c r="F23" s="4">
        <v>46266</v>
      </c>
      <c r="G23" s="3" t="s">
        <v>18</v>
      </c>
      <c r="H23" s="5">
        <v>1582519.68</v>
      </c>
      <c r="I23" s="3" t="s">
        <v>19</v>
      </c>
      <c r="J23" s="3" t="s">
        <v>20</v>
      </c>
      <c r="K23" s="3" t="s">
        <v>15</v>
      </c>
      <c r="L23" s="3" t="s">
        <v>78</v>
      </c>
      <c r="M23" s="4">
        <v>46273</v>
      </c>
      <c r="N23" s="3" t="s">
        <v>79</v>
      </c>
      <c r="O23" s="3" t="s">
        <v>23</v>
      </c>
      <c r="P23" t="str">
        <f t="shared" si="0"/>
        <v>450013722710</v>
      </c>
      <c r="Q23" s="9" cm="1">
        <f t="array" ref="Q23:S23">VLOOKUP(P23,Hoja1!C:F,{2,3,4},FALSE)</f>
        <v>46325</v>
      </c>
      <c r="R23" t="str">
        <v>C25</v>
      </c>
      <c r="S23" t="str">
        <v>1000012097 TRANSPORTE TMS S. A. S.</v>
      </c>
      <c r="T23" t="str">
        <f>VLOOKUP(P23,Hoja2!C:D,2,FALSE)</f>
        <v>MPITTIA</v>
      </c>
    </row>
    <row r="24" spans="1:20" x14ac:dyDescent="0.3">
      <c r="A24" s="2" t="s">
        <v>15</v>
      </c>
      <c r="B24" s="3" t="s">
        <v>15</v>
      </c>
      <c r="C24" s="3" t="s">
        <v>80</v>
      </c>
      <c r="D24" s="3" t="s">
        <v>56</v>
      </c>
      <c r="E24" s="3" t="s">
        <v>34</v>
      </c>
      <c r="F24" s="4">
        <v>46265</v>
      </c>
      <c r="G24" s="3" t="s">
        <v>18</v>
      </c>
      <c r="H24" s="5">
        <v>19810</v>
      </c>
      <c r="I24" s="3" t="s">
        <v>19</v>
      </c>
      <c r="J24" s="3" t="s">
        <v>25</v>
      </c>
      <c r="K24" s="3" t="s">
        <v>15</v>
      </c>
      <c r="L24" s="3" t="s">
        <v>81</v>
      </c>
      <c r="M24" s="4">
        <v>46286</v>
      </c>
      <c r="N24" s="3" t="s">
        <v>73</v>
      </c>
      <c r="O24" s="3" t="s">
        <v>23</v>
      </c>
      <c r="P24" t="str">
        <f t="shared" si="0"/>
        <v>450012303610</v>
      </c>
      <c r="Q24" s="9" cm="1">
        <f t="array" ref="Q24:S24">VLOOKUP(P24,Hoja1!C:F,{2,3,4},FALSE)</f>
        <v>46282</v>
      </c>
      <c r="R24" t="str">
        <v>C01</v>
      </c>
      <c r="S24" t="str">
        <v>1000008967 JACARANDA S.A.</v>
      </c>
      <c r="T24" t="str">
        <f>VLOOKUP(P24,Hoja2!C:D,2,FALSE)</f>
        <v>GLUNA</v>
      </c>
    </row>
    <row r="25" spans="1:20" x14ac:dyDescent="0.3">
      <c r="A25" s="2" t="s">
        <v>15</v>
      </c>
      <c r="B25" s="3" t="s">
        <v>15</v>
      </c>
      <c r="C25" s="3" t="s">
        <v>82</v>
      </c>
      <c r="D25" s="3" t="s">
        <v>15</v>
      </c>
      <c r="E25" s="3" t="s">
        <v>34</v>
      </c>
      <c r="F25" s="4">
        <v>46279</v>
      </c>
      <c r="G25" s="3" t="s">
        <v>18</v>
      </c>
      <c r="H25" s="5">
        <v>582724.80000000005</v>
      </c>
      <c r="I25" s="3" t="s">
        <v>19</v>
      </c>
      <c r="J25" s="3" t="s">
        <v>25</v>
      </c>
      <c r="K25" s="3" t="s">
        <v>15</v>
      </c>
      <c r="L25" s="3" t="s">
        <v>83</v>
      </c>
      <c r="M25" s="4">
        <v>46287</v>
      </c>
      <c r="N25" s="3" t="s">
        <v>84</v>
      </c>
      <c r="O25" s="3" t="s">
        <v>62</v>
      </c>
      <c r="P25" t="str">
        <f t="shared" si="0"/>
        <v>450013710720</v>
      </c>
      <c r="Q25" s="9" cm="1">
        <f t="array" ref="Q25:S25">VLOOKUP(P25,Hoja1!C:F,{2,3,4},FALSE)</f>
        <v>46307</v>
      </c>
      <c r="R25" t="str">
        <v>C01</v>
      </c>
      <c r="S25" t="str">
        <v>1000013513 ROLCAR SA</v>
      </c>
      <c r="T25" t="str">
        <f>VLOOKUP(P25,Hoja2!C:D,2,FALSE)</f>
        <v>AZAPANA</v>
      </c>
    </row>
    <row r="26" spans="1:20" x14ac:dyDescent="0.3">
      <c r="A26" s="2" t="s">
        <v>15</v>
      </c>
      <c r="B26" s="3" t="s">
        <v>15</v>
      </c>
      <c r="C26" s="3" t="s">
        <v>85</v>
      </c>
      <c r="D26" s="3" t="s">
        <v>15</v>
      </c>
      <c r="E26" s="3" t="s">
        <v>34</v>
      </c>
      <c r="F26" s="4">
        <v>46174</v>
      </c>
      <c r="G26" s="3" t="s">
        <v>18</v>
      </c>
      <c r="H26" s="5">
        <v>142596.96</v>
      </c>
      <c r="I26" s="3" t="s">
        <v>19</v>
      </c>
      <c r="J26" s="3" t="s">
        <v>25</v>
      </c>
      <c r="K26" s="3" t="s">
        <v>15</v>
      </c>
      <c r="L26" s="3" t="s">
        <v>86</v>
      </c>
      <c r="M26" s="4">
        <v>46294</v>
      </c>
      <c r="N26" s="3" t="s">
        <v>87</v>
      </c>
      <c r="O26" s="3" t="s">
        <v>23</v>
      </c>
      <c r="P26" t="str">
        <f t="shared" si="0"/>
        <v>450012906110</v>
      </c>
      <c r="Q26" s="9" cm="1">
        <f t="array" ref="Q26:S26">VLOOKUP(P26,Hoja1!C:F,{2,3,4},FALSE)</f>
        <v>46183</v>
      </c>
      <c r="R26" t="str">
        <v>F13</v>
      </c>
      <c r="S26" t="str">
        <v>1000000907 SERVICIOS VIALES DE STA. FE SA</v>
      </c>
      <c r="T26" t="str">
        <f>VLOOKUP(P26,Hoja2!C:D,2,FALSE)</f>
        <v>RPEREZ</v>
      </c>
    </row>
    <row r="27" spans="1:20" x14ac:dyDescent="0.3">
      <c r="A27" s="2" t="s">
        <v>15</v>
      </c>
      <c r="B27" s="3" t="s">
        <v>15</v>
      </c>
      <c r="C27" s="3" t="s">
        <v>85</v>
      </c>
      <c r="D27" s="3" t="s">
        <v>15</v>
      </c>
      <c r="E27" s="3" t="s">
        <v>34</v>
      </c>
      <c r="F27" s="4">
        <v>46174</v>
      </c>
      <c r="G27" s="3" t="s">
        <v>18</v>
      </c>
      <c r="H27" s="5">
        <v>29181.9</v>
      </c>
      <c r="I27" s="3" t="s">
        <v>19</v>
      </c>
      <c r="J27" s="3" t="s">
        <v>25</v>
      </c>
      <c r="K27" s="3" t="s">
        <v>15</v>
      </c>
      <c r="L27" s="3" t="s">
        <v>88</v>
      </c>
      <c r="M27" s="4">
        <v>46294</v>
      </c>
      <c r="N27" s="3" t="s">
        <v>87</v>
      </c>
      <c r="O27" s="3" t="s">
        <v>62</v>
      </c>
      <c r="P27" t="str">
        <f t="shared" si="0"/>
        <v>450012906120</v>
      </c>
      <c r="Q27" s="9" cm="1">
        <f t="array" ref="Q27:S27">VLOOKUP(P27,Hoja1!C:F,{2,3,4},FALSE)</f>
        <v>46224</v>
      </c>
      <c r="R27" t="str">
        <v>F13</v>
      </c>
      <c r="S27" t="str">
        <v>1000000907 SERVICIOS VIALES DE STA. FE SA</v>
      </c>
      <c r="T27" t="str">
        <f>VLOOKUP(P27,Hoja2!C:D,2,FALSE)</f>
        <v>RPEREZ</v>
      </c>
    </row>
    <row r="28" spans="1:20" x14ac:dyDescent="0.3">
      <c r="A28" s="2" t="s">
        <v>15</v>
      </c>
      <c r="B28" s="3" t="s">
        <v>15</v>
      </c>
      <c r="C28" s="3" t="s">
        <v>85</v>
      </c>
      <c r="D28" s="3" t="s">
        <v>15</v>
      </c>
      <c r="E28" s="3" t="s">
        <v>34</v>
      </c>
      <c r="F28" s="4">
        <v>46174</v>
      </c>
      <c r="G28" s="3" t="s">
        <v>18</v>
      </c>
      <c r="H28" s="5">
        <v>29181.9</v>
      </c>
      <c r="I28" s="3" t="s">
        <v>19</v>
      </c>
      <c r="J28" s="3" t="s">
        <v>25</v>
      </c>
      <c r="K28" s="3" t="s">
        <v>15</v>
      </c>
      <c r="L28" s="3" t="s">
        <v>89</v>
      </c>
      <c r="M28" s="4">
        <v>46294</v>
      </c>
      <c r="N28" s="3" t="s">
        <v>87</v>
      </c>
      <c r="O28" s="3" t="s">
        <v>62</v>
      </c>
      <c r="P28" t="str">
        <f t="shared" si="0"/>
        <v>450012906120</v>
      </c>
      <c r="Q28" s="9" cm="1">
        <f t="array" ref="Q28:S28">VLOOKUP(P28,Hoja1!C:F,{2,3,4},FALSE)</f>
        <v>46224</v>
      </c>
      <c r="R28" t="str">
        <v>F13</v>
      </c>
      <c r="S28" t="str">
        <v>1000000907 SERVICIOS VIALES DE STA. FE SA</v>
      </c>
      <c r="T28" t="str">
        <f>VLOOKUP(P28,Hoja2!C:D,2,FALSE)</f>
        <v>RPEREZ</v>
      </c>
    </row>
    <row r="29" spans="1:20" x14ac:dyDescent="0.3">
      <c r="A29" s="2" t="s">
        <v>15</v>
      </c>
      <c r="B29" s="3" t="s">
        <v>15</v>
      </c>
      <c r="C29" s="3" t="s">
        <v>85</v>
      </c>
      <c r="D29" s="3" t="s">
        <v>15</v>
      </c>
      <c r="E29" s="3" t="s">
        <v>34</v>
      </c>
      <c r="F29" s="4">
        <v>46174</v>
      </c>
      <c r="G29" s="3" t="s">
        <v>18</v>
      </c>
      <c r="H29" s="5">
        <v>30128.18</v>
      </c>
      <c r="I29" s="3" t="s">
        <v>19</v>
      </c>
      <c r="J29" s="3" t="s">
        <v>25</v>
      </c>
      <c r="K29" s="3" t="s">
        <v>15</v>
      </c>
      <c r="L29" s="3" t="s">
        <v>90</v>
      </c>
      <c r="M29" s="4">
        <v>46294</v>
      </c>
      <c r="N29" s="3" t="s">
        <v>87</v>
      </c>
      <c r="O29" s="3" t="s">
        <v>62</v>
      </c>
      <c r="P29" t="str">
        <f t="shared" si="0"/>
        <v>450012906120</v>
      </c>
      <c r="Q29" s="9" cm="1">
        <f t="array" ref="Q29:S29">VLOOKUP(P29,Hoja1!C:F,{2,3,4},FALSE)</f>
        <v>46224</v>
      </c>
      <c r="R29" t="str">
        <v>F13</v>
      </c>
      <c r="S29" t="str">
        <v>1000000907 SERVICIOS VIALES DE STA. FE SA</v>
      </c>
      <c r="T29" t="str">
        <f>VLOOKUP(P29,Hoja2!C:D,2,FALSE)</f>
        <v>RPEREZ</v>
      </c>
    </row>
    <row r="30" spans="1:20" x14ac:dyDescent="0.3">
      <c r="A30" s="2" t="s">
        <v>15</v>
      </c>
      <c r="B30" s="3" t="s">
        <v>15</v>
      </c>
      <c r="C30" s="3" t="s">
        <v>85</v>
      </c>
      <c r="D30" s="3" t="s">
        <v>15</v>
      </c>
      <c r="E30" s="3" t="s">
        <v>34</v>
      </c>
      <c r="F30" s="4">
        <v>46174</v>
      </c>
      <c r="G30" s="3" t="s">
        <v>18</v>
      </c>
      <c r="H30" s="5">
        <v>21567.360000000001</v>
      </c>
      <c r="I30" s="3" t="s">
        <v>19</v>
      </c>
      <c r="J30" s="3" t="s">
        <v>25</v>
      </c>
      <c r="K30" s="3" t="s">
        <v>15</v>
      </c>
      <c r="L30" s="3" t="s">
        <v>91</v>
      </c>
      <c r="M30" s="4">
        <v>46294</v>
      </c>
      <c r="N30" s="3" t="s">
        <v>87</v>
      </c>
      <c r="O30" s="3" t="s">
        <v>49</v>
      </c>
      <c r="P30" t="str">
        <f t="shared" si="0"/>
        <v>450012906130</v>
      </c>
      <c r="Q30" s="9" cm="1">
        <f t="array" ref="Q30:S30">VLOOKUP(P30,Hoja1!C:F,{2,3,4},FALSE)</f>
        <v>46183</v>
      </c>
      <c r="R30" t="str">
        <v>F13</v>
      </c>
      <c r="S30" t="str">
        <v>1000000907 SERVICIOS VIALES DE STA. FE SA</v>
      </c>
      <c r="T30" t="str">
        <f>VLOOKUP(P30,Hoja2!C:D,2,FALSE)</f>
        <v>RPEREZ</v>
      </c>
    </row>
    <row r="31" spans="1:20" x14ac:dyDescent="0.3">
      <c r="A31" s="2" t="s">
        <v>15</v>
      </c>
      <c r="B31" s="3" t="s">
        <v>15</v>
      </c>
      <c r="C31" s="3" t="s">
        <v>85</v>
      </c>
      <c r="D31" s="3" t="s">
        <v>15</v>
      </c>
      <c r="E31" s="3" t="s">
        <v>34</v>
      </c>
      <c r="F31" s="4">
        <v>46174</v>
      </c>
      <c r="G31" s="3" t="s">
        <v>18</v>
      </c>
      <c r="H31" s="5">
        <v>12576.18</v>
      </c>
      <c r="I31" s="3" t="s">
        <v>19</v>
      </c>
      <c r="J31" s="3" t="s">
        <v>25</v>
      </c>
      <c r="K31" s="3" t="s">
        <v>15</v>
      </c>
      <c r="L31" s="3" t="s">
        <v>92</v>
      </c>
      <c r="M31" s="4">
        <v>46294</v>
      </c>
      <c r="N31" s="3" t="s">
        <v>87</v>
      </c>
      <c r="O31" s="3" t="s">
        <v>38</v>
      </c>
      <c r="P31" t="str">
        <f t="shared" si="0"/>
        <v>450012906140</v>
      </c>
      <c r="Q31" s="9" cm="1">
        <f t="array" ref="Q31:S31">VLOOKUP(P31,Hoja1!C:F,{2,3,4},FALSE)</f>
        <v>46183</v>
      </c>
      <c r="R31" t="str">
        <v>F13</v>
      </c>
      <c r="S31" t="str">
        <v>1000000907 SERVICIOS VIALES DE STA. FE SA</v>
      </c>
      <c r="T31" t="str">
        <f>VLOOKUP(P31,Hoja2!C:D,2,FALSE)</f>
        <v>RPEREZ</v>
      </c>
    </row>
    <row r="32" spans="1:20" x14ac:dyDescent="0.3">
      <c r="A32" s="2" t="s">
        <v>15</v>
      </c>
      <c r="B32" s="3" t="s">
        <v>15</v>
      </c>
      <c r="C32" s="3" t="s">
        <v>85</v>
      </c>
      <c r="D32" s="3" t="s">
        <v>15</v>
      </c>
      <c r="E32" s="3" t="s">
        <v>34</v>
      </c>
      <c r="F32" s="4">
        <v>46174</v>
      </c>
      <c r="G32" s="3" t="s">
        <v>18</v>
      </c>
      <c r="H32" s="5">
        <v>80992.320000000007</v>
      </c>
      <c r="I32" s="3" t="s">
        <v>19</v>
      </c>
      <c r="J32" s="3" t="s">
        <v>25</v>
      </c>
      <c r="K32" s="3" t="s">
        <v>15</v>
      </c>
      <c r="L32" s="3" t="s">
        <v>93</v>
      </c>
      <c r="M32" s="4">
        <v>46294</v>
      </c>
      <c r="N32" s="3" t="s">
        <v>87</v>
      </c>
      <c r="O32" s="3" t="s">
        <v>47</v>
      </c>
      <c r="P32" t="str">
        <f t="shared" si="0"/>
        <v>450012906150</v>
      </c>
      <c r="Q32" s="9" cm="1">
        <f t="array" ref="Q32:S32">VLOOKUP(P32,Hoja1!C:F,{2,3,4},FALSE)</f>
        <v>46183</v>
      </c>
      <c r="R32" t="str">
        <v>F13</v>
      </c>
      <c r="S32" t="str">
        <v>1000000907 SERVICIOS VIALES DE STA. FE SA</v>
      </c>
      <c r="T32" t="str">
        <f>VLOOKUP(P32,Hoja2!C:D,2,FALSE)</f>
        <v>RPEREZ</v>
      </c>
    </row>
    <row r="33" spans="1:20" x14ac:dyDescent="0.3">
      <c r="A33" s="2" t="s">
        <v>15</v>
      </c>
      <c r="B33" s="3" t="s">
        <v>15</v>
      </c>
      <c r="C33" s="3" t="s">
        <v>85</v>
      </c>
      <c r="D33" s="3" t="s">
        <v>15</v>
      </c>
      <c r="E33" s="3" t="s">
        <v>34</v>
      </c>
      <c r="F33" s="4">
        <v>46174</v>
      </c>
      <c r="G33" s="3" t="s">
        <v>18</v>
      </c>
      <c r="H33" s="5">
        <v>43708.32</v>
      </c>
      <c r="I33" s="3" t="s">
        <v>19</v>
      </c>
      <c r="J33" s="3" t="s">
        <v>25</v>
      </c>
      <c r="K33" s="3" t="s">
        <v>15</v>
      </c>
      <c r="L33" s="3" t="s">
        <v>94</v>
      </c>
      <c r="M33" s="4">
        <v>46294</v>
      </c>
      <c r="N33" s="3" t="s">
        <v>87</v>
      </c>
      <c r="O33" s="3" t="s">
        <v>95</v>
      </c>
      <c r="P33" t="str">
        <f t="shared" si="0"/>
        <v>450012906160</v>
      </c>
      <c r="Q33" s="9" cm="1">
        <f t="array" ref="Q33:S33">VLOOKUP(P33,Hoja1!C:F,{2,3,4},FALSE)</f>
        <v>46183</v>
      </c>
      <c r="R33" t="str">
        <v>F13</v>
      </c>
      <c r="S33" t="str">
        <v>1000000907 SERVICIOS VIALES DE STA. FE SA</v>
      </c>
      <c r="T33" t="str">
        <f>VLOOKUP(P33,Hoja2!C:D,2,FALSE)</f>
        <v>RPEREZ</v>
      </c>
    </row>
    <row r="34" spans="1:20" x14ac:dyDescent="0.3">
      <c r="A34" s="2" t="s">
        <v>15</v>
      </c>
      <c r="B34" s="3" t="s">
        <v>15</v>
      </c>
      <c r="C34" s="3" t="s">
        <v>96</v>
      </c>
      <c r="D34" s="3" t="s">
        <v>15</v>
      </c>
      <c r="E34" s="3" t="s">
        <v>34</v>
      </c>
      <c r="F34" s="4">
        <v>46247</v>
      </c>
      <c r="G34" s="3" t="s">
        <v>18</v>
      </c>
      <c r="H34" s="5">
        <v>459804.15</v>
      </c>
      <c r="I34" s="3" t="s">
        <v>19</v>
      </c>
      <c r="J34" s="3" t="s">
        <v>25</v>
      </c>
      <c r="K34" s="3" t="s">
        <v>15</v>
      </c>
      <c r="L34" s="3" t="s">
        <v>97</v>
      </c>
      <c r="M34" s="4">
        <v>46294</v>
      </c>
      <c r="N34" s="3" t="s">
        <v>98</v>
      </c>
      <c r="O34" s="3" t="s">
        <v>23</v>
      </c>
      <c r="P34" t="str">
        <f t="shared" si="0"/>
        <v>450013558710</v>
      </c>
      <c r="Q34" s="9" cm="1">
        <f t="array" ref="Q34:S34">VLOOKUP(P34,Hoja1!C:F,{2,3,4},FALSE)</f>
        <v>46287</v>
      </c>
      <c r="R34" t="str">
        <v>F04</v>
      </c>
      <c r="S34" t="str">
        <v>1000000907 SERVICIOS VIALES DE STA. FE SA</v>
      </c>
      <c r="T34" t="str">
        <f>VLOOKUP(P34,Hoja2!C:D,2,FALSE)</f>
        <v>RPEREZ</v>
      </c>
    </row>
    <row r="35" spans="1:20" x14ac:dyDescent="0.3">
      <c r="A35" s="2" t="s">
        <v>15</v>
      </c>
      <c r="B35" s="3" t="s">
        <v>15</v>
      </c>
      <c r="C35" s="3" t="s">
        <v>99</v>
      </c>
      <c r="D35" s="3" t="s">
        <v>56</v>
      </c>
      <c r="E35" s="3" t="s">
        <v>34</v>
      </c>
      <c r="F35" s="4">
        <v>46275</v>
      </c>
      <c r="G35" s="3" t="s">
        <v>18</v>
      </c>
      <c r="H35" s="5">
        <v>2337300</v>
      </c>
      <c r="I35" s="3" t="s">
        <v>19</v>
      </c>
      <c r="J35" s="3" t="s">
        <v>25</v>
      </c>
      <c r="K35" s="3" t="s">
        <v>15</v>
      </c>
      <c r="L35" s="3" t="s">
        <v>100</v>
      </c>
      <c r="M35" s="4">
        <v>46294</v>
      </c>
      <c r="N35" s="3" t="s">
        <v>101</v>
      </c>
      <c r="O35" s="3" t="s">
        <v>23</v>
      </c>
      <c r="P35" t="str">
        <f t="shared" si="0"/>
        <v>450013917510</v>
      </c>
      <c r="Q35" s="9" cm="1">
        <f t="array" ref="Q35:S35">VLOOKUP(P35,Hoja1!C:F,{2,3,4},FALSE)</f>
        <v>46290</v>
      </c>
      <c r="R35" t="str">
        <v>C25</v>
      </c>
      <c r="S35" t="str">
        <v>1000007510 LABTEC S. R. L.</v>
      </c>
      <c r="T35" t="str">
        <f>VLOOKUP(P35,Hoja2!C:D,2,FALSE)</f>
        <v>MPITTIA</v>
      </c>
    </row>
    <row r="36" spans="1:20" x14ac:dyDescent="0.3">
      <c r="A36" s="2" t="s">
        <v>15</v>
      </c>
      <c r="B36" s="3" t="s">
        <v>15</v>
      </c>
      <c r="C36" s="3" t="s">
        <v>102</v>
      </c>
      <c r="D36" s="3" t="s">
        <v>56</v>
      </c>
      <c r="E36" s="3" t="s">
        <v>34</v>
      </c>
      <c r="F36" s="4">
        <v>46190</v>
      </c>
      <c r="G36" s="3" t="s">
        <v>18</v>
      </c>
      <c r="H36" s="5">
        <v>405000</v>
      </c>
      <c r="I36" s="3" t="s">
        <v>19</v>
      </c>
      <c r="J36" s="3" t="s">
        <v>103</v>
      </c>
      <c r="K36" s="3" t="s">
        <v>15</v>
      </c>
      <c r="L36" s="3" t="s">
        <v>104</v>
      </c>
      <c r="M36" s="4">
        <v>46294</v>
      </c>
      <c r="N36" s="3" t="s">
        <v>105</v>
      </c>
      <c r="O36" s="3" t="s">
        <v>23</v>
      </c>
      <c r="P36" t="str">
        <f t="shared" si="0"/>
        <v>450013959810</v>
      </c>
      <c r="Q36" s="9" cm="1">
        <f t="array" ref="Q36:S36">VLOOKUP(P36,Hoja1!C:F,{2,3,4},FALSE)</f>
        <v>46294</v>
      </c>
      <c r="R36" t="str">
        <v>C24</v>
      </c>
      <c r="S36" t="str">
        <v>1000009058 FLORES OSCAR ARIEL</v>
      </c>
      <c r="T36" t="str">
        <f>VLOOKUP(P36,Hoja2!C:D,2,FALSE)</f>
        <v>MPITTIA</v>
      </c>
    </row>
    <row r="37" spans="1:20" x14ac:dyDescent="0.3">
      <c r="A37" s="2" t="s">
        <v>15</v>
      </c>
      <c r="B37" s="3" t="s">
        <v>15</v>
      </c>
      <c r="C37" s="3" t="s">
        <v>106</v>
      </c>
      <c r="D37" s="3" t="s">
        <v>15</v>
      </c>
      <c r="E37" s="3" t="s">
        <v>34</v>
      </c>
      <c r="F37" s="4">
        <v>46288</v>
      </c>
      <c r="G37" s="3" t="s">
        <v>18</v>
      </c>
      <c r="H37" s="5">
        <v>74687.86</v>
      </c>
      <c r="I37" s="3" t="s">
        <v>19</v>
      </c>
      <c r="J37" s="3" t="s">
        <v>25</v>
      </c>
      <c r="K37" s="3" t="s">
        <v>15</v>
      </c>
      <c r="L37" s="3" t="s">
        <v>107</v>
      </c>
      <c r="M37" s="4">
        <v>46294</v>
      </c>
      <c r="N37" s="3" t="s">
        <v>108</v>
      </c>
      <c r="O37" s="3" t="s">
        <v>23</v>
      </c>
      <c r="P37" t="str">
        <f t="shared" si="0"/>
        <v>450013846410</v>
      </c>
      <c r="Q37" s="9" cm="1">
        <f t="array" ref="Q37:S37">VLOOKUP(P37,Hoja1!C:F,{2,3,4},FALSE)</f>
        <v>46285</v>
      </c>
      <c r="R37" t="str">
        <v>C28</v>
      </c>
      <c r="S37" t="str">
        <v>1000007451 FLORES CARLOS FELIPE Y OTROS S H</v>
      </c>
      <c r="T37" t="str">
        <f>VLOOKUP(P37,Hoja2!C:D,2,FALSE)</f>
        <v>JPUPULIN</v>
      </c>
    </row>
    <row r="38" spans="1:20" x14ac:dyDescent="0.3">
      <c r="A38" s="2" t="s">
        <v>15</v>
      </c>
      <c r="B38" s="3" t="s">
        <v>15</v>
      </c>
      <c r="C38" s="3" t="s">
        <v>109</v>
      </c>
      <c r="D38" s="3" t="s">
        <v>56</v>
      </c>
      <c r="E38" s="3" t="s">
        <v>34</v>
      </c>
      <c r="F38" s="4">
        <v>46258</v>
      </c>
      <c r="G38" s="3" t="s">
        <v>18</v>
      </c>
      <c r="H38" s="5">
        <v>32756.15</v>
      </c>
      <c r="I38" s="3" t="s">
        <v>19</v>
      </c>
      <c r="J38" s="3" t="s">
        <v>25</v>
      </c>
      <c r="K38" s="3" t="s">
        <v>15</v>
      </c>
      <c r="L38" s="3" t="s">
        <v>110</v>
      </c>
      <c r="M38" s="4">
        <v>46294</v>
      </c>
      <c r="N38" s="3" t="s">
        <v>111</v>
      </c>
      <c r="O38" s="3" t="s">
        <v>23</v>
      </c>
      <c r="P38" t="str">
        <f t="shared" si="0"/>
        <v>450013635310</v>
      </c>
      <c r="Q38" s="9" cm="1">
        <f t="array" ref="Q38:S38">VLOOKUP(P38,Hoja1!C:F,{2,3,4},FALSE)</f>
        <v>46289</v>
      </c>
      <c r="R38" t="str">
        <v>C43</v>
      </c>
      <c r="S38" t="str">
        <v>1000001550 OLIVARES ANTONIO ALBERTO</v>
      </c>
      <c r="T38" t="str">
        <f>VLOOKUP(P38,Hoja2!C:D,2,FALSE)</f>
        <v>EFUNES</v>
      </c>
    </row>
    <row r="39" spans="1:20" x14ac:dyDescent="0.3">
      <c r="A39" s="2" t="s">
        <v>15</v>
      </c>
      <c r="B39" s="3" t="s">
        <v>15</v>
      </c>
      <c r="C39" s="3" t="s">
        <v>112</v>
      </c>
      <c r="D39" s="3" t="s">
        <v>15</v>
      </c>
      <c r="E39" s="3" t="s">
        <v>34</v>
      </c>
      <c r="F39" s="4">
        <v>46288</v>
      </c>
      <c r="G39" s="3" t="s">
        <v>18</v>
      </c>
      <c r="H39" s="5">
        <v>63712.76</v>
      </c>
      <c r="I39" s="3" t="s">
        <v>19</v>
      </c>
      <c r="J39" s="3" t="s">
        <v>25</v>
      </c>
      <c r="K39" s="3" t="s">
        <v>15</v>
      </c>
      <c r="L39" s="3" t="s">
        <v>113</v>
      </c>
      <c r="M39" s="4">
        <v>46294</v>
      </c>
      <c r="N39" s="3" t="s">
        <v>114</v>
      </c>
      <c r="O39" s="3" t="s">
        <v>115</v>
      </c>
      <c r="P39" t="str">
        <f t="shared" si="0"/>
        <v>4500136455230</v>
      </c>
      <c r="Q39" s="9" cm="1">
        <f t="array" ref="Q39:S39">VLOOKUP(P39,Hoja1!C:F,{2,3,4},FALSE)</f>
        <v>46269</v>
      </c>
      <c r="R39" t="str">
        <v>C28</v>
      </c>
      <c r="S39" t="str">
        <v>1000007451 FLORES CARLOS FELIPE Y OTROS S H</v>
      </c>
      <c r="T39" t="str">
        <f>VLOOKUP(P39,Hoja2!C:D,2,FALSE)</f>
        <v>GJULIANI</v>
      </c>
    </row>
    <row r="40" spans="1:20" x14ac:dyDescent="0.3">
      <c r="A40" s="2" t="s">
        <v>15</v>
      </c>
      <c r="B40" s="3" t="s">
        <v>15</v>
      </c>
      <c r="C40" s="3" t="s">
        <v>116</v>
      </c>
      <c r="D40" s="3" t="s">
        <v>15</v>
      </c>
      <c r="E40" s="3" t="s">
        <v>34</v>
      </c>
      <c r="F40" s="4">
        <v>46272</v>
      </c>
      <c r="G40" s="3" t="s">
        <v>18</v>
      </c>
      <c r="H40" s="5">
        <v>6939.66</v>
      </c>
      <c r="I40" s="3" t="s">
        <v>19</v>
      </c>
      <c r="J40" s="3" t="s">
        <v>25</v>
      </c>
      <c r="K40" s="3" t="s">
        <v>15</v>
      </c>
      <c r="L40" s="3" t="s">
        <v>117</v>
      </c>
      <c r="M40" s="4">
        <v>46295</v>
      </c>
      <c r="N40" s="3" t="s">
        <v>118</v>
      </c>
      <c r="O40" s="3" t="s">
        <v>23</v>
      </c>
      <c r="P40" t="str">
        <f t="shared" si="0"/>
        <v>450013779910</v>
      </c>
      <c r="Q40" s="9" cm="1">
        <f t="array" ref="Q40:S40">VLOOKUP(P40,Hoja1!C:F,{2,3,4},FALSE)</f>
        <v>46286</v>
      </c>
      <c r="R40" t="str">
        <v>C17</v>
      </c>
      <c r="S40" t="str">
        <v>1000012333 GO CLEAN S.A.S.</v>
      </c>
      <c r="T40" t="str">
        <f>VLOOKUP(P40,Hoja2!C:D,2,FALSE)</f>
        <v>GJULIANI</v>
      </c>
    </row>
    <row r="41" spans="1:20" x14ac:dyDescent="0.3">
      <c r="A41" s="2" t="s">
        <v>15</v>
      </c>
      <c r="B41" s="3" t="s">
        <v>15</v>
      </c>
      <c r="C41" s="3" t="s">
        <v>116</v>
      </c>
      <c r="D41" s="3" t="s">
        <v>56</v>
      </c>
      <c r="E41" s="3" t="s">
        <v>34</v>
      </c>
      <c r="F41" s="4">
        <v>46272</v>
      </c>
      <c r="G41" s="3" t="s">
        <v>18</v>
      </c>
      <c r="H41" s="5">
        <v>5783.46</v>
      </c>
      <c r="I41" s="3" t="s">
        <v>19</v>
      </c>
      <c r="J41" s="3" t="s">
        <v>25</v>
      </c>
      <c r="K41" s="3" t="s">
        <v>15</v>
      </c>
      <c r="L41" s="3" t="s">
        <v>119</v>
      </c>
      <c r="M41" s="4">
        <v>46295</v>
      </c>
      <c r="N41" s="3" t="s">
        <v>118</v>
      </c>
      <c r="O41" s="3" t="s">
        <v>62</v>
      </c>
      <c r="P41" t="str">
        <f t="shared" si="0"/>
        <v>450013779920</v>
      </c>
      <c r="Q41" s="9" cm="1">
        <f t="array" ref="Q41:S41">VLOOKUP(P41,Hoja1!C:F,{2,3,4},FALSE)</f>
        <v>46286</v>
      </c>
      <c r="R41" t="str">
        <v>C17</v>
      </c>
      <c r="S41" t="str">
        <v>1000012333 GO CLEAN S.A.S.</v>
      </c>
      <c r="T41" t="str">
        <f>VLOOKUP(P41,Hoja2!C:D,2,FALSE)</f>
        <v>GJULIANI</v>
      </c>
    </row>
    <row r="42" spans="1:20" x14ac:dyDescent="0.3">
      <c r="A42" s="2" t="s">
        <v>15</v>
      </c>
      <c r="B42" s="3" t="s">
        <v>15</v>
      </c>
      <c r="C42" s="3" t="s">
        <v>116</v>
      </c>
      <c r="D42" s="3" t="s">
        <v>15</v>
      </c>
      <c r="E42" s="3" t="s">
        <v>34</v>
      </c>
      <c r="F42" s="4">
        <v>46272</v>
      </c>
      <c r="G42" s="3" t="s">
        <v>18</v>
      </c>
      <c r="H42" s="5">
        <v>60329.75</v>
      </c>
      <c r="I42" s="3" t="s">
        <v>19</v>
      </c>
      <c r="J42" s="3" t="s">
        <v>25</v>
      </c>
      <c r="K42" s="3" t="s">
        <v>15</v>
      </c>
      <c r="L42" s="3" t="s">
        <v>120</v>
      </c>
      <c r="M42" s="4">
        <v>46295</v>
      </c>
      <c r="N42" s="3" t="s">
        <v>118</v>
      </c>
      <c r="O42" s="3" t="s">
        <v>49</v>
      </c>
      <c r="P42" t="str">
        <f t="shared" si="0"/>
        <v>450013779930</v>
      </c>
      <c r="Q42" s="9" cm="1">
        <f t="array" ref="Q42:S42">VLOOKUP(P42,Hoja1!C:F,{2,3,4},FALSE)</f>
        <v>46286</v>
      </c>
      <c r="R42" t="str">
        <v>C17</v>
      </c>
      <c r="S42" t="str">
        <v>1000012333 GO CLEAN S.A.S.</v>
      </c>
      <c r="T42" t="str">
        <f>VLOOKUP(P42,Hoja2!C:D,2,FALSE)</f>
        <v>GJULIANI</v>
      </c>
    </row>
    <row r="43" spans="1:20" x14ac:dyDescent="0.3">
      <c r="A43" s="2" t="s">
        <v>15</v>
      </c>
      <c r="B43" s="3" t="s">
        <v>15</v>
      </c>
      <c r="C43" s="3" t="s">
        <v>121</v>
      </c>
      <c r="D43" s="3" t="s">
        <v>15</v>
      </c>
      <c r="E43" s="3" t="s">
        <v>34</v>
      </c>
      <c r="F43" s="4">
        <v>46290</v>
      </c>
      <c r="G43" s="3" t="s">
        <v>18</v>
      </c>
      <c r="H43" s="5">
        <v>61921.5</v>
      </c>
      <c r="I43" s="3" t="s">
        <v>19</v>
      </c>
      <c r="J43" s="3" t="s">
        <v>25</v>
      </c>
      <c r="K43" s="3" t="s">
        <v>15</v>
      </c>
      <c r="L43" s="3" t="s">
        <v>122</v>
      </c>
      <c r="M43" s="4">
        <v>46295</v>
      </c>
      <c r="N43" s="3" t="s">
        <v>123</v>
      </c>
      <c r="O43" s="3" t="s">
        <v>23</v>
      </c>
      <c r="P43" t="str">
        <f t="shared" si="0"/>
        <v>450013932510</v>
      </c>
      <c r="Q43" s="9" cm="1">
        <f t="array" ref="Q43:S43">VLOOKUP(P43,Hoja1!C:F,{2,3,4},FALSE)</f>
        <v>46304</v>
      </c>
      <c r="R43" t="str">
        <v>C17</v>
      </c>
      <c r="S43" t="str">
        <v>1000012333 GO CLEAN S.A.S.</v>
      </c>
      <c r="T43" t="str">
        <f>VLOOKUP(P43,Hoja2!C:D,2,FALSE)</f>
        <v>GJULIANI</v>
      </c>
    </row>
    <row r="44" spans="1:20" x14ac:dyDescent="0.3">
      <c r="A44" s="2" t="s">
        <v>15</v>
      </c>
      <c r="B44" s="3" t="s">
        <v>15</v>
      </c>
      <c r="C44" s="3" t="s">
        <v>121</v>
      </c>
      <c r="D44" s="3" t="s">
        <v>15</v>
      </c>
      <c r="E44" s="3" t="s">
        <v>34</v>
      </c>
      <c r="F44" s="4">
        <v>46290</v>
      </c>
      <c r="G44" s="3" t="s">
        <v>18</v>
      </c>
      <c r="H44" s="5">
        <v>12561.96</v>
      </c>
      <c r="I44" s="3" t="s">
        <v>19</v>
      </c>
      <c r="J44" s="3" t="s">
        <v>25</v>
      </c>
      <c r="K44" s="3" t="s">
        <v>15</v>
      </c>
      <c r="L44" s="3" t="s">
        <v>124</v>
      </c>
      <c r="M44" s="4">
        <v>46295</v>
      </c>
      <c r="N44" s="3" t="s">
        <v>123</v>
      </c>
      <c r="O44" s="3" t="s">
        <v>62</v>
      </c>
      <c r="P44" t="str">
        <f t="shared" si="0"/>
        <v>450013932520</v>
      </c>
      <c r="Q44" s="9" cm="1">
        <f t="array" ref="Q44:S44">VLOOKUP(P44,Hoja1!C:F,{2,3,4},FALSE)</f>
        <v>46304</v>
      </c>
      <c r="R44" t="str">
        <v>C17</v>
      </c>
      <c r="S44" t="str">
        <v>1000012333 GO CLEAN S.A.S.</v>
      </c>
      <c r="T44" t="str">
        <f>VLOOKUP(P44,Hoja2!C:D,2,FALSE)</f>
        <v>GJULIANI</v>
      </c>
    </row>
    <row r="45" spans="1:20" x14ac:dyDescent="0.3">
      <c r="A45" s="2" t="s">
        <v>15</v>
      </c>
      <c r="B45" s="3" t="s">
        <v>15</v>
      </c>
      <c r="C45" s="3" t="s">
        <v>121</v>
      </c>
      <c r="D45" s="3" t="s">
        <v>15</v>
      </c>
      <c r="E45" s="3" t="s">
        <v>34</v>
      </c>
      <c r="F45" s="4">
        <v>46290</v>
      </c>
      <c r="G45" s="3" t="s">
        <v>18</v>
      </c>
      <c r="H45" s="5">
        <v>18181.8</v>
      </c>
      <c r="I45" s="3" t="s">
        <v>19</v>
      </c>
      <c r="J45" s="3" t="s">
        <v>25</v>
      </c>
      <c r="K45" s="3" t="s">
        <v>15</v>
      </c>
      <c r="L45" s="3" t="s">
        <v>125</v>
      </c>
      <c r="M45" s="4">
        <v>46295</v>
      </c>
      <c r="N45" s="3" t="s">
        <v>123</v>
      </c>
      <c r="O45" s="3" t="s">
        <v>49</v>
      </c>
      <c r="P45" t="str">
        <f t="shared" si="0"/>
        <v>450013932530</v>
      </c>
      <c r="Q45" s="9" cm="1">
        <f t="array" ref="Q45:S45">VLOOKUP(P45,Hoja1!C:F,{2,3,4},FALSE)</f>
        <v>46304</v>
      </c>
      <c r="R45" t="str">
        <v>C17</v>
      </c>
      <c r="S45" t="str">
        <v>1000012333 GO CLEAN S.A.S.</v>
      </c>
      <c r="T45" t="str">
        <f>VLOOKUP(P45,Hoja2!C:D,2,FALSE)</f>
        <v>GJULIANI</v>
      </c>
    </row>
    <row r="46" spans="1:20" x14ac:dyDescent="0.3">
      <c r="A46" s="2" t="s">
        <v>15</v>
      </c>
      <c r="B46" s="3" t="s">
        <v>15</v>
      </c>
      <c r="C46" s="3" t="s">
        <v>121</v>
      </c>
      <c r="D46" s="3" t="s">
        <v>15</v>
      </c>
      <c r="E46" s="3" t="s">
        <v>34</v>
      </c>
      <c r="F46" s="4">
        <v>46290</v>
      </c>
      <c r="G46" s="3" t="s">
        <v>18</v>
      </c>
      <c r="H46" s="5">
        <v>12392.55</v>
      </c>
      <c r="I46" s="3" t="s">
        <v>19</v>
      </c>
      <c r="J46" s="3" t="s">
        <v>25</v>
      </c>
      <c r="K46" s="3" t="s">
        <v>15</v>
      </c>
      <c r="L46" s="3" t="s">
        <v>126</v>
      </c>
      <c r="M46" s="4">
        <v>46295</v>
      </c>
      <c r="N46" s="3" t="s">
        <v>123</v>
      </c>
      <c r="O46" s="3" t="s">
        <v>38</v>
      </c>
      <c r="P46" t="str">
        <f t="shared" si="0"/>
        <v>450013932540</v>
      </c>
      <c r="Q46" s="9" cm="1">
        <f t="array" ref="Q46:S46">VLOOKUP(P46,Hoja1!C:F,{2,3,4},FALSE)</f>
        <v>46304</v>
      </c>
      <c r="R46" t="str">
        <v>C17</v>
      </c>
      <c r="S46" t="str">
        <v>1000012333 GO CLEAN S.A.S.</v>
      </c>
      <c r="T46" t="str">
        <f>VLOOKUP(P46,Hoja2!C:D,2,FALSE)</f>
        <v>GJULIANI</v>
      </c>
    </row>
    <row r="47" spans="1:20" x14ac:dyDescent="0.3">
      <c r="A47" s="2" t="s">
        <v>15</v>
      </c>
      <c r="B47" s="3" t="s">
        <v>15</v>
      </c>
      <c r="C47" s="3" t="s">
        <v>121</v>
      </c>
      <c r="D47" s="3" t="s">
        <v>15</v>
      </c>
      <c r="E47" s="3" t="s">
        <v>34</v>
      </c>
      <c r="F47" s="4">
        <v>46290</v>
      </c>
      <c r="G47" s="3" t="s">
        <v>18</v>
      </c>
      <c r="H47" s="5">
        <v>123843</v>
      </c>
      <c r="I47" s="3" t="s">
        <v>19</v>
      </c>
      <c r="J47" s="3" t="s">
        <v>25</v>
      </c>
      <c r="K47" s="3" t="s">
        <v>15</v>
      </c>
      <c r="L47" s="3" t="s">
        <v>127</v>
      </c>
      <c r="M47" s="4">
        <v>46295</v>
      </c>
      <c r="N47" s="3" t="s">
        <v>123</v>
      </c>
      <c r="O47" s="3" t="s">
        <v>47</v>
      </c>
      <c r="P47" t="str">
        <f t="shared" si="0"/>
        <v>450013932550</v>
      </c>
      <c r="Q47" s="9" cm="1">
        <f t="array" ref="Q47:S47">VLOOKUP(P47,Hoja1!C:F,{2,3,4},FALSE)</f>
        <v>46304</v>
      </c>
      <c r="R47" t="str">
        <v>C17</v>
      </c>
      <c r="S47" t="str">
        <v>1000012333 GO CLEAN S.A.S.</v>
      </c>
      <c r="T47" t="str">
        <f>VLOOKUP(P47,Hoja2!C:D,2,FALSE)</f>
        <v>GJULIANI</v>
      </c>
    </row>
    <row r="48" spans="1:20" x14ac:dyDescent="0.3">
      <c r="A48" s="2" t="s">
        <v>15</v>
      </c>
      <c r="B48" s="3" t="s">
        <v>15</v>
      </c>
      <c r="C48" s="3" t="s">
        <v>128</v>
      </c>
      <c r="D48" s="3" t="s">
        <v>56</v>
      </c>
      <c r="E48" s="3" t="s">
        <v>34</v>
      </c>
      <c r="F48" s="4">
        <v>46294</v>
      </c>
      <c r="G48" s="3" t="s">
        <v>18</v>
      </c>
      <c r="H48" s="5">
        <v>91400</v>
      </c>
      <c r="I48" s="3" t="s">
        <v>19</v>
      </c>
      <c r="J48" s="3" t="s">
        <v>25</v>
      </c>
      <c r="K48" s="3" t="s">
        <v>15</v>
      </c>
      <c r="L48" s="3" t="s">
        <v>129</v>
      </c>
      <c r="M48" s="4">
        <v>46296</v>
      </c>
      <c r="N48" s="3" t="s">
        <v>130</v>
      </c>
      <c r="O48" s="3" t="s">
        <v>23</v>
      </c>
      <c r="P48" t="str">
        <f t="shared" si="0"/>
        <v>450013967010</v>
      </c>
      <c r="Q48" s="9" cm="1">
        <f t="array" ref="Q48:S48">VLOOKUP(P48,Hoja1!C:F,{2,3,4},FALSE)</f>
        <v>46304</v>
      </c>
      <c r="R48" t="str">
        <v>C28</v>
      </c>
      <c r="S48" t="str">
        <v>1000012043 PROAR IMAGEN PROMOCIONAL SRL</v>
      </c>
      <c r="T48" t="str">
        <f>VLOOKUP(P48,Hoja2!C:D,2,FALSE)</f>
        <v>GJULIANI</v>
      </c>
    </row>
    <row r="49" spans="1:20" x14ac:dyDescent="0.3">
      <c r="A49" s="2" t="s">
        <v>15</v>
      </c>
      <c r="B49" s="3" t="s">
        <v>15</v>
      </c>
      <c r="C49" s="3" t="s">
        <v>128</v>
      </c>
      <c r="D49" s="3" t="s">
        <v>56</v>
      </c>
      <c r="E49" s="3" t="s">
        <v>34</v>
      </c>
      <c r="F49" s="4">
        <v>46294</v>
      </c>
      <c r="G49" s="3" t="s">
        <v>18</v>
      </c>
      <c r="H49" s="5">
        <v>87400</v>
      </c>
      <c r="I49" s="3" t="s">
        <v>19</v>
      </c>
      <c r="J49" s="3" t="s">
        <v>25</v>
      </c>
      <c r="K49" s="3" t="s">
        <v>15</v>
      </c>
      <c r="L49" s="3" t="s">
        <v>131</v>
      </c>
      <c r="M49" s="4">
        <v>46296</v>
      </c>
      <c r="N49" s="3" t="s">
        <v>130</v>
      </c>
      <c r="O49" s="3" t="s">
        <v>62</v>
      </c>
      <c r="P49" t="str">
        <f t="shared" si="0"/>
        <v>450013967020</v>
      </c>
      <c r="Q49" s="9" cm="1">
        <f t="array" ref="Q49:S49">VLOOKUP(P49,Hoja1!C:F,{2,3,4},FALSE)</f>
        <v>46304</v>
      </c>
      <c r="R49" t="str">
        <v>C28</v>
      </c>
      <c r="S49" t="str">
        <v>1000012043 PROAR IMAGEN PROMOCIONAL SRL</v>
      </c>
      <c r="T49" t="str">
        <f>VLOOKUP(P49,Hoja2!C:D,2,FALSE)</f>
        <v>GJULIANI</v>
      </c>
    </row>
    <row r="50" spans="1:20" x14ac:dyDescent="0.3">
      <c r="A50" s="2" t="s">
        <v>15</v>
      </c>
      <c r="B50" s="3" t="s">
        <v>15</v>
      </c>
      <c r="C50" s="3" t="s">
        <v>132</v>
      </c>
      <c r="D50" s="3" t="s">
        <v>56</v>
      </c>
      <c r="E50" s="3" t="s">
        <v>34</v>
      </c>
      <c r="F50" s="4">
        <v>46275</v>
      </c>
      <c r="G50" s="3" t="s">
        <v>18</v>
      </c>
      <c r="H50" s="5">
        <v>72360</v>
      </c>
      <c r="I50" s="3" t="s">
        <v>19</v>
      </c>
      <c r="J50" s="3" t="s">
        <v>25</v>
      </c>
      <c r="K50" s="3" t="s">
        <v>15</v>
      </c>
      <c r="L50" s="3" t="s">
        <v>133</v>
      </c>
      <c r="M50" s="4">
        <v>46296</v>
      </c>
      <c r="N50" s="3" t="s">
        <v>134</v>
      </c>
      <c r="O50" s="3" t="s">
        <v>23</v>
      </c>
      <c r="P50" t="str">
        <f t="shared" si="0"/>
        <v>450013814710</v>
      </c>
      <c r="Q50" s="9" cm="1">
        <f t="array" ref="Q50:S50">VLOOKUP(P50,Hoja1!C:F,{2,3,4},FALSE)</f>
        <v>46283</v>
      </c>
      <c r="R50" t="str">
        <v>C01</v>
      </c>
      <c r="S50" t="str">
        <v>1000011519 SALLAGO FEDERICO MIGUEL</v>
      </c>
      <c r="T50" t="str">
        <f>VLOOKUP(P50,Hoja2!C:D,2,FALSE)</f>
        <v>AZAPANA</v>
      </c>
    </row>
    <row r="51" spans="1:20" x14ac:dyDescent="0.3">
      <c r="A51" s="2" t="s">
        <v>15</v>
      </c>
      <c r="B51" s="3" t="s">
        <v>15</v>
      </c>
      <c r="C51" s="3" t="s">
        <v>135</v>
      </c>
      <c r="D51" s="3" t="s">
        <v>15</v>
      </c>
      <c r="E51" s="3" t="s">
        <v>34</v>
      </c>
      <c r="F51" s="4">
        <v>46279</v>
      </c>
      <c r="G51" s="3" t="s">
        <v>18</v>
      </c>
      <c r="H51" s="5">
        <v>213151.6</v>
      </c>
      <c r="I51" s="3" t="s">
        <v>19</v>
      </c>
      <c r="J51" s="3" t="s">
        <v>25</v>
      </c>
      <c r="K51" s="3" t="s">
        <v>15</v>
      </c>
      <c r="L51" s="3" t="s">
        <v>136</v>
      </c>
      <c r="M51" s="4">
        <v>46296</v>
      </c>
      <c r="N51" s="3" t="s">
        <v>137</v>
      </c>
      <c r="O51" s="3" t="s">
        <v>23</v>
      </c>
      <c r="P51" t="str">
        <f t="shared" si="0"/>
        <v>450013901110</v>
      </c>
      <c r="Q51" s="9" cm="1">
        <f t="array" ref="Q51:S51">VLOOKUP(P51,Hoja1!C:F,{2,3,4},FALSE)</f>
        <v>46303</v>
      </c>
      <c r="R51" t="str">
        <v>C01</v>
      </c>
      <c r="S51" t="str">
        <v>1000003040 LOPEZ DIESEL S.A.</v>
      </c>
      <c r="T51" t="str">
        <f>VLOOKUP(P51,Hoja2!C:D,2,FALSE)</f>
        <v>AZAPANA</v>
      </c>
    </row>
    <row r="52" spans="1:20" x14ac:dyDescent="0.3">
      <c r="A52" s="2" t="s">
        <v>15</v>
      </c>
      <c r="B52" s="3" t="s">
        <v>15</v>
      </c>
      <c r="C52" s="3" t="s">
        <v>138</v>
      </c>
      <c r="D52" s="3" t="s">
        <v>15</v>
      </c>
      <c r="E52" s="3" t="s">
        <v>34</v>
      </c>
      <c r="F52" s="4">
        <v>46295</v>
      </c>
      <c r="G52" s="3" t="s">
        <v>18</v>
      </c>
      <c r="H52" s="5">
        <v>1917356</v>
      </c>
      <c r="I52" s="3" t="s">
        <v>19</v>
      </c>
      <c r="J52" s="3" t="s">
        <v>25</v>
      </c>
      <c r="K52" s="3" t="s">
        <v>15</v>
      </c>
      <c r="L52" s="3" t="s">
        <v>139</v>
      </c>
      <c r="M52" s="4">
        <v>46296</v>
      </c>
      <c r="N52" s="3" t="s">
        <v>140</v>
      </c>
      <c r="O52" s="3" t="s">
        <v>141</v>
      </c>
      <c r="P52" t="str">
        <f t="shared" si="0"/>
        <v>450013988670</v>
      </c>
      <c r="Q52" s="9" cm="1">
        <f t="array" ref="Q52:S52">VLOOKUP(P52,Hoja1!C:F,{2,3,4},FALSE)</f>
        <v>46300</v>
      </c>
      <c r="R52" t="str">
        <v>C01</v>
      </c>
      <c r="S52" t="str">
        <v>1000010215 ARZE MIGUEL ANGEL</v>
      </c>
      <c r="T52" t="str">
        <f>VLOOKUP(P52,Hoja2!C:D,2,FALSE)</f>
        <v>AZAPANA</v>
      </c>
    </row>
    <row r="53" spans="1:20" x14ac:dyDescent="0.3">
      <c r="A53" s="2" t="s">
        <v>15</v>
      </c>
      <c r="B53" s="3" t="s">
        <v>15</v>
      </c>
      <c r="C53" s="3" t="s">
        <v>142</v>
      </c>
      <c r="D53" s="3" t="s">
        <v>15</v>
      </c>
      <c r="E53" s="3" t="s">
        <v>34</v>
      </c>
      <c r="F53" s="4">
        <v>46288</v>
      </c>
      <c r="G53" s="3" t="s">
        <v>18</v>
      </c>
      <c r="H53" s="5">
        <v>5110.5600000000004</v>
      </c>
      <c r="I53" s="3" t="s">
        <v>19</v>
      </c>
      <c r="J53" s="3" t="s">
        <v>25</v>
      </c>
      <c r="K53" s="3" t="s">
        <v>15</v>
      </c>
      <c r="L53" s="3" t="s">
        <v>143</v>
      </c>
      <c r="M53" s="4">
        <v>46296</v>
      </c>
      <c r="N53" s="3" t="s">
        <v>144</v>
      </c>
      <c r="O53" s="3" t="s">
        <v>95</v>
      </c>
      <c r="P53" t="str">
        <f t="shared" si="0"/>
        <v>450013869160</v>
      </c>
      <c r="Q53" s="9" cm="1">
        <f t="array" ref="Q53:S53">VLOOKUP(P53,Hoja1!C:F,{2,3,4},FALSE)</f>
        <v>46290</v>
      </c>
      <c r="R53" t="str">
        <v>G05</v>
      </c>
      <c r="S53" t="str">
        <v>1000001129 AGRONORTE S.R.L.</v>
      </c>
      <c r="T53" t="str">
        <f>VLOOKUP(P53,Hoja2!C:D,2,FALSE)</f>
        <v>RPEREZ</v>
      </c>
    </row>
    <row r="54" spans="1:20" x14ac:dyDescent="0.3">
      <c r="A54" s="2" t="s">
        <v>15</v>
      </c>
      <c r="B54" s="3" t="s">
        <v>15</v>
      </c>
      <c r="C54" s="3" t="s">
        <v>145</v>
      </c>
      <c r="D54" s="3" t="s">
        <v>15</v>
      </c>
      <c r="E54" s="3" t="s">
        <v>34</v>
      </c>
      <c r="F54" s="4">
        <v>46282</v>
      </c>
      <c r="G54" s="3" t="s">
        <v>18</v>
      </c>
      <c r="H54" s="5">
        <v>173308.65</v>
      </c>
      <c r="I54" s="3" t="s">
        <v>19</v>
      </c>
      <c r="J54" s="3" t="s">
        <v>25</v>
      </c>
      <c r="K54" s="3" t="s">
        <v>15</v>
      </c>
      <c r="L54" s="3" t="s">
        <v>146</v>
      </c>
      <c r="M54" s="4">
        <v>46296</v>
      </c>
      <c r="N54" s="3" t="s">
        <v>144</v>
      </c>
      <c r="O54" s="3" t="s">
        <v>49</v>
      </c>
      <c r="P54" t="str">
        <f t="shared" si="0"/>
        <v>450013869130</v>
      </c>
      <c r="Q54" s="9" cm="1">
        <f t="array" ref="Q54:S54">VLOOKUP(P54,Hoja1!C:F,{2,3,4},FALSE)</f>
        <v>46290</v>
      </c>
      <c r="R54" t="str">
        <v>G05</v>
      </c>
      <c r="S54" t="str">
        <v>1000001129 AGRONORTE S.R.L.</v>
      </c>
      <c r="T54" t="str">
        <f>VLOOKUP(P54,Hoja2!C:D,2,FALSE)</f>
        <v>RPEREZ</v>
      </c>
    </row>
    <row r="55" spans="1:20" x14ac:dyDescent="0.3">
      <c r="A55" s="2" t="s">
        <v>15</v>
      </c>
      <c r="B55" s="3" t="s">
        <v>15</v>
      </c>
      <c r="C55" s="3" t="s">
        <v>145</v>
      </c>
      <c r="D55" s="3" t="s">
        <v>15</v>
      </c>
      <c r="E55" s="3" t="s">
        <v>34</v>
      </c>
      <c r="F55" s="4">
        <v>46282</v>
      </c>
      <c r="G55" s="3" t="s">
        <v>18</v>
      </c>
      <c r="H55" s="5">
        <v>173308.65</v>
      </c>
      <c r="I55" s="3" t="s">
        <v>19</v>
      </c>
      <c r="J55" s="3" t="s">
        <v>25</v>
      </c>
      <c r="K55" s="3" t="s">
        <v>15</v>
      </c>
      <c r="L55" s="3" t="s">
        <v>147</v>
      </c>
      <c r="M55" s="4">
        <v>46296</v>
      </c>
      <c r="N55" s="3" t="s">
        <v>144</v>
      </c>
      <c r="O55" s="3" t="s">
        <v>148</v>
      </c>
      <c r="P55" t="str">
        <f t="shared" si="0"/>
        <v>4500138691110</v>
      </c>
      <c r="Q55" s="9" cm="1">
        <f t="array" ref="Q55:S55">VLOOKUP(P55,Hoja1!C:F,{2,3,4},FALSE)</f>
        <v>46290</v>
      </c>
      <c r="R55" t="str">
        <v>G05</v>
      </c>
      <c r="S55" t="str">
        <v>1000001129 AGRONORTE S.R.L.</v>
      </c>
      <c r="T55" t="str">
        <f>VLOOKUP(P55,Hoja2!C:D,2,FALSE)</f>
        <v>RPEREZ</v>
      </c>
    </row>
    <row r="56" spans="1:20" x14ac:dyDescent="0.3">
      <c r="A56" s="2" t="s">
        <v>15</v>
      </c>
      <c r="B56" s="3" t="s">
        <v>15</v>
      </c>
      <c r="C56" s="3" t="s">
        <v>145</v>
      </c>
      <c r="D56" s="3" t="s">
        <v>15</v>
      </c>
      <c r="E56" s="3" t="s">
        <v>34</v>
      </c>
      <c r="F56" s="4">
        <v>46282</v>
      </c>
      <c r="G56" s="3" t="s">
        <v>18</v>
      </c>
      <c r="H56" s="5">
        <v>55153.95</v>
      </c>
      <c r="I56" s="3" t="s">
        <v>19</v>
      </c>
      <c r="J56" s="3" t="s">
        <v>25</v>
      </c>
      <c r="K56" s="3" t="s">
        <v>15</v>
      </c>
      <c r="L56" s="3" t="s">
        <v>149</v>
      </c>
      <c r="M56" s="4">
        <v>46296</v>
      </c>
      <c r="N56" s="3" t="s">
        <v>144</v>
      </c>
      <c r="O56" s="3" t="s">
        <v>62</v>
      </c>
      <c r="P56" t="str">
        <f t="shared" si="0"/>
        <v>450013869120</v>
      </c>
      <c r="Q56" s="9" cm="1">
        <f t="array" ref="Q56:S56">VLOOKUP(P56,Hoja1!C:F,{2,3,4},FALSE)</f>
        <v>46290</v>
      </c>
      <c r="R56" t="str">
        <v>G05</v>
      </c>
      <c r="S56" t="str">
        <v>1000001129 AGRONORTE S.R.L.</v>
      </c>
      <c r="T56" t="str">
        <f>VLOOKUP(P56,Hoja2!C:D,2,FALSE)</f>
        <v>RPEREZ</v>
      </c>
    </row>
    <row r="57" spans="1:20" x14ac:dyDescent="0.3">
      <c r="A57" s="2" t="s">
        <v>15</v>
      </c>
      <c r="B57" s="3" t="s">
        <v>15</v>
      </c>
      <c r="C57" s="3" t="s">
        <v>145</v>
      </c>
      <c r="D57" s="3" t="s">
        <v>15</v>
      </c>
      <c r="E57" s="3" t="s">
        <v>34</v>
      </c>
      <c r="F57" s="4">
        <v>46282</v>
      </c>
      <c r="G57" s="3" t="s">
        <v>18</v>
      </c>
      <c r="H57" s="5">
        <v>55153.95</v>
      </c>
      <c r="I57" s="3" t="s">
        <v>19</v>
      </c>
      <c r="J57" s="3" t="s">
        <v>25</v>
      </c>
      <c r="K57" s="3" t="s">
        <v>15</v>
      </c>
      <c r="L57" s="3" t="s">
        <v>150</v>
      </c>
      <c r="M57" s="4">
        <v>46296</v>
      </c>
      <c r="N57" s="3" t="s">
        <v>144</v>
      </c>
      <c r="O57" s="3" t="s">
        <v>151</v>
      </c>
      <c r="P57" t="str">
        <f t="shared" si="0"/>
        <v>4500138691120</v>
      </c>
      <c r="Q57" s="9" cm="1">
        <f t="array" ref="Q57:S57">VLOOKUP(P57,Hoja1!C:F,{2,3,4},FALSE)</f>
        <v>46290</v>
      </c>
      <c r="R57" t="str">
        <v>G05</v>
      </c>
      <c r="S57" t="str">
        <v>1000001129 AGRONORTE S.R.L.</v>
      </c>
      <c r="T57" t="str">
        <f>VLOOKUP(P57,Hoja2!C:D,2,FALSE)</f>
        <v>RPEREZ</v>
      </c>
    </row>
    <row r="58" spans="1:20" x14ac:dyDescent="0.3">
      <c r="A58" s="2" t="s">
        <v>15</v>
      </c>
      <c r="B58" s="3" t="s">
        <v>15</v>
      </c>
      <c r="C58" s="3" t="s">
        <v>145</v>
      </c>
      <c r="D58" s="3" t="s">
        <v>15</v>
      </c>
      <c r="E58" s="3" t="s">
        <v>34</v>
      </c>
      <c r="F58" s="4">
        <v>46282</v>
      </c>
      <c r="G58" s="3" t="s">
        <v>18</v>
      </c>
      <c r="H58" s="5">
        <v>46582.83</v>
      </c>
      <c r="I58" s="3" t="s">
        <v>19</v>
      </c>
      <c r="J58" s="3" t="s">
        <v>25</v>
      </c>
      <c r="K58" s="3" t="s">
        <v>15</v>
      </c>
      <c r="L58" s="3" t="s">
        <v>152</v>
      </c>
      <c r="M58" s="4">
        <v>46296</v>
      </c>
      <c r="N58" s="3" t="s">
        <v>144</v>
      </c>
      <c r="O58" s="3" t="s">
        <v>38</v>
      </c>
      <c r="P58" t="str">
        <f t="shared" si="0"/>
        <v>450013869140</v>
      </c>
      <c r="Q58" s="9" cm="1">
        <f t="array" ref="Q58:S58">VLOOKUP(P58,Hoja1!C:F,{2,3,4},FALSE)</f>
        <v>46290</v>
      </c>
      <c r="R58" t="str">
        <v>G05</v>
      </c>
      <c r="S58" t="str">
        <v>1000001129 AGRONORTE S.R.L.</v>
      </c>
      <c r="T58" t="str">
        <f>VLOOKUP(P58,Hoja2!C:D,2,FALSE)</f>
        <v>RPEREZ</v>
      </c>
    </row>
    <row r="59" spans="1:20" x14ac:dyDescent="0.3">
      <c r="A59" s="2" t="s">
        <v>15</v>
      </c>
      <c r="B59" s="3" t="s">
        <v>15</v>
      </c>
      <c r="C59" s="3" t="s">
        <v>145</v>
      </c>
      <c r="D59" s="3" t="s">
        <v>15</v>
      </c>
      <c r="E59" s="3" t="s">
        <v>34</v>
      </c>
      <c r="F59" s="4">
        <v>46282</v>
      </c>
      <c r="G59" s="3" t="s">
        <v>18</v>
      </c>
      <c r="H59" s="5">
        <v>43730.82</v>
      </c>
      <c r="I59" s="3" t="s">
        <v>19</v>
      </c>
      <c r="J59" s="3" t="s">
        <v>25</v>
      </c>
      <c r="K59" s="3" t="s">
        <v>15</v>
      </c>
      <c r="L59" s="3" t="s">
        <v>153</v>
      </c>
      <c r="M59" s="4">
        <v>46296</v>
      </c>
      <c r="N59" s="3" t="s">
        <v>144</v>
      </c>
      <c r="O59" s="3" t="s">
        <v>47</v>
      </c>
      <c r="P59" t="str">
        <f t="shared" si="0"/>
        <v>450013869150</v>
      </c>
      <c r="Q59" s="9" cm="1">
        <f t="array" ref="Q59:S59">VLOOKUP(P59,Hoja1!C:F,{2,3,4},FALSE)</f>
        <v>46290</v>
      </c>
      <c r="R59" t="str">
        <v>G05</v>
      </c>
      <c r="S59" t="str">
        <v>1000001129 AGRONORTE S.R.L.</v>
      </c>
      <c r="T59" t="str">
        <f>VLOOKUP(P59,Hoja2!C:D,2,FALSE)</f>
        <v>RPEREZ</v>
      </c>
    </row>
    <row r="60" spans="1:20" x14ac:dyDescent="0.3">
      <c r="A60" s="2" t="s">
        <v>15</v>
      </c>
      <c r="B60" s="3" t="s">
        <v>15</v>
      </c>
      <c r="C60" s="3" t="s">
        <v>145</v>
      </c>
      <c r="D60" s="3" t="s">
        <v>15</v>
      </c>
      <c r="E60" s="3" t="s">
        <v>34</v>
      </c>
      <c r="F60" s="4">
        <v>46282</v>
      </c>
      <c r="G60" s="3" t="s">
        <v>18</v>
      </c>
      <c r="H60" s="5">
        <v>39837.599999999999</v>
      </c>
      <c r="I60" s="3" t="s">
        <v>19</v>
      </c>
      <c r="J60" s="3" t="s">
        <v>25</v>
      </c>
      <c r="K60" s="3" t="s">
        <v>15</v>
      </c>
      <c r="L60" s="3" t="s">
        <v>154</v>
      </c>
      <c r="M60" s="4">
        <v>46296</v>
      </c>
      <c r="N60" s="3" t="s">
        <v>144</v>
      </c>
      <c r="O60" s="3" t="s">
        <v>23</v>
      </c>
      <c r="P60" t="str">
        <f t="shared" si="0"/>
        <v>450013869110</v>
      </c>
      <c r="Q60" s="9" cm="1">
        <f t="array" ref="Q60:S60">VLOOKUP(P60,Hoja1!C:F,{2,3,4},FALSE)</f>
        <v>46290</v>
      </c>
      <c r="R60" t="str">
        <v>G05</v>
      </c>
      <c r="S60" t="str">
        <v>1000001129 AGRONORTE S.R.L.</v>
      </c>
      <c r="T60" t="str">
        <f>VLOOKUP(P60,Hoja2!C:D,2,FALSE)</f>
        <v>RPEREZ</v>
      </c>
    </row>
    <row r="61" spans="1:20" x14ac:dyDescent="0.3">
      <c r="A61" s="2" t="s">
        <v>15</v>
      </c>
      <c r="B61" s="3" t="s">
        <v>15</v>
      </c>
      <c r="C61" s="3" t="s">
        <v>145</v>
      </c>
      <c r="D61" s="3" t="s">
        <v>15</v>
      </c>
      <c r="E61" s="3" t="s">
        <v>34</v>
      </c>
      <c r="F61" s="4">
        <v>46282</v>
      </c>
      <c r="G61" s="3" t="s">
        <v>18</v>
      </c>
      <c r="H61" s="5">
        <v>35853.839999999997</v>
      </c>
      <c r="I61" s="3" t="s">
        <v>19</v>
      </c>
      <c r="J61" s="3" t="s">
        <v>25</v>
      </c>
      <c r="K61" s="3" t="s">
        <v>15</v>
      </c>
      <c r="L61" s="3" t="s">
        <v>155</v>
      </c>
      <c r="M61" s="4">
        <v>46296</v>
      </c>
      <c r="N61" s="3" t="s">
        <v>144</v>
      </c>
      <c r="O61" s="3" t="s">
        <v>156</v>
      </c>
      <c r="P61" t="str">
        <f t="shared" si="0"/>
        <v>4500138691100</v>
      </c>
      <c r="Q61" s="9" cm="1">
        <f t="array" ref="Q61:S61">VLOOKUP(P61,Hoja1!C:F,{2,3,4},FALSE)</f>
        <v>46290</v>
      </c>
      <c r="R61" t="str">
        <v>G05</v>
      </c>
      <c r="S61" t="str">
        <v>1000001129 AGRONORTE S.R.L.</v>
      </c>
      <c r="T61" t="str">
        <f>VLOOKUP(P61,Hoja2!C:D,2,FALSE)</f>
        <v>RPEREZ</v>
      </c>
    </row>
    <row r="62" spans="1:20" x14ac:dyDescent="0.3">
      <c r="A62" s="2" t="s">
        <v>15</v>
      </c>
      <c r="B62" s="3" t="s">
        <v>15</v>
      </c>
      <c r="C62" s="3" t="s">
        <v>145</v>
      </c>
      <c r="D62" s="3" t="s">
        <v>15</v>
      </c>
      <c r="E62" s="3" t="s">
        <v>34</v>
      </c>
      <c r="F62" s="4">
        <v>46282</v>
      </c>
      <c r="G62" s="3" t="s">
        <v>18</v>
      </c>
      <c r="H62" s="5">
        <v>19224.66</v>
      </c>
      <c r="I62" s="3" t="s">
        <v>19</v>
      </c>
      <c r="J62" s="3" t="s">
        <v>25</v>
      </c>
      <c r="K62" s="3" t="s">
        <v>15</v>
      </c>
      <c r="L62" s="3" t="s">
        <v>157</v>
      </c>
      <c r="M62" s="4">
        <v>46296</v>
      </c>
      <c r="N62" s="3" t="s">
        <v>144</v>
      </c>
      <c r="O62" s="3" t="s">
        <v>158</v>
      </c>
      <c r="P62" t="str">
        <f t="shared" si="0"/>
        <v>450013869190</v>
      </c>
      <c r="Q62" s="9" cm="1">
        <f t="array" ref="Q62:S62">VLOOKUP(P62,Hoja1!C:F,{2,3,4},FALSE)</f>
        <v>46290</v>
      </c>
      <c r="R62" t="str">
        <v>G05</v>
      </c>
      <c r="S62" t="str">
        <v>1000001129 AGRONORTE S.R.L.</v>
      </c>
      <c r="T62" t="str">
        <f>VLOOKUP(P62,Hoja2!C:D,2,FALSE)</f>
        <v>RPEREZ</v>
      </c>
    </row>
    <row r="63" spans="1:20" x14ac:dyDescent="0.3">
      <c r="A63" s="2" t="s">
        <v>15</v>
      </c>
      <c r="B63" s="3" t="s">
        <v>15</v>
      </c>
      <c r="C63" s="3" t="s">
        <v>145</v>
      </c>
      <c r="D63" s="3" t="s">
        <v>15</v>
      </c>
      <c r="E63" s="3" t="s">
        <v>34</v>
      </c>
      <c r="F63" s="4">
        <v>46282</v>
      </c>
      <c r="G63" s="3" t="s">
        <v>18</v>
      </c>
      <c r="H63" s="5">
        <v>12675.6</v>
      </c>
      <c r="I63" s="3" t="s">
        <v>19</v>
      </c>
      <c r="J63" s="3" t="s">
        <v>25</v>
      </c>
      <c r="K63" s="3" t="s">
        <v>15</v>
      </c>
      <c r="L63" s="3" t="s">
        <v>159</v>
      </c>
      <c r="M63" s="4">
        <v>46296</v>
      </c>
      <c r="N63" s="3" t="s">
        <v>144</v>
      </c>
      <c r="O63" s="3" t="s">
        <v>95</v>
      </c>
      <c r="P63" t="str">
        <f t="shared" si="0"/>
        <v>450013869160</v>
      </c>
      <c r="Q63" s="9" cm="1">
        <f t="array" ref="Q63:S63">VLOOKUP(P63,Hoja1!C:F,{2,3,4},FALSE)</f>
        <v>46290</v>
      </c>
      <c r="R63" t="str">
        <v>G05</v>
      </c>
      <c r="S63" t="str">
        <v>1000001129 AGRONORTE S.R.L.</v>
      </c>
      <c r="T63" t="str">
        <f>VLOOKUP(P63,Hoja2!C:D,2,FALSE)</f>
        <v>RPEREZ</v>
      </c>
    </row>
    <row r="64" spans="1:20" x14ac:dyDescent="0.3">
      <c r="A64" s="2" t="s">
        <v>15</v>
      </c>
      <c r="B64" s="3" t="s">
        <v>15</v>
      </c>
      <c r="C64" s="3" t="s">
        <v>145</v>
      </c>
      <c r="D64" s="3" t="s">
        <v>15</v>
      </c>
      <c r="E64" s="3" t="s">
        <v>34</v>
      </c>
      <c r="F64" s="4">
        <v>46282</v>
      </c>
      <c r="G64" s="3" t="s">
        <v>18</v>
      </c>
      <c r="H64" s="5">
        <v>11091.15</v>
      </c>
      <c r="I64" s="3" t="s">
        <v>19</v>
      </c>
      <c r="J64" s="3" t="s">
        <v>25</v>
      </c>
      <c r="K64" s="3" t="s">
        <v>15</v>
      </c>
      <c r="L64" s="3" t="s">
        <v>160</v>
      </c>
      <c r="M64" s="4">
        <v>46296</v>
      </c>
      <c r="N64" s="3" t="s">
        <v>144</v>
      </c>
      <c r="O64" s="3" t="s">
        <v>141</v>
      </c>
      <c r="P64" t="str">
        <f t="shared" si="0"/>
        <v>450013869170</v>
      </c>
      <c r="Q64" s="9" cm="1">
        <f t="array" ref="Q64:S64">VLOOKUP(P64,Hoja1!C:F,{2,3,4},FALSE)</f>
        <v>46290</v>
      </c>
      <c r="R64" t="str">
        <v>G05</v>
      </c>
      <c r="S64" t="str">
        <v>1000001129 AGRONORTE S.R.L.</v>
      </c>
      <c r="T64" t="str">
        <f>VLOOKUP(P64,Hoja2!C:D,2,FALSE)</f>
        <v>RPEREZ</v>
      </c>
    </row>
    <row r="65" spans="1:20" x14ac:dyDescent="0.3">
      <c r="A65" s="2" t="s">
        <v>15</v>
      </c>
      <c r="B65" s="3" t="s">
        <v>15</v>
      </c>
      <c r="C65" s="3" t="s">
        <v>161</v>
      </c>
      <c r="D65" s="3" t="s">
        <v>56</v>
      </c>
      <c r="E65" s="3" t="s">
        <v>34</v>
      </c>
      <c r="F65" s="4">
        <v>46276</v>
      </c>
      <c r="G65" s="3" t="s">
        <v>18</v>
      </c>
      <c r="H65" s="5">
        <v>166570</v>
      </c>
      <c r="I65" s="3" t="s">
        <v>19</v>
      </c>
      <c r="J65" s="3" t="s">
        <v>25</v>
      </c>
      <c r="K65" s="3" t="s">
        <v>15</v>
      </c>
      <c r="L65" s="3" t="s">
        <v>162</v>
      </c>
      <c r="M65" s="4">
        <v>46296</v>
      </c>
      <c r="N65" s="3" t="s">
        <v>163</v>
      </c>
      <c r="O65" s="3" t="s">
        <v>23</v>
      </c>
      <c r="P65" t="str">
        <f t="shared" si="0"/>
        <v>450013792210</v>
      </c>
      <c r="Q65" s="9" cm="1">
        <f t="array" ref="Q65:S65">VLOOKUP(P65,Hoja1!C:F,{2,3,4},FALSE)</f>
        <v>46287</v>
      </c>
      <c r="R65" t="str">
        <v>C03</v>
      </c>
      <c r="S65" t="str">
        <v>1000010268 YEMA REPUESTOS SRL</v>
      </c>
      <c r="T65" t="str">
        <f>VLOOKUP(P65,Hoja2!C:D,2,FALSE)</f>
        <v>MFREIJOMIL</v>
      </c>
    </row>
    <row r="66" spans="1:20" x14ac:dyDescent="0.3">
      <c r="A66" s="2" t="s">
        <v>15</v>
      </c>
      <c r="B66" s="3" t="s">
        <v>15</v>
      </c>
      <c r="C66" s="3" t="s">
        <v>164</v>
      </c>
      <c r="D66" s="3" t="s">
        <v>15</v>
      </c>
      <c r="E66" s="3" t="s">
        <v>34</v>
      </c>
      <c r="F66" s="4">
        <v>46267</v>
      </c>
      <c r="G66" s="3" t="s">
        <v>18</v>
      </c>
      <c r="H66" s="5">
        <v>960000</v>
      </c>
      <c r="I66" s="3" t="s">
        <v>19</v>
      </c>
      <c r="J66" s="3" t="s">
        <v>25</v>
      </c>
      <c r="K66" s="3" t="s">
        <v>15</v>
      </c>
      <c r="L66" s="3" t="s">
        <v>165</v>
      </c>
      <c r="M66" s="4">
        <v>46296</v>
      </c>
      <c r="N66" s="3" t="s">
        <v>166</v>
      </c>
      <c r="O66" s="3" t="s">
        <v>23</v>
      </c>
      <c r="P66" t="str">
        <f t="shared" si="0"/>
        <v>450013694310</v>
      </c>
      <c r="Q66" s="9" cm="1">
        <f t="array" ref="Q66:S66">VLOOKUP(P66,Hoja1!C:F,{2,3,4},FALSE)</f>
        <v>46290</v>
      </c>
      <c r="R66" t="str">
        <v>C03</v>
      </c>
      <c r="S66" t="str">
        <v>1000001035 SYS IMPORT S.R.L.</v>
      </c>
      <c r="T66" t="str">
        <f>VLOOKUP(P66,Hoja2!C:D,2,FALSE)</f>
        <v>WVENTURINI</v>
      </c>
    </row>
    <row r="67" spans="1:20" x14ac:dyDescent="0.3">
      <c r="A67" s="2" t="s">
        <v>15</v>
      </c>
      <c r="B67" s="3" t="s">
        <v>15</v>
      </c>
      <c r="C67" s="3" t="s">
        <v>167</v>
      </c>
      <c r="D67" s="3" t="s">
        <v>15</v>
      </c>
      <c r="E67" s="3" t="s">
        <v>34</v>
      </c>
      <c r="F67" s="4">
        <v>46267</v>
      </c>
      <c r="G67" s="3" t="s">
        <v>18</v>
      </c>
      <c r="H67" s="5">
        <v>34000</v>
      </c>
      <c r="I67" s="3" t="s">
        <v>19</v>
      </c>
      <c r="J67" s="3" t="s">
        <v>25</v>
      </c>
      <c r="K67" s="3" t="s">
        <v>15</v>
      </c>
      <c r="L67" s="3" t="s">
        <v>168</v>
      </c>
      <c r="M67" s="4">
        <v>46296</v>
      </c>
      <c r="N67" s="3" t="s">
        <v>169</v>
      </c>
      <c r="O67" s="3" t="s">
        <v>23</v>
      </c>
      <c r="P67" t="str">
        <f t="shared" ref="P67:P130" si="1">_xlfn.CONCAT(N67:O67)</f>
        <v>450013713010</v>
      </c>
      <c r="Q67" s="9" cm="1">
        <f t="array" ref="Q67:S67">VLOOKUP(P67,Hoja1!C:F,{2,3,4},FALSE)</f>
        <v>46287</v>
      </c>
      <c r="R67" t="str">
        <v>C03</v>
      </c>
      <c r="S67" t="str">
        <v>1000001035 SYS IMPORT S.R.L.</v>
      </c>
      <c r="T67" t="str">
        <f>VLOOKUP(P67,Hoja2!C:D,2,FALSE)</f>
        <v>WVENTURINI</v>
      </c>
    </row>
    <row r="68" spans="1:20" x14ac:dyDescent="0.3">
      <c r="A68" s="2" t="s">
        <v>15</v>
      </c>
      <c r="B68" s="3" t="s">
        <v>15</v>
      </c>
      <c r="C68" s="3" t="s">
        <v>167</v>
      </c>
      <c r="D68" s="3" t="s">
        <v>15</v>
      </c>
      <c r="E68" s="3" t="s">
        <v>34</v>
      </c>
      <c r="F68" s="4">
        <v>46267</v>
      </c>
      <c r="G68" s="3" t="s">
        <v>18</v>
      </c>
      <c r="H68" s="5">
        <v>70000</v>
      </c>
      <c r="I68" s="3" t="s">
        <v>19</v>
      </c>
      <c r="J68" s="3" t="s">
        <v>25</v>
      </c>
      <c r="K68" s="3" t="s">
        <v>15</v>
      </c>
      <c r="L68" s="3" t="s">
        <v>170</v>
      </c>
      <c r="M68" s="4">
        <v>46296</v>
      </c>
      <c r="N68" s="3" t="s">
        <v>169</v>
      </c>
      <c r="O68" s="3" t="s">
        <v>62</v>
      </c>
      <c r="P68" t="str">
        <f t="shared" si="1"/>
        <v>450013713020</v>
      </c>
      <c r="Q68" s="9" cm="1">
        <f t="array" ref="Q68:S68">VLOOKUP(P68,Hoja1!C:F,{2,3,4},FALSE)</f>
        <v>46287</v>
      </c>
      <c r="R68" t="str">
        <v>C03</v>
      </c>
      <c r="S68" t="str">
        <v>1000001035 SYS IMPORT S.R.L.</v>
      </c>
      <c r="T68" t="str">
        <f>VLOOKUP(P68,Hoja2!C:D,2,FALSE)</f>
        <v>WVENTURINI</v>
      </c>
    </row>
    <row r="69" spans="1:20" x14ac:dyDescent="0.3">
      <c r="A69" s="2" t="s">
        <v>15</v>
      </c>
      <c r="B69" s="3" t="s">
        <v>15</v>
      </c>
      <c r="C69" s="3" t="s">
        <v>171</v>
      </c>
      <c r="D69" s="3" t="s">
        <v>56</v>
      </c>
      <c r="E69" s="3" t="s">
        <v>34</v>
      </c>
      <c r="F69" s="4">
        <v>46294</v>
      </c>
      <c r="G69" s="3" t="s">
        <v>18</v>
      </c>
      <c r="H69" s="5">
        <v>604000</v>
      </c>
      <c r="I69" s="3" t="s">
        <v>19</v>
      </c>
      <c r="J69" s="3" t="s">
        <v>25</v>
      </c>
      <c r="K69" s="3" t="s">
        <v>15</v>
      </c>
      <c r="L69" s="3" t="s">
        <v>172</v>
      </c>
      <c r="M69" s="4">
        <v>46296</v>
      </c>
      <c r="N69" s="3" t="s">
        <v>173</v>
      </c>
      <c r="O69" s="3" t="s">
        <v>23</v>
      </c>
      <c r="P69" t="str">
        <f t="shared" si="1"/>
        <v>450013900410</v>
      </c>
      <c r="Q69" s="9" cm="1">
        <f t="array" ref="Q69:S69">VLOOKUP(P69,Hoja1!C:F,{2,3,4},FALSE)</f>
        <v>46289</v>
      </c>
      <c r="R69" t="str">
        <v>C25</v>
      </c>
      <c r="S69" t="str">
        <v>1000001691 LENOR SRL</v>
      </c>
      <c r="T69" t="str">
        <f>VLOOKUP(P69,Hoja2!C:D,2,FALSE)</f>
        <v>MPITTIA</v>
      </c>
    </row>
    <row r="70" spans="1:20" x14ac:dyDescent="0.3">
      <c r="A70" s="2" t="s">
        <v>15</v>
      </c>
      <c r="B70" s="3" t="s">
        <v>15</v>
      </c>
      <c r="C70" s="3" t="s">
        <v>171</v>
      </c>
      <c r="D70" s="3" t="s">
        <v>56</v>
      </c>
      <c r="E70" s="3" t="s">
        <v>34</v>
      </c>
      <c r="F70" s="4">
        <v>46294</v>
      </c>
      <c r="G70" s="3" t="s">
        <v>18</v>
      </c>
      <c r="H70" s="5">
        <v>1268400</v>
      </c>
      <c r="I70" s="3" t="s">
        <v>19</v>
      </c>
      <c r="J70" s="3" t="s">
        <v>25</v>
      </c>
      <c r="K70" s="3" t="s">
        <v>15</v>
      </c>
      <c r="L70" s="3" t="s">
        <v>174</v>
      </c>
      <c r="M70" s="4">
        <v>46296</v>
      </c>
      <c r="N70" s="3" t="s">
        <v>173</v>
      </c>
      <c r="O70" s="3" t="s">
        <v>62</v>
      </c>
      <c r="P70" t="str">
        <f t="shared" si="1"/>
        <v>450013900420</v>
      </c>
      <c r="Q70" s="9" cm="1">
        <f t="array" ref="Q70:S70">VLOOKUP(P70,Hoja1!C:F,{2,3,4},FALSE)</f>
        <v>46289</v>
      </c>
      <c r="R70" t="str">
        <v>C25</v>
      </c>
      <c r="S70" t="str">
        <v>1000001691 LENOR SRL</v>
      </c>
      <c r="T70" t="str">
        <f>VLOOKUP(P70,Hoja2!C:D,2,FALSE)</f>
        <v>MPITTIA</v>
      </c>
    </row>
    <row r="71" spans="1:20" x14ac:dyDescent="0.3">
      <c r="A71" s="2" t="s">
        <v>15</v>
      </c>
      <c r="B71" s="3" t="s">
        <v>15</v>
      </c>
      <c r="C71" s="3" t="s">
        <v>171</v>
      </c>
      <c r="D71" s="3" t="s">
        <v>56</v>
      </c>
      <c r="E71" s="3" t="s">
        <v>34</v>
      </c>
      <c r="F71" s="4">
        <v>46294</v>
      </c>
      <c r="G71" s="3" t="s">
        <v>18</v>
      </c>
      <c r="H71" s="5">
        <v>90600</v>
      </c>
      <c r="I71" s="3" t="s">
        <v>19</v>
      </c>
      <c r="J71" s="3" t="s">
        <v>25</v>
      </c>
      <c r="K71" s="3" t="s">
        <v>15</v>
      </c>
      <c r="L71" s="3" t="s">
        <v>175</v>
      </c>
      <c r="M71" s="4">
        <v>46296</v>
      </c>
      <c r="N71" s="3" t="s">
        <v>173</v>
      </c>
      <c r="O71" s="3" t="s">
        <v>49</v>
      </c>
      <c r="P71" t="str">
        <f t="shared" si="1"/>
        <v>450013900430</v>
      </c>
      <c r="Q71" s="9" cm="1">
        <f t="array" ref="Q71:S71">VLOOKUP(P71,Hoja1!C:F,{2,3,4},FALSE)</f>
        <v>46289</v>
      </c>
      <c r="R71" t="str">
        <v>C25</v>
      </c>
      <c r="S71" t="str">
        <v>1000001691 LENOR SRL</v>
      </c>
      <c r="T71" t="str">
        <f>VLOOKUP(P71,Hoja2!C:D,2,FALSE)</f>
        <v>MPITTIA</v>
      </c>
    </row>
    <row r="72" spans="1:20" x14ac:dyDescent="0.3">
      <c r="A72" s="2" t="s">
        <v>15</v>
      </c>
      <c r="B72" s="3" t="s">
        <v>15</v>
      </c>
      <c r="C72" s="3" t="s">
        <v>176</v>
      </c>
      <c r="D72" s="3" t="s">
        <v>15</v>
      </c>
      <c r="E72" s="3" t="s">
        <v>34</v>
      </c>
      <c r="F72" s="4">
        <v>46241</v>
      </c>
      <c r="G72" s="3" t="s">
        <v>18</v>
      </c>
      <c r="H72" s="5">
        <v>194454.55</v>
      </c>
      <c r="I72" s="3" t="s">
        <v>19</v>
      </c>
      <c r="J72" s="3" t="s">
        <v>25</v>
      </c>
      <c r="K72" s="3" t="s">
        <v>15</v>
      </c>
      <c r="L72" s="3" t="s">
        <v>177</v>
      </c>
      <c r="M72" s="4">
        <v>46296</v>
      </c>
      <c r="N72" s="3" t="s">
        <v>178</v>
      </c>
      <c r="O72" s="3" t="s">
        <v>23</v>
      </c>
      <c r="P72" t="str">
        <f t="shared" si="1"/>
        <v>450013506710</v>
      </c>
      <c r="Q72" s="9" cm="1">
        <f t="array" ref="Q72:S72">VLOOKUP(P72,Hoja1!C:F,{2,3,4},FALSE)</f>
        <v>46254</v>
      </c>
      <c r="R72" t="str">
        <v>C01</v>
      </c>
      <c r="S72" t="str">
        <v>1000012974 BLEXA S. A.</v>
      </c>
      <c r="T72" t="str">
        <f>VLOOKUP(P72,Hoja2!C:D,2,FALSE)</f>
        <v>AZAPANA</v>
      </c>
    </row>
    <row r="73" spans="1:20" x14ac:dyDescent="0.3">
      <c r="A73" s="2" t="s">
        <v>15</v>
      </c>
      <c r="B73" s="3" t="s">
        <v>15</v>
      </c>
      <c r="C73" s="3" t="s">
        <v>176</v>
      </c>
      <c r="D73" s="3" t="s">
        <v>15</v>
      </c>
      <c r="E73" s="3" t="s">
        <v>34</v>
      </c>
      <c r="F73" s="4">
        <v>46241</v>
      </c>
      <c r="G73" s="3" t="s">
        <v>18</v>
      </c>
      <c r="H73" s="5">
        <v>23049.59</v>
      </c>
      <c r="I73" s="3" t="s">
        <v>19</v>
      </c>
      <c r="J73" s="3" t="s">
        <v>25</v>
      </c>
      <c r="K73" s="3" t="s">
        <v>15</v>
      </c>
      <c r="L73" s="3" t="s">
        <v>179</v>
      </c>
      <c r="M73" s="4">
        <v>46296</v>
      </c>
      <c r="N73" s="3" t="s">
        <v>178</v>
      </c>
      <c r="O73" s="3" t="s">
        <v>62</v>
      </c>
      <c r="P73" t="str">
        <f t="shared" si="1"/>
        <v>450013506720</v>
      </c>
      <c r="Q73" s="9" cm="1">
        <f t="array" ref="Q73:S73">VLOOKUP(P73,Hoja1!C:F,{2,3,4},FALSE)</f>
        <v>46254</v>
      </c>
      <c r="R73" t="str">
        <v>C01</v>
      </c>
      <c r="S73" t="str">
        <v>1000012974 BLEXA S. A.</v>
      </c>
      <c r="T73" t="str">
        <f>VLOOKUP(P73,Hoja2!C:D,2,FALSE)</f>
        <v>AZAPANA</v>
      </c>
    </row>
    <row r="74" spans="1:20" x14ac:dyDescent="0.3">
      <c r="A74" s="2" t="s">
        <v>15</v>
      </c>
      <c r="B74" s="3" t="s">
        <v>15</v>
      </c>
      <c r="C74" s="3" t="s">
        <v>180</v>
      </c>
      <c r="D74" s="3" t="s">
        <v>15</v>
      </c>
      <c r="E74" s="3" t="s">
        <v>34</v>
      </c>
      <c r="F74" s="4">
        <v>46283</v>
      </c>
      <c r="G74" s="3" t="s">
        <v>18</v>
      </c>
      <c r="H74" s="5">
        <v>135950.39999999999</v>
      </c>
      <c r="I74" s="3" t="s">
        <v>19</v>
      </c>
      <c r="J74" s="3" t="s">
        <v>25</v>
      </c>
      <c r="K74" s="3" t="s">
        <v>15</v>
      </c>
      <c r="L74" s="3" t="s">
        <v>181</v>
      </c>
      <c r="M74" s="4">
        <v>46296</v>
      </c>
      <c r="N74" s="3" t="s">
        <v>182</v>
      </c>
      <c r="O74" s="3" t="s">
        <v>23</v>
      </c>
      <c r="P74" t="str">
        <f t="shared" si="1"/>
        <v>450013787810</v>
      </c>
      <c r="Q74" s="9" cm="1">
        <f t="array" ref="Q74:S74">VLOOKUP(P74,Hoja1!C:F,{2,3,4},FALSE)</f>
        <v>46284</v>
      </c>
      <c r="R74" t="str">
        <v>C01</v>
      </c>
      <c r="S74" t="str">
        <v>1000012974 BLEXA S. A.</v>
      </c>
      <c r="T74" t="str">
        <f>VLOOKUP(P74,Hoja2!C:D,2,FALSE)</f>
        <v>AZAPANA</v>
      </c>
    </row>
    <row r="75" spans="1:20" x14ac:dyDescent="0.3">
      <c r="A75" s="2" t="s">
        <v>15</v>
      </c>
      <c r="B75" s="3" t="s">
        <v>15</v>
      </c>
      <c r="C75" s="3" t="s">
        <v>180</v>
      </c>
      <c r="D75" s="3" t="s">
        <v>15</v>
      </c>
      <c r="E75" s="3" t="s">
        <v>34</v>
      </c>
      <c r="F75" s="4">
        <v>46283</v>
      </c>
      <c r="G75" s="3" t="s">
        <v>18</v>
      </c>
      <c r="H75" s="5">
        <v>92198.36</v>
      </c>
      <c r="I75" s="3" t="s">
        <v>19</v>
      </c>
      <c r="J75" s="3" t="s">
        <v>25</v>
      </c>
      <c r="K75" s="3" t="s">
        <v>15</v>
      </c>
      <c r="L75" s="3" t="s">
        <v>183</v>
      </c>
      <c r="M75" s="4">
        <v>46296</v>
      </c>
      <c r="N75" s="3" t="s">
        <v>182</v>
      </c>
      <c r="O75" s="3" t="s">
        <v>62</v>
      </c>
      <c r="P75" t="str">
        <f t="shared" si="1"/>
        <v>450013787820</v>
      </c>
      <c r="Q75" s="9" cm="1">
        <f t="array" ref="Q75:S75">VLOOKUP(P75,Hoja1!C:F,{2,3,4},FALSE)</f>
        <v>46283</v>
      </c>
      <c r="R75" t="str">
        <v>C01</v>
      </c>
      <c r="S75" t="str">
        <v>1000012974 BLEXA S. A.</v>
      </c>
      <c r="T75" t="str">
        <f>VLOOKUP(P75,Hoja2!C:D,2,FALSE)</f>
        <v>AZAPANA</v>
      </c>
    </row>
    <row r="76" spans="1:20" x14ac:dyDescent="0.3">
      <c r="A76" s="2" t="s">
        <v>15</v>
      </c>
      <c r="B76" s="3" t="s">
        <v>15</v>
      </c>
      <c r="C76" s="3" t="s">
        <v>180</v>
      </c>
      <c r="D76" s="3" t="s">
        <v>15</v>
      </c>
      <c r="E76" s="3" t="s">
        <v>34</v>
      </c>
      <c r="F76" s="4">
        <v>46283</v>
      </c>
      <c r="G76" s="3" t="s">
        <v>18</v>
      </c>
      <c r="H76" s="5">
        <v>408363.64</v>
      </c>
      <c r="I76" s="3" t="s">
        <v>19</v>
      </c>
      <c r="J76" s="3" t="s">
        <v>25</v>
      </c>
      <c r="K76" s="3" t="s">
        <v>15</v>
      </c>
      <c r="L76" s="3" t="s">
        <v>184</v>
      </c>
      <c r="M76" s="4">
        <v>46296</v>
      </c>
      <c r="N76" s="3" t="s">
        <v>182</v>
      </c>
      <c r="O76" s="3" t="s">
        <v>49</v>
      </c>
      <c r="P76" t="str">
        <f t="shared" si="1"/>
        <v>450013787830</v>
      </c>
      <c r="Q76" s="9" cm="1">
        <f t="array" ref="Q76:S76">VLOOKUP(P76,Hoja1!C:F,{2,3,4},FALSE)</f>
        <v>46283</v>
      </c>
      <c r="R76" t="str">
        <v>C01</v>
      </c>
      <c r="S76" t="str">
        <v>1000012974 BLEXA S. A.</v>
      </c>
      <c r="T76" t="str">
        <f>VLOOKUP(P76,Hoja2!C:D,2,FALSE)</f>
        <v>AZAPANA</v>
      </c>
    </row>
    <row r="77" spans="1:20" x14ac:dyDescent="0.3">
      <c r="A77" s="2" t="s">
        <v>15</v>
      </c>
      <c r="B77" s="3" t="s">
        <v>15</v>
      </c>
      <c r="C77" s="3" t="s">
        <v>185</v>
      </c>
      <c r="D77" s="3" t="s">
        <v>56</v>
      </c>
      <c r="E77" s="3" t="s">
        <v>34</v>
      </c>
      <c r="F77" s="4">
        <v>46273</v>
      </c>
      <c r="G77" s="3" t="s">
        <v>18</v>
      </c>
      <c r="H77" s="5">
        <v>123838.44</v>
      </c>
      <c r="I77" s="3" t="s">
        <v>19</v>
      </c>
      <c r="J77" s="3" t="s">
        <v>25</v>
      </c>
      <c r="K77" s="3" t="s">
        <v>15</v>
      </c>
      <c r="L77" s="3" t="s">
        <v>186</v>
      </c>
      <c r="M77" s="4">
        <v>46296</v>
      </c>
      <c r="N77" s="3" t="s">
        <v>187</v>
      </c>
      <c r="O77" s="3" t="s">
        <v>23</v>
      </c>
      <c r="P77" t="str">
        <f t="shared" si="1"/>
        <v>450013735310</v>
      </c>
      <c r="Q77" s="9" cm="1">
        <f t="array" ref="Q77:S77">VLOOKUP(P77,Hoja1!C:F,{2,3,4},FALSE)</f>
        <v>46269</v>
      </c>
      <c r="R77" t="str">
        <v>C27</v>
      </c>
      <c r="S77" t="str">
        <v>1000000189 POBERAJ S.A.</v>
      </c>
      <c r="T77" t="str">
        <f>VLOOKUP(P77,Hoja2!C:D,2,FALSE)</f>
        <v>PRODRIGUEZ</v>
      </c>
    </row>
    <row r="78" spans="1:20" x14ac:dyDescent="0.3">
      <c r="A78" s="2" t="s">
        <v>15</v>
      </c>
      <c r="B78" s="3" t="s">
        <v>15</v>
      </c>
      <c r="C78" s="3" t="s">
        <v>188</v>
      </c>
      <c r="D78" s="3" t="s">
        <v>56</v>
      </c>
      <c r="E78" s="3" t="s">
        <v>34</v>
      </c>
      <c r="F78" s="4">
        <v>46281</v>
      </c>
      <c r="G78" s="3" t="s">
        <v>18</v>
      </c>
      <c r="H78" s="5">
        <v>32625.95</v>
      </c>
      <c r="I78" s="3" t="s">
        <v>19</v>
      </c>
      <c r="J78" s="3" t="s">
        <v>25</v>
      </c>
      <c r="K78" s="3" t="s">
        <v>15</v>
      </c>
      <c r="L78" s="3" t="s">
        <v>189</v>
      </c>
      <c r="M78" s="4">
        <v>46297</v>
      </c>
      <c r="N78" s="3" t="s">
        <v>111</v>
      </c>
      <c r="O78" s="3" t="s">
        <v>23</v>
      </c>
      <c r="P78" t="str">
        <f t="shared" si="1"/>
        <v>450013635310</v>
      </c>
      <c r="Q78" s="9" cm="1">
        <f t="array" ref="Q78:S78">VLOOKUP(P78,Hoja1!C:F,{2,3,4},FALSE)</f>
        <v>46289</v>
      </c>
      <c r="R78" t="str">
        <v>C43</v>
      </c>
      <c r="S78" t="str">
        <v>1000001550 OLIVARES ANTONIO ALBERTO</v>
      </c>
      <c r="T78" t="str">
        <f>VLOOKUP(P78,Hoja2!C:D,2,FALSE)</f>
        <v>EFUNES</v>
      </c>
    </row>
    <row r="79" spans="1:20" x14ac:dyDescent="0.3">
      <c r="A79" s="2" t="s">
        <v>15</v>
      </c>
      <c r="B79" s="3" t="s">
        <v>15</v>
      </c>
      <c r="C79" s="3" t="s">
        <v>190</v>
      </c>
      <c r="D79" s="3" t="s">
        <v>15</v>
      </c>
      <c r="E79" s="3" t="s">
        <v>34</v>
      </c>
      <c r="F79" s="4">
        <v>46295</v>
      </c>
      <c r="G79" s="3" t="s">
        <v>18</v>
      </c>
      <c r="H79" s="5">
        <v>144500</v>
      </c>
      <c r="I79" s="3" t="s">
        <v>19</v>
      </c>
      <c r="J79" s="3" t="s">
        <v>25</v>
      </c>
      <c r="K79" s="3" t="s">
        <v>15</v>
      </c>
      <c r="L79" s="3" t="s">
        <v>191</v>
      </c>
      <c r="M79" s="4">
        <v>46297</v>
      </c>
      <c r="N79" s="3" t="s">
        <v>192</v>
      </c>
      <c r="O79" s="3" t="s">
        <v>23</v>
      </c>
      <c r="P79" t="str">
        <f t="shared" si="1"/>
        <v>450013933810</v>
      </c>
      <c r="Q79" s="9" cm="1">
        <f t="array" ref="Q79:S79">VLOOKUP(P79,Hoja1!C:F,{2,3,4},FALSE)</f>
        <v>46304</v>
      </c>
      <c r="R79" t="str">
        <v>C22</v>
      </c>
      <c r="S79" t="str">
        <v>1000000003 ARROYITO MAQUINARIAS S.R.L.</v>
      </c>
      <c r="T79" t="str">
        <f>VLOOKUP(P79,Hoja2!C:D,2,FALSE)</f>
        <v>GJULIANI</v>
      </c>
    </row>
    <row r="80" spans="1:20" x14ac:dyDescent="0.3">
      <c r="A80" s="2" t="s">
        <v>15</v>
      </c>
      <c r="B80" s="3" t="s">
        <v>15</v>
      </c>
      <c r="C80" s="3" t="s">
        <v>193</v>
      </c>
      <c r="D80" s="3" t="s">
        <v>56</v>
      </c>
      <c r="E80" s="3" t="s">
        <v>34</v>
      </c>
      <c r="F80" s="4">
        <v>46294</v>
      </c>
      <c r="G80" s="3" t="s">
        <v>18</v>
      </c>
      <c r="H80" s="5">
        <v>150780.60999999999</v>
      </c>
      <c r="I80" s="3" t="s">
        <v>19</v>
      </c>
      <c r="J80" s="3" t="s">
        <v>25</v>
      </c>
      <c r="K80" s="3" t="s">
        <v>15</v>
      </c>
      <c r="L80" s="3" t="s">
        <v>194</v>
      </c>
      <c r="M80" s="4">
        <v>46297</v>
      </c>
      <c r="N80" s="3" t="s">
        <v>195</v>
      </c>
      <c r="O80" s="3" t="s">
        <v>23</v>
      </c>
      <c r="P80" t="str">
        <f t="shared" si="1"/>
        <v>450013973110</v>
      </c>
      <c r="Q80" s="9" cm="1">
        <f t="array" ref="Q80:S80">VLOOKUP(P80,Hoja1!C:F,{2,3,4},FALSE)</f>
        <v>46304</v>
      </c>
      <c r="R80" t="str">
        <v>C28</v>
      </c>
      <c r="S80" t="str">
        <v>1000007451 FLORES CARLOS FELIPE Y OTROS S H</v>
      </c>
      <c r="T80" t="str">
        <f>VLOOKUP(P80,Hoja2!C:D,2,FALSE)</f>
        <v>GJULIANI</v>
      </c>
    </row>
    <row r="81" spans="1:20" x14ac:dyDescent="0.3">
      <c r="A81" s="2" t="s">
        <v>15</v>
      </c>
      <c r="B81" s="3" t="s">
        <v>15</v>
      </c>
      <c r="C81" s="3" t="s">
        <v>196</v>
      </c>
      <c r="D81" s="3" t="s">
        <v>15</v>
      </c>
      <c r="E81" s="3" t="s">
        <v>197</v>
      </c>
      <c r="F81" s="4">
        <v>45965</v>
      </c>
      <c r="G81" s="3" t="s">
        <v>64</v>
      </c>
      <c r="H81" s="6">
        <v>-345000</v>
      </c>
      <c r="I81" s="3" t="s">
        <v>19</v>
      </c>
      <c r="J81" s="3" t="s">
        <v>15</v>
      </c>
      <c r="K81" s="3" t="s">
        <v>15</v>
      </c>
      <c r="L81" s="3" t="s">
        <v>198</v>
      </c>
      <c r="M81" s="4">
        <v>45965</v>
      </c>
      <c r="N81" s="3" t="s">
        <v>199</v>
      </c>
      <c r="O81" s="3" t="s">
        <v>49</v>
      </c>
      <c r="P81" t="str">
        <f t="shared" si="1"/>
        <v>450011207930</v>
      </c>
      <c r="Q81" s="9" cm="1">
        <f t="array" ref="Q81:S81">VLOOKUP(P81,Hoja1!C:F,{2,3,4},FALSE)</f>
        <v>45968</v>
      </c>
      <c r="R81" t="str">
        <v>C28</v>
      </c>
      <c r="S81" t="str">
        <v>1000007611 ANTONIO B ATENOR E HIJOS S R L</v>
      </c>
      <c r="T81" t="str">
        <f>VLOOKUP(P81,Hoja2!C:D,2,FALSE)</f>
        <v>GJULIANI</v>
      </c>
    </row>
    <row r="82" spans="1:20" x14ac:dyDescent="0.3">
      <c r="A82" s="2" t="s">
        <v>15</v>
      </c>
      <c r="B82" s="3" t="s">
        <v>15</v>
      </c>
      <c r="C82" s="3" t="s">
        <v>200</v>
      </c>
      <c r="D82" s="3" t="s">
        <v>56</v>
      </c>
      <c r="E82" s="3" t="s">
        <v>197</v>
      </c>
      <c r="F82" s="4">
        <v>46003</v>
      </c>
      <c r="G82" s="3" t="s">
        <v>64</v>
      </c>
      <c r="H82" s="6">
        <v>-21148.46</v>
      </c>
      <c r="I82" s="3" t="s">
        <v>19</v>
      </c>
      <c r="J82" s="3" t="s">
        <v>15</v>
      </c>
      <c r="K82" s="3" t="s">
        <v>15</v>
      </c>
      <c r="L82" s="3" t="s">
        <v>201</v>
      </c>
      <c r="M82" s="4">
        <v>46003</v>
      </c>
      <c r="N82" s="3" t="s">
        <v>202</v>
      </c>
      <c r="O82" s="3" t="s">
        <v>23</v>
      </c>
      <c r="P82" t="str">
        <f t="shared" si="1"/>
        <v>450011380010</v>
      </c>
      <c r="Q82" s="9" cm="1">
        <f t="array" ref="Q82:S82">VLOOKUP(P82,Hoja1!C:F,{2,3,4},FALSE)</f>
        <v>46001</v>
      </c>
      <c r="R82" t="str">
        <v>C01</v>
      </c>
      <c r="S82" t="str">
        <v>1000007609 EXTINGNORT S.R.L.</v>
      </c>
      <c r="T82" t="str">
        <f>VLOOKUP(P82,Hoja2!C:D,2,FALSE)</f>
        <v>MMOHR</v>
      </c>
    </row>
    <row r="83" spans="1:20" x14ac:dyDescent="0.3">
      <c r="A83" s="2" t="s">
        <v>15</v>
      </c>
      <c r="B83" s="3" t="s">
        <v>15</v>
      </c>
      <c r="C83" s="3" t="s">
        <v>200</v>
      </c>
      <c r="D83" s="3" t="s">
        <v>56</v>
      </c>
      <c r="E83" s="3" t="s">
        <v>197</v>
      </c>
      <c r="F83" s="4">
        <v>46003</v>
      </c>
      <c r="G83" s="3" t="s">
        <v>64</v>
      </c>
      <c r="H83" s="6">
        <v>-26946.46</v>
      </c>
      <c r="I83" s="3" t="s">
        <v>19</v>
      </c>
      <c r="J83" s="3" t="s">
        <v>15</v>
      </c>
      <c r="K83" s="3" t="s">
        <v>15</v>
      </c>
      <c r="L83" s="3" t="s">
        <v>203</v>
      </c>
      <c r="M83" s="4">
        <v>46003</v>
      </c>
      <c r="N83" s="3" t="s">
        <v>202</v>
      </c>
      <c r="O83" s="3" t="s">
        <v>62</v>
      </c>
      <c r="P83" t="str">
        <f t="shared" si="1"/>
        <v>450011380020</v>
      </c>
      <c r="Q83" s="9" cm="1">
        <f t="array" ref="Q83:S83">VLOOKUP(P83,Hoja1!C:F,{2,3,4},FALSE)</f>
        <v>46001</v>
      </c>
      <c r="R83" t="str">
        <v>C01</v>
      </c>
      <c r="S83" t="str">
        <v>1000007609 EXTINGNORT S.R.L.</v>
      </c>
      <c r="T83" t="str">
        <f>VLOOKUP(P83,Hoja2!C:D,2,FALSE)</f>
        <v>MMOHR</v>
      </c>
    </row>
    <row r="84" spans="1:20" x14ac:dyDescent="0.3">
      <c r="A84" s="2" t="s">
        <v>15</v>
      </c>
      <c r="B84" s="3" t="s">
        <v>15</v>
      </c>
      <c r="C84" s="3" t="s">
        <v>200</v>
      </c>
      <c r="D84" s="3" t="s">
        <v>56</v>
      </c>
      <c r="E84" s="3" t="s">
        <v>197</v>
      </c>
      <c r="F84" s="4">
        <v>46003</v>
      </c>
      <c r="G84" s="3" t="s">
        <v>64</v>
      </c>
      <c r="H84" s="6">
        <v>-15419.16</v>
      </c>
      <c r="I84" s="3" t="s">
        <v>19</v>
      </c>
      <c r="J84" s="3" t="s">
        <v>15</v>
      </c>
      <c r="K84" s="3" t="s">
        <v>15</v>
      </c>
      <c r="L84" s="3" t="s">
        <v>204</v>
      </c>
      <c r="M84" s="4">
        <v>46003</v>
      </c>
      <c r="N84" s="3" t="s">
        <v>202</v>
      </c>
      <c r="O84" s="3" t="s">
        <v>49</v>
      </c>
      <c r="P84" t="str">
        <f t="shared" si="1"/>
        <v>450011380030</v>
      </c>
      <c r="Q84" s="9" cm="1">
        <f t="array" ref="Q84:S84">VLOOKUP(P84,Hoja1!C:F,{2,3,4},FALSE)</f>
        <v>46001</v>
      </c>
      <c r="R84" t="str">
        <v>C01</v>
      </c>
      <c r="S84" t="str">
        <v>1000007609 EXTINGNORT S.R.L.</v>
      </c>
      <c r="T84" t="str">
        <f>VLOOKUP(P84,Hoja2!C:D,2,FALSE)</f>
        <v>MMOHR</v>
      </c>
    </row>
    <row r="85" spans="1:20" x14ac:dyDescent="0.3">
      <c r="A85" s="2" t="s">
        <v>15</v>
      </c>
      <c r="B85" s="3" t="s">
        <v>15</v>
      </c>
      <c r="C85" s="3" t="s">
        <v>205</v>
      </c>
      <c r="D85" s="3" t="s">
        <v>56</v>
      </c>
      <c r="E85" s="3" t="s">
        <v>197</v>
      </c>
      <c r="F85" s="4">
        <v>45937</v>
      </c>
      <c r="G85" s="3" t="s">
        <v>64</v>
      </c>
      <c r="H85" s="6">
        <v>-35000</v>
      </c>
      <c r="I85" s="3" t="s">
        <v>19</v>
      </c>
      <c r="J85" s="3" t="s">
        <v>15</v>
      </c>
      <c r="K85" s="3" t="s">
        <v>15</v>
      </c>
      <c r="L85" s="3" t="s">
        <v>206</v>
      </c>
      <c r="M85" s="4">
        <v>45937</v>
      </c>
      <c r="N85" s="3" t="s">
        <v>207</v>
      </c>
      <c r="O85" s="3" t="s">
        <v>23</v>
      </c>
      <c r="P85" t="str">
        <f t="shared" si="1"/>
        <v>450010984110</v>
      </c>
      <c r="Q85" s="9" cm="1">
        <f t="array" ref="Q85:S85">VLOOKUP(P85,Hoja1!C:F,{2,3,4},FALSE)</f>
        <v>45940</v>
      </c>
      <c r="R85" t="str">
        <v>C27</v>
      </c>
      <c r="S85" t="str">
        <v>1000000295 BOLLINI S.A</v>
      </c>
      <c r="T85" t="str">
        <f>VLOOKUP(P85,Hoja2!C:D,2,FALSE)</f>
        <v>JESPARZA</v>
      </c>
    </row>
    <row r="86" spans="1:20" x14ac:dyDescent="0.3">
      <c r="A86" s="2" t="s">
        <v>15</v>
      </c>
      <c r="B86" s="3" t="s">
        <v>15</v>
      </c>
      <c r="C86" s="3" t="s">
        <v>205</v>
      </c>
      <c r="D86" s="3" t="s">
        <v>56</v>
      </c>
      <c r="E86" s="3" t="s">
        <v>197</v>
      </c>
      <c r="F86" s="4">
        <v>45937</v>
      </c>
      <c r="G86" s="3" t="s">
        <v>64</v>
      </c>
      <c r="H86" s="6">
        <v>-46280.959999999999</v>
      </c>
      <c r="I86" s="3" t="s">
        <v>19</v>
      </c>
      <c r="J86" s="3" t="s">
        <v>15</v>
      </c>
      <c r="K86" s="3" t="s">
        <v>15</v>
      </c>
      <c r="L86" s="3" t="s">
        <v>208</v>
      </c>
      <c r="M86" s="4">
        <v>45937</v>
      </c>
      <c r="N86" s="3" t="s">
        <v>207</v>
      </c>
      <c r="O86" s="3" t="s">
        <v>62</v>
      </c>
      <c r="P86" t="str">
        <f t="shared" si="1"/>
        <v>450010984120</v>
      </c>
      <c r="Q86" s="9" cm="1">
        <f t="array" ref="Q86:S86">VLOOKUP(P86,Hoja1!C:F,{2,3,4},FALSE)</f>
        <v>45940</v>
      </c>
      <c r="R86" t="str">
        <v>C27</v>
      </c>
      <c r="S86" t="str">
        <v>1000000295 BOLLINI S.A</v>
      </c>
      <c r="T86" t="str">
        <f>VLOOKUP(P86,Hoja2!C:D,2,FALSE)</f>
        <v>JESPARZA</v>
      </c>
    </row>
    <row r="87" spans="1:20" x14ac:dyDescent="0.3">
      <c r="A87" s="2" t="s">
        <v>15</v>
      </c>
      <c r="B87" s="3" t="s">
        <v>15</v>
      </c>
      <c r="C87" s="3" t="s">
        <v>205</v>
      </c>
      <c r="D87" s="3" t="s">
        <v>56</v>
      </c>
      <c r="E87" s="3" t="s">
        <v>197</v>
      </c>
      <c r="F87" s="4">
        <v>45937</v>
      </c>
      <c r="G87" s="3" t="s">
        <v>64</v>
      </c>
      <c r="H87" s="6">
        <v>-1983.6</v>
      </c>
      <c r="I87" s="3" t="s">
        <v>19</v>
      </c>
      <c r="J87" s="3" t="s">
        <v>15</v>
      </c>
      <c r="K87" s="3" t="s">
        <v>15</v>
      </c>
      <c r="L87" s="3" t="s">
        <v>209</v>
      </c>
      <c r="M87" s="4">
        <v>45937</v>
      </c>
      <c r="N87" s="3" t="s">
        <v>207</v>
      </c>
      <c r="O87" s="3" t="s">
        <v>49</v>
      </c>
      <c r="P87" t="str">
        <f t="shared" si="1"/>
        <v>450010984130</v>
      </c>
      <c r="Q87" s="9" cm="1">
        <f t="array" ref="Q87:S87">VLOOKUP(P87,Hoja1!C:F,{2,3,4},FALSE)</f>
        <v>45940</v>
      </c>
      <c r="R87" t="str">
        <v>C27</v>
      </c>
      <c r="S87" t="str">
        <v>1000000295 BOLLINI S.A</v>
      </c>
      <c r="T87" t="str">
        <f>VLOOKUP(P87,Hoja2!C:D,2,FALSE)</f>
        <v>JESPARZA</v>
      </c>
    </row>
    <row r="88" spans="1:20" x14ac:dyDescent="0.3">
      <c r="A88" s="2" t="s">
        <v>15</v>
      </c>
      <c r="B88" s="3" t="s">
        <v>15</v>
      </c>
      <c r="C88" s="3" t="s">
        <v>210</v>
      </c>
      <c r="D88" s="3" t="s">
        <v>56</v>
      </c>
      <c r="E88" s="3" t="s">
        <v>197</v>
      </c>
      <c r="F88" s="4">
        <v>46082</v>
      </c>
      <c r="G88" s="3" t="s">
        <v>64</v>
      </c>
      <c r="H88" s="6">
        <v>-652500</v>
      </c>
      <c r="I88" s="3" t="s">
        <v>19</v>
      </c>
      <c r="J88" s="3" t="s">
        <v>15</v>
      </c>
      <c r="K88" s="3" t="s">
        <v>15</v>
      </c>
      <c r="L88" s="3" t="s">
        <v>211</v>
      </c>
      <c r="M88" s="4">
        <v>46081</v>
      </c>
      <c r="N88" s="3" t="s">
        <v>212</v>
      </c>
      <c r="O88" s="3" t="s">
        <v>23</v>
      </c>
      <c r="P88" t="str">
        <f t="shared" si="1"/>
        <v>450010970910</v>
      </c>
      <c r="Q88" s="9" cm="1">
        <f t="array" ref="Q88:S88">VLOOKUP(P88,Hoja1!C:F,{2,3,4},FALSE)</f>
        <v>46308</v>
      </c>
      <c r="R88" t="str">
        <v>C25</v>
      </c>
      <c r="S88" t="str">
        <v>1000007510 LABTEC S. R. L.</v>
      </c>
      <c r="T88" t="str">
        <f>VLOOKUP(P88,Hoja2!C:D,2,FALSE)</f>
        <v>MPITTIA</v>
      </c>
    </row>
    <row r="89" spans="1:20" x14ac:dyDescent="0.3">
      <c r="A89" s="2" t="s">
        <v>15</v>
      </c>
      <c r="B89" s="3" t="s">
        <v>15</v>
      </c>
      <c r="C89" s="3" t="s">
        <v>213</v>
      </c>
      <c r="D89" s="3" t="s">
        <v>15</v>
      </c>
      <c r="E89" s="3" t="s">
        <v>197</v>
      </c>
      <c r="F89" s="4">
        <v>46093</v>
      </c>
      <c r="G89" s="3" t="s">
        <v>64</v>
      </c>
      <c r="H89" s="6">
        <v>-3821769.9</v>
      </c>
      <c r="I89" s="3" t="s">
        <v>19</v>
      </c>
      <c r="J89" s="3" t="s">
        <v>15</v>
      </c>
      <c r="K89" s="3" t="s">
        <v>15</v>
      </c>
      <c r="L89" s="3" t="s">
        <v>214</v>
      </c>
      <c r="M89" s="4">
        <v>46093</v>
      </c>
      <c r="N89" s="3" t="s">
        <v>29</v>
      </c>
      <c r="O89" s="3" t="s">
        <v>38</v>
      </c>
      <c r="P89" t="str">
        <f t="shared" si="1"/>
        <v>450011474340</v>
      </c>
      <c r="Q89" s="9" cm="1">
        <f t="array" ref="Q89:S89">VLOOKUP(P89,Hoja1!C:F,{2,3,4},FALSE)</f>
        <v>46290</v>
      </c>
      <c r="R89" t="str">
        <v>CGT</v>
      </c>
      <c r="S89" t="str">
        <v>1000001583 HELING S.A.</v>
      </c>
      <c r="T89" t="str">
        <f>VLOOKUP(P89,Hoja2!C:D,2,FALSE)</f>
        <v>EFUNES</v>
      </c>
    </row>
    <row r="90" spans="1:20" x14ac:dyDescent="0.3">
      <c r="A90" s="2" t="s">
        <v>15</v>
      </c>
      <c r="B90" s="3" t="s">
        <v>15</v>
      </c>
      <c r="C90" s="3" t="s">
        <v>213</v>
      </c>
      <c r="D90" s="3" t="s">
        <v>15</v>
      </c>
      <c r="E90" s="3" t="s">
        <v>197</v>
      </c>
      <c r="F90" s="4">
        <v>46093</v>
      </c>
      <c r="G90" s="3" t="s">
        <v>64</v>
      </c>
      <c r="H90" s="6">
        <v>-2872870</v>
      </c>
      <c r="I90" s="3" t="s">
        <v>19</v>
      </c>
      <c r="J90" s="3" t="s">
        <v>15</v>
      </c>
      <c r="K90" s="3" t="s">
        <v>15</v>
      </c>
      <c r="L90" s="3" t="s">
        <v>215</v>
      </c>
      <c r="M90" s="4">
        <v>46093</v>
      </c>
      <c r="N90" s="3" t="s">
        <v>29</v>
      </c>
      <c r="O90" s="3" t="s">
        <v>47</v>
      </c>
      <c r="P90" t="str">
        <f t="shared" si="1"/>
        <v>450011474350</v>
      </c>
      <c r="Q90" s="9" cm="1">
        <f t="array" ref="Q90:S90">VLOOKUP(P90,Hoja1!C:F,{2,3,4},FALSE)</f>
        <v>46290</v>
      </c>
      <c r="R90" t="str">
        <v>CGT</v>
      </c>
      <c r="S90" t="str">
        <v>1000001583 HELING S.A.</v>
      </c>
      <c r="T90" t="str">
        <f>VLOOKUP(P90,Hoja2!C:D,2,FALSE)</f>
        <v>EFUNES</v>
      </c>
    </row>
    <row r="91" spans="1:20" x14ac:dyDescent="0.3">
      <c r="A91" s="2" t="s">
        <v>15</v>
      </c>
      <c r="B91" s="3" t="s">
        <v>15</v>
      </c>
      <c r="C91" s="3" t="s">
        <v>213</v>
      </c>
      <c r="D91" s="3" t="s">
        <v>15</v>
      </c>
      <c r="E91" s="3" t="s">
        <v>197</v>
      </c>
      <c r="F91" s="4">
        <v>46093</v>
      </c>
      <c r="G91" s="3" t="s">
        <v>64</v>
      </c>
      <c r="H91" s="6">
        <v>-41745</v>
      </c>
      <c r="I91" s="3" t="s">
        <v>19</v>
      </c>
      <c r="J91" s="3" t="s">
        <v>15</v>
      </c>
      <c r="K91" s="3" t="s">
        <v>15</v>
      </c>
      <c r="L91" s="3" t="s">
        <v>216</v>
      </c>
      <c r="M91" s="4">
        <v>46093</v>
      </c>
      <c r="N91" s="3" t="s">
        <v>29</v>
      </c>
      <c r="O91" s="3" t="s">
        <v>95</v>
      </c>
      <c r="P91" t="str">
        <f t="shared" si="1"/>
        <v>450011474360</v>
      </c>
      <c r="Q91" s="9" cm="1">
        <f t="array" ref="Q91:S91">VLOOKUP(P91,Hoja1!C:F,{2,3,4},FALSE)</f>
        <v>46290</v>
      </c>
      <c r="R91" t="str">
        <v>CGT</v>
      </c>
      <c r="S91" t="str">
        <v>1000001583 HELING S.A.</v>
      </c>
      <c r="T91" t="str">
        <f>VLOOKUP(P91,Hoja2!C:D,2,FALSE)</f>
        <v>EFUNES</v>
      </c>
    </row>
    <row r="92" spans="1:20" x14ac:dyDescent="0.3">
      <c r="A92" s="2" t="s">
        <v>15</v>
      </c>
      <c r="B92" s="3" t="s">
        <v>15</v>
      </c>
      <c r="C92" s="3" t="s">
        <v>213</v>
      </c>
      <c r="D92" s="3" t="s">
        <v>15</v>
      </c>
      <c r="E92" s="3" t="s">
        <v>197</v>
      </c>
      <c r="F92" s="4">
        <v>46093</v>
      </c>
      <c r="G92" s="3" t="s">
        <v>64</v>
      </c>
      <c r="H92" s="6">
        <v>-13953.5</v>
      </c>
      <c r="I92" s="3" t="s">
        <v>19</v>
      </c>
      <c r="J92" s="3" t="s">
        <v>15</v>
      </c>
      <c r="K92" s="3" t="s">
        <v>15</v>
      </c>
      <c r="L92" s="3" t="s">
        <v>217</v>
      </c>
      <c r="M92" s="4">
        <v>46093</v>
      </c>
      <c r="N92" s="3" t="s">
        <v>29</v>
      </c>
      <c r="O92" s="3" t="s">
        <v>51</v>
      </c>
      <c r="P92" t="str">
        <f t="shared" si="1"/>
        <v>4500114743170</v>
      </c>
      <c r="Q92" s="9" cm="1">
        <f t="array" ref="Q92:S92">VLOOKUP(P92,Hoja1!C:F,{2,3,4},FALSE)</f>
        <v>46290</v>
      </c>
      <c r="R92" t="str">
        <v>CGT</v>
      </c>
      <c r="S92" t="str">
        <v>1000001583 HELING S.A.</v>
      </c>
      <c r="T92" t="str">
        <f>VLOOKUP(P92,Hoja2!C:D,2,FALSE)</f>
        <v>EFUNES</v>
      </c>
    </row>
    <row r="93" spans="1:20" x14ac:dyDescent="0.3">
      <c r="A93" s="2" t="s">
        <v>15</v>
      </c>
      <c r="B93" s="3" t="s">
        <v>15</v>
      </c>
      <c r="C93" s="3" t="s">
        <v>213</v>
      </c>
      <c r="D93" s="3" t="s">
        <v>15</v>
      </c>
      <c r="E93" s="3" t="s">
        <v>197</v>
      </c>
      <c r="F93" s="4">
        <v>46093</v>
      </c>
      <c r="G93" s="3" t="s">
        <v>64</v>
      </c>
      <c r="H93" s="6">
        <v>-114141.5</v>
      </c>
      <c r="I93" s="3" t="s">
        <v>19</v>
      </c>
      <c r="J93" s="3" t="s">
        <v>15</v>
      </c>
      <c r="K93" s="3" t="s">
        <v>15</v>
      </c>
      <c r="L93" s="3" t="s">
        <v>218</v>
      </c>
      <c r="M93" s="4">
        <v>46093</v>
      </c>
      <c r="N93" s="3" t="s">
        <v>29</v>
      </c>
      <c r="O93" s="3" t="s">
        <v>30</v>
      </c>
      <c r="P93" t="str">
        <f t="shared" si="1"/>
        <v>4500114743320</v>
      </c>
      <c r="Q93" s="9" cm="1">
        <f t="array" ref="Q93:S93">VLOOKUP(P93,Hoja1!C:F,{2,3,4},FALSE)</f>
        <v>46290</v>
      </c>
      <c r="R93" t="str">
        <v>CGT</v>
      </c>
      <c r="S93" t="str">
        <v>1000001583 HELING S.A.</v>
      </c>
      <c r="T93" t="str">
        <f>VLOOKUP(P93,Hoja2!C:D,2,FALSE)</f>
        <v>EFUNES</v>
      </c>
    </row>
    <row r="94" spans="1:20" x14ac:dyDescent="0.3">
      <c r="A94" s="2" t="s">
        <v>15</v>
      </c>
      <c r="B94" s="3" t="s">
        <v>15</v>
      </c>
      <c r="C94" s="3" t="s">
        <v>219</v>
      </c>
      <c r="D94" s="3" t="s">
        <v>56</v>
      </c>
      <c r="E94" s="3" t="s">
        <v>197</v>
      </c>
      <c r="F94" s="4">
        <v>46094</v>
      </c>
      <c r="G94" s="3" t="s">
        <v>64</v>
      </c>
      <c r="H94" s="6">
        <v>-976132.23</v>
      </c>
      <c r="I94" s="3" t="s">
        <v>19</v>
      </c>
      <c r="J94" s="3" t="s">
        <v>15</v>
      </c>
      <c r="K94" s="3" t="s">
        <v>15</v>
      </c>
      <c r="L94" s="3" t="s">
        <v>220</v>
      </c>
      <c r="M94" s="4">
        <v>46094</v>
      </c>
      <c r="N94" s="3" t="s">
        <v>221</v>
      </c>
      <c r="O94" s="3" t="s">
        <v>23</v>
      </c>
      <c r="P94" t="str">
        <f t="shared" si="1"/>
        <v>450012180010</v>
      </c>
      <c r="Q94" s="9" cm="1">
        <f t="array" ref="Q94:S94">VLOOKUP(P94,Hoja1!C:F,{2,3,4},FALSE)</f>
        <v>46105</v>
      </c>
      <c r="R94" t="str">
        <v>C01</v>
      </c>
      <c r="S94" t="str">
        <v>1000010642 SALAS S.R.L</v>
      </c>
      <c r="T94" t="str">
        <f>VLOOKUP(P94,Hoja2!C:D,2,FALSE)</f>
        <v>GLUNA</v>
      </c>
    </row>
    <row r="95" spans="1:20" x14ac:dyDescent="0.3">
      <c r="A95" s="2" t="s">
        <v>15</v>
      </c>
      <c r="B95" s="3" t="s">
        <v>15</v>
      </c>
      <c r="C95" s="3" t="s">
        <v>222</v>
      </c>
      <c r="D95" s="3" t="s">
        <v>56</v>
      </c>
      <c r="E95" s="3" t="s">
        <v>197</v>
      </c>
      <c r="F95" s="4">
        <v>46100</v>
      </c>
      <c r="G95" s="3" t="s">
        <v>64</v>
      </c>
      <c r="H95" s="6">
        <v>-59456.97</v>
      </c>
      <c r="I95" s="3" t="s">
        <v>19</v>
      </c>
      <c r="J95" s="3" t="s">
        <v>15</v>
      </c>
      <c r="K95" s="3" t="s">
        <v>15</v>
      </c>
      <c r="L95" s="3" t="s">
        <v>223</v>
      </c>
      <c r="M95" s="4">
        <v>46100</v>
      </c>
      <c r="N95" s="3" t="s">
        <v>58</v>
      </c>
      <c r="O95" s="3" t="s">
        <v>23</v>
      </c>
      <c r="P95" t="str">
        <f t="shared" si="1"/>
        <v>450010951410</v>
      </c>
      <c r="Q95" s="9" cm="1">
        <f t="array" ref="Q95:S95">VLOOKUP(P95,Hoja1!C:F,{2,3,4},FALSE)</f>
        <v>46162</v>
      </c>
      <c r="R95" t="str">
        <v>C01</v>
      </c>
      <c r="S95" t="str">
        <v>1000008967 JACARANDA S.A.</v>
      </c>
      <c r="T95" t="str">
        <f>VLOOKUP(P95,Hoja2!C:D,2,FALSE)</f>
        <v>MMOHR</v>
      </c>
    </row>
    <row r="96" spans="1:20" x14ac:dyDescent="0.3">
      <c r="A96" s="2" t="s">
        <v>15</v>
      </c>
      <c r="B96" s="3" t="s">
        <v>15</v>
      </c>
      <c r="C96" s="3" t="s">
        <v>224</v>
      </c>
      <c r="D96" s="3" t="s">
        <v>15</v>
      </c>
      <c r="E96" s="3" t="s">
        <v>197</v>
      </c>
      <c r="F96" s="4">
        <v>46106</v>
      </c>
      <c r="G96" s="3" t="s">
        <v>64</v>
      </c>
      <c r="H96" s="6">
        <v>-429392.63</v>
      </c>
      <c r="I96" s="3" t="s">
        <v>19</v>
      </c>
      <c r="J96" s="3" t="s">
        <v>15</v>
      </c>
      <c r="K96" s="3" t="s">
        <v>15</v>
      </c>
      <c r="L96" s="3" t="s">
        <v>225</v>
      </c>
      <c r="M96" s="4">
        <v>46107</v>
      </c>
      <c r="N96" s="3" t="s">
        <v>226</v>
      </c>
      <c r="O96" s="3" t="s">
        <v>62</v>
      </c>
      <c r="P96" t="str">
        <f t="shared" si="1"/>
        <v>450011022620</v>
      </c>
      <c r="Q96" s="9" cm="1">
        <f t="array" ref="Q96:S96">VLOOKUP(P96,Hoja1!C:F,{2,3,4},FALSE)</f>
        <v>46097</v>
      </c>
      <c r="R96" t="str">
        <v>C03</v>
      </c>
      <c r="S96" t="str">
        <v>1000001123 HAULOTTE ARGENTINA S.A.</v>
      </c>
      <c r="T96" t="str">
        <f>VLOOKUP(P96,Hoja2!C:D,2,FALSE)</f>
        <v>EFUNES</v>
      </c>
    </row>
    <row r="97" spans="1:20" x14ac:dyDescent="0.3">
      <c r="A97" s="2" t="s">
        <v>15</v>
      </c>
      <c r="B97" s="3" t="s">
        <v>15</v>
      </c>
      <c r="C97" s="3" t="s">
        <v>227</v>
      </c>
      <c r="D97" s="3" t="s">
        <v>56</v>
      </c>
      <c r="E97" s="3" t="s">
        <v>197</v>
      </c>
      <c r="F97" s="4">
        <v>46117</v>
      </c>
      <c r="G97" s="3" t="s">
        <v>64</v>
      </c>
      <c r="H97" s="6">
        <v>-13621.57</v>
      </c>
      <c r="I97" s="3" t="s">
        <v>19</v>
      </c>
      <c r="J97" s="3" t="s">
        <v>15</v>
      </c>
      <c r="K97" s="3" t="s">
        <v>15</v>
      </c>
      <c r="L97" s="3" t="s">
        <v>228</v>
      </c>
      <c r="M97" s="4">
        <v>46117</v>
      </c>
      <c r="N97" s="3" t="s">
        <v>58</v>
      </c>
      <c r="O97" s="3" t="s">
        <v>23</v>
      </c>
      <c r="P97" t="str">
        <f t="shared" si="1"/>
        <v>450010951410</v>
      </c>
      <c r="Q97" s="9" cm="1">
        <f t="array" ref="Q97:S97">VLOOKUP(P97,Hoja1!C:F,{2,3,4},FALSE)</f>
        <v>46162</v>
      </c>
      <c r="R97" t="str">
        <v>C01</v>
      </c>
      <c r="S97" t="str">
        <v>1000008967 JACARANDA S.A.</v>
      </c>
      <c r="T97" t="str">
        <f>VLOOKUP(P97,Hoja2!C:D,2,FALSE)</f>
        <v>MMOHR</v>
      </c>
    </row>
    <row r="98" spans="1:20" x14ac:dyDescent="0.3">
      <c r="A98" s="2" t="s">
        <v>15</v>
      </c>
      <c r="B98" s="3" t="s">
        <v>15</v>
      </c>
      <c r="C98" s="3" t="s">
        <v>229</v>
      </c>
      <c r="D98" s="3" t="s">
        <v>56</v>
      </c>
      <c r="E98" s="3" t="s">
        <v>197</v>
      </c>
      <c r="F98" s="4">
        <v>46117</v>
      </c>
      <c r="G98" s="3" t="s">
        <v>64</v>
      </c>
      <c r="H98" s="6">
        <v>-97855.46</v>
      </c>
      <c r="I98" s="3" t="s">
        <v>19</v>
      </c>
      <c r="J98" s="3" t="s">
        <v>15</v>
      </c>
      <c r="K98" s="3" t="s">
        <v>15</v>
      </c>
      <c r="L98" s="3" t="s">
        <v>230</v>
      </c>
      <c r="M98" s="4">
        <v>46117</v>
      </c>
      <c r="N98" s="3" t="s">
        <v>73</v>
      </c>
      <c r="O98" s="3" t="s">
        <v>23</v>
      </c>
      <c r="P98" t="str">
        <f t="shared" si="1"/>
        <v>450012303610</v>
      </c>
      <c r="Q98" s="9" cm="1">
        <f t="array" ref="Q98:S98">VLOOKUP(P98,Hoja1!C:F,{2,3,4},FALSE)</f>
        <v>46282</v>
      </c>
      <c r="R98" t="str">
        <v>C01</v>
      </c>
      <c r="S98" t="str">
        <v>1000008967 JACARANDA S.A.</v>
      </c>
      <c r="T98" t="str">
        <f>VLOOKUP(P98,Hoja2!C:D,2,FALSE)</f>
        <v>GLUNA</v>
      </c>
    </row>
    <row r="99" spans="1:20" x14ac:dyDescent="0.3">
      <c r="A99" s="2" t="s">
        <v>15</v>
      </c>
      <c r="B99" s="3" t="s">
        <v>15</v>
      </c>
      <c r="C99" s="3" t="s">
        <v>231</v>
      </c>
      <c r="D99" s="3" t="s">
        <v>56</v>
      </c>
      <c r="E99" s="3" t="s">
        <v>197</v>
      </c>
      <c r="F99" s="4">
        <v>46135</v>
      </c>
      <c r="G99" s="3" t="s">
        <v>64</v>
      </c>
      <c r="H99" s="6">
        <v>-101635.72</v>
      </c>
      <c r="I99" s="3" t="s">
        <v>19</v>
      </c>
      <c r="J99" s="3" t="s">
        <v>15</v>
      </c>
      <c r="K99" s="3" t="s">
        <v>15</v>
      </c>
      <c r="L99" s="3" t="s">
        <v>232</v>
      </c>
      <c r="M99" s="4">
        <v>46135</v>
      </c>
      <c r="N99" s="3" t="s">
        <v>233</v>
      </c>
      <c r="O99" s="3" t="s">
        <v>38</v>
      </c>
      <c r="P99" t="str">
        <f t="shared" si="1"/>
        <v>450011416840</v>
      </c>
      <c r="Q99" s="9" cm="1">
        <f t="array" ref="Q99:S99">VLOOKUP(P99,Hoja1!C:F,{2,3,4},FALSE)</f>
        <v>46387</v>
      </c>
      <c r="R99" t="str">
        <v>C15</v>
      </c>
      <c r="S99" t="str">
        <v>1000000069 V.MASSON TRAP.CRUZ DEL SUR SA</v>
      </c>
      <c r="T99" t="str">
        <f>VLOOKUP(P99,Hoja2!C:D,2,FALSE)</f>
        <v>GDIAZ</v>
      </c>
    </row>
    <row r="100" spans="1:20" x14ac:dyDescent="0.3">
      <c r="A100" s="2" t="s">
        <v>15</v>
      </c>
      <c r="B100" s="3" t="s">
        <v>15</v>
      </c>
      <c r="C100" s="3" t="s">
        <v>234</v>
      </c>
      <c r="D100" s="3" t="s">
        <v>56</v>
      </c>
      <c r="E100" s="3" t="s">
        <v>197</v>
      </c>
      <c r="F100" s="4">
        <v>46142</v>
      </c>
      <c r="G100" s="3" t="s">
        <v>64</v>
      </c>
      <c r="H100" s="6">
        <v>-819000</v>
      </c>
      <c r="I100" s="3" t="s">
        <v>19</v>
      </c>
      <c r="J100" s="3" t="s">
        <v>15</v>
      </c>
      <c r="K100" s="3" t="s">
        <v>15</v>
      </c>
      <c r="L100" s="3" t="s">
        <v>235</v>
      </c>
      <c r="M100" s="4">
        <v>46142</v>
      </c>
      <c r="N100" s="3" t="s">
        <v>212</v>
      </c>
      <c r="O100" s="3" t="s">
        <v>23</v>
      </c>
      <c r="P100" t="str">
        <f t="shared" si="1"/>
        <v>450010970910</v>
      </c>
      <c r="Q100" s="9" cm="1">
        <f t="array" ref="Q100:S100">VLOOKUP(P100,Hoja1!C:F,{2,3,4},FALSE)</f>
        <v>46308</v>
      </c>
      <c r="R100" t="str">
        <v>C25</v>
      </c>
      <c r="S100" t="str">
        <v>1000007510 LABTEC S. R. L.</v>
      </c>
      <c r="T100" t="str">
        <f>VLOOKUP(P100,Hoja2!C:D,2,FALSE)</f>
        <v>MPITTIA</v>
      </c>
    </row>
    <row r="101" spans="1:20" x14ac:dyDescent="0.3">
      <c r="A101" s="2" t="s">
        <v>15</v>
      </c>
      <c r="B101" s="3" t="s">
        <v>15</v>
      </c>
      <c r="C101" s="3" t="s">
        <v>236</v>
      </c>
      <c r="D101" s="3" t="s">
        <v>15</v>
      </c>
      <c r="E101" s="3" t="s">
        <v>197</v>
      </c>
      <c r="F101" s="4">
        <v>46160</v>
      </c>
      <c r="G101" s="3" t="s">
        <v>64</v>
      </c>
      <c r="H101" s="6">
        <v>-65447.5</v>
      </c>
      <c r="I101" s="3" t="s">
        <v>19</v>
      </c>
      <c r="J101" s="3" t="s">
        <v>15</v>
      </c>
      <c r="K101" s="3" t="s">
        <v>15</v>
      </c>
      <c r="L101" s="3" t="s">
        <v>237</v>
      </c>
      <c r="M101" s="4">
        <v>46161</v>
      </c>
      <c r="N101" s="3" t="s">
        <v>238</v>
      </c>
      <c r="O101" s="3" t="s">
        <v>23</v>
      </c>
      <c r="P101" t="str">
        <f t="shared" si="1"/>
        <v>450012687210</v>
      </c>
      <c r="Q101" s="9" cm="1">
        <f t="array" ref="Q101:S101">VLOOKUP(P101,Hoja1!C:F,{2,3,4},FALSE)</f>
        <v>46167</v>
      </c>
      <c r="R101" t="str">
        <v>C03</v>
      </c>
      <c r="S101" t="str">
        <v>1000000062 FINNING ARGENTINA S.A.</v>
      </c>
      <c r="T101" t="str">
        <f>VLOOKUP(P101,Hoja2!C:D,2,FALSE)</f>
        <v>RPEREZ</v>
      </c>
    </row>
    <row r="102" spans="1:20" x14ac:dyDescent="0.3">
      <c r="A102" s="2" t="s">
        <v>15</v>
      </c>
      <c r="B102" s="3" t="s">
        <v>15</v>
      </c>
      <c r="C102" s="3" t="s">
        <v>239</v>
      </c>
      <c r="D102" s="3" t="s">
        <v>56</v>
      </c>
      <c r="E102" s="3" t="s">
        <v>197</v>
      </c>
      <c r="F102" s="4">
        <v>46171</v>
      </c>
      <c r="G102" s="3" t="s">
        <v>64</v>
      </c>
      <c r="H102" s="6">
        <v>-57851.3</v>
      </c>
      <c r="I102" s="3" t="s">
        <v>19</v>
      </c>
      <c r="J102" s="3" t="s">
        <v>15</v>
      </c>
      <c r="K102" s="3" t="s">
        <v>15</v>
      </c>
      <c r="L102" s="3" t="s">
        <v>240</v>
      </c>
      <c r="M102" s="4">
        <v>46171</v>
      </c>
      <c r="N102" s="3" t="s">
        <v>241</v>
      </c>
      <c r="O102" s="3" t="s">
        <v>23</v>
      </c>
      <c r="P102" t="str">
        <f t="shared" si="1"/>
        <v>450011392010</v>
      </c>
      <c r="Q102" s="9" cm="1">
        <f t="array" ref="Q102:S102">VLOOKUP(P102,Hoja1!C:F,{2,3,4},FALSE)</f>
        <v>46325</v>
      </c>
      <c r="R102" t="str">
        <v>C25</v>
      </c>
      <c r="S102" t="str">
        <v>1000012293 ZAMBRANA SAMUEL</v>
      </c>
      <c r="T102" t="str">
        <f>VLOOKUP(P102,Hoja2!C:D,2,FALSE)</f>
        <v>MPITTIA</v>
      </c>
    </row>
    <row r="103" spans="1:20" x14ac:dyDescent="0.3">
      <c r="A103" s="2" t="s">
        <v>15</v>
      </c>
      <c r="B103" s="3" t="s">
        <v>15</v>
      </c>
      <c r="C103" s="3" t="s">
        <v>242</v>
      </c>
      <c r="D103" s="3" t="s">
        <v>15</v>
      </c>
      <c r="E103" s="3" t="s">
        <v>197</v>
      </c>
      <c r="F103" s="4">
        <v>46169</v>
      </c>
      <c r="G103" s="3" t="s">
        <v>64</v>
      </c>
      <c r="H103" s="6">
        <v>-805609</v>
      </c>
      <c r="I103" s="3" t="s">
        <v>19</v>
      </c>
      <c r="J103" s="3" t="s">
        <v>15</v>
      </c>
      <c r="K103" s="3" t="s">
        <v>15</v>
      </c>
      <c r="L103" s="3" t="s">
        <v>243</v>
      </c>
      <c r="M103" s="4">
        <v>46173</v>
      </c>
      <c r="N103" s="3" t="s">
        <v>27</v>
      </c>
      <c r="O103" s="3" t="s">
        <v>23</v>
      </c>
      <c r="P103" t="str">
        <f t="shared" si="1"/>
        <v>450012711610</v>
      </c>
      <c r="Q103" s="9" cm="1">
        <f t="array" ref="Q103:S103">VLOOKUP(P103,Hoja1!C:F,{2,3,4},FALSE)</f>
        <v>46210</v>
      </c>
      <c r="R103" t="str">
        <v>CGT</v>
      </c>
      <c r="S103" t="str">
        <v>1000001583 HELING S.A.</v>
      </c>
      <c r="T103" t="str">
        <f>VLOOKUP(P103,Hoja2!C:D,2,FALSE)</f>
        <v>WVENTURINI</v>
      </c>
    </row>
    <row r="104" spans="1:20" x14ac:dyDescent="0.3">
      <c r="A104" s="2" t="s">
        <v>15</v>
      </c>
      <c r="B104" s="3" t="s">
        <v>15</v>
      </c>
      <c r="C104" s="3" t="s">
        <v>244</v>
      </c>
      <c r="D104" s="3" t="s">
        <v>15</v>
      </c>
      <c r="E104" s="3" t="s">
        <v>197</v>
      </c>
      <c r="F104" s="4">
        <v>46174</v>
      </c>
      <c r="G104" s="3" t="s">
        <v>64</v>
      </c>
      <c r="H104" s="6">
        <v>-512862.99</v>
      </c>
      <c r="I104" s="3" t="s">
        <v>19</v>
      </c>
      <c r="J104" s="3" t="s">
        <v>15</v>
      </c>
      <c r="K104" s="3" t="s">
        <v>15</v>
      </c>
      <c r="L104" s="3" t="s">
        <v>245</v>
      </c>
      <c r="M104" s="4">
        <v>46175</v>
      </c>
      <c r="N104" s="3" t="s">
        <v>238</v>
      </c>
      <c r="O104" s="3" t="s">
        <v>62</v>
      </c>
      <c r="P104" t="str">
        <f t="shared" si="1"/>
        <v>450012687220</v>
      </c>
      <c r="Q104" s="9" cm="1">
        <f t="array" ref="Q104:S104">VLOOKUP(P104,Hoja1!C:F,{2,3,4},FALSE)</f>
        <v>46178</v>
      </c>
      <c r="R104" t="str">
        <v>C03</v>
      </c>
      <c r="S104" t="str">
        <v>1000000062 FINNING ARGENTINA S.A.</v>
      </c>
      <c r="T104" t="str">
        <f>VLOOKUP(P104,Hoja2!C:D,2,FALSE)</f>
        <v>RPEREZ</v>
      </c>
    </row>
    <row r="105" spans="1:20" x14ac:dyDescent="0.3">
      <c r="A105" s="2" t="s">
        <v>15</v>
      </c>
      <c r="B105" s="3" t="s">
        <v>15</v>
      </c>
      <c r="C105" s="3" t="s">
        <v>246</v>
      </c>
      <c r="D105" s="3" t="s">
        <v>15</v>
      </c>
      <c r="E105" s="3" t="s">
        <v>197</v>
      </c>
      <c r="F105" s="4">
        <v>46175</v>
      </c>
      <c r="G105" s="3" t="s">
        <v>64</v>
      </c>
      <c r="H105" s="6">
        <v>-142596.96</v>
      </c>
      <c r="I105" s="3" t="s">
        <v>19</v>
      </c>
      <c r="J105" s="3" t="s">
        <v>15</v>
      </c>
      <c r="K105" s="3" t="s">
        <v>15</v>
      </c>
      <c r="L105" s="3" t="s">
        <v>247</v>
      </c>
      <c r="M105" s="4">
        <v>46177</v>
      </c>
      <c r="N105" s="3" t="s">
        <v>87</v>
      </c>
      <c r="O105" s="3" t="s">
        <v>23</v>
      </c>
      <c r="P105" t="str">
        <f t="shared" si="1"/>
        <v>450012906110</v>
      </c>
      <c r="Q105" s="9" cm="1">
        <f t="array" ref="Q105:S105">VLOOKUP(P105,Hoja1!C:F,{2,3,4},FALSE)</f>
        <v>46183</v>
      </c>
      <c r="R105" t="str">
        <v>F13</v>
      </c>
      <c r="S105" t="str">
        <v>1000000907 SERVICIOS VIALES DE STA. FE SA</v>
      </c>
      <c r="T105" t="str">
        <f>VLOOKUP(P105,Hoja2!C:D,2,FALSE)</f>
        <v>RPEREZ</v>
      </c>
    </row>
    <row r="106" spans="1:20" x14ac:dyDescent="0.3">
      <c r="A106" s="2" t="s">
        <v>15</v>
      </c>
      <c r="B106" s="3" t="s">
        <v>15</v>
      </c>
      <c r="C106" s="3" t="s">
        <v>246</v>
      </c>
      <c r="D106" s="3" t="s">
        <v>15</v>
      </c>
      <c r="E106" s="3" t="s">
        <v>197</v>
      </c>
      <c r="F106" s="4">
        <v>46175</v>
      </c>
      <c r="G106" s="3" t="s">
        <v>64</v>
      </c>
      <c r="H106" s="6">
        <v>-29181.9</v>
      </c>
      <c r="I106" s="3" t="s">
        <v>19</v>
      </c>
      <c r="J106" s="3" t="s">
        <v>15</v>
      </c>
      <c r="K106" s="3" t="s">
        <v>15</v>
      </c>
      <c r="L106" s="3" t="s">
        <v>248</v>
      </c>
      <c r="M106" s="4">
        <v>46177</v>
      </c>
      <c r="N106" s="3" t="s">
        <v>87</v>
      </c>
      <c r="O106" s="3" t="s">
        <v>62</v>
      </c>
      <c r="P106" t="str">
        <f t="shared" si="1"/>
        <v>450012906120</v>
      </c>
      <c r="Q106" s="9" cm="1">
        <f t="array" ref="Q106:S106">VLOOKUP(P106,Hoja1!C:F,{2,3,4},FALSE)</f>
        <v>46224</v>
      </c>
      <c r="R106" t="str">
        <v>F13</v>
      </c>
      <c r="S106" t="str">
        <v>1000000907 SERVICIOS VIALES DE STA. FE SA</v>
      </c>
      <c r="T106" t="str">
        <f>VLOOKUP(P106,Hoja2!C:D,2,FALSE)</f>
        <v>RPEREZ</v>
      </c>
    </row>
    <row r="107" spans="1:20" x14ac:dyDescent="0.3">
      <c r="A107" s="2" t="s">
        <v>15</v>
      </c>
      <c r="B107" s="3" t="s">
        <v>15</v>
      </c>
      <c r="C107" s="3" t="s">
        <v>246</v>
      </c>
      <c r="D107" s="3" t="s">
        <v>15</v>
      </c>
      <c r="E107" s="3" t="s">
        <v>197</v>
      </c>
      <c r="F107" s="4">
        <v>46175</v>
      </c>
      <c r="G107" s="3" t="s">
        <v>64</v>
      </c>
      <c r="H107" s="6">
        <v>-21567.360000000001</v>
      </c>
      <c r="I107" s="3" t="s">
        <v>19</v>
      </c>
      <c r="J107" s="3" t="s">
        <v>15</v>
      </c>
      <c r="K107" s="3" t="s">
        <v>15</v>
      </c>
      <c r="L107" s="3" t="s">
        <v>249</v>
      </c>
      <c r="M107" s="4">
        <v>46177</v>
      </c>
      <c r="N107" s="3" t="s">
        <v>87</v>
      </c>
      <c r="O107" s="3" t="s">
        <v>49</v>
      </c>
      <c r="P107" t="str">
        <f t="shared" si="1"/>
        <v>450012906130</v>
      </c>
      <c r="Q107" s="9" cm="1">
        <f t="array" ref="Q107:S107">VLOOKUP(P107,Hoja1!C:F,{2,3,4},FALSE)</f>
        <v>46183</v>
      </c>
      <c r="R107" t="str">
        <v>F13</v>
      </c>
      <c r="S107" t="str">
        <v>1000000907 SERVICIOS VIALES DE STA. FE SA</v>
      </c>
      <c r="T107" t="str">
        <f>VLOOKUP(P107,Hoja2!C:D,2,FALSE)</f>
        <v>RPEREZ</v>
      </c>
    </row>
    <row r="108" spans="1:20" x14ac:dyDescent="0.3">
      <c r="A108" s="2" t="s">
        <v>15</v>
      </c>
      <c r="B108" s="3" t="s">
        <v>15</v>
      </c>
      <c r="C108" s="3" t="s">
        <v>246</v>
      </c>
      <c r="D108" s="3" t="s">
        <v>15</v>
      </c>
      <c r="E108" s="3" t="s">
        <v>197</v>
      </c>
      <c r="F108" s="4">
        <v>46175</v>
      </c>
      <c r="G108" s="3" t="s">
        <v>64</v>
      </c>
      <c r="H108" s="6">
        <v>-12576.18</v>
      </c>
      <c r="I108" s="3" t="s">
        <v>19</v>
      </c>
      <c r="J108" s="3" t="s">
        <v>15</v>
      </c>
      <c r="K108" s="3" t="s">
        <v>15</v>
      </c>
      <c r="L108" s="3" t="s">
        <v>250</v>
      </c>
      <c r="M108" s="4">
        <v>46177</v>
      </c>
      <c r="N108" s="3" t="s">
        <v>87</v>
      </c>
      <c r="O108" s="3" t="s">
        <v>38</v>
      </c>
      <c r="P108" t="str">
        <f t="shared" si="1"/>
        <v>450012906140</v>
      </c>
      <c r="Q108" s="9" cm="1">
        <f t="array" ref="Q108:S108">VLOOKUP(P108,Hoja1!C:F,{2,3,4},FALSE)</f>
        <v>46183</v>
      </c>
      <c r="R108" t="str">
        <v>F13</v>
      </c>
      <c r="S108" t="str">
        <v>1000000907 SERVICIOS VIALES DE STA. FE SA</v>
      </c>
      <c r="T108" t="str">
        <f>VLOOKUP(P108,Hoja2!C:D,2,FALSE)</f>
        <v>RPEREZ</v>
      </c>
    </row>
    <row r="109" spans="1:20" x14ac:dyDescent="0.3">
      <c r="A109" s="2" t="s">
        <v>15</v>
      </c>
      <c r="B109" s="3" t="s">
        <v>15</v>
      </c>
      <c r="C109" s="3" t="s">
        <v>246</v>
      </c>
      <c r="D109" s="3" t="s">
        <v>15</v>
      </c>
      <c r="E109" s="3" t="s">
        <v>197</v>
      </c>
      <c r="F109" s="4">
        <v>46175</v>
      </c>
      <c r="G109" s="3" t="s">
        <v>64</v>
      </c>
      <c r="H109" s="6">
        <v>-80992.320000000007</v>
      </c>
      <c r="I109" s="3" t="s">
        <v>19</v>
      </c>
      <c r="J109" s="3" t="s">
        <v>15</v>
      </c>
      <c r="K109" s="3" t="s">
        <v>15</v>
      </c>
      <c r="L109" s="3" t="s">
        <v>251</v>
      </c>
      <c r="M109" s="4">
        <v>46177</v>
      </c>
      <c r="N109" s="3" t="s">
        <v>87</v>
      </c>
      <c r="O109" s="3" t="s">
        <v>47</v>
      </c>
      <c r="P109" t="str">
        <f t="shared" si="1"/>
        <v>450012906150</v>
      </c>
      <c r="Q109" s="9" cm="1">
        <f t="array" ref="Q109:S109">VLOOKUP(P109,Hoja1!C:F,{2,3,4},FALSE)</f>
        <v>46183</v>
      </c>
      <c r="R109" t="str">
        <v>F13</v>
      </c>
      <c r="S109" t="str">
        <v>1000000907 SERVICIOS VIALES DE STA. FE SA</v>
      </c>
      <c r="T109" t="str">
        <f>VLOOKUP(P109,Hoja2!C:D,2,FALSE)</f>
        <v>RPEREZ</v>
      </c>
    </row>
    <row r="110" spans="1:20" x14ac:dyDescent="0.3">
      <c r="A110" s="2" t="s">
        <v>15</v>
      </c>
      <c r="B110" s="3" t="s">
        <v>15</v>
      </c>
      <c r="C110" s="3" t="s">
        <v>246</v>
      </c>
      <c r="D110" s="3" t="s">
        <v>15</v>
      </c>
      <c r="E110" s="3" t="s">
        <v>197</v>
      </c>
      <c r="F110" s="4">
        <v>46175</v>
      </c>
      <c r="G110" s="3" t="s">
        <v>64</v>
      </c>
      <c r="H110" s="6">
        <v>-43708.32</v>
      </c>
      <c r="I110" s="3" t="s">
        <v>19</v>
      </c>
      <c r="J110" s="3" t="s">
        <v>15</v>
      </c>
      <c r="K110" s="3" t="s">
        <v>15</v>
      </c>
      <c r="L110" s="3" t="s">
        <v>252</v>
      </c>
      <c r="M110" s="4">
        <v>46177</v>
      </c>
      <c r="N110" s="3" t="s">
        <v>87</v>
      </c>
      <c r="O110" s="3" t="s">
        <v>95</v>
      </c>
      <c r="P110" t="str">
        <f t="shared" si="1"/>
        <v>450012906160</v>
      </c>
      <c r="Q110" s="9" cm="1">
        <f t="array" ref="Q110:S110">VLOOKUP(P110,Hoja1!C:F,{2,3,4},FALSE)</f>
        <v>46183</v>
      </c>
      <c r="R110" t="str">
        <v>F13</v>
      </c>
      <c r="S110" t="str">
        <v>1000000907 SERVICIOS VIALES DE STA. FE SA</v>
      </c>
      <c r="T110" t="str">
        <f>VLOOKUP(P110,Hoja2!C:D,2,FALSE)</f>
        <v>RPEREZ</v>
      </c>
    </row>
    <row r="111" spans="1:20" x14ac:dyDescent="0.3">
      <c r="A111" s="2" t="s">
        <v>15</v>
      </c>
      <c r="B111" s="3" t="s">
        <v>15</v>
      </c>
      <c r="C111" s="3" t="s">
        <v>253</v>
      </c>
      <c r="D111" s="3" t="s">
        <v>56</v>
      </c>
      <c r="E111" s="3" t="s">
        <v>197</v>
      </c>
      <c r="F111" s="4">
        <v>46177</v>
      </c>
      <c r="G111" s="3" t="s">
        <v>64</v>
      </c>
      <c r="H111" s="6">
        <v>-931500</v>
      </c>
      <c r="I111" s="3" t="s">
        <v>19</v>
      </c>
      <c r="J111" s="3" t="s">
        <v>15</v>
      </c>
      <c r="K111" s="3" t="s">
        <v>15</v>
      </c>
      <c r="L111" s="3" t="s">
        <v>254</v>
      </c>
      <c r="M111" s="4">
        <v>46177</v>
      </c>
      <c r="N111" s="3" t="s">
        <v>212</v>
      </c>
      <c r="O111" s="3" t="s">
        <v>23</v>
      </c>
      <c r="P111" t="str">
        <f t="shared" si="1"/>
        <v>450010970910</v>
      </c>
      <c r="Q111" s="9" cm="1">
        <f t="array" ref="Q111:S111">VLOOKUP(P111,Hoja1!C:F,{2,3,4},FALSE)</f>
        <v>46308</v>
      </c>
      <c r="R111" t="str">
        <v>C25</v>
      </c>
      <c r="S111" t="str">
        <v>1000007510 LABTEC S. R. L.</v>
      </c>
      <c r="T111" t="str">
        <f>VLOOKUP(P111,Hoja2!C:D,2,FALSE)</f>
        <v>MPITTIA</v>
      </c>
    </row>
    <row r="112" spans="1:20" x14ac:dyDescent="0.3">
      <c r="A112" s="2" t="s">
        <v>15</v>
      </c>
      <c r="B112" s="3" t="s">
        <v>15</v>
      </c>
      <c r="C112" s="3" t="s">
        <v>255</v>
      </c>
      <c r="D112" s="3" t="s">
        <v>15</v>
      </c>
      <c r="E112" s="3" t="s">
        <v>197</v>
      </c>
      <c r="F112" s="4">
        <v>46177</v>
      </c>
      <c r="G112" s="3" t="s">
        <v>64</v>
      </c>
      <c r="H112" s="6">
        <v>-29181.9</v>
      </c>
      <c r="I112" s="3" t="s">
        <v>19</v>
      </c>
      <c r="J112" s="3" t="s">
        <v>15</v>
      </c>
      <c r="K112" s="3" t="s">
        <v>15</v>
      </c>
      <c r="L112" s="3" t="s">
        <v>256</v>
      </c>
      <c r="M112" s="4">
        <v>46177</v>
      </c>
      <c r="N112" s="3" t="s">
        <v>87</v>
      </c>
      <c r="O112" s="3" t="s">
        <v>62</v>
      </c>
      <c r="P112" t="str">
        <f t="shared" si="1"/>
        <v>450012906120</v>
      </c>
      <c r="Q112" s="9" cm="1">
        <f t="array" ref="Q112:S112">VLOOKUP(P112,Hoja1!C:F,{2,3,4},FALSE)</f>
        <v>46224</v>
      </c>
      <c r="R112" t="str">
        <v>F13</v>
      </c>
      <c r="S112" t="str">
        <v>1000000907 SERVICIOS VIALES DE STA. FE SA</v>
      </c>
      <c r="T112" t="str">
        <f>VLOOKUP(P112,Hoja2!C:D,2,FALSE)</f>
        <v>RPEREZ</v>
      </c>
    </row>
    <row r="113" spans="1:20" x14ac:dyDescent="0.3">
      <c r="A113" s="2" t="s">
        <v>15</v>
      </c>
      <c r="B113" s="3" t="s">
        <v>15</v>
      </c>
      <c r="C113" s="3" t="s">
        <v>257</v>
      </c>
      <c r="D113" s="3" t="s">
        <v>56</v>
      </c>
      <c r="E113" s="3" t="s">
        <v>197</v>
      </c>
      <c r="F113" s="4">
        <v>46181</v>
      </c>
      <c r="G113" s="3" t="s">
        <v>64</v>
      </c>
      <c r="H113" s="6">
        <v>-59504</v>
      </c>
      <c r="I113" s="3" t="s">
        <v>19</v>
      </c>
      <c r="J113" s="3" t="s">
        <v>15</v>
      </c>
      <c r="K113" s="3" t="s">
        <v>15</v>
      </c>
      <c r="L113" s="3" t="s">
        <v>258</v>
      </c>
      <c r="M113" s="4">
        <v>46181</v>
      </c>
      <c r="N113" s="3" t="s">
        <v>259</v>
      </c>
      <c r="O113" s="3" t="s">
        <v>23</v>
      </c>
      <c r="P113" t="str">
        <f t="shared" si="1"/>
        <v>450012967410</v>
      </c>
      <c r="Q113" s="9" cm="1">
        <f t="array" ref="Q113:S113">VLOOKUP(P113,Hoja1!C:F,{2,3,4},FALSE)</f>
        <v>46198</v>
      </c>
      <c r="R113" t="str">
        <v>C01</v>
      </c>
      <c r="S113" t="str">
        <v>1000010146 QUANTUM S.R.L.</v>
      </c>
      <c r="T113" t="str">
        <f>VLOOKUP(P113,Hoja2!C:D,2,FALSE)</f>
        <v>AZAPANA</v>
      </c>
    </row>
    <row r="114" spans="1:20" x14ac:dyDescent="0.3">
      <c r="A114" s="2" t="s">
        <v>15</v>
      </c>
      <c r="B114" s="3" t="s">
        <v>15</v>
      </c>
      <c r="C114" s="3" t="s">
        <v>260</v>
      </c>
      <c r="D114" s="3" t="s">
        <v>56</v>
      </c>
      <c r="E114" s="3" t="s">
        <v>197</v>
      </c>
      <c r="F114" s="4">
        <v>46193</v>
      </c>
      <c r="G114" s="3" t="s">
        <v>64</v>
      </c>
      <c r="H114" s="6">
        <v>-516528.95</v>
      </c>
      <c r="I114" s="3" t="s">
        <v>19</v>
      </c>
      <c r="J114" s="3" t="s">
        <v>15</v>
      </c>
      <c r="K114" s="3" t="s">
        <v>15</v>
      </c>
      <c r="L114" s="3" t="s">
        <v>261</v>
      </c>
      <c r="M114" s="4">
        <v>46193</v>
      </c>
      <c r="N114" s="3" t="s">
        <v>262</v>
      </c>
      <c r="O114" s="3" t="s">
        <v>23</v>
      </c>
      <c r="P114" t="str">
        <f t="shared" si="1"/>
        <v>450012975410</v>
      </c>
      <c r="Q114" s="9" cm="1">
        <f t="array" ref="Q114:S114">VLOOKUP(P114,Hoja1!C:F,{2,3,4},FALSE)</f>
        <v>46264</v>
      </c>
      <c r="R114" t="str">
        <v>C01</v>
      </c>
      <c r="S114" t="str">
        <v>1000008707 PLANTA REVESA SRL</v>
      </c>
      <c r="T114" t="str">
        <f>VLOOKUP(P114,Hoja2!C:D,2,FALSE)</f>
        <v>AZAPANA</v>
      </c>
    </row>
    <row r="115" spans="1:20" x14ac:dyDescent="0.3">
      <c r="A115" s="2" t="s">
        <v>15</v>
      </c>
      <c r="B115" s="3" t="s">
        <v>15</v>
      </c>
      <c r="C115" s="3" t="s">
        <v>263</v>
      </c>
      <c r="D115" s="3" t="s">
        <v>56</v>
      </c>
      <c r="E115" s="3" t="s">
        <v>197</v>
      </c>
      <c r="F115" s="4">
        <v>46200</v>
      </c>
      <c r="G115" s="3" t="s">
        <v>64</v>
      </c>
      <c r="H115" s="6">
        <v>-206611.58</v>
      </c>
      <c r="I115" s="3" t="s">
        <v>19</v>
      </c>
      <c r="J115" s="3" t="s">
        <v>15</v>
      </c>
      <c r="K115" s="3" t="s">
        <v>15</v>
      </c>
      <c r="L115" s="3" t="s">
        <v>264</v>
      </c>
      <c r="M115" s="4">
        <v>46200</v>
      </c>
      <c r="N115" s="3" t="s">
        <v>262</v>
      </c>
      <c r="O115" s="3" t="s">
        <v>23</v>
      </c>
      <c r="P115" t="str">
        <f t="shared" si="1"/>
        <v>450012975410</v>
      </c>
      <c r="Q115" s="9" cm="1">
        <f t="array" ref="Q115:S115">VLOOKUP(P115,Hoja1!C:F,{2,3,4},FALSE)</f>
        <v>46264</v>
      </c>
      <c r="R115" t="str">
        <v>C01</v>
      </c>
      <c r="S115" t="str">
        <v>1000008707 PLANTA REVESA SRL</v>
      </c>
      <c r="T115" t="str">
        <f>VLOOKUP(P115,Hoja2!C:D,2,FALSE)</f>
        <v>AZAPANA</v>
      </c>
    </row>
    <row r="116" spans="1:20" x14ac:dyDescent="0.3">
      <c r="A116" s="2" t="s">
        <v>15</v>
      </c>
      <c r="B116" s="3" t="s">
        <v>15</v>
      </c>
      <c r="C116" s="3" t="s">
        <v>265</v>
      </c>
      <c r="D116" s="3" t="s">
        <v>15</v>
      </c>
      <c r="E116" s="3" t="s">
        <v>197</v>
      </c>
      <c r="F116" s="4">
        <v>46205</v>
      </c>
      <c r="G116" s="3" t="s">
        <v>64</v>
      </c>
      <c r="H116" s="6">
        <v>-107438.02</v>
      </c>
      <c r="I116" s="3" t="s">
        <v>19</v>
      </c>
      <c r="J116" s="3" t="s">
        <v>15</v>
      </c>
      <c r="K116" s="3" t="s">
        <v>15</v>
      </c>
      <c r="L116" s="3" t="s">
        <v>266</v>
      </c>
      <c r="M116" s="4">
        <v>46205</v>
      </c>
      <c r="N116" s="3" t="s">
        <v>267</v>
      </c>
      <c r="O116" s="3" t="s">
        <v>23</v>
      </c>
      <c r="P116" t="str">
        <f t="shared" si="1"/>
        <v>450013180710</v>
      </c>
      <c r="Q116" s="9" cm="1">
        <f t="array" ref="Q116:S116">VLOOKUP(P116,Hoja1!C:F,{2,3,4},FALSE)</f>
        <v>46224</v>
      </c>
      <c r="R116" t="str">
        <v>C01</v>
      </c>
      <c r="S116" t="str">
        <v>1000003790 NSA ECO SRL</v>
      </c>
      <c r="T116" t="str">
        <f>VLOOKUP(P116,Hoja2!C:D,2,FALSE)</f>
        <v>AZAPANA</v>
      </c>
    </row>
    <row r="117" spans="1:20" x14ac:dyDescent="0.3">
      <c r="A117" s="2" t="s">
        <v>15</v>
      </c>
      <c r="B117" s="3" t="s">
        <v>15</v>
      </c>
      <c r="C117" s="3" t="s">
        <v>268</v>
      </c>
      <c r="D117" s="3" t="s">
        <v>56</v>
      </c>
      <c r="E117" s="3" t="s">
        <v>197</v>
      </c>
      <c r="F117" s="4">
        <v>46206</v>
      </c>
      <c r="G117" s="3" t="s">
        <v>64</v>
      </c>
      <c r="H117" s="6">
        <v>-931500</v>
      </c>
      <c r="I117" s="3" t="s">
        <v>19</v>
      </c>
      <c r="J117" s="3" t="s">
        <v>15</v>
      </c>
      <c r="K117" s="3" t="s">
        <v>15</v>
      </c>
      <c r="L117" s="3" t="s">
        <v>269</v>
      </c>
      <c r="M117" s="4">
        <v>46206</v>
      </c>
      <c r="N117" s="3" t="s">
        <v>212</v>
      </c>
      <c r="O117" s="3" t="s">
        <v>23</v>
      </c>
      <c r="P117" t="str">
        <f t="shared" si="1"/>
        <v>450010970910</v>
      </c>
      <c r="Q117" s="9" cm="1">
        <f t="array" ref="Q117:S117">VLOOKUP(P117,Hoja1!C:F,{2,3,4},FALSE)</f>
        <v>46308</v>
      </c>
      <c r="R117" t="str">
        <v>C25</v>
      </c>
      <c r="S117" t="str">
        <v>1000007510 LABTEC S. R. L.</v>
      </c>
      <c r="T117" t="str">
        <f>VLOOKUP(P117,Hoja2!C:D,2,FALSE)</f>
        <v>MPITTIA</v>
      </c>
    </row>
    <row r="118" spans="1:20" x14ac:dyDescent="0.3">
      <c r="A118" s="2" t="s">
        <v>15</v>
      </c>
      <c r="B118" s="3" t="s">
        <v>15</v>
      </c>
      <c r="C118" s="3" t="s">
        <v>270</v>
      </c>
      <c r="D118" s="3" t="s">
        <v>56</v>
      </c>
      <c r="E118" s="3" t="s">
        <v>197</v>
      </c>
      <c r="F118" s="4">
        <v>46206</v>
      </c>
      <c r="G118" s="3" t="s">
        <v>64</v>
      </c>
      <c r="H118" s="6">
        <v>-655400</v>
      </c>
      <c r="I118" s="3" t="s">
        <v>19</v>
      </c>
      <c r="J118" s="3" t="s">
        <v>15</v>
      </c>
      <c r="K118" s="3" t="s">
        <v>15</v>
      </c>
      <c r="L118" s="3" t="s">
        <v>271</v>
      </c>
      <c r="M118" s="4">
        <v>46206</v>
      </c>
      <c r="N118" s="3" t="s">
        <v>70</v>
      </c>
      <c r="O118" s="3" t="s">
        <v>23</v>
      </c>
      <c r="P118" t="str">
        <f t="shared" si="1"/>
        <v>450012326210</v>
      </c>
      <c r="Q118" s="9" cm="1">
        <f t="array" ref="Q118:S118">VLOOKUP(P118,Hoja1!C:F,{2,3,4},FALSE)</f>
        <v>46233</v>
      </c>
      <c r="R118" t="str">
        <v>C25</v>
      </c>
      <c r="S118" t="str">
        <v>1000012132 PRODUCTOS SERVICIOS Y DISTRIBUCIONE</v>
      </c>
      <c r="T118" t="str">
        <f>VLOOKUP(P118,Hoja2!C:D,2,FALSE)</f>
        <v>MPITTIA</v>
      </c>
    </row>
    <row r="119" spans="1:20" x14ac:dyDescent="0.3">
      <c r="A119" s="2" t="s">
        <v>15</v>
      </c>
      <c r="B119" s="3" t="s">
        <v>15</v>
      </c>
      <c r="C119" s="3" t="s">
        <v>272</v>
      </c>
      <c r="D119" s="3" t="s">
        <v>15</v>
      </c>
      <c r="E119" s="3" t="s">
        <v>197</v>
      </c>
      <c r="F119" s="4">
        <v>46206</v>
      </c>
      <c r="G119" s="3" t="s">
        <v>64</v>
      </c>
      <c r="H119" s="6">
        <v>-104800.08</v>
      </c>
      <c r="I119" s="3" t="s">
        <v>19</v>
      </c>
      <c r="J119" s="3" t="s">
        <v>15</v>
      </c>
      <c r="K119" s="3" t="s">
        <v>15</v>
      </c>
      <c r="L119" s="3" t="s">
        <v>273</v>
      </c>
      <c r="M119" s="4">
        <v>46209</v>
      </c>
      <c r="N119" s="3" t="s">
        <v>274</v>
      </c>
      <c r="O119" s="3" t="s">
        <v>23</v>
      </c>
      <c r="P119" t="str">
        <f t="shared" si="1"/>
        <v>450013137810</v>
      </c>
      <c r="Q119" s="9" cm="1">
        <f t="array" ref="Q119:S119">VLOOKUP(P119,Hoja1!C:F,{2,3,4},FALSE)</f>
        <v>46228</v>
      </c>
      <c r="R119" t="str">
        <v>F04</v>
      </c>
      <c r="S119" t="str">
        <v>1000009607 ELEVA MUNDO S.R.L.</v>
      </c>
      <c r="T119" t="str">
        <f>VLOOKUP(P119,Hoja2!C:D,2,FALSE)</f>
        <v>RPEREZ</v>
      </c>
    </row>
    <row r="120" spans="1:20" x14ac:dyDescent="0.3">
      <c r="A120" s="2" t="s">
        <v>15</v>
      </c>
      <c r="B120" s="3" t="s">
        <v>15</v>
      </c>
      <c r="C120" s="3" t="s">
        <v>275</v>
      </c>
      <c r="D120" s="3" t="s">
        <v>15</v>
      </c>
      <c r="E120" s="3" t="s">
        <v>197</v>
      </c>
      <c r="F120" s="4">
        <v>46206</v>
      </c>
      <c r="G120" s="3" t="s">
        <v>64</v>
      </c>
      <c r="H120" s="6">
        <v>-100021.6</v>
      </c>
      <c r="I120" s="3" t="s">
        <v>19</v>
      </c>
      <c r="J120" s="3" t="s">
        <v>15</v>
      </c>
      <c r="K120" s="3" t="s">
        <v>15</v>
      </c>
      <c r="L120" s="3" t="s">
        <v>276</v>
      </c>
      <c r="M120" s="4">
        <v>46209</v>
      </c>
      <c r="N120" s="3" t="s">
        <v>277</v>
      </c>
      <c r="O120" s="3" t="s">
        <v>23</v>
      </c>
      <c r="P120" t="str">
        <f t="shared" si="1"/>
        <v>450013076210</v>
      </c>
      <c r="Q120" s="9" cm="1">
        <f t="array" ref="Q120:S120">VLOOKUP(P120,Hoja1!C:F,{2,3,4},FALSE)</f>
        <v>46205</v>
      </c>
      <c r="R120" t="str">
        <v>F05</v>
      </c>
      <c r="S120" t="str">
        <v>1000009607 ELEVA MUNDO S.R.L.</v>
      </c>
      <c r="T120" t="str">
        <f>VLOOKUP(P120,Hoja2!C:D,2,FALSE)</f>
        <v>RPEREZ</v>
      </c>
    </row>
    <row r="121" spans="1:20" x14ac:dyDescent="0.3">
      <c r="A121" s="2" t="s">
        <v>15</v>
      </c>
      <c r="B121" s="3" t="s">
        <v>15</v>
      </c>
      <c r="C121" s="3" t="s">
        <v>278</v>
      </c>
      <c r="D121" s="3" t="s">
        <v>15</v>
      </c>
      <c r="E121" s="3" t="s">
        <v>197</v>
      </c>
      <c r="F121" s="4">
        <v>46216</v>
      </c>
      <c r="G121" s="3" t="s">
        <v>64</v>
      </c>
      <c r="H121" s="6">
        <v>-70169.55</v>
      </c>
      <c r="I121" s="3" t="s">
        <v>19</v>
      </c>
      <c r="J121" s="3" t="s">
        <v>15</v>
      </c>
      <c r="K121" s="3" t="s">
        <v>15</v>
      </c>
      <c r="L121" s="3" t="s">
        <v>279</v>
      </c>
      <c r="M121" s="4">
        <v>46216</v>
      </c>
      <c r="N121" s="3" t="s">
        <v>280</v>
      </c>
      <c r="O121" s="3" t="s">
        <v>23</v>
      </c>
      <c r="P121" t="str">
        <f t="shared" si="1"/>
        <v>450013213810</v>
      </c>
      <c r="Q121" s="9" cm="1">
        <f t="array" ref="Q121:S121">VLOOKUP(P121,Hoja1!C:F,{2,3,4},FALSE)</f>
        <v>46244</v>
      </c>
      <c r="R121" t="str">
        <v>F04</v>
      </c>
      <c r="S121" t="str">
        <v>1000000012 IGARRETA MAQUINAS S.A.</v>
      </c>
      <c r="T121" t="str">
        <f>VLOOKUP(P121,Hoja2!C:D,2,FALSE)</f>
        <v>RPEREZ</v>
      </c>
    </row>
    <row r="122" spans="1:20" x14ac:dyDescent="0.3">
      <c r="A122" s="2" t="s">
        <v>15</v>
      </c>
      <c r="B122" s="3" t="s">
        <v>15</v>
      </c>
      <c r="C122" s="3" t="s">
        <v>281</v>
      </c>
      <c r="D122" s="3" t="s">
        <v>56</v>
      </c>
      <c r="E122" s="3" t="s">
        <v>197</v>
      </c>
      <c r="F122" s="4">
        <v>46227</v>
      </c>
      <c r="G122" s="3" t="s">
        <v>64</v>
      </c>
      <c r="H122" s="6">
        <v>-103305.79</v>
      </c>
      <c r="I122" s="3" t="s">
        <v>19</v>
      </c>
      <c r="J122" s="3" t="s">
        <v>15</v>
      </c>
      <c r="K122" s="3" t="s">
        <v>15</v>
      </c>
      <c r="L122" s="3" t="s">
        <v>282</v>
      </c>
      <c r="M122" s="4">
        <v>46227</v>
      </c>
      <c r="N122" s="3" t="s">
        <v>262</v>
      </c>
      <c r="O122" s="3" t="s">
        <v>23</v>
      </c>
      <c r="P122" t="str">
        <f t="shared" si="1"/>
        <v>450012975410</v>
      </c>
      <c r="Q122" s="9" cm="1">
        <f t="array" ref="Q122:S122">VLOOKUP(P122,Hoja1!C:F,{2,3,4},FALSE)</f>
        <v>46264</v>
      </c>
      <c r="R122" t="str">
        <v>C01</v>
      </c>
      <c r="S122" t="str">
        <v>1000008707 PLANTA REVESA SRL</v>
      </c>
      <c r="T122" t="str">
        <f>VLOOKUP(P122,Hoja2!C:D,2,FALSE)</f>
        <v>AZAPANA</v>
      </c>
    </row>
    <row r="123" spans="1:20" x14ac:dyDescent="0.3">
      <c r="A123" s="2" t="s">
        <v>15</v>
      </c>
      <c r="B123" s="3" t="s">
        <v>15</v>
      </c>
      <c r="C123" s="3" t="s">
        <v>283</v>
      </c>
      <c r="D123" s="3" t="s">
        <v>15</v>
      </c>
      <c r="E123" s="3" t="s">
        <v>197</v>
      </c>
      <c r="F123" s="4">
        <v>46231</v>
      </c>
      <c r="G123" s="3" t="s">
        <v>64</v>
      </c>
      <c r="H123" s="6">
        <v>-144000</v>
      </c>
      <c r="I123" s="3" t="s">
        <v>19</v>
      </c>
      <c r="J123" s="3" t="s">
        <v>15</v>
      </c>
      <c r="K123" s="3" t="s">
        <v>15</v>
      </c>
      <c r="L123" s="3" t="s">
        <v>284</v>
      </c>
      <c r="M123" s="4">
        <v>46231</v>
      </c>
      <c r="N123" s="3" t="s">
        <v>285</v>
      </c>
      <c r="O123" s="3" t="s">
        <v>49</v>
      </c>
      <c r="P123" t="str">
        <f t="shared" si="1"/>
        <v>450013381430</v>
      </c>
      <c r="Q123" s="9" cm="1">
        <f t="array" ref="Q123:S123">VLOOKUP(P123,Hoja1!C:F,{2,3,4},FALSE)</f>
        <v>46237</v>
      </c>
      <c r="R123" t="str">
        <v>C01</v>
      </c>
      <c r="S123" t="str">
        <v>1000007611 ANTONIO B ATENOR E HIJOS S R L</v>
      </c>
      <c r="T123" t="str">
        <f>VLOOKUP(P123,Hoja2!C:D,2,FALSE)</f>
        <v>AZAPANA</v>
      </c>
    </row>
    <row r="124" spans="1:20" x14ac:dyDescent="0.3">
      <c r="A124" s="2" t="s">
        <v>15</v>
      </c>
      <c r="B124" s="3" t="s">
        <v>15</v>
      </c>
      <c r="C124" s="3" t="s">
        <v>283</v>
      </c>
      <c r="D124" s="3" t="s">
        <v>15</v>
      </c>
      <c r="E124" s="3" t="s">
        <v>197</v>
      </c>
      <c r="F124" s="4">
        <v>46231</v>
      </c>
      <c r="G124" s="3" t="s">
        <v>64</v>
      </c>
      <c r="H124" s="6">
        <v>-144000</v>
      </c>
      <c r="I124" s="3" t="s">
        <v>19</v>
      </c>
      <c r="J124" s="3" t="s">
        <v>15</v>
      </c>
      <c r="K124" s="3" t="s">
        <v>15</v>
      </c>
      <c r="L124" s="3" t="s">
        <v>286</v>
      </c>
      <c r="M124" s="4">
        <v>46231</v>
      </c>
      <c r="N124" s="3" t="s">
        <v>285</v>
      </c>
      <c r="O124" s="3" t="s">
        <v>38</v>
      </c>
      <c r="P124" t="str">
        <f t="shared" si="1"/>
        <v>450013381440</v>
      </c>
      <c r="Q124" s="9" cm="1">
        <f t="array" ref="Q124:S124">VLOOKUP(P124,Hoja1!C:F,{2,3,4},FALSE)</f>
        <v>46237</v>
      </c>
      <c r="R124" t="str">
        <v>C01</v>
      </c>
      <c r="S124" t="str">
        <v>1000007611 ANTONIO B ATENOR E HIJOS S R L</v>
      </c>
      <c r="T124" t="str">
        <f>VLOOKUP(P124,Hoja2!C:D,2,FALSE)</f>
        <v>AZAPANA</v>
      </c>
    </row>
    <row r="125" spans="1:20" x14ac:dyDescent="0.3">
      <c r="A125" s="2" t="s">
        <v>15</v>
      </c>
      <c r="B125" s="3" t="s">
        <v>15</v>
      </c>
      <c r="C125" s="3" t="s">
        <v>287</v>
      </c>
      <c r="D125" s="3" t="s">
        <v>56</v>
      </c>
      <c r="E125" s="3" t="s">
        <v>197</v>
      </c>
      <c r="F125" s="4">
        <v>46231</v>
      </c>
      <c r="G125" s="3" t="s">
        <v>64</v>
      </c>
      <c r="H125" s="6">
        <v>-8264.4</v>
      </c>
      <c r="I125" s="3" t="s">
        <v>19</v>
      </c>
      <c r="J125" s="3" t="s">
        <v>15</v>
      </c>
      <c r="K125" s="3" t="s">
        <v>15</v>
      </c>
      <c r="L125" s="3" t="s">
        <v>288</v>
      </c>
      <c r="M125" s="4">
        <v>46231</v>
      </c>
      <c r="N125" s="3" t="s">
        <v>289</v>
      </c>
      <c r="O125" s="3" t="s">
        <v>23</v>
      </c>
      <c r="P125" t="str">
        <f t="shared" si="1"/>
        <v>450013402210</v>
      </c>
      <c r="Q125" s="9" cm="1">
        <f t="array" ref="Q125:S125">VLOOKUP(P125,Hoja1!C:F,{2,3,4},FALSE)</f>
        <v>46325</v>
      </c>
      <c r="R125" t="str">
        <v>C25</v>
      </c>
      <c r="S125" t="str">
        <v>1000012293 ZAMBRANA SAMUEL</v>
      </c>
      <c r="T125" t="str">
        <f>VLOOKUP(P125,Hoja2!C:D,2,FALSE)</f>
        <v>ALOPEZ</v>
      </c>
    </row>
    <row r="126" spans="1:20" x14ac:dyDescent="0.3">
      <c r="A126" s="2" t="s">
        <v>15</v>
      </c>
      <c r="B126" s="3" t="s">
        <v>15</v>
      </c>
      <c r="C126" s="3" t="s">
        <v>290</v>
      </c>
      <c r="D126" s="3" t="s">
        <v>56</v>
      </c>
      <c r="E126" s="3" t="s">
        <v>197</v>
      </c>
      <c r="F126" s="4">
        <v>46232</v>
      </c>
      <c r="G126" s="3" t="s">
        <v>64</v>
      </c>
      <c r="H126" s="6">
        <v>-139860.57999999999</v>
      </c>
      <c r="I126" s="3" t="s">
        <v>19</v>
      </c>
      <c r="J126" s="3" t="s">
        <v>15</v>
      </c>
      <c r="K126" s="3" t="s">
        <v>15</v>
      </c>
      <c r="L126" s="3" t="s">
        <v>291</v>
      </c>
      <c r="M126" s="4">
        <v>46232</v>
      </c>
      <c r="N126" s="3" t="s">
        <v>73</v>
      </c>
      <c r="O126" s="3" t="s">
        <v>23</v>
      </c>
      <c r="P126" t="str">
        <f t="shared" si="1"/>
        <v>450012303610</v>
      </c>
      <c r="Q126" s="9" cm="1">
        <f t="array" ref="Q126:S126">VLOOKUP(P126,Hoja1!C:F,{2,3,4},FALSE)</f>
        <v>46282</v>
      </c>
      <c r="R126" t="str">
        <v>C01</v>
      </c>
      <c r="S126" t="str">
        <v>1000008967 JACARANDA S.A.</v>
      </c>
      <c r="T126" t="str">
        <f>VLOOKUP(P126,Hoja2!C:D,2,FALSE)</f>
        <v>GLUNA</v>
      </c>
    </row>
    <row r="127" spans="1:20" x14ac:dyDescent="0.3">
      <c r="A127" s="2" t="s">
        <v>15</v>
      </c>
      <c r="B127" s="3" t="s">
        <v>15</v>
      </c>
      <c r="C127" s="3" t="s">
        <v>292</v>
      </c>
      <c r="D127" s="3" t="s">
        <v>56</v>
      </c>
      <c r="E127" s="3" t="s">
        <v>197</v>
      </c>
      <c r="F127" s="4">
        <v>46232</v>
      </c>
      <c r="G127" s="3" t="s">
        <v>64</v>
      </c>
      <c r="H127" s="6">
        <v>-28925.65</v>
      </c>
      <c r="I127" s="3" t="s">
        <v>19</v>
      </c>
      <c r="J127" s="3" t="s">
        <v>15</v>
      </c>
      <c r="K127" s="3" t="s">
        <v>15</v>
      </c>
      <c r="L127" s="3" t="s">
        <v>293</v>
      </c>
      <c r="M127" s="4">
        <v>46232</v>
      </c>
      <c r="N127" s="3" t="s">
        <v>241</v>
      </c>
      <c r="O127" s="3" t="s">
        <v>23</v>
      </c>
      <c r="P127" t="str">
        <f t="shared" si="1"/>
        <v>450011392010</v>
      </c>
      <c r="Q127" s="9" cm="1">
        <f t="array" ref="Q127:S127">VLOOKUP(P127,Hoja1!C:F,{2,3,4},FALSE)</f>
        <v>46325</v>
      </c>
      <c r="R127" t="str">
        <v>C25</v>
      </c>
      <c r="S127" t="str">
        <v>1000012293 ZAMBRANA SAMUEL</v>
      </c>
      <c r="T127" t="str">
        <f>VLOOKUP(P127,Hoja2!C:D,2,FALSE)</f>
        <v>MPITTIA</v>
      </c>
    </row>
    <row r="128" spans="1:20" x14ac:dyDescent="0.3">
      <c r="A128" s="2" t="s">
        <v>15</v>
      </c>
      <c r="B128" s="3" t="s">
        <v>15</v>
      </c>
      <c r="C128" s="3" t="s">
        <v>294</v>
      </c>
      <c r="D128" s="3" t="s">
        <v>56</v>
      </c>
      <c r="E128" s="3" t="s">
        <v>197</v>
      </c>
      <c r="F128" s="4">
        <v>46236</v>
      </c>
      <c r="G128" s="3" t="s">
        <v>64</v>
      </c>
      <c r="H128" s="6">
        <v>-940500</v>
      </c>
      <c r="I128" s="3" t="s">
        <v>19</v>
      </c>
      <c r="J128" s="3" t="s">
        <v>15</v>
      </c>
      <c r="K128" s="3" t="s">
        <v>15</v>
      </c>
      <c r="L128" s="3" t="s">
        <v>295</v>
      </c>
      <c r="M128" s="4">
        <v>46236</v>
      </c>
      <c r="N128" s="3" t="s">
        <v>212</v>
      </c>
      <c r="O128" s="3" t="s">
        <v>23</v>
      </c>
      <c r="P128" t="str">
        <f t="shared" si="1"/>
        <v>450010970910</v>
      </c>
      <c r="Q128" s="9" cm="1">
        <f t="array" ref="Q128:S128">VLOOKUP(P128,Hoja1!C:F,{2,3,4},FALSE)</f>
        <v>46308</v>
      </c>
      <c r="R128" t="str">
        <v>C25</v>
      </c>
      <c r="S128" t="str">
        <v>1000007510 LABTEC S. R. L.</v>
      </c>
      <c r="T128" t="str">
        <f>VLOOKUP(P128,Hoja2!C:D,2,FALSE)</f>
        <v>MPITTIA</v>
      </c>
    </row>
    <row r="129" spans="1:20" x14ac:dyDescent="0.3">
      <c r="A129" s="2" t="s">
        <v>15</v>
      </c>
      <c r="B129" s="3" t="s">
        <v>15</v>
      </c>
      <c r="C129" s="3" t="s">
        <v>296</v>
      </c>
      <c r="D129" s="3" t="s">
        <v>15</v>
      </c>
      <c r="E129" s="3" t="s">
        <v>197</v>
      </c>
      <c r="F129" s="4">
        <v>46205</v>
      </c>
      <c r="G129" s="3" t="s">
        <v>64</v>
      </c>
      <c r="H129" s="6">
        <v>-30128.18</v>
      </c>
      <c r="I129" s="3" t="s">
        <v>19</v>
      </c>
      <c r="J129" s="3" t="s">
        <v>15</v>
      </c>
      <c r="K129" s="3" t="s">
        <v>15</v>
      </c>
      <c r="L129" s="3" t="s">
        <v>297</v>
      </c>
      <c r="M129" s="4">
        <v>46237</v>
      </c>
      <c r="N129" s="3" t="s">
        <v>87</v>
      </c>
      <c r="O129" s="3" t="s">
        <v>62</v>
      </c>
      <c r="P129" t="str">
        <f t="shared" si="1"/>
        <v>450012906120</v>
      </c>
      <c r="Q129" s="9" cm="1">
        <f t="array" ref="Q129:S129">VLOOKUP(P129,Hoja1!C:F,{2,3,4},FALSE)</f>
        <v>46224</v>
      </c>
      <c r="R129" t="str">
        <v>F13</v>
      </c>
      <c r="S129" t="str">
        <v>1000000907 SERVICIOS VIALES DE STA. FE SA</v>
      </c>
      <c r="T129" t="str">
        <f>VLOOKUP(P129,Hoja2!C:D,2,FALSE)</f>
        <v>RPEREZ</v>
      </c>
    </row>
    <row r="130" spans="1:20" x14ac:dyDescent="0.3">
      <c r="A130" s="2" t="s">
        <v>15</v>
      </c>
      <c r="B130" s="3" t="s">
        <v>15</v>
      </c>
      <c r="C130" s="3" t="s">
        <v>298</v>
      </c>
      <c r="D130" s="3" t="s">
        <v>56</v>
      </c>
      <c r="E130" s="3" t="s">
        <v>197</v>
      </c>
      <c r="F130" s="4">
        <v>46237</v>
      </c>
      <c r="G130" s="3" t="s">
        <v>64</v>
      </c>
      <c r="H130" s="6">
        <v>-18181.8</v>
      </c>
      <c r="I130" s="3" t="s">
        <v>19</v>
      </c>
      <c r="J130" s="3" t="s">
        <v>15</v>
      </c>
      <c r="K130" s="3" t="s">
        <v>15</v>
      </c>
      <c r="L130" s="3" t="s">
        <v>299</v>
      </c>
      <c r="M130" s="4">
        <v>46237</v>
      </c>
      <c r="N130" s="3" t="s">
        <v>300</v>
      </c>
      <c r="O130" s="3" t="s">
        <v>23</v>
      </c>
      <c r="P130" t="str">
        <f t="shared" si="1"/>
        <v>450012989010</v>
      </c>
      <c r="Q130" s="9" cm="1">
        <f t="array" ref="Q130:S130">VLOOKUP(P130,Hoja1!C:F,{2,3,4},FALSE)</f>
        <v>46252</v>
      </c>
      <c r="R130" t="str">
        <v>C01</v>
      </c>
      <c r="S130" t="str">
        <v>1000007890 GASOL S.R.L.</v>
      </c>
      <c r="T130" t="str">
        <f>VLOOKUP(P130,Hoja2!C:D,2,FALSE)</f>
        <v>AZAPANA</v>
      </c>
    </row>
    <row r="131" spans="1:20" x14ac:dyDescent="0.3">
      <c r="A131" s="2" t="s">
        <v>15</v>
      </c>
      <c r="B131" s="3" t="s">
        <v>15</v>
      </c>
      <c r="C131" s="3" t="s">
        <v>301</v>
      </c>
      <c r="D131" s="3" t="s">
        <v>15</v>
      </c>
      <c r="E131" s="3" t="s">
        <v>197</v>
      </c>
      <c r="F131" s="4">
        <v>46237</v>
      </c>
      <c r="G131" s="3" t="s">
        <v>64</v>
      </c>
      <c r="H131" s="6">
        <v>-107641.63</v>
      </c>
      <c r="I131" s="3" t="s">
        <v>19</v>
      </c>
      <c r="J131" s="3" t="s">
        <v>15</v>
      </c>
      <c r="K131" s="3" t="s">
        <v>15</v>
      </c>
      <c r="L131" s="3" t="s">
        <v>302</v>
      </c>
      <c r="M131" s="4">
        <v>46237</v>
      </c>
      <c r="N131" s="3" t="s">
        <v>303</v>
      </c>
      <c r="O131" s="3" t="s">
        <v>23</v>
      </c>
      <c r="P131" t="str">
        <f t="shared" ref="P131:P194" si="2">_xlfn.CONCAT(N131:O131)</f>
        <v>450013370910</v>
      </c>
      <c r="Q131" s="9" cm="1">
        <f t="array" ref="Q131:S131">VLOOKUP(P131,Hoja1!C:F,{2,3,4},FALSE)</f>
        <v>46247</v>
      </c>
      <c r="R131" t="str">
        <v>C01</v>
      </c>
      <c r="S131" t="str">
        <v>1000000566 AUTOLUX SA</v>
      </c>
      <c r="T131" t="str">
        <f>VLOOKUP(P131,Hoja2!C:D,2,FALSE)</f>
        <v>AZAPANA</v>
      </c>
    </row>
    <row r="132" spans="1:20" x14ac:dyDescent="0.3">
      <c r="A132" s="2" t="s">
        <v>15</v>
      </c>
      <c r="B132" s="3" t="s">
        <v>15</v>
      </c>
      <c r="C132" s="3" t="s">
        <v>301</v>
      </c>
      <c r="D132" s="3" t="s">
        <v>15</v>
      </c>
      <c r="E132" s="3" t="s">
        <v>197</v>
      </c>
      <c r="F132" s="4">
        <v>46237</v>
      </c>
      <c r="G132" s="3" t="s">
        <v>64</v>
      </c>
      <c r="H132" s="6">
        <v>-74991.19</v>
      </c>
      <c r="I132" s="3" t="s">
        <v>19</v>
      </c>
      <c r="J132" s="3" t="s">
        <v>15</v>
      </c>
      <c r="K132" s="3" t="s">
        <v>15</v>
      </c>
      <c r="L132" s="3" t="s">
        <v>304</v>
      </c>
      <c r="M132" s="4">
        <v>46237</v>
      </c>
      <c r="N132" s="3" t="s">
        <v>303</v>
      </c>
      <c r="O132" s="3" t="s">
        <v>62</v>
      </c>
      <c r="P132" t="str">
        <f t="shared" si="2"/>
        <v>450013370920</v>
      </c>
      <c r="Q132" s="9" cm="1">
        <f t="array" ref="Q132:S132">VLOOKUP(P132,Hoja1!C:F,{2,3,4},FALSE)</f>
        <v>46247</v>
      </c>
      <c r="R132" t="str">
        <v>C01</v>
      </c>
      <c r="S132" t="str">
        <v>1000000566 AUTOLUX SA</v>
      </c>
      <c r="T132" t="str">
        <f>VLOOKUP(P132,Hoja2!C:D,2,FALSE)</f>
        <v>AZAPANA</v>
      </c>
    </row>
    <row r="133" spans="1:20" x14ac:dyDescent="0.3">
      <c r="A133" s="2" t="s">
        <v>15</v>
      </c>
      <c r="B133" s="3" t="s">
        <v>15</v>
      </c>
      <c r="C133" s="3" t="s">
        <v>305</v>
      </c>
      <c r="D133" s="3" t="s">
        <v>56</v>
      </c>
      <c r="E133" s="3" t="s">
        <v>197</v>
      </c>
      <c r="F133" s="4">
        <v>46238</v>
      </c>
      <c r="G133" s="3" t="s">
        <v>64</v>
      </c>
      <c r="H133" s="6">
        <v>-9044537.5800000001</v>
      </c>
      <c r="I133" s="3" t="s">
        <v>19</v>
      </c>
      <c r="J133" s="3" t="s">
        <v>15</v>
      </c>
      <c r="K133" s="3" t="s">
        <v>15</v>
      </c>
      <c r="L133" s="3" t="s">
        <v>306</v>
      </c>
      <c r="M133" s="4">
        <v>46238</v>
      </c>
      <c r="N133" s="3" t="s">
        <v>307</v>
      </c>
      <c r="O133" s="3" t="s">
        <v>23</v>
      </c>
      <c r="P133" t="str">
        <f t="shared" si="2"/>
        <v>450012853310</v>
      </c>
      <c r="Q133" s="9" cm="1">
        <f t="array" ref="Q133:S133">VLOOKUP(P133,Hoja1!C:F,{2,3,4},FALSE)</f>
        <v>46326</v>
      </c>
      <c r="R133" t="str">
        <v>C25</v>
      </c>
      <c r="S133" t="str">
        <v>1000012132 PRODUCTOS SERVICIOS Y DISTRIBUCIONE</v>
      </c>
      <c r="T133" t="str">
        <f>VLOOKUP(P133,Hoja2!C:D,2,FALSE)</f>
        <v>MPITTIA</v>
      </c>
    </row>
    <row r="134" spans="1:20" x14ac:dyDescent="0.3">
      <c r="A134" s="2" t="s">
        <v>15</v>
      </c>
      <c r="B134" s="3" t="s">
        <v>15</v>
      </c>
      <c r="C134" s="3" t="s">
        <v>308</v>
      </c>
      <c r="D134" s="3" t="s">
        <v>56</v>
      </c>
      <c r="E134" s="3" t="s">
        <v>197</v>
      </c>
      <c r="F134" s="4">
        <v>46238</v>
      </c>
      <c r="G134" s="3" t="s">
        <v>64</v>
      </c>
      <c r="H134" s="6">
        <v>-15000000</v>
      </c>
      <c r="I134" s="3" t="s">
        <v>19</v>
      </c>
      <c r="J134" s="3" t="s">
        <v>15</v>
      </c>
      <c r="K134" s="3" t="s">
        <v>15</v>
      </c>
      <c r="L134" s="3" t="s">
        <v>309</v>
      </c>
      <c r="M134" s="4">
        <v>46238</v>
      </c>
      <c r="N134" s="3" t="s">
        <v>76</v>
      </c>
      <c r="O134" s="3" t="s">
        <v>23</v>
      </c>
      <c r="P134" t="str">
        <f t="shared" si="2"/>
        <v>450012854310</v>
      </c>
      <c r="Q134" s="9" cm="1">
        <f t="array" ref="Q134:S134">VLOOKUP(P134,Hoja1!C:F,{2,3,4},FALSE)</f>
        <v>46236</v>
      </c>
      <c r="R134" t="str">
        <v>C25</v>
      </c>
      <c r="S134" t="str">
        <v>1000012097 TRANSPORTE TMS S. A. S.</v>
      </c>
      <c r="T134" t="str">
        <f>VLOOKUP(P134,Hoja2!C:D,2,FALSE)</f>
        <v>MPITTIA</v>
      </c>
    </row>
    <row r="135" spans="1:20" x14ac:dyDescent="0.3">
      <c r="A135" s="2" t="s">
        <v>15</v>
      </c>
      <c r="B135" s="3" t="s">
        <v>15</v>
      </c>
      <c r="C135" s="3" t="s">
        <v>310</v>
      </c>
      <c r="D135" s="3" t="s">
        <v>56</v>
      </c>
      <c r="E135" s="3" t="s">
        <v>197</v>
      </c>
      <c r="F135" s="4">
        <v>46239</v>
      </c>
      <c r="G135" s="3" t="s">
        <v>64</v>
      </c>
      <c r="H135" s="6">
        <v>-46357.49</v>
      </c>
      <c r="I135" s="3" t="s">
        <v>19</v>
      </c>
      <c r="J135" s="3" t="s">
        <v>15</v>
      </c>
      <c r="K135" s="3" t="s">
        <v>15</v>
      </c>
      <c r="L135" s="3" t="s">
        <v>311</v>
      </c>
      <c r="M135" s="4">
        <v>46239</v>
      </c>
      <c r="N135" s="3" t="s">
        <v>312</v>
      </c>
      <c r="O135" s="3" t="s">
        <v>95</v>
      </c>
      <c r="P135" t="str">
        <f t="shared" si="2"/>
        <v>450013463160</v>
      </c>
      <c r="Q135" s="9" cm="1">
        <f t="array" ref="Q135:S135">VLOOKUP(P135,Hoja1!C:F,{2,3,4},FALSE)</f>
        <v>46251</v>
      </c>
      <c r="R135" t="str">
        <v>C01</v>
      </c>
      <c r="S135" t="str">
        <v>1000007607 TUKUY S.R.L.</v>
      </c>
      <c r="T135" t="str">
        <f>VLOOKUP(P135,Hoja2!C:D,2,FALSE)</f>
        <v>AZAPANA</v>
      </c>
    </row>
    <row r="136" spans="1:20" x14ac:dyDescent="0.3">
      <c r="A136" s="2" t="s">
        <v>15</v>
      </c>
      <c r="B136" s="3" t="s">
        <v>15</v>
      </c>
      <c r="C136" s="3" t="s">
        <v>313</v>
      </c>
      <c r="D136" s="3" t="s">
        <v>15</v>
      </c>
      <c r="E136" s="3" t="s">
        <v>197</v>
      </c>
      <c r="F136" s="4">
        <v>46242</v>
      </c>
      <c r="G136" s="3" t="s">
        <v>64</v>
      </c>
      <c r="H136" s="6">
        <v>-194454.55</v>
      </c>
      <c r="I136" s="3" t="s">
        <v>19</v>
      </c>
      <c r="J136" s="3" t="s">
        <v>15</v>
      </c>
      <c r="K136" s="3" t="s">
        <v>15</v>
      </c>
      <c r="L136" s="3" t="s">
        <v>314</v>
      </c>
      <c r="M136" s="4">
        <v>46242</v>
      </c>
      <c r="N136" s="3" t="s">
        <v>178</v>
      </c>
      <c r="O136" s="3" t="s">
        <v>23</v>
      </c>
      <c r="P136" t="str">
        <f t="shared" si="2"/>
        <v>450013506710</v>
      </c>
      <c r="Q136" s="9" cm="1">
        <f t="array" ref="Q136:S136">VLOOKUP(P136,Hoja1!C:F,{2,3,4},FALSE)</f>
        <v>46254</v>
      </c>
      <c r="R136" t="str">
        <v>C01</v>
      </c>
      <c r="S136" t="str">
        <v>1000012974 BLEXA S. A.</v>
      </c>
      <c r="T136" t="str">
        <f>VLOOKUP(P136,Hoja2!C:D,2,FALSE)</f>
        <v>AZAPANA</v>
      </c>
    </row>
    <row r="137" spans="1:20" x14ac:dyDescent="0.3">
      <c r="A137" s="2" t="s">
        <v>15</v>
      </c>
      <c r="B137" s="3" t="s">
        <v>15</v>
      </c>
      <c r="C137" s="3" t="s">
        <v>313</v>
      </c>
      <c r="D137" s="3" t="s">
        <v>15</v>
      </c>
      <c r="E137" s="3" t="s">
        <v>197</v>
      </c>
      <c r="F137" s="4">
        <v>46242</v>
      </c>
      <c r="G137" s="3" t="s">
        <v>64</v>
      </c>
      <c r="H137" s="6">
        <v>-23049.59</v>
      </c>
      <c r="I137" s="3" t="s">
        <v>19</v>
      </c>
      <c r="J137" s="3" t="s">
        <v>15</v>
      </c>
      <c r="K137" s="3" t="s">
        <v>15</v>
      </c>
      <c r="L137" s="3" t="s">
        <v>315</v>
      </c>
      <c r="M137" s="4">
        <v>46242</v>
      </c>
      <c r="N137" s="3" t="s">
        <v>178</v>
      </c>
      <c r="O137" s="3" t="s">
        <v>62</v>
      </c>
      <c r="P137" t="str">
        <f t="shared" si="2"/>
        <v>450013506720</v>
      </c>
      <c r="Q137" s="9" cm="1">
        <f t="array" ref="Q137:S137">VLOOKUP(P137,Hoja1!C:F,{2,3,4},FALSE)</f>
        <v>46254</v>
      </c>
      <c r="R137" t="str">
        <v>C01</v>
      </c>
      <c r="S137" t="str">
        <v>1000012974 BLEXA S. A.</v>
      </c>
      <c r="T137" t="str">
        <f>VLOOKUP(P137,Hoja2!C:D,2,FALSE)</f>
        <v>AZAPANA</v>
      </c>
    </row>
    <row r="138" spans="1:20" x14ac:dyDescent="0.3">
      <c r="A138" s="2" t="s">
        <v>15</v>
      </c>
      <c r="B138" s="3" t="s">
        <v>15</v>
      </c>
      <c r="C138" s="3" t="s">
        <v>316</v>
      </c>
      <c r="D138" s="3" t="s">
        <v>15</v>
      </c>
      <c r="E138" s="3" t="s">
        <v>197</v>
      </c>
      <c r="F138" s="4">
        <v>46248</v>
      </c>
      <c r="G138" s="3" t="s">
        <v>64</v>
      </c>
      <c r="H138" s="6">
        <v>-459804.15</v>
      </c>
      <c r="I138" s="3" t="s">
        <v>19</v>
      </c>
      <c r="J138" s="3" t="s">
        <v>15</v>
      </c>
      <c r="K138" s="3" t="s">
        <v>15</v>
      </c>
      <c r="L138" s="3" t="s">
        <v>317</v>
      </c>
      <c r="M138" s="4">
        <v>46249</v>
      </c>
      <c r="N138" s="3" t="s">
        <v>98</v>
      </c>
      <c r="O138" s="3" t="s">
        <v>23</v>
      </c>
      <c r="P138" t="str">
        <f t="shared" si="2"/>
        <v>450013558710</v>
      </c>
      <c r="Q138" s="9" cm="1">
        <f t="array" ref="Q138:S138">VLOOKUP(P138,Hoja1!C:F,{2,3,4},FALSE)</f>
        <v>46287</v>
      </c>
      <c r="R138" t="str">
        <v>F04</v>
      </c>
      <c r="S138" t="str">
        <v>1000000907 SERVICIOS VIALES DE STA. FE SA</v>
      </c>
      <c r="T138" t="str">
        <f>VLOOKUP(P138,Hoja2!C:D,2,FALSE)</f>
        <v>RPEREZ</v>
      </c>
    </row>
    <row r="139" spans="1:20" x14ac:dyDescent="0.3">
      <c r="A139" s="2" t="s">
        <v>15</v>
      </c>
      <c r="B139" s="3" t="s">
        <v>15</v>
      </c>
      <c r="C139" s="3" t="s">
        <v>318</v>
      </c>
      <c r="D139" s="3" t="s">
        <v>56</v>
      </c>
      <c r="E139" s="3" t="s">
        <v>197</v>
      </c>
      <c r="F139" s="4">
        <v>46252</v>
      </c>
      <c r="G139" s="3" t="s">
        <v>64</v>
      </c>
      <c r="H139" s="6">
        <v>-61190.400000000001</v>
      </c>
      <c r="I139" s="3" t="s">
        <v>19</v>
      </c>
      <c r="J139" s="3" t="s">
        <v>15</v>
      </c>
      <c r="K139" s="3" t="s">
        <v>15</v>
      </c>
      <c r="L139" s="3" t="s">
        <v>319</v>
      </c>
      <c r="M139" s="4">
        <v>46252</v>
      </c>
      <c r="N139" s="3" t="s">
        <v>320</v>
      </c>
      <c r="O139" s="3" t="s">
        <v>23</v>
      </c>
      <c r="P139" t="str">
        <f t="shared" si="2"/>
        <v>450013425610</v>
      </c>
      <c r="Q139" s="9" cm="1">
        <f t="array" ref="Q139:S139">VLOOKUP(P139,Hoja1!C:F,{2,3,4},FALSE)</f>
        <v>46322</v>
      </c>
      <c r="R139" t="str">
        <v>C01</v>
      </c>
      <c r="S139" t="str">
        <v>1000008967 JACARANDA S.A.</v>
      </c>
      <c r="T139" t="str">
        <f>VLOOKUP(P139,Hoja2!C:D,2,FALSE)</f>
        <v>AZAPANA</v>
      </c>
    </row>
    <row r="140" spans="1:20" x14ac:dyDescent="0.3">
      <c r="A140" s="2" t="s">
        <v>15</v>
      </c>
      <c r="B140" s="3" t="s">
        <v>15</v>
      </c>
      <c r="C140" s="3" t="s">
        <v>321</v>
      </c>
      <c r="D140" s="3" t="s">
        <v>56</v>
      </c>
      <c r="E140" s="3" t="s">
        <v>197</v>
      </c>
      <c r="F140" s="4">
        <v>46252</v>
      </c>
      <c r="G140" s="3" t="s">
        <v>64</v>
      </c>
      <c r="H140" s="6">
        <v>-76488</v>
      </c>
      <c r="I140" s="3" t="s">
        <v>19</v>
      </c>
      <c r="J140" s="3" t="s">
        <v>15</v>
      </c>
      <c r="K140" s="3" t="s">
        <v>15</v>
      </c>
      <c r="L140" s="3" t="s">
        <v>322</v>
      </c>
      <c r="M140" s="4">
        <v>46252</v>
      </c>
      <c r="N140" s="3" t="s">
        <v>320</v>
      </c>
      <c r="O140" s="3" t="s">
        <v>23</v>
      </c>
      <c r="P140" t="str">
        <f t="shared" si="2"/>
        <v>450013425610</v>
      </c>
      <c r="Q140" s="9" cm="1">
        <f t="array" ref="Q140:S140">VLOOKUP(P140,Hoja1!C:F,{2,3,4},FALSE)</f>
        <v>46322</v>
      </c>
      <c r="R140" t="str">
        <v>C01</v>
      </c>
      <c r="S140" t="str">
        <v>1000008967 JACARANDA S.A.</v>
      </c>
      <c r="T140" t="str">
        <f>VLOOKUP(P140,Hoja2!C:D,2,FALSE)</f>
        <v>AZAPANA</v>
      </c>
    </row>
    <row r="141" spans="1:20" x14ac:dyDescent="0.3">
      <c r="A141" s="2" t="s">
        <v>15</v>
      </c>
      <c r="B141" s="3" t="s">
        <v>15</v>
      </c>
      <c r="C141" s="3" t="s">
        <v>323</v>
      </c>
      <c r="D141" s="3" t="s">
        <v>56</v>
      </c>
      <c r="E141" s="3" t="s">
        <v>197</v>
      </c>
      <c r="F141" s="4">
        <v>46252</v>
      </c>
      <c r="G141" s="3" t="s">
        <v>64</v>
      </c>
      <c r="H141" s="6">
        <v>-61190.400000000001</v>
      </c>
      <c r="I141" s="3" t="s">
        <v>19</v>
      </c>
      <c r="J141" s="3" t="s">
        <v>15</v>
      </c>
      <c r="K141" s="3" t="s">
        <v>15</v>
      </c>
      <c r="L141" s="3" t="s">
        <v>324</v>
      </c>
      <c r="M141" s="4">
        <v>46252</v>
      </c>
      <c r="N141" s="3" t="s">
        <v>320</v>
      </c>
      <c r="O141" s="3" t="s">
        <v>23</v>
      </c>
      <c r="P141" t="str">
        <f t="shared" si="2"/>
        <v>450013425610</v>
      </c>
      <c r="Q141" s="9" cm="1">
        <f t="array" ref="Q141:S141">VLOOKUP(P141,Hoja1!C:F,{2,3,4},FALSE)</f>
        <v>46322</v>
      </c>
      <c r="R141" t="str">
        <v>C01</v>
      </c>
      <c r="S141" t="str">
        <v>1000008967 JACARANDA S.A.</v>
      </c>
      <c r="T141" t="str">
        <f>VLOOKUP(P141,Hoja2!C:D,2,FALSE)</f>
        <v>AZAPANA</v>
      </c>
    </row>
    <row r="142" spans="1:20" x14ac:dyDescent="0.3">
      <c r="A142" s="2" t="s">
        <v>15</v>
      </c>
      <c r="B142" s="3" t="s">
        <v>15</v>
      </c>
      <c r="C142" s="3" t="s">
        <v>325</v>
      </c>
      <c r="D142" s="3" t="s">
        <v>56</v>
      </c>
      <c r="E142" s="3" t="s">
        <v>197</v>
      </c>
      <c r="F142" s="4">
        <v>46252</v>
      </c>
      <c r="G142" s="3" t="s">
        <v>64</v>
      </c>
      <c r="H142" s="6">
        <v>-9090.9</v>
      </c>
      <c r="I142" s="3" t="s">
        <v>19</v>
      </c>
      <c r="J142" s="3" t="s">
        <v>15</v>
      </c>
      <c r="K142" s="3" t="s">
        <v>15</v>
      </c>
      <c r="L142" s="3" t="s">
        <v>326</v>
      </c>
      <c r="M142" s="4">
        <v>46252</v>
      </c>
      <c r="N142" s="3" t="s">
        <v>300</v>
      </c>
      <c r="O142" s="3" t="s">
        <v>23</v>
      </c>
      <c r="P142" t="str">
        <f t="shared" si="2"/>
        <v>450012989010</v>
      </c>
      <c r="Q142" s="9" cm="1">
        <f t="array" ref="Q142:S142">VLOOKUP(P142,Hoja1!C:F,{2,3,4},FALSE)</f>
        <v>46252</v>
      </c>
      <c r="R142" t="str">
        <v>C01</v>
      </c>
      <c r="S142" t="str">
        <v>1000007890 GASOL S.R.L.</v>
      </c>
      <c r="T142" t="str">
        <f>VLOOKUP(P142,Hoja2!C:D,2,FALSE)</f>
        <v>AZAPANA</v>
      </c>
    </row>
    <row r="143" spans="1:20" x14ac:dyDescent="0.3">
      <c r="A143" s="2" t="s">
        <v>15</v>
      </c>
      <c r="B143" s="3" t="s">
        <v>15</v>
      </c>
      <c r="C143" s="3" t="s">
        <v>327</v>
      </c>
      <c r="D143" s="3" t="s">
        <v>15</v>
      </c>
      <c r="E143" s="3" t="s">
        <v>197</v>
      </c>
      <c r="F143" s="4">
        <v>46253</v>
      </c>
      <c r="G143" s="3" t="s">
        <v>64</v>
      </c>
      <c r="H143" s="6">
        <v>-149400</v>
      </c>
      <c r="I143" s="3" t="s">
        <v>19</v>
      </c>
      <c r="J143" s="3" t="s">
        <v>15</v>
      </c>
      <c r="K143" s="3" t="s">
        <v>15</v>
      </c>
      <c r="L143" s="3" t="s">
        <v>328</v>
      </c>
      <c r="M143" s="4">
        <v>46253</v>
      </c>
      <c r="N143" s="3" t="s">
        <v>329</v>
      </c>
      <c r="O143" s="3" t="s">
        <v>95</v>
      </c>
      <c r="P143" t="str">
        <f t="shared" si="2"/>
        <v>450013075060</v>
      </c>
      <c r="Q143" s="9" cm="1">
        <f t="array" ref="Q143:S143">VLOOKUP(P143,Hoja1!C:F,{2,3,4},FALSE)</f>
        <v>46258</v>
      </c>
      <c r="R143" t="str">
        <v>C01</v>
      </c>
      <c r="S143" t="str">
        <v>1000007611 ANTONIO B ATENOR E HIJOS S R L</v>
      </c>
      <c r="T143" t="str">
        <f>VLOOKUP(P143,Hoja2!C:D,2,FALSE)</f>
        <v>AZAPANA</v>
      </c>
    </row>
    <row r="144" spans="1:20" x14ac:dyDescent="0.3">
      <c r="A144" s="2" t="s">
        <v>15</v>
      </c>
      <c r="B144" s="3" t="s">
        <v>15</v>
      </c>
      <c r="C144" s="3" t="s">
        <v>330</v>
      </c>
      <c r="D144" s="3" t="s">
        <v>15</v>
      </c>
      <c r="E144" s="3" t="s">
        <v>197</v>
      </c>
      <c r="F144" s="4">
        <v>46256</v>
      </c>
      <c r="G144" s="3" t="s">
        <v>64</v>
      </c>
      <c r="H144" s="6">
        <v>-62667.8</v>
      </c>
      <c r="I144" s="3" t="s">
        <v>19</v>
      </c>
      <c r="J144" s="3" t="s">
        <v>15</v>
      </c>
      <c r="K144" s="3" t="s">
        <v>15</v>
      </c>
      <c r="L144" s="3" t="s">
        <v>331</v>
      </c>
      <c r="M144" s="4">
        <v>46256</v>
      </c>
      <c r="N144" s="3" t="s">
        <v>332</v>
      </c>
      <c r="O144" s="3" t="s">
        <v>47</v>
      </c>
      <c r="P144" t="str">
        <f t="shared" si="2"/>
        <v>450013511950</v>
      </c>
      <c r="Q144" s="9" cm="1">
        <f t="array" ref="Q144:S144">VLOOKUP(P144,Hoja1!C:F,{2,3,4},FALSE)</f>
        <v>46258</v>
      </c>
      <c r="R144" t="str">
        <v>C27</v>
      </c>
      <c r="S144" t="str">
        <v>1000000295 BOLLINI S.A</v>
      </c>
      <c r="T144" t="str">
        <f>VLOOKUP(P144,Hoja2!C:D,2,FALSE)</f>
        <v>PRODRIGUEZ</v>
      </c>
    </row>
    <row r="145" spans="1:20" x14ac:dyDescent="0.3">
      <c r="A145" s="2" t="s">
        <v>15</v>
      </c>
      <c r="B145" s="3" t="s">
        <v>15</v>
      </c>
      <c r="C145" s="3" t="s">
        <v>330</v>
      </c>
      <c r="D145" s="3" t="s">
        <v>56</v>
      </c>
      <c r="E145" s="3" t="s">
        <v>197</v>
      </c>
      <c r="F145" s="4">
        <v>46256</v>
      </c>
      <c r="G145" s="3" t="s">
        <v>64</v>
      </c>
      <c r="H145" s="6">
        <v>-84520.52</v>
      </c>
      <c r="I145" s="3" t="s">
        <v>19</v>
      </c>
      <c r="J145" s="3" t="s">
        <v>15</v>
      </c>
      <c r="K145" s="3" t="s">
        <v>15</v>
      </c>
      <c r="L145" s="3" t="s">
        <v>333</v>
      </c>
      <c r="M145" s="4">
        <v>46256</v>
      </c>
      <c r="N145" s="3" t="s">
        <v>332</v>
      </c>
      <c r="O145" s="3" t="s">
        <v>158</v>
      </c>
      <c r="P145" t="str">
        <f t="shared" si="2"/>
        <v>450013511990</v>
      </c>
      <c r="Q145" s="9" cm="1">
        <f t="array" ref="Q145:S145">VLOOKUP(P145,Hoja1!C:F,{2,3,4},FALSE)</f>
        <v>46258</v>
      </c>
      <c r="R145" t="str">
        <v>C27</v>
      </c>
      <c r="S145" t="str">
        <v>1000000295 BOLLINI S.A</v>
      </c>
      <c r="T145" t="str">
        <f>VLOOKUP(P145,Hoja2!C:D,2,FALSE)</f>
        <v>PRODRIGUEZ</v>
      </c>
    </row>
    <row r="146" spans="1:20" x14ac:dyDescent="0.3">
      <c r="A146" s="2" t="s">
        <v>15</v>
      </c>
      <c r="B146" s="3" t="s">
        <v>15</v>
      </c>
      <c r="C146" s="3" t="s">
        <v>334</v>
      </c>
      <c r="D146" s="3" t="s">
        <v>15</v>
      </c>
      <c r="E146" s="3" t="s">
        <v>197</v>
      </c>
      <c r="F146" s="4">
        <v>46256</v>
      </c>
      <c r="G146" s="3" t="s">
        <v>64</v>
      </c>
      <c r="H146" s="6">
        <v>-1152805.8700000001</v>
      </c>
      <c r="I146" s="3" t="s">
        <v>19</v>
      </c>
      <c r="J146" s="3" t="s">
        <v>15</v>
      </c>
      <c r="K146" s="3" t="s">
        <v>15</v>
      </c>
      <c r="L146" s="3" t="s">
        <v>335</v>
      </c>
      <c r="M146" s="4">
        <v>46256</v>
      </c>
      <c r="N146" s="3" t="s">
        <v>336</v>
      </c>
      <c r="O146" s="3" t="s">
        <v>62</v>
      </c>
      <c r="P146" t="str">
        <f t="shared" si="2"/>
        <v>450013566920</v>
      </c>
      <c r="Q146" s="9" cm="1">
        <f t="array" ref="Q146:S146">VLOOKUP(P146,Hoja1!C:F,{2,3,4},FALSE)</f>
        <v>46270</v>
      </c>
      <c r="R146" t="str">
        <v>L01</v>
      </c>
      <c r="S146" t="str">
        <v>1000012974 BLEXA S. A.</v>
      </c>
      <c r="T146" t="str">
        <f>VLOOKUP(P146,Hoja2!C:D,2,FALSE)</f>
        <v>FBERARDO</v>
      </c>
    </row>
    <row r="147" spans="1:20" x14ac:dyDescent="0.3">
      <c r="A147" s="2" t="s">
        <v>15</v>
      </c>
      <c r="B147" s="3" t="s">
        <v>15</v>
      </c>
      <c r="C147" s="3" t="s">
        <v>337</v>
      </c>
      <c r="D147" s="3" t="s">
        <v>15</v>
      </c>
      <c r="E147" s="3" t="s">
        <v>197</v>
      </c>
      <c r="F147" s="4">
        <v>46259</v>
      </c>
      <c r="G147" s="3" t="s">
        <v>64</v>
      </c>
      <c r="H147" s="6">
        <v>-13419</v>
      </c>
      <c r="I147" s="3" t="s">
        <v>19</v>
      </c>
      <c r="J147" s="3" t="s">
        <v>15</v>
      </c>
      <c r="K147" s="3" t="s">
        <v>15</v>
      </c>
      <c r="L147" s="3" t="s">
        <v>338</v>
      </c>
      <c r="M147" s="4">
        <v>46259</v>
      </c>
      <c r="N147" s="3" t="s">
        <v>339</v>
      </c>
      <c r="O147" s="3" t="s">
        <v>23</v>
      </c>
      <c r="P147" t="str">
        <f t="shared" si="2"/>
        <v>450013642610</v>
      </c>
      <c r="Q147" s="9" cm="1">
        <f t="array" ref="Q147:S147">VLOOKUP(P147,Hoja1!C:F,{2,3,4},FALSE)</f>
        <v>46276</v>
      </c>
      <c r="R147" t="str">
        <v>C01</v>
      </c>
      <c r="S147" t="str">
        <v>1000007766 HERSAPEL SOCIEDAD DE RESPONSABILIDA</v>
      </c>
      <c r="T147" t="str">
        <f>VLOOKUP(P147,Hoja2!C:D,2,FALSE)</f>
        <v>AZAPANA</v>
      </c>
    </row>
    <row r="148" spans="1:20" x14ac:dyDescent="0.3">
      <c r="A148" s="2" t="s">
        <v>15</v>
      </c>
      <c r="B148" s="3" t="s">
        <v>15</v>
      </c>
      <c r="C148" s="3" t="s">
        <v>337</v>
      </c>
      <c r="D148" s="3" t="s">
        <v>56</v>
      </c>
      <c r="E148" s="3" t="s">
        <v>197</v>
      </c>
      <c r="F148" s="4">
        <v>46259</v>
      </c>
      <c r="G148" s="3" t="s">
        <v>64</v>
      </c>
      <c r="H148" s="6">
        <v>-35525</v>
      </c>
      <c r="I148" s="3" t="s">
        <v>19</v>
      </c>
      <c r="J148" s="3" t="s">
        <v>15</v>
      </c>
      <c r="K148" s="3" t="s">
        <v>15</v>
      </c>
      <c r="L148" s="3" t="s">
        <v>340</v>
      </c>
      <c r="M148" s="4">
        <v>46259</v>
      </c>
      <c r="N148" s="3" t="s">
        <v>339</v>
      </c>
      <c r="O148" s="3" t="s">
        <v>38</v>
      </c>
      <c r="P148" t="str">
        <f t="shared" si="2"/>
        <v>450013642640</v>
      </c>
      <c r="Q148" s="9" cm="1">
        <f t="array" ref="Q148:S148">VLOOKUP(P148,Hoja1!C:F,{2,3,4},FALSE)</f>
        <v>46276</v>
      </c>
      <c r="R148" t="str">
        <v>C01</v>
      </c>
      <c r="S148" t="str">
        <v>1000007766 HERSAPEL SOCIEDAD DE RESPONSABILIDA</v>
      </c>
      <c r="T148" t="str">
        <f>VLOOKUP(P148,Hoja2!C:D,2,FALSE)</f>
        <v>AZAPANA</v>
      </c>
    </row>
    <row r="149" spans="1:20" x14ac:dyDescent="0.3">
      <c r="A149" s="2" t="s">
        <v>15</v>
      </c>
      <c r="B149" s="3" t="s">
        <v>15</v>
      </c>
      <c r="C149" s="3" t="s">
        <v>337</v>
      </c>
      <c r="D149" s="3" t="s">
        <v>56</v>
      </c>
      <c r="E149" s="3" t="s">
        <v>197</v>
      </c>
      <c r="F149" s="4">
        <v>46259</v>
      </c>
      <c r="G149" s="3" t="s">
        <v>64</v>
      </c>
      <c r="H149" s="6">
        <v>-4773.1000000000004</v>
      </c>
      <c r="I149" s="3" t="s">
        <v>19</v>
      </c>
      <c r="J149" s="3" t="s">
        <v>15</v>
      </c>
      <c r="K149" s="3" t="s">
        <v>15</v>
      </c>
      <c r="L149" s="3" t="s">
        <v>341</v>
      </c>
      <c r="M149" s="4">
        <v>46259</v>
      </c>
      <c r="N149" s="3" t="s">
        <v>339</v>
      </c>
      <c r="O149" s="3" t="s">
        <v>47</v>
      </c>
      <c r="P149" t="str">
        <f t="shared" si="2"/>
        <v>450013642650</v>
      </c>
      <c r="Q149" s="9" cm="1">
        <f t="array" ref="Q149:S149">VLOOKUP(P149,Hoja1!C:F,{2,3,4},FALSE)</f>
        <v>46276</v>
      </c>
      <c r="R149" t="str">
        <v>C01</v>
      </c>
      <c r="S149" t="str">
        <v>1000007766 HERSAPEL SOCIEDAD DE RESPONSABILIDA</v>
      </c>
      <c r="T149" t="str">
        <f>VLOOKUP(P149,Hoja2!C:D,2,FALSE)</f>
        <v>AZAPANA</v>
      </c>
    </row>
    <row r="150" spans="1:20" x14ac:dyDescent="0.3">
      <c r="A150" s="2" t="s">
        <v>15</v>
      </c>
      <c r="B150" s="3" t="s">
        <v>15</v>
      </c>
      <c r="C150" s="3" t="s">
        <v>342</v>
      </c>
      <c r="D150" s="3" t="s">
        <v>15</v>
      </c>
      <c r="E150" s="3" t="s">
        <v>197</v>
      </c>
      <c r="F150" s="4">
        <v>46260</v>
      </c>
      <c r="G150" s="3" t="s">
        <v>64</v>
      </c>
      <c r="H150" s="6">
        <v>-123638.39999999999</v>
      </c>
      <c r="I150" s="3" t="s">
        <v>19</v>
      </c>
      <c r="J150" s="3" t="s">
        <v>15</v>
      </c>
      <c r="K150" s="3" t="s">
        <v>15</v>
      </c>
      <c r="L150" s="3" t="s">
        <v>343</v>
      </c>
      <c r="M150" s="4">
        <v>46260</v>
      </c>
      <c r="N150" s="3" t="s">
        <v>344</v>
      </c>
      <c r="O150" s="3" t="s">
        <v>23</v>
      </c>
      <c r="P150" t="str">
        <f t="shared" si="2"/>
        <v>450013654410</v>
      </c>
      <c r="Q150" s="9" cm="1">
        <f t="array" ref="Q150:S150">VLOOKUP(P150,Hoja1!C:F,{2,3,4},FALSE)</f>
        <v>46277</v>
      </c>
      <c r="R150" t="str">
        <v>C01</v>
      </c>
      <c r="S150" t="str">
        <v>1000007451 FLORES CARLOS FELIPE Y OTROS S H</v>
      </c>
      <c r="T150" t="str">
        <f>VLOOKUP(P150,Hoja2!C:D,2,FALSE)</f>
        <v>AZAPANA</v>
      </c>
    </row>
    <row r="151" spans="1:20" x14ac:dyDescent="0.3">
      <c r="A151" s="2" t="s">
        <v>15</v>
      </c>
      <c r="B151" s="3" t="s">
        <v>15</v>
      </c>
      <c r="C151" s="3" t="s">
        <v>342</v>
      </c>
      <c r="D151" s="3" t="s">
        <v>15</v>
      </c>
      <c r="E151" s="3" t="s">
        <v>197</v>
      </c>
      <c r="F151" s="4">
        <v>46260</v>
      </c>
      <c r="G151" s="3" t="s">
        <v>64</v>
      </c>
      <c r="H151" s="6">
        <v>-73126.8</v>
      </c>
      <c r="I151" s="3" t="s">
        <v>19</v>
      </c>
      <c r="J151" s="3" t="s">
        <v>15</v>
      </c>
      <c r="K151" s="3" t="s">
        <v>15</v>
      </c>
      <c r="L151" s="3" t="s">
        <v>345</v>
      </c>
      <c r="M151" s="4">
        <v>46260</v>
      </c>
      <c r="N151" s="3" t="s">
        <v>344</v>
      </c>
      <c r="O151" s="3" t="s">
        <v>62</v>
      </c>
      <c r="P151" t="str">
        <f t="shared" si="2"/>
        <v>450013654420</v>
      </c>
      <c r="Q151" s="9" cm="1">
        <f t="array" ref="Q151:S151">VLOOKUP(P151,Hoja1!C:F,{2,3,4},FALSE)</f>
        <v>46277</v>
      </c>
      <c r="R151" t="str">
        <v>C01</v>
      </c>
      <c r="S151" t="str">
        <v>1000007451 FLORES CARLOS FELIPE Y OTROS S H</v>
      </c>
      <c r="T151" t="str">
        <f>VLOOKUP(P151,Hoja2!C:D,2,FALSE)</f>
        <v>AZAPANA</v>
      </c>
    </row>
    <row r="152" spans="1:20" x14ac:dyDescent="0.3">
      <c r="A152" s="2" t="s">
        <v>15</v>
      </c>
      <c r="B152" s="3" t="s">
        <v>15</v>
      </c>
      <c r="C152" s="3" t="s">
        <v>342</v>
      </c>
      <c r="D152" s="3" t="s">
        <v>15</v>
      </c>
      <c r="E152" s="3" t="s">
        <v>197</v>
      </c>
      <c r="F152" s="4">
        <v>46260</v>
      </c>
      <c r="G152" s="3" t="s">
        <v>64</v>
      </c>
      <c r="H152" s="6">
        <v>-16634.46</v>
      </c>
      <c r="I152" s="3" t="s">
        <v>19</v>
      </c>
      <c r="J152" s="3" t="s">
        <v>15</v>
      </c>
      <c r="K152" s="3" t="s">
        <v>15</v>
      </c>
      <c r="L152" s="3" t="s">
        <v>346</v>
      </c>
      <c r="M152" s="4">
        <v>46260</v>
      </c>
      <c r="N152" s="3" t="s">
        <v>344</v>
      </c>
      <c r="O152" s="3" t="s">
        <v>49</v>
      </c>
      <c r="P152" t="str">
        <f t="shared" si="2"/>
        <v>450013654430</v>
      </c>
      <c r="Q152" s="9" cm="1">
        <f t="array" ref="Q152:S152">VLOOKUP(P152,Hoja1!C:F,{2,3,4},FALSE)</f>
        <v>46277</v>
      </c>
      <c r="R152" t="str">
        <v>C01</v>
      </c>
      <c r="S152" t="str">
        <v>1000007451 FLORES CARLOS FELIPE Y OTROS S H</v>
      </c>
      <c r="T152" t="str">
        <f>VLOOKUP(P152,Hoja2!C:D,2,FALSE)</f>
        <v>AZAPANA</v>
      </c>
    </row>
    <row r="153" spans="1:20" x14ac:dyDescent="0.3">
      <c r="A153" s="2" t="s">
        <v>15</v>
      </c>
      <c r="B153" s="3" t="s">
        <v>15</v>
      </c>
      <c r="C153" s="3" t="s">
        <v>342</v>
      </c>
      <c r="D153" s="3" t="s">
        <v>15</v>
      </c>
      <c r="E153" s="3" t="s">
        <v>197</v>
      </c>
      <c r="F153" s="4">
        <v>46260</v>
      </c>
      <c r="G153" s="3" t="s">
        <v>64</v>
      </c>
      <c r="H153" s="6">
        <v>-46089.2</v>
      </c>
      <c r="I153" s="3" t="s">
        <v>19</v>
      </c>
      <c r="J153" s="3" t="s">
        <v>15</v>
      </c>
      <c r="K153" s="3" t="s">
        <v>15</v>
      </c>
      <c r="L153" s="3" t="s">
        <v>347</v>
      </c>
      <c r="M153" s="4">
        <v>46260</v>
      </c>
      <c r="N153" s="3" t="s">
        <v>344</v>
      </c>
      <c r="O153" s="3" t="s">
        <v>38</v>
      </c>
      <c r="P153" t="str">
        <f t="shared" si="2"/>
        <v>450013654440</v>
      </c>
      <c r="Q153" s="9" cm="1">
        <f t="array" ref="Q153:S153">VLOOKUP(P153,Hoja1!C:F,{2,3,4},FALSE)</f>
        <v>46277</v>
      </c>
      <c r="R153" t="str">
        <v>C01</v>
      </c>
      <c r="S153" t="str">
        <v>1000007451 FLORES CARLOS FELIPE Y OTROS S H</v>
      </c>
      <c r="T153" t="str">
        <f>VLOOKUP(P153,Hoja2!C:D,2,FALSE)</f>
        <v>AZAPANA</v>
      </c>
    </row>
    <row r="154" spans="1:20" x14ac:dyDescent="0.3">
      <c r="A154" s="2" t="s">
        <v>15</v>
      </c>
      <c r="B154" s="3" t="s">
        <v>15</v>
      </c>
      <c r="C154" s="3" t="s">
        <v>342</v>
      </c>
      <c r="D154" s="3" t="s">
        <v>56</v>
      </c>
      <c r="E154" s="3" t="s">
        <v>197</v>
      </c>
      <c r="F154" s="4">
        <v>46260</v>
      </c>
      <c r="G154" s="3" t="s">
        <v>64</v>
      </c>
      <c r="H154" s="6">
        <v>-35067.08</v>
      </c>
      <c r="I154" s="3" t="s">
        <v>19</v>
      </c>
      <c r="J154" s="3" t="s">
        <v>15</v>
      </c>
      <c r="K154" s="3" t="s">
        <v>15</v>
      </c>
      <c r="L154" s="3" t="s">
        <v>348</v>
      </c>
      <c r="M154" s="4">
        <v>46260</v>
      </c>
      <c r="N154" s="3" t="s">
        <v>344</v>
      </c>
      <c r="O154" s="3" t="s">
        <v>47</v>
      </c>
      <c r="P154" t="str">
        <f t="shared" si="2"/>
        <v>450013654450</v>
      </c>
      <c r="Q154" s="9" cm="1">
        <f t="array" ref="Q154:S154">VLOOKUP(P154,Hoja1!C:F,{2,3,4},FALSE)</f>
        <v>46277</v>
      </c>
      <c r="R154" t="str">
        <v>C01</v>
      </c>
      <c r="S154" t="str">
        <v>1000007451 FLORES CARLOS FELIPE Y OTROS S H</v>
      </c>
      <c r="T154" t="str">
        <f>VLOOKUP(P154,Hoja2!C:D,2,FALSE)</f>
        <v>AZAPANA</v>
      </c>
    </row>
    <row r="155" spans="1:20" x14ac:dyDescent="0.3">
      <c r="A155" s="2" t="s">
        <v>15</v>
      </c>
      <c r="B155" s="3" t="s">
        <v>15</v>
      </c>
      <c r="C155" s="3" t="s">
        <v>342</v>
      </c>
      <c r="D155" s="3" t="s">
        <v>15</v>
      </c>
      <c r="E155" s="3" t="s">
        <v>197</v>
      </c>
      <c r="F155" s="4">
        <v>46260</v>
      </c>
      <c r="G155" s="3" t="s">
        <v>64</v>
      </c>
      <c r="H155" s="6">
        <v>-103832.54</v>
      </c>
      <c r="I155" s="3" t="s">
        <v>19</v>
      </c>
      <c r="J155" s="3" t="s">
        <v>15</v>
      </c>
      <c r="K155" s="3" t="s">
        <v>15</v>
      </c>
      <c r="L155" s="3" t="s">
        <v>349</v>
      </c>
      <c r="M155" s="4">
        <v>46260</v>
      </c>
      <c r="N155" s="3" t="s">
        <v>344</v>
      </c>
      <c r="O155" s="3" t="s">
        <v>95</v>
      </c>
      <c r="P155" t="str">
        <f t="shared" si="2"/>
        <v>450013654460</v>
      </c>
      <c r="Q155" s="9" cm="1">
        <f t="array" ref="Q155:S155">VLOOKUP(P155,Hoja1!C:F,{2,3,4},FALSE)</f>
        <v>46277</v>
      </c>
      <c r="R155" t="str">
        <v>C01</v>
      </c>
      <c r="S155" t="str">
        <v>1000007451 FLORES CARLOS FELIPE Y OTROS S H</v>
      </c>
      <c r="T155" t="str">
        <f>VLOOKUP(P155,Hoja2!C:D,2,FALSE)</f>
        <v>AZAPANA</v>
      </c>
    </row>
    <row r="156" spans="1:20" x14ac:dyDescent="0.3">
      <c r="A156" s="2" t="s">
        <v>15</v>
      </c>
      <c r="B156" s="3" t="s">
        <v>15</v>
      </c>
      <c r="C156" s="3" t="s">
        <v>342</v>
      </c>
      <c r="D156" s="3" t="s">
        <v>15</v>
      </c>
      <c r="E156" s="3" t="s">
        <v>197</v>
      </c>
      <c r="F156" s="4">
        <v>46260</v>
      </c>
      <c r="G156" s="3" t="s">
        <v>64</v>
      </c>
      <c r="H156" s="6">
        <v>-245730</v>
      </c>
      <c r="I156" s="3" t="s">
        <v>19</v>
      </c>
      <c r="J156" s="3" t="s">
        <v>15</v>
      </c>
      <c r="K156" s="3" t="s">
        <v>15</v>
      </c>
      <c r="L156" s="3" t="s">
        <v>350</v>
      </c>
      <c r="M156" s="4">
        <v>46260</v>
      </c>
      <c r="N156" s="3" t="s">
        <v>344</v>
      </c>
      <c r="O156" s="3" t="s">
        <v>351</v>
      </c>
      <c r="P156" t="str">
        <f t="shared" si="2"/>
        <v>450013654480</v>
      </c>
      <c r="Q156" s="9" cm="1">
        <f t="array" ref="Q156:S156">VLOOKUP(P156,Hoja1!C:F,{2,3,4},FALSE)</f>
        <v>46277</v>
      </c>
      <c r="R156" t="str">
        <v>C01</v>
      </c>
      <c r="S156" t="str">
        <v>1000007451 FLORES CARLOS FELIPE Y OTROS S H</v>
      </c>
      <c r="T156" t="str">
        <f>VLOOKUP(P156,Hoja2!C:D,2,FALSE)</f>
        <v>AZAPANA</v>
      </c>
    </row>
    <row r="157" spans="1:20" x14ac:dyDescent="0.3">
      <c r="A157" s="2" t="s">
        <v>15</v>
      </c>
      <c r="B157" s="3" t="s">
        <v>15</v>
      </c>
      <c r="C157" s="3" t="s">
        <v>342</v>
      </c>
      <c r="D157" s="3" t="s">
        <v>15</v>
      </c>
      <c r="E157" s="3" t="s">
        <v>197</v>
      </c>
      <c r="F157" s="4">
        <v>46260</v>
      </c>
      <c r="G157" s="3" t="s">
        <v>64</v>
      </c>
      <c r="H157" s="6">
        <v>-98351.2</v>
      </c>
      <c r="I157" s="3" t="s">
        <v>19</v>
      </c>
      <c r="J157" s="3" t="s">
        <v>15</v>
      </c>
      <c r="K157" s="3" t="s">
        <v>15</v>
      </c>
      <c r="L157" s="3" t="s">
        <v>352</v>
      </c>
      <c r="M157" s="4">
        <v>46260</v>
      </c>
      <c r="N157" s="3" t="s">
        <v>344</v>
      </c>
      <c r="O157" s="3" t="s">
        <v>148</v>
      </c>
      <c r="P157" t="str">
        <f t="shared" si="2"/>
        <v>4500136544110</v>
      </c>
      <c r="Q157" s="9" cm="1">
        <f t="array" ref="Q157:S157">VLOOKUP(P157,Hoja1!C:F,{2,3,4},FALSE)</f>
        <v>46277</v>
      </c>
      <c r="R157" t="str">
        <v>C01</v>
      </c>
      <c r="S157" t="str">
        <v>1000007451 FLORES CARLOS FELIPE Y OTROS S H</v>
      </c>
      <c r="T157" t="str">
        <f>VLOOKUP(P157,Hoja2!C:D,2,FALSE)</f>
        <v>AZAPANA</v>
      </c>
    </row>
    <row r="158" spans="1:20" x14ac:dyDescent="0.3">
      <c r="A158" s="2" t="s">
        <v>15</v>
      </c>
      <c r="B158" s="3" t="s">
        <v>15</v>
      </c>
      <c r="C158" s="3" t="s">
        <v>342</v>
      </c>
      <c r="D158" s="3" t="s">
        <v>15</v>
      </c>
      <c r="E158" s="3" t="s">
        <v>197</v>
      </c>
      <c r="F158" s="4">
        <v>46260</v>
      </c>
      <c r="G158" s="3" t="s">
        <v>64</v>
      </c>
      <c r="H158" s="6">
        <v>-70134.16</v>
      </c>
      <c r="I158" s="3" t="s">
        <v>19</v>
      </c>
      <c r="J158" s="3" t="s">
        <v>15</v>
      </c>
      <c r="K158" s="3" t="s">
        <v>15</v>
      </c>
      <c r="L158" s="3" t="s">
        <v>353</v>
      </c>
      <c r="M158" s="4">
        <v>46260</v>
      </c>
      <c r="N158" s="3" t="s">
        <v>344</v>
      </c>
      <c r="O158" s="3" t="s">
        <v>51</v>
      </c>
      <c r="P158" t="str">
        <f t="shared" si="2"/>
        <v>4500136544170</v>
      </c>
      <c r="Q158" s="9" cm="1">
        <f t="array" ref="Q158:S158">VLOOKUP(P158,Hoja1!C:F,{2,3,4},FALSE)</f>
        <v>46277</v>
      </c>
      <c r="R158" t="str">
        <v>C01</v>
      </c>
      <c r="S158" t="str">
        <v>1000007451 FLORES CARLOS FELIPE Y OTROS S H</v>
      </c>
      <c r="T158" t="str">
        <f>VLOOKUP(P158,Hoja2!C:D,2,FALSE)</f>
        <v>AZAPANA</v>
      </c>
    </row>
    <row r="159" spans="1:20" x14ac:dyDescent="0.3">
      <c r="A159" s="2" t="s">
        <v>15</v>
      </c>
      <c r="B159" s="3" t="s">
        <v>15</v>
      </c>
      <c r="C159" s="3" t="s">
        <v>354</v>
      </c>
      <c r="D159" s="3" t="s">
        <v>15</v>
      </c>
      <c r="E159" s="3" t="s">
        <v>197</v>
      </c>
      <c r="F159" s="4">
        <v>46262</v>
      </c>
      <c r="G159" s="3" t="s">
        <v>64</v>
      </c>
      <c r="H159" s="6">
        <v>-72407.789999999994</v>
      </c>
      <c r="I159" s="3" t="s">
        <v>19</v>
      </c>
      <c r="J159" s="3" t="s">
        <v>15</v>
      </c>
      <c r="K159" s="3" t="s">
        <v>15</v>
      </c>
      <c r="L159" s="3" t="s">
        <v>355</v>
      </c>
      <c r="M159" s="4">
        <v>46262</v>
      </c>
      <c r="N159" s="3" t="s">
        <v>332</v>
      </c>
      <c r="O159" s="3" t="s">
        <v>351</v>
      </c>
      <c r="P159" t="str">
        <f t="shared" si="2"/>
        <v>450013511980</v>
      </c>
      <c r="Q159" s="9" cm="1">
        <f t="array" ref="Q159:S159">VLOOKUP(P159,Hoja1!C:F,{2,3,4},FALSE)</f>
        <v>46263</v>
      </c>
      <c r="R159" t="str">
        <v>C27</v>
      </c>
      <c r="S159" t="str">
        <v>1000000295 BOLLINI S.A</v>
      </c>
      <c r="T159" t="str">
        <f>VLOOKUP(P159,Hoja2!C:D,2,FALSE)</f>
        <v>PRODRIGUEZ</v>
      </c>
    </row>
    <row r="160" spans="1:20" x14ac:dyDescent="0.3">
      <c r="A160" s="2" t="s">
        <v>15</v>
      </c>
      <c r="B160" s="3" t="s">
        <v>15</v>
      </c>
      <c r="C160" s="3" t="s">
        <v>354</v>
      </c>
      <c r="D160" s="3" t="s">
        <v>56</v>
      </c>
      <c r="E160" s="3" t="s">
        <v>197</v>
      </c>
      <c r="F160" s="4">
        <v>46262</v>
      </c>
      <c r="G160" s="3" t="s">
        <v>64</v>
      </c>
      <c r="H160" s="6">
        <v>-21130.13</v>
      </c>
      <c r="I160" s="3" t="s">
        <v>19</v>
      </c>
      <c r="J160" s="3" t="s">
        <v>15</v>
      </c>
      <c r="K160" s="3" t="s">
        <v>15</v>
      </c>
      <c r="L160" s="3" t="s">
        <v>356</v>
      </c>
      <c r="M160" s="4">
        <v>46262</v>
      </c>
      <c r="N160" s="3" t="s">
        <v>332</v>
      </c>
      <c r="O160" s="3" t="s">
        <v>158</v>
      </c>
      <c r="P160" t="str">
        <f t="shared" si="2"/>
        <v>450013511990</v>
      </c>
      <c r="Q160" s="9" cm="1">
        <f t="array" ref="Q160:S160">VLOOKUP(P160,Hoja1!C:F,{2,3,4},FALSE)</f>
        <v>46258</v>
      </c>
      <c r="R160" t="str">
        <v>C27</v>
      </c>
      <c r="S160" t="str">
        <v>1000000295 BOLLINI S.A</v>
      </c>
      <c r="T160" t="str">
        <f>VLOOKUP(P160,Hoja2!C:D,2,FALSE)</f>
        <v>PRODRIGUEZ</v>
      </c>
    </row>
    <row r="161" spans="1:20" x14ac:dyDescent="0.3">
      <c r="A161" s="2" t="s">
        <v>15</v>
      </c>
      <c r="B161" s="3" t="s">
        <v>15</v>
      </c>
      <c r="C161" s="3" t="s">
        <v>357</v>
      </c>
      <c r="D161" s="3" t="s">
        <v>15</v>
      </c>
      <c r="E161" s="3" t="s">
        <v>197</v>
      </c>
      <c r="F161" s="4">
        <v>46263</v>
      </c>
      <c r="G161" s="3" t="s">
        <v>64</v>
      </c>
      <c r="H161" s="6">
        <v>-15895</v>
      </c>
      <c r="I161" s="3" t="s">
        <v>19</v>
      </c>
      <c r="J161" s="3" t="s">
        <v>15</v>
      </c>
      <c r="K161" s="3" t="s">
        <v>15</v>
      </c>
      <c r="L161" s="3" t="s">
        <v>358</v>
      </c>
      <c r="M161" s="4">
        <v>46263</v>
      </c>
      <c r="N161" s="3" t="s">
        <v>359</v>
      </c>
      <c r="O161" s="3" t="s">
        <v>23</v>
      </c>
      <c r="P161" t="str">
        <f t="shared" si="2"/>
        <v>450013704610</v>
      </c>
      <c r="Q161" s="9" cm="1">
        <f t="array" ref="Q161:S161">VLOOKUP(P161,Hoja1!C:F,{2,3,4},FALSE)</f>
        <v>46281</v>
      </c>
      <c r="R161" t="str">
        <v>C01</v>
      </c>
      <c r="S161" t="str">
        <v>1000000295 BOLLINI S.A</v>
      </c>
      <c r="T161" t="str">
        <f>VLOOKUP(P161,Hoja2!C:D,2,FALSE)</f>
        <v>AZAPANA</v>
      </c>
    </row>
    <row r="162" spans="1:20" x14ac:dyDescent="0.3">
      <c r="A162" s="2" t="s">
        <v>15</v>
      </c>
      <c r="B162" s="3" t="s">
        <v>15</v>
      </c>
      <c r="C162" s="3" t="s">
        <v>357</v>
      </c>
      <c r="D162" s="3" t="s">
        <v>15</v>
      </c>
      <c r="E162" s="3" t="s">
        <v>197</v>
      </c>
      <c r="F162" s="4">
        <v>46263</v>
      </c>
      <c r="G162" s="3" t="s">
        <v>64</v>
      </c>
      <c r="H162" s="6">
        <v>-9265</v>
      </c>
      <c r="I162" s="3" t="s">
        <v>19</v>
      </c>
      <c r="J162" s="3" t="s">
        <v>15</v>
      </c>
      <c r="K162" s="3" t="s">
        <v>15</v>
      </c>
      <c r="L162" s="3" t="s">
        <v>360</v>
      </c>
      <c r="M162" s="4">
        <v>46263</v>
      </c>
      <c r="N162" s="3" t="s">
        <v>359</v>
      </c>
      <c r="O162" s="3" t="s">
        <v>62</v>
      </c>
      <c r="P162" t="str">
        <f t="shared" si="2"/>
        <v>450013704620</v>
      </c>
      <c r="Q162" s="9" cm="1">
        <f t="array" ref="Q162:S162">VLOOKUP(P162,Hoja1!C:F,{2,3,4},FALSE)</f>
        <v>46281</v>
      </c>
      <c r="R162" t="str">
        <v>C01</v>
      </c>
      <c r="S162" t="str">
        <v>1000000295 BOLLINI S.A</v>
      </c>
      <c r="T162" t="str">
        <f>VLOOKUP(P162,Hoja2!C:D,2,FALSE)</f>
        <v>AZAPANA</v>
      </c>
    </row>
    <row r="163" spans="1:20" x14ac:dyDescent="0.3">
      <c r="A163" s="2" t="s">
        <v>15</v>
      </c>
      <c r="B163" s="3" t="s">
        <v>15</v>
      </c>
      <c r="C163" s="3" t="s">
        <v>357</v>
      </c>
      <c r="D163" s="3" t="s">
        <v>15</v>
      </c>
      <c r="E163" s="3" t="s">
        <v>197</v>
      </c>
      <c r="F163" s="4">
        <v>46263</v>
      </c>
      <c r="G163" s="3" t="s">
        <v>64</v>
      </c>
      <c r="H163" s="6">
        <v>-9265</v>
      </c>
      <c r="I163" s="3" t="s">
        <v>19</v>
      </c>
      <c r="J163" s="3" t="s">
        <v>15</v>
      </c>
      <c r="K163" s="3" t="s">
        <v>15</v>
      </c>
      <c r="L163" s="3" t="s">
        <v>361</v>
      </c>
      <c r="M163" s="4">
        <v>46263</v>
      </c>
      <c r="N163" s="3" t="s">
        <v>359</v>
      </c>
      <c r="O163" s="3" t="s">
        <v>49</v>
      </c>
      <c r="P163" t="str">
        <f t="shared" si="2"/>
        <v>450013704630</v>
      </c>
      <c r="Q163" s="9" cm="1">
        <f t="array" ref="Q163:S163">VLOOKUP(P163,Hoja1!C:F,{2,3,4},FALSE)</f>
        <v>46281</v>
      </c>
      <c r="R163" t="str">
        <v>C01</v>
      </c>
      <c r="S163" t="str">
        <v>1000000295 BOLLINI S.A</v>
      </c>
      <c r="T163" t="str">
        <f>VLOOKUP(P163,Hoja2!C:D,2,FALSE)</f>
        <v>AZAPANA</v>
      </c>
    </row>
    <row r="164" spans="1:20" x14ac:dyDescent="0.3">
      <c r="A164" s="2" t="s">
        <v>15</v>
      </c>
      <c r="B164" s="3" t="s">
        <v>15</v>
      </c>
      <c r="C164" s="3" t="s">
        <v>357</v>
      </c>
      <c r="D164" s="3" t="s">
        <v>15</v>
      </c>
      <c r="E164" s="3" t="s">
        <v>197</v>
      </c>
      <c r="F164" s="4">
        <v>46263</v>
      </c>
      <c r="G164" s="3" t="s">
        <v>64</v>
      </c>
      <c r="H164" s="6">
        <v>-155295</v>
      </c>
      <c r="I164" s="3" t="s">
        <v>19</v>
      </c>
      <c r="J164" s="3" t="s">
        <v>15</v>
      </c>
      <c r="K164" s="3" t="s">
        <v>15</v>
      </c>
      <c r="L164" s="3" t="s">
        <v>362</v>
      </c>
      <c r="M164" s="4">
        <v>46263</v>
      </c>
      <c r="N164" s="3" t="s">
        <v>359</v>
      </c>
      <c r="O164" s="3" t="s">
        <v>38</v>
      </c>
      <c r="P164" t="str">
        <f t="shared" si="2"/>
        <v>450013704640</v>
      </c>
      <c r="Q164" s="9" cm="1">
        <f t="array" ref="Q164:S164">VLOOKUP(P164,Hoja1!C:F,{2,3,4},FALSE)</f>
        <v>46281</v>
      </c>
      <c r="R164" t="str">
        <v>C01</v>
      </c>
      <c r="S164" t="str">
        <v>1000000295 BOLLINI S.A</v>
      </c>
      <c r="T164" t="str">
        <f>VLOOKUP(P164,Hoja2!C:D,2,FALSE)</f>
        <v>AZAPANA</v>
      </c>
    </row>
    <row r="165" spans="1:20" x14ac:dyDescent="0.3">
      <c r="A165" s="2" t="s">
        <v>15</v>
      </c>
      <c r="B165" s="3" t="s">
        <v>15</v>
      </c>
      <c r="C165" s="3" t="s">
        <v>357</v>
      </c>
      <c r="D165" s="3" t="s">
        <v>56</v>
      </c>
      <c r="E165" s="3" t="s">
        <v>197</v>
      </c>
      <c r="F165" s="4">
        <v>46263</v>
      </c>
      <c r="G165" s="3" t="s">
        <v>64</v>
      </c>
      <c r="H165" s="6">
        <v>-79201.600000000006</v>
      </c>
      <c r="I165" s="3" t="s">
        <v>19</v>
      </c>
      <c r="J165" s="3" t="s">
        <v>15</v>
      </c>
      <c r="K165" s="3" t="s">
        <v>15</v>
      </c>
      <c r="L165" s="3" t="s">
        <v>363</v>
      </c>
      <c r="M165" s="4">
        <v>46263</v>
      </c>
      <c r="N165" s="3" t="s">
        <v>359</v>
      </c>
      <c r="O165" s="3" t="s">
        <v>95</v>
      </c>
      <c r="P165" t="str">
        <f t="shared" si="2"/>
        <v>450013704660</v>
      </c>
      <c r="Q165" s="9" cm="1">
        <f t="array" ref="Q165:S165">VLOOKUP(P165,Hoja1!C:F,{2,3,4},FALSE)</f>
        <v>46280</v>
      </c>
      <c r="R165" t="str">
        <v>C01</v>
      </c>
      <c r="S165" t="str">
        <v>1000000295 BOLLINI S.A</v>
      </c>
      <c r="T165" t="str">
        <f>VLOOKUP(P165,Hoja2!C:D,2,FALSE)</f>
        <v>AZAPANA</v>
      </c>
    </row>
    <row r="166" spans="1:20" x14ac:dyDescent="0.3">
      <c r="A166" s="2" t="s">
        <v>15</v>
      </c>
      <c r="B166" s="3" t="s">
        <v>15</v>
      </c>
      <c r="C166" s="3" t="s">
        <v>364</v>
      </c>
      <c r="D166" s="3" t="s">
        <v>15</v>
      </c>
      <c r="E166" s="3" t="s">
        <v>197</v>
      </c>
      <c r="F166" s="4">
        <v>46263</v>
      </c>
      <c r="G166" s="3" t="s">
        <v>64</v>
      </c>
      <c r="H166" s="6">
        <v>-70383</v>
      </c>
      <c r="I166" s="3" t="s">
        <v>19</v>
      </c>
      <c r="J166" s="3" t="s">
        <v>15</v>
      </c>
      <c r="K166" s="3" t="s">
        <v>15</v>
      </c>
      <c r="L166" s="3" t="s">
        <v>365</v>
      </c>
      <c r="M166" s="4">
        <v>46263</v>
      </c>
      <c r="N166" s="3" t="s">
        <v>366</v>
      </c>
      <c r="O166" s="3" t="s">
        <v>95</v>
      </c>
      <c r="P166" t="str">
        <f t="shared" si="2"/>
        <v>450013689660</v>
      </c>
      <c r="Q166" s="9" cm="1">
        <f t="array" ref="Q166:S166">VLOOKUP(P166,Hoja1!C:F,{2,3,4},FALSE)</f>
        <v>46281</v>
      </c>
      <c r="R166" t="str">
        <v>C01</v>
      </c>
      <c r="S166" t="str">
        <v>1000007451 FLORES CARLOS FELIPE Y OTROS S H</v>
      </c>
      <c r="T166" t="str">
        <f>VLOOKUP(P166,Hoja2!C:D,2,FALSE)</f>
        <v>AZAPANA</v>
      </c>
    </row>
    <row r="167" spans="1:20" x14ac:dyDescent="0.3">
      <c r="A167" s="2" t="s">
        <v>15</v>
      </c>
      <c r="B167" s="3" t="s">
        <v>15</v>
      </c>
      <c r="C167" s="3" t="s">
        <v>367</v>
      </c>
      <c r="D167" s="3" t="s">
        <v>56</v>
      </c>
      <c r="E167" s="3" t="s">
        <v>197</v>
      </c>
      <c r="F167" s="4">
        <v>46262</v>
      </c>
      <c r="G167" s="3" t="s">
        <v>64</v>
      </c>
      <c r="H167" s="6">
        <v>-91400</v>
      </c>
      <c r="I167" s="3" t="s">
        <v>19</v>
      </c>
      <c r="J167" s="3" t="s">
        <v>15</v>
      </c>
      <c r="K167" s="3" t="s">
        <v>15</v>
      </c>
      <c r="L167" s="3" t="s">
        <v>368</v>
      </c>
      <c r="M167" s="4">
        <v>46267</v>
      </c>
      <c r="N167" s="3" t="s">
        <v>369</v>
      </c>
      <c r="O167" s="3" t="s">
        <v>49</v>
      </c>
      <c r="P167" t="str">
        <f t="shared" si="2"/>
        <v>450013662530</v>
      </c>
      <c r="Q167" s="9" cm="1">
        <f t="array" ref="Q167:S167">VLOOKUP(P167,Hoja1!C:F,{2,3,4},FALSE)</f>
        <v>46269</v>
      </c>
      <c r="R167" t="str">
        <v>C28</v>
      </c>
      <c r="S167" t="str">
        <v>1000012043 PROAR IMAGEN PROMOCIONAL SRL</v>
      </c>
      <c r="T167" t="str">
        <f>VLOOKUP(P167,Hoja2!C:D,2,FALSE)</f>
        <v>GJULIANI</v>
      </c>
    </row>
    <row r="168" spans="1:20" x14ac:dyDescent="0.3">
      <c r="A168" s="2" t="s">
        <v>15</v>
      </c>
      <c r="B168" s="3" t="s">
        <v>15</v>
      </c>
      <c r="C168" s="3" t="s">
        <v>367</v>
      </c>
      <c r="D168" s="3" t="s">
        <v>56</v>
      </c>
      <c r="E168" s="3" t="s">
        <v>197</v>
      </c>
      <c r="F168" s="4">
        <v>46262</v>
      </c>
      <c r="G168" s="3" t="s">
        <v>64</v>
      </c>
      <c r="H168" s="6">
        <v>-87360</v>
      </c>
      <c r="I168" s="3" t="s">
        <v>19</v>
      </c>
      <c r="J168" s="3" t="s">
        <v>15</v>
      </c>
      <c r="K168" s="3" t="s">
        <v>15</v>
      </c>
      <c r="L168" s="3" t="s">
        <v>370</v>
      </c>
      <c r="M168" s="4">
        <v>46267</v>
      </c>
      <c r="N168" s="3" t="s">
        <v>369</v>
      </c>
      <c r="O168" s="3" t="s">
        <v>38</v>
      </c>
      <c r="P168" t="str">
        <f t="shared" si="2"/>
        <v>450013662540</v>
      </c>
      <c r="Q168" s="9" cm="1">
        <f t="array" ref="Q168:S168">VLOOKUP(P168,Hoja1!C:F,{2,3,4},FALSE)</f>
        <v>46269</v>
      </c>
      <c r="R168" t="str">
        <v>C28</v>
      </c>
      <c r="S168" t="str">
        <v>1000012043 PROAR IMAGEN PROMOCIONAL SRL</v>
      </c>
      <c r="T168" t="str">
        <f>VLOOKUP(P168,Hoja2!C:D,2,FALSE)</f>
        <v>GJULIANI</v>
      </c>
    </row>
    <row r="169" spans="1:20" x14ac:dyDescent="0.3">
      <c r="A169" s="2" t="s">
        <v>15</v>
      </c>
      <c r="B169" s="3" t="s">
        <v>15</v>
      </c>
      <c r="C169" s="3" t="s">
        <v>371</v>
      </c>
      <c r="D169" s="3" t="s">
        <v>56</v>
      </c>
      <c r="E169" s="3" t="s">
        <v>197</v>
      </c>
      <c r="F169" s="4">
        <v>46269</v>
      </c>
      <c r="G169" s="3" t="s">
        <v>64</v>
      </c>
      <c r="H169" s="6">
        <v>-936000</v>
      </c>
      <c r="I169" s="3" t="s">
        <v>19</v>
      </c>
      <c r="J169" s="3" t="s">
        <v>15</v>
      </c>
      <c r="K169" s="3" t="s">
        <v>15</v>
      </c>
      <c r="L169" s="3" t="s">
        <v>372</v>
      </c>
      <c r="M169" s="4">
        <v>46269</v>
      </c>
      <c r="N169" s="3" t="s">
        <v>212</v>
      </c>
      <c r="O169" s="3" t="s">
        <v>23</v>
      </c>
      <c r="P169" t="str">
        <f t="shared" si="2"/>
        <v>450010970910</v>
      </c>
      <c r="Q169" s="9" cm="1">
        <f t="array" ref="Q169:S169">VLOOKUP(P169,Hoja1!C:F,{2,3,4},FALSE)</f>
        <v>46308</v>
      </c>
      <c r="R169" t="str">
        <v>C25</v>
      </c>
      <c r="S169" t="str">
        <v>1000007510 LABTEC S. R. L.</v>
      </c>
      <c r="T169" t="str">
        <f>VLOOKUP(P169,Hoja2!C:D,2,FALSE)</f>
        <v>MPITTIA</v>
      </c>
    </row>
    <row r="170" spans="1:20" x14ac:dyDescent="0.3">
      <c r="A170" s="2" t="s">
        <v>15</v>
      </c>
      <c r="B170" s="3" t="s">
        <v>15</v>
      </c>
      <c r="C170" s="3" t="s">
        <v>373</v>
      </c>
      <c r="D170" s="3" t="s">
        <v>56</v>
      </c>
      <c r="E170" s="3" t="s">
        <v>197</v>
      </c>
      <c r="F170" s="4">
        <v>46270</v>
      </c>
      <c r="G170" s="3" t="s">
        <v>64</v>
      </c>
      <c r="H170" s="6">
        <v>-29284.799999999999</v>
      </c>
      <c r="I170" s="3" t="s">
        <v>19</v>
      </c>
      <c r="J170" s="3" t="s">
        <v>15</v>
      </c>
      <c r="K170" s="3" t="s">
        <v>15</v>
      </c>
      <c r="L170" s="3" t="s">
        <v>374</v>
      </c>
      <c r="M170" s="4">
        <v>46270</v>
      </c>
      <c r="N170" s="3" t="s">
        <v>339</v>
      </c>
      <c r="O170" s="3" t="s">
        <v>49</v>
      </c>
      <c r="P170" t="str">
        <f t="shared" si="2"/>
        <v>450013642630</v>
      </c>
      <c r="Q170" s="9" cm="1">
        <f t="array" ref="Q170:S170">VLOOKUP(P170,Hoja1!C:F,{2,3,4},FALSE)</f>
        <v>46276</v>
      </c>
      <c r="R170" t="str">
        <v>C01</v>
      </c>
      <c r="S170" t="str">
        <v>1000007766 HERSAPEL SOCIEDAD DE RESPONSABILIDA</v>
      </c>
      <c r="T170" t="str">
        <f>VLOOKUP(P170,Hoja2!C:D,2,FALSE)</f>
        <v>AZAPANA</v>
      </c>
    </row>
    <row r="171" spans="1:20" x14ac:dyDescent="0.3">
      <c r="A171" s="2" t="s">
        <v>15</v>
      </c>
      <c r="B171" s="3" t="s">
        <v>15</v>
      </c>
      <c r="C171" s="3" t="s">
        <v>375</v>
      </c>
      <c r="D171" s="3" t="s">
        <v>56</v>
      </c>
      <c r="E171" s="3" t="s">
        <v>197</v>
      </c>
      <c r="F171" s="4">
        <v>46270</v>
      </c>
      <c r="G171" s="3" t="s">
        <v>64</v>
      </c>
      <c r="H171" s="6">
        <v>-123838.44</v>
      </c>
      <c r="I171" s="3" t="s">
        <v>19</v>
      </c>
      <c r="J171" s="3" t="s">
        <v>15</v>
      </c>
      <c r="K171" s="3" t="s">
        <v>15</v>
      </c>
      <c r="L171" s="3" t="s">
        <v>376</v>
      </c>
      <c r="M171" s="4">
        <v>46270</v>
      </c>
      <c r="N171" s="3" t="s">
        <v>187</v>
      </c>
      <c r="O171" s="3" t="s">
        <v>23</v>
      </c>
      <c r="P171" t="str">
        <f t="shared" si="2"/>
        <v>450013735310</v>
      </c>
      <c r="Q171" s="9" cm="1">
        <f t="array" ref="Q171:S171">VLOOKUP(P171,Hoja1!C:F,{2,3,4},FALSE)</f>
        <v>46269</v>
      </c>
      <c r="R171" t="str">
        <v>C27</v>
      </c>
      <c r="S171" t="str">
        <v>1000000189 POBERAJ S.A.</v>
      </c>
      <c r="T171" t="str">
        <f>VLOOKUP(P171,Hoja2!C:D,2,FALSE)</f>
        <v>PRODRIGUEZ</v>
      </c>
    </row>
    <row r="172" spans="1:20" x14ac:dyDescent="0.3">
      <c r="A172" s="2" t="s">
        <v>15</v>
      </c>
      <c r="B172" s="3" t="s">
        <v>15</v>
      </c>
      <c r="C172" s="3" t="s">
        <v>377</v>
      </c>
      <c r="D172" s="3" t="s">
        <v>56</v>
      </c>
      <c r="E172" s="3" t="s">
        <v>197</v>
      </c>
      <c r="F172" s="4">
        <v>46272</v>
      </c>
      <c r="G172" s="3" t="s">
        <v>64</v>
      </c>
      <c r="H172" s="6">
        <v>-32625.95</v>
      </c>
      <c r="I172" s="3" t="s">
        <v>19</v>
      </c>
      <c r="J172" s="3" t="s">
        <v>15</v>
      </c>
      <c r="K172" s="3" t="s">
        <v>15</v>
      </c>
      <c r="L172" s="3" t="s">
        <v>378</v>
      </c>
      <c r="M172" s="4">
        <v>46272</v>
      </c>
      <c r="N172" s="3" t="s">
        <v>111</v>
      </c>
      <c r="O172" s="3" t="s">
        <v>23</v>
      </c>
      <c r="P172" t="str">
        <f t="shared" si="2"/>
        <v>450013635310</v>
      </c>
      <c r="Q172" s="9" cm="1">
        <f t="array" ref="Q172:S172">VLOOKUP(P172,Hoja1!C:F,{2,3,4},FALSE)</f>
        <v>46289</v>
      </c>
      <c r="R172" t="str">
        <v>C43</v>
      </c>
      <c r="S172" t="str">
        <v>1000001550 OLIVARES ANTONIO ALBERTO</v>
      </c>
      <c r="T172" t="str">
        <f>VLOOKUP(P172,Hoja2!C:D,2,FALSE)</f>
        <v>EFUNES</v>
      </c>
    </row>
    <row r="173" spans="1:20" x14ac:dyDescent="0.3">
      <c r="A173" s="2" t="s">
        <v>15</v>
      </c>
      <c r="B173" s="3" t="s">
        <v>15</v>
      </c>
      <c r="C173" s="3" t="s">
        <v>379</v>
      </c>
      <c r="D173" s="3" t="s">
        <v>15</v>
      </c>
      <c r="E173" s="3" t="s">
        <v>197</v>
      </c>
      <c r="F173" s="4">
        <v>46272</v>
      </c>
      <c r="G173" s="3" t="s">
        <v>64</v>
      </c>
      <c r="H173" s="6">
        <v>-104688.71</v>
      </c>
      <c r="I173" s="3" t="s">
        <v>19</v>
      </c>
      <c r="J173" s="3" t="s">
        <v>15</v>
      </c>
      <c r="K173" s="3" t="s">
        <v>15</v>
      </c>
      <c r="L173" s="3" t="s">
        <v>380</v>
      </c>
      <c r="M173" s="4">
        <v>46272</v>
      </c>
      <c r="N173" s="3" t="s">
        <v>381</v>
      </c>
      <c r="O173" s="3" t="s">
        <v>23</v>
      </c>
      <c r="P173" t="str">
        <f t="shared" si="2"/>
        <v>450013654210</v>
      </c>
      <c r="Q173" s="9" cm="1">
        <f t="array" ref="Q173:S173">VLOOKUP(P173,Hoja1!C:F,{2,3,4},FALSE)</f>
        <v>46275</v>
      </c>
      <c r="R173" t="str">
        <v>C03</v>
      </c>
      <c r="S173" t="str">
        <v>1000001123 HAULOTTE ARGENTINA S.A.</v>
      </c>
      <c r="T173" t="str">
        <f>VLOOKUP(P173,Hoja2!C:D,2,FALSE)</f>
        <v>EFUNES</v>
      </c>
    </row>
    <row r="174" spans="1:20" x14ac:dyDescent="0.3">
      <c r="A174" s="2" t="s">
        <v>15</v>
      </c>
      <c r="B174" s="3" t="s">
        <v>15</v>
      </c>
      <c r="C174" s="3" t="s">
        <v>379</v>
      </c>
      <c r="D174" s="3" t="s">
        <v>15</v>
      </c>
      <c r="E174" s="3" t="s">
        <v>197</v>
      </c>
      <c r="F174" s="4">
        <v>46272</v>
      </c>
      <c r="G174" s="3" t="s">
        <v>64</v>
      </c>
      <c r="H174" s="6">
        <v>-282146.81</v>
      </c>
      <c r="I174" s="3" t="s">
        <v>19</v>
      </c>
      <c r="J174" s="3" t="s">
        <v>15</v>
      </c>
      <c r="K174" s="3" t="s">
        <v>15</v>
      </c>
      <c r="L174" s="3" t="s">
        <v>382</v>
      </c>
      <c r="M174" s="4">
        <v>46272</v>
      </c>
      <c r="N174" s="3" t="s">
        <v>381</v>
      </c>
      <c r="O174" s="3" t="s">
        <v>62</v>
      </c>
      <c r="P174" t="str">
        <f t="shared" si="2"/>
        <v>450013654220</v>
      </c>
      <c r="Q174" s="9" cm="1">
        <f t="array" ref="Q174:S174">VLOOKUP(P174,Hoja1!C:F,{2,3,4},FALSE)</f>
        <v>46275</v>
      </c>
      <c r="R174" t="str">
        <v>C03</v>
      </c>
      <c r="S174" t="str">
        <v>1000001123 HAULOTTE ARGENTINA S.A.</v>
      </c>
      <c r="T174" t="str">
        <f>VLOOKUP(P174,Hoja2!C:D,2,FALSE)</f>
        <v>EFUNES</v>
      </c>
    </row>
    <row r="175" spans="1:20" x14ac:dyDescent="0.3">
      <c r="A175" s="2" t="s">
        <v>15</v>
      </c>
      <c r="B175" s="3" t="s">
        <v>15</v>
      </c>
      <c r="C175" s="3" t="s">
        <v>379</v>
      </c>
      <c r="D175" s="3" t="s">
        <v>15</v>
      </c>
      <c r="E175" s="3" t="s">
        <v>197</v>
      </c>
      <c r="F175" s="4">
        <v>46272</v>
      </c>
      <c r="G175" s="3" t="s">
        <v>64</v>
      </c>
      <c r="H175" s="6">
        <v>-310668.21000000002</v>
      </c>
      <c r="I175" s="3" t="s">
        <v>19</v>
      </c>
      <c r="J175" s="3" t="s">
        <v>15</v>
      </c>
      <c r="K175" s="3" t="s">
        <v>15</v>
      </c>
      <c r="L175" s="3" t="s">
        <v>383</v>
      </c>
      <c r="M175" s="4">
        <v>46272</v>
      </c>
      <c r="N175" s="3" t="s">
        <v>381</v>
      </c>
      <c r="O175" s="3" t="s">
        <v>49</v>
      </c>
      <c r="P175" t="str">
        <f t="shared" si="2"/>
        <v>450013654230</v>
      </c>
      <c r="Q175" s="9" cm="1">
        <f t="array" ref="Q175:S175">VLOOKUP(P175,Hoja1!C:F,{2,3,4},FALSE)</f>
        <v>46275</v>
      </c>
      <c r="R175" t="str">
        <v>C03</v>
      </c>
      <c r="S175" t="str">
        <v>1000001123 HAULOTTE ARGENTINA S.A.</v>
      </c>
      <c r="T175" t="str">
        <f>VLOOKUP(P175,Hoja2!C:D,2,FALSE)</f>
        <v>EFUNES</v>
      </c>
    </row>
    <row r="176" spans="1:20" x14ac:dyDescent="0.3">
      <c r="A176" s="2" t="s">
        <v>15</v>
      </c>
      <c r="B176" s="3" t="s">
        <v>15</v>
      </c>
      <c r="C176" s="3" t="s">
        <v>379</v>
      </c>
      <c r="D176" s="3" t="s">
        <v>15</v>
      </c>
      <c r="E176" s="3" t="s">
        <v>197</v>
      </c>
      <c r="F176" s="4">
        <v>46272</v>
      </c>
      <c r="G176" s="3" t="s">
        <v>64</v>
      </c>
      <c r="H176" s="6">
        <v>-970794.92</v>
      </c>
      <c r="I176" s="3" t="s">
        <v>19</v>
      </c>
      <c r="J176" s="3" t="s">
        <v>15</v>
      </c>
      <c r="K176" s="3" t="s">
        <v>15</v>
      </c>
      <c r="L176" s="3" t="s">
        <v>384</v>
      </c>
      <c r="M176" s="4">
        <v>46272</v>
      </c>
      <c r="N176" s="3" t="s">
        <v>381</v>
      </c>
      <c r="O176" s="3" t="s">
        <v>38</v>
      </c>
      <c r="P176" t="str">
        <f t="shared" si="2"/>
        <v>450013654240</v>
      </c>
      <c r="Q176" s="9" cm="1">
        <f t="array" ref="Q176:S176">VLOOKUP(P176,Hoja1!C:F,{2,3,4},FALSE)</f>
        <v>46275</v>
      </c>
      <c r="R176" t="str">
        <v>C03</v>
      </c>
      <c r="S176" t="str">
        <v>1000001123 HAULOTTE ARGENTINA S.A.</v>
      </c>
      <c r="T176" t="str">
        <f>VLOOKUP(P176,Hoja2!C:D,2,FALSE)</f>
        <v>EFUNES</v>
      </c>
    </row>
    <row r="177" spans="1:20" x14ac:dyDescent="0.3">
      <c r="A177" s="2" t="s">
        <v>15</v>
      </c>
      <c r="B177" s="3" t="s">
        <v>15</v>
      </c>
      <c r="C177" s="3" t="s">
        <v>385</v>
      </c>
      <c r="D177" s="3" t="s">
        <v>15</v>
      </c>
      <c r="E177" s="3" t="s">
        <v>197</v>
      </c>
      <c r="F177" s="4">
        <v>46272</v>
      </c>
      <c r="G177" s="3" t="s">
        <v>64</v>
      </c>
      <c r="H177" s="6">
        <v>-101335.9</v>
      </c>
      <c r="I177" s="3" t="s">
        <v>19</v>
      </c>
      <c r="J177" s="3" t="s">
        <v>15</v>
      </c>
      <c r="K177" s="3" t="s">
        <v>15</v>
      </c>
      <c r="L177" s="3" t="s">
        <v>386</v>
      </c>
      <c r="M177" s="4">
        <v>46272</v>
      </c>
      <c r="N177" s="3" t="s">
        <v>387</v>
      </c>
      <c r="O177" s="3" t="s">
        <v>23</v>
      </c>
      <c r="P177" t="str">
        <f t="shared" si="2"/>
        <v>450013549510</v>
      </c>
      <c r="Q177" s="9" cm="1">
        <f t="array" ref="Q177:S177">VLOOKUP(P177,Hoja1!C:F,{2,3,4},FALSE)</f>
        <v>46287</v>
      </c>
      <c r="R177" t="str">
        <v>F05</v>
      </c>
      <c r="S177" t="str">
        <v>1000009607 ELEVA MUNDO S.R.L.</v>
      </c>
      <c r="T177" t="str">
        <f>VLOOKUP(P177,Hoja2!C:D,2,FALSE)</f>
        <v>RPEREZ</v>
      </c>
    </row>
    <row r="178" spans="1:20" x14ac:dyDescent="0.3">
      <c r="A178" s="2" t="s">
        <v>15</v>
      </c>
      <c r="B178" s="3" t="s">
        <v>15</v>
      </c>
      <c r="C178" s="3" t="s">
        <v>388</v>
      </c>
      <c r="D178" s="3" t="s">
        <v>56</v>
      </c>
      <c r="E178" s="3" t="s">
        <v>197</v>
      </c>
      <c r="F178" s="4">
        <v>46273</v>
      </c>
      <c r="G178" s="3" t="s">
        <v>64</v>
      </c>
      <c r="H178" s="6">
        <v>-1314579.8400000001</v>
      </c>
      <c r="I178" s="3" t="s">
        <v>19</v>
      </c>
      <c r="J178" s="3" t="s">
        <v>15</v>
      </c>
      <c r="K178" s="3" t="s">
        <v>15</v>
      </c>
      <c r="L178" s="3" t="s">
        <v>389</v>
      </c>
      <c r="M178" s="4">
        <v>46273</v>
      </c>
      <c r="N178" s="3" t="s">
        <v>79</v>
      </c>
      <c r="O178" s="3" t="s">
        <v>23</v>
      </c>
      <c r="P178" t="str">
        <f t="shared" si="2"/>
        <v>450013722710</v>
      </c>
      <c r="Q178" s="9" cm="1">
        <f t="array" ref="Q178:S178">VLOOKUP(P178,Hoja1!C:F,{2,3,4},FALSE)</f>
        <v>46325</v>
      </c>
      <c r="R178" t="str">
        <v>C25</v>
      </c>
      <c r="S178" t="str">
        <v>1000012097 TRANSPORTE TMS S. A. S.</v>
      </c>
      <c r="T178" t="str">
        <f>VLOOKUP(P178,Hoja2!C:D,2,FALSE)</f>
        <v>MPITTIA</v>
      </c>
    </row>
    <row r="179" spans="1:20" x14ac:dyDescent="0.3">
      <c r="A179" s="2" t="s">
        <v>15</v>
      </c>
      <c r="B179" s="3" t="s">
        <v>15</v>
      </c>
      <c r="C179" s="3" t="s">
        <v>390</v>
      </c>
      <c r="D179" s="3" t="s">
        <v>56</v>
      </c>
      <c r="E179" s="3" t="s">
        <v>197</v>
      </c>
      <c r="F179" s="4">
        <v>46273</v>
      </c>
      <c r="G179" s="3" t="s">
        <v>64</v>
      </c>
      <c r="H179" s="6">
        <v>-391820</v>
      </c>
      <c r="I179" s="3" t="s">
        <v>19</v>
      </c>
      <c r="J179" s="3" t="s">
        <v>15</v>
      </c>
      <c r="K179" s="3" t="s">
        <v>15</v>
      </c>
      <c r="L179" s="3" t="s">
        <v>391</v>
      </c>
      <c r="M179" s="4">
        <v>46273</v>
      </c>
      <c r="N179" s="3" t="s">
        <v>392</v>
      </c>
      <c r="O179" s="3" t="s">
        <v>62</v>
      </c>
      <c r="P179" t="str">
        <f t="shared" si="2"/>
        <v>450013788820</v>
      </c>
      <c r="Q179" s="9" cm="1">
        <f t="array" ref="Q179:S179">VLOOKUP(P179,Hoja1!C:F,{2,3,4},FALSE)</f>
        <v>46283</v>
      </c>
      <c r="R179" t="str">
        <v>C01</v>
      </c>
      <c r="S179" t="str">
        <v>1000011519 SALLAGO FEDERICO MIGUEL</v>
      </c>
      <c r="T179" t="str">
        <f>VLOOKUP(P179,Hoja2!C:D,2,FALSE)</f>
        <v>AZAPANA</v>
      </c>
    </row>
    <row r="180" spans="1:20" x14ac:dyDescent="0.3">
      <c r="A180" s="2" t="s">
        <v>15</v>
      </c>
      <c r="B180" s="3" t="s">
        <v>15</v>
      </c>
      <c r="C180" s="3" t="s">
        <v>393</v>
      </c>
      <c r="D180" s="3" t="s">
        <v>56</v>
      </c>
      <c r="E180" s="3" t="s">
        <v>197</v>
      </c>
      <c r="F180" s="4">
        <v>46273</v>
      </c>
      <c r="G180" s="3" t="s">
        <v>64</v>
      </c>
      <c r="H180" s="6">
        <v>-1180609.92</v>
      </c>
      <c r="I180" s="3" t="s">
        <v>19</v>
      </c>
      <c r="J180" s="3" t="s">
        <v>15</v>
      </c>
      <c r="K180" s="3" t="s">
        <v>15</v>
      </c>
      <c r="L180" s="3" t="s">
        <v>394</v>
      </c>
      <c r="M180" s="4">
        <v>46273</v>
      </c>
      <c r="N180" s="3" t="s">
        <v>79</v>
      </c>
      <c r="O180" s="3" t="s">
        <v>23</v>
      </c>
      <c r="P180" t="str">
        <f t="shared" si="2"/>
        <v>450013722710</v>
      </c>
      <c r="Q180" s="9" cm="1">
        <f t="array" ref="Q180:S180">VLOOKUP(P180,Hoja1!C:F,{2,3,4},FALSE)</f>
        <v>46325</v>
      </c>
      <c r="R180" t="str">
        <v>C25</v>
      </c>
      <c r="S180" t="str">
        <v>1000012097 TRANSPORTE TMS S. A. S.</v>
      </c>
      <c r="T180" t="str">
        <f>VLOOKUP(P180,Hoja2!C:D,2,FALSE)</f>
        <v>MPITTIA</v>
      </c>
    </row>
    <row r="181" spans="1:20" x14ac:dyDescent="0.3">
      <c r="A181" s="2" t="s">
        <v>15</v>
      </c>
      <c r="B181" s="3" t="s">
        <v>15</v>
      </c>
      <c r="C181" s="3" t="s">
        <v>395</v>
      </c>
      <c r="D181" s="3" t="s">
        <v>56</v>
      </c>
      <c r="E181" s="3" t="s">
        <v>197</v>
      </c>
      <c r="F181" s="4">
        <v>46274</v>
      </c>
      <c r="G181" s="3" t="s">
        <v>64</v>
      </c>
      <c r="H181" s="6">
        <v>-72360</v>
      </c>
      <c r="I181" s="3" t="s">
        <v>19</v>
      </c>
      <c r="J181" s="3" t="s">
        <v>15</v>
      </c>
      <c r="K181" s="3" t="s">
        <v>15</v>
      </c>
      <c r="L181" s="3" t="s">
        <v>396</v>
      </c>
      <c r="M181" s="4">
        <v>46274</v>
      </c>
      <c r="N181" s="3" t="s">
        <v>134</v>
      </c>
      <c r="O181" s="3" t="s">
        <v>23</v>
      </c>
      <c r="P181" t="str">
        <f t="shared" si="2"/>
        <v>450013814710</v>
      </c>
      <c r="Q181" s="9" cm="1">
        <f t="array" ref="Q181:S181">VLOOKUP(P181,Hoja1!C:F,{2,3,4},FALSE)</f>
        <v>46283</v>
      </c>
      <c r="R181" t="str">
        <v>C01</v>
      </c>
      <c r="S181" t="str">
        <v>1000011519 SALLAGO FEDERICO MIGUEL</v>
      </c>
      <c r="T181" t="str">
        <f>VLOOKUP(P181,Hoja2!C:D,2,FALSE)</f>
        <v>AZAPANA</v>
      </c>
    </row>
    <row r="182" spans="1:20" x14ac:dyDescent="0.3">
      <c r="A182" s="2" t="s">
        <v>15</v>
      </c>
      <c r="B182" s="3" t="s">
        <v>15</v>
      </c>
      <c r="C182" s="3" t="s">
        <v>397</v>
      </c>
      <c r="D182" s="3" t="s">
        <v>15</v>
      </c>
      <c r="E182" s="3" t="s">
        <v>197</v>
      </c>
      <c r="F182" s="4">
        <v>46275</v>
      </c>
      <c r="G182" s="3" t="s">
        <v>64</v>
      </c>
      <c r="H182" s="6">
        <v>-8405.1299999999992</v>
      </c>
      <c r="I182" s="3" t="s">
        <v>19</v>
      </c>
      <c r="J182" s="3" t="s">
        <v>15</v>
      </c>
      <c r="K182" s="3" t="s">
        <v>15</v>
      </c>
      <c r="L182" s="3" t="s">
        <v>398</v>
      </c>
      <c r="M182" s="4">
        <v>46275</v>
      </c>
      <c r="N182" s="3" t="s">
        <v>399</v>
      </c>
      <c r="O182" s="3" t="s">
        <v>49</v>
      </c>
      <c r="P182" t="str">
        <f t="shared" si="2"/>
        <v>450013788630</v>
      </c>
      <c r="Q182" s="9" cm="1">
        <f t="array" ref="Q182:S182">VLOOKUP(P182,Hoja1!C:F,{2,3,4},FALSE)</f>
        <v>46283</v>
      </c>
      <c r="R182" t="str">
        <v>C01</v>
      </c>
      <c r="S182" t="str">
        <v>1000007451 FLORES CARLOS FELIPE Y OTROS S H</v>
      </c>
      <c r="T182" t="str">
        <f>VLOOKUP(P182,Hoja2!C:D,2,FALSE)</f>
        <v>AZAPANA</v>
      </c>
    </row>
    <row r="183" spans="1:20" x14ac:dyDescent="0.3">
      <c r="A183" s="2" t="s">
        <v>15</v>
      </c>
      <c r="B183" s="3" t="s">
        <v>15</v>
      </c>
      <c r="C183" s="3" t="s">
        <v>397</v>
      </c>
      <c r="D183" s="3" t="s">
        <v>15</v>
      </c>
      <c r="E183" s="3" t="s">
        <v>197</v>
      </c>
      <c r="F183" s="4">
        <v>46275</v>
      </c>
      <c r="G183" s="3" t="s">
        <v>64</v>
      </c>
      <c r="H183" s="6">
        <v>-154521.60000000001</v>
      </c>
      <c r="I183" s="3" t="s">
        <v>19</v>
      </c>
      <c r="J183" s="3" t="s">
        <v>15</v>
      </c>
      <c r="K183" s="3" t="s">
        <v>15</v>
      </c>
      <c r="L183" s="3" t="s">
        <v>400</v>
      </c>
      <c r="M183" s="4">
        <v>46275</v>
      </c>
      <c r="N183" s="3" t="s">
        <v>399</v>
      </c>
      <c r="O183" s="3" t="s">
        <v>38</v>
      </c>
      <c r="P183" t="str">
        <f t="shared" si="2"/>
        <v>450013788640</v>
      </c>
      <c r="Q183" s="9" cm="1">
        <f t="array" ref="Q183:S183">VLOOKUP(P183,Hoja1!C:F,{2,3,4},FALSE)</f>
        <v>46299</v>
      </c>
      <c r="R183" t="str">
        <v>C01</v>
      </c>
      <c r="S183" t="str">
        <v>1000007451 FLORES CARLOS FELIPE Y OTROS S H</v>
      </c>
      <c r="T183" t="str">
        <f>VLOOKUP(P183,Hoja2!C:D,2,FALSE)</f>
        <v>AZAPANA</v>
      </c>
    </row>
    <row r="184" spans="1:20" x14ac:dyDescent="0.3">
      <c r="A184" s="2" t="s">
        <v>15</v>
      </c>
      <c r="B184" s="3" t="s">
        <v>15</v>
      </c>
      <c r="C184" s="3" t="s">
        <v>397</v>
      </c>
      <c r="D184" s="3" t="s">
        <v>15</v>
      </c>
      <c r="E184" s="3" t="s">
        <v>197</v>
      </c>
      <c r="F184" s="4">
        <v>46275</v>
      </c>
      <c r="G184" s="3" t="s">
        <v>64</v>
      </c>
      <c r="H184" s="6">
        <v>-139884.29999999999</v>
      </c>
      <c r="I184" s="3" t="s">
        <v>19</v>
      </c>
      <c r="J184" s="3" t="s">
        <v>15</v>
      </c>
      <c r="K184" s="3" t="s">
        <v>15</v>
      </c>
      <c r="L184" s="3" t="s">
        <v>401</v>
      </c>
      <c r="M184" s="4">
        <v>46275</v>
      </c>
      <c r="N184" s="3" t="s">
        <v>399</v>
      </c>
      <c r="O184" s="3" t="s">
        <v>47</v>
      </c>
      <c r="P184" t="str">
        <f t="shared" si="2"/>
        <v>450013788650</v>
      </c>
      <c r="Q184" s="9" cm="1">
        <f t="array" ref="Q184:S184">VLOOKUP(P184,Hoja1!C:F,{2,3,4},FALSE)</f>
        <v>46283</v>
      </c>
      <c r="R184" t="str">
        <v>C01</v>
      </c>
      <c r="S184" t="str">
        <v>1000007451 FLORES CARLOS FELIPE Y OTROS S H</v>
      </c>
      <c r="T184" t="str">
        <f>VLOOKUP(P184,Hoja2!C:D,2,FALSE)</f>
        <v>AZAPANA</v>
      </c>
    </row>
    <row r="185" spans="1:20" x14ac:dyDescent="0.3">
      <c r="A185" s="2" t="s">
        <v>15</v>
      </c>
      <c r="B185" s="3" t="s">
        <v>15</v>
      </c>
      <c r="C185" s="3" t="s">
        <v>397</v>
      </c>
      <c r="D185" s="3" t="s">
        <v>15</v>
      </c>
      <c r="E185" s="3" t="s">
        <v>197</v>
      </c>
      <c r="F185" s="4">
        <v>46275</v>
      </c>
      <c r="G185" s="3" t="s">
        <v>64</v>
      </c>
      <c r="H185" s="6">
        <v>-198886.2</v>
      </c>
      <c r="I185" s="3" t="s">
        <v>19</v>
      </c>
      <c r="J185" s="3" t="s">
        <v>15</v>
      </c>
      <c r="K185" s="3" t="s">
        <v>15</v>
      </c>
      <c r="L185" s="3" t="s">
        <v>402</v>
      </c>
      <c r="M185" s="4">
        <v>46275</v>
      </c>
      <c r="N185" s="3" t="s">
        <v>399</v>
      </c>
      <c r="O185" s="3" t="s">
        <v>95</v>
      </c>
      <c r="P185" t="str">
        <f t="shared" si="2"/>
        <v>450013788660</v>
      </c>
      <c r="Q185" s="9" cm="1">
        <f t="array" ref="Q185:S185">VLOOKUP(P185,Hoja1!C:F,{2,3,4},FALSE)</f>
        <v>46283</v>
      </c>
      <c r="R185" t="str">
        <v>C01</v>
      </c>
      <c r="S185" t="str">
        <v>1000007451 FLORES CARLOS FELIPE Y OTROS S H</v>
      </c>
      <c r="T185" t="str">
        <f>VLOOKUP(P185,Hoja2!C:D,2,FALSE)</f>
        <v>AZAPANA</v>
      </c>
    </row>
    <row r="186" spans="1:20" x14ac:dyDescent="0.3">
      <c r="A186" s="2" t="s">
        <v>15</v>
      </c>
      <c r="B186" s="3" t="s">
        <v>15</v>
      </c>
      <c r="C186" s="3" t="s">
        <v>403</v>
      </c>
      <c r="D186" s="3" t="s">
        <v>15</v>
      </c>
      <c r="E186" s="3" t="s">
        <v>197</v>
      </c>
      <c r="F186" s="4">
        <v>46275</v>
      </c>
      <c r="G186" s="3" t="s">
        <v>64</v>
      </c>
      <c r="H186" s="6">
        <v>-6939.66</v>
      </c>
      <c r="I186" s="3" t="s">
        <v>19</v>
      </c>
      <c r="J186" s="3" t="s">
        <v>15</v>
      </c>
      <c r="K186" s="3" t="s">
        <v>15</v>
      </c>
      <c r="L186" s="3" t="s">
        <v>404</v>
      </c>
      <c r="M186" s="4">
        <v>46275</v>
      </c>
      <c r="N186" s="3" t="s">
        <v>118</v>
      </c>
      <c r="O186" s="3" t="s">
        <v>23</v>
      </c>
      <c r="P186" t="str">
        <f t="shared" si="2"/>
        <v>450013779910</v>
      </c>
      <c r="Q186" s="9" cm="1">
        <f t="array" ref="Q186:S186">VLOOKUP(P186,Hoja1!C:F,{2,3,4},FALSE)</f>
        <v>46286</v>
      </c>
      <c r="R186" t="str">
        <v>C17</v>
      </c>
      <c r="S186" t="str">
        <v>1000012333 GO CLEAN S.A.S.</v>
      </c>
      <c r="T186" t="str">
        <f>VLOOKUP(P186,Hoja2!C:D,2,FALSE)</f>
        <v>GJULIANI</v>
      </c>
    </row>
    <row r="187" spans="1:20" x14ac:dyDescent="0.3">
      <c r="A187" s="2" t="s">
        <v>15</v>
      </c>
      <c r="B187" s="3" t="s">
        <v>15</v>
      </c>
      <c r="C187" s="3" t="s">
        <v>403</v>
      </c>
      <c r="D187" s="3" t="s">
        <v>56</v>
      </c>
      <c r="E187" s="3" t="s">
        <v>197</v>
      </c>
      <c r="F187" s="4">
        <v>46275</v>
      </c>
      <c r="G187" s="3" t="s">
        <v>64</v>
      </c>
      <c r="H187" s="6">
        <v>-5783.46</v>
      </c>
      <c r="I187" s="3" t="s">
        <v>19</v>
      </c>
      <c r="J187" s="3" t="s">
        <v>15</v>
      </c>
      <c r="K187" s="3" t="s">
        <v>15</v>
      </c>
      <c r="L187" s="3" t="s">
        <v>405</v>
      </c>
      <c r="M187" s="4">
        <v>46275</v>
      </c>
      <c r="N187" s="3" t="s">
        <v>118</v>
      </c>
      <c r="O187" s="3" t="s">
        <v>62</v>
      </c>
      <c r="P187" t="str">
        <f t="shared" si="2"/>
        <v>450013779920</v>
      </c>
      <c r="Q187" s="9" cm="1">
        <f t="array" ref="Q187:S187">VLOOKUP(P187,Hoja1!C:F,{2,3,4},FALSE)</f>
        <v>46286</v>
      </c>
      <c r="R187" t="str">
        <v>C17</v>
      </c>
      <c r="S187" t="str">
        <v>1000012333 GO CLEAN S.A.S.</v>
      </c>
      <c r="T187" t="str">
        <f>VLOOKUP(P187,Hoja2!C:D,2,FALSE)</f>
        <v>GJULIANI</v>
      </c>
    </row>
    <row r="188" spans="1:20" x14ac:dyDescent="0.3">
      <c r="A188" s="2" t="s">
        <v>15</v>
      </c>
      <c r="B188" s="3" t="s">
        <v>15</v>
      </c>
      <c r="C188" s="3" t="s">
        <v>403</v>
      </c>
      <c r="D188" s="3" t="s">
        <v>15</v>
      </c>
      <c r="E188" s="3" t="s">
        <v>197</v>
      </c>
      <c r="F188" s="4">
        <v>46275</v>
      </c>
      <c r="G188" s="3" t="s">
        <v>64</v>
      </c>
      <c r="H188" s="6">
        <v>-60329.75</v>
      </c>
      <c r="I188" s="3" t="s">
        <v>19</v>
      </c>
      <c r="J188" s="3" t="s">
        <v>15</v>
      </c>
      <c r="K188" s="3" t="s">
        <v>15</v>
      </c>
      <c r="L188" s="3" t="s">
        <v>406</v>
      </c>
      <c r="M188" s="4">
        <v>46275</v>
      </c>
      <c r="N188" s="3" t="s">
        <v>118</v>
      </c>
      <c r="O188" s="3" t="s">
        <v>49</v>
      </c>
      <c r="P188" t="str">
        <f t="shared" si="2"/>
        <v>450013779930</v>
      </c>
      <c r="Q188" s="9" cm="1">
        <f t="array" ref="Q188:S188">VLOOKUP(P188,Hoja1!C:F,{2,3,4},FALSE)</f>
        <v>46286</v>
      </c>
      <c r="R188" t="str">
        <v>C17</v>
      </c>
      <c r="S188" t="str">
        <v>1000012333 GO CLEAN S.A.S.</v>
      </c>
      <c r="T188" t="str">
        <f>VLOOKUP(P188,Hoja2!C:D,2,FALSE)</f>
        <v>GJULIANI</v>
      </c>
    </row>
    <row r="189" spans="1:20" x14ac:dyDescent="0.3">
      <c r="A189" s="2" t="s">
        <v>15</v>
      </c>
      <c r="B189" s="3" t="s">
        <v>15</v>
      </c>
      <c r="C189" s="3" t="s">
        <v>407</v>
      </c>
      <c r="D189" s="3" t="s">
        <v>15</v>
      </c>
      <c r="E189" s="3" t="s">
        <v>197</v>
      </c>
      <c r="F189" s="4">
        <v>46275</v>
      </c>
      <c r="G189" s="3" t="s">
        <v>64</v>
      </c>
      <c r="H189" s="6">
        <v>-1305132.24</v>
      </c>
      <c r="I189" s="3" t="s">
        <v>19</v>
      </c>
      <c r="J189" s="3" t="s">
        <v>15</v>
      </c>
      <c r="K189" s="3" t="s">
        <v>15</v>
      </c>
      <c r="L189" s="3" t="s">
        <v>408</v>
      </c>
      <c r="M189" s="4">
        <v>46275</v>
      </c>
      <c r="N189" s="3" t="s">
        <v>336</v>
      </c>
      <c r="O189" s="3" t="s">
        <v>23</v>
      </c>
      <c r="P189" t="str">
        <f t="shared" si="2"/>
        <v>450013566910</v>
      </c>
      <c r="Q189" s="9" cm="1">
        <f t="array" ref="Q189:S189">VLOOKUP(P189,Hoja1!C:F,{2,3,4},FALSE)</f>
        <v>46280</v>
      </c>
      <c r="R189" t="str">
        <v>L01</v>
      </c>
      <c r="S189" t="str">
        <v>1000012974 BLEXA S. A.</v>
      </c>
      <c r="T189" t="str">
        <f>VLOOKUP(P189,Hoja2!C:D,2,FALSE)</f>
        <v>FBERARDO</v>
      </c>
    </row>
    <row r="190" spans="1:20" x14ac:dyDescent="0.3">
      <c r="A190" s="2" t="s">
        <v>15</v>
      </c>
      <c r="B190" s="3" t="s">
        <v>15</v>
      </c>
      <c r="C190" s="3" t="s">
        <v>409</v>
      </c>
      <c r="D190" s="3" t="s">
        <v>15</v>
      </c>
      <c r="E190" s="3" t="s">
        <v>197</v>
      </c>
      <c r="F190" s="4">
        <v>46272</v>
      </c>
      <c r="G190" s="3" t="s">
        <v>64</v>
      </c>
      <c r="H190" s="6">
        <v>-210616.77</v>
      </c>
      <c r="I190" s="3" t="s">
        <v>19</v>
      </c>
      <c r="J190" s="3" t="s">
        <v>15</v>
      </c>
      <c r="K190" s="3" t="s">
        <v>15</v>
      </c>
      <c r="L190" s="3" t="s">
        <v>410</v>
      </c>
      <c r="M190" s="4">
        <v>46276</v>
      </c>
      <c r="N190" s="3" t="s">
        <v>411</v>
      </c>
      <c r="O190" s="3" t="s">
        <v>23</v>
      </c>
      <c r="P190" t="str">
        <f t="shared" si="2"/>
        <v>450013714610</v>
      </c>
      <c r="Q190" s="9" cm="1">
        <f t="array" ref="Q190:S190">VLOOKUP(P190,Hoja1!C:F,{2,3,4},FALSE)</f>
        <v>46280</v>
      </c>
      <c r="R190" t="str">
        <v>F06</v>
      </c>
      <c r="S190" t="str">
        <v>1000000561 ESCANDINAVIA DEL PLATA SA</v>
      </c>
      <c r="T190" t="str">
        <f>VLOOKUP(P190,Hoja2!C:D,2,FALSE)</f>
        <v>RPEREZ</v>
      </c>
    </row>
    <row r="191" spans="1:20" x14ac:dyDescent="0.3">
      <c r="A191" s="2" t="s">
        <v>15</v>
      </c>
      <c r="B191" s="3" t="s">
        <v>15</v>
      </c>
      <c r="C191" s="3" t="s">
        <v>412</v>
      </c>
      <c r="D191" s="3" t="s">
        <v>15</v>
      </c>
      <c r="E191" s="3" t="s">
        <v>197</v>
      </c>
      <c r="F191" s="4">
        <v>46268</v>
      </c>
      <c r="G191" s="3" t="s">
        <v>64</v>
      </c>
      <c r="H191" s="6">
        <v>-960000</v>
      </c>
      <c r="I191" s="3" t="s">
        <v>19</v>
      </c>
      <c r="J191" s="3" t="s">
        <v>15</v>
      </c>
      <c r="K191" s="3" t="s">
        <v>15</v>
      </c>
      <c r="L191" s="3" t="s">
        <v>413</v>
      </c>
      <c r="M191" s="4">
        <v>46276</v>
      </c>
      <c r="N191" s="3" t="s">
        <v>166</v>
      </c>
      <c r="O191" s="3" t="s">
        <v>23</v>
      </c>
      <c r="P191" t="str">
        <f t="shared" si="2"/>
        <v>450013694310</v>
      </c>
      <c r="Q191" s="9" cm="1">
        <f t="array" ref="Q191:S191">VLOOKUP(P191,Hoja1!C:F,{2,3,4},FALSE)</f>
        <v>46290</v>
      </c>
      <c r="R191" t="str">
        <v>C03</v>
      </c>
      <c r="S191" t="str">
        <v>1000001035 SYS IMPORT S.R.L.</v>
      </c>
      <c r="T191" t="str">
        <f>VLOOKUP(P191,Hoja2!C:D,2,FALSE)</f>
        <v>WVENTURINI</v>
      </c>
    </row>
    <row r="192" spans="1:20" x14ac:dyDescent="0.3">
      <c r="A192" s="2" t="s">
        <v>15</v>
      </c>
      <c r="B192" s="3" t="s">
        <v>15</v>
      </c>
      <c r="C192" s="3" t="s">
        <v>414</v>
      </c>
      <c r="D192" s="3" t="s">
        <v>56</v>
      </c>
      <c r="E192" s="3" t="s">
        <v>197</v>
      </c>
      <c r="F192" s="4">
        <v>46277</v>
      </c>
      <c r="G192" s="3" t="s">
        <v>64</v>
      </c>
      <c r="H192" s="6">
        <v>-528133.62</v>
      </c>
      <c r="I192" s="3" t="s">
        <v>19</v>
      </c>
      <c r="J192" s="3" t="s">
        <v>15</v>
      </c>
      <c r="K192" s="3" t="s">
        <v>15</v>
      </c>
      <c r="L192" s="3" t="s">
        <v>415</v>
      </c>
      <c r="M192" s="4">
        <v>46277</v>
      </c>
      <c r="N192" s="3" t="s">
        <v>416</v>
      </c>
      <c r="O192" s="3" t="s">
        <v>23</v>
      </c>
      <c r="P192" t="str">
        <f t="shared" si="2"/>
        <v>450013818210</v>
      </c>
      <c r="Q192" s="9" cm="1">
        <f t="array" ref="Q192:S192">VLOOKUP(P192,Hoja1!C:F,{2,3,4},FALSE)</f>
        <v>46295</v>
      </c>
      <c r="R192" t="str">
        <v>C01</v>
      </c>
      <c r="S192" t="str">
        <v>1000007451 FLORES CARLOS FELIPE Y OTROS S H</v>
      </c>
      <c r="T192" t="str">
        <f>VLOOKUP(P192,Hoja2!C:D,2,FALSE)</f>
        <v>AZAPANA</v>
      </c>
    </row>
    <row r="193" spans="1:20" x14ac:dyDescent="0.3">
      <c r="A193" s="2" t="s">
        <v>15</v>
      </c>
      <c r="B193" s="3" t="s">
        <v>15</v>
      </c>
      <c r="C193" s="3" t="s">
        <v>414</v>
      </c>
      <c r="D193" s="3" t="s">
        <v>56</v>
      </c>
      <c r="E193" s="3" t="s">
        <v>197</v>
      </c>
      <c r="F193" s="4">
        <v>46277</v>
      </c>
      <c r="G193" s="3" t="s">
        <v>64</v>
      </c>
      <c r="H193" s="6">
        <v>-352089.08</v>
      </c>
      <c r="I193" s="3" t="s">
        <v>19</v>
      </c>
      <c r="J193" s="3" t="s">
        <v>15</v>
      </c>
      <c r="K193" s="3" t="s">
        <v>15</v>
      </c>
      <c r="L193" s="3" t="s">
        <v>417</v>
      </c>
      <c r="M193" s="4">
        <v>46277</v>
      </c>
      <c r="N193" s="3" t="s">
        <v>416</v>
      </c>
      <c r="O193" s="3" t="s">
        <v>62</v>
      </c>
      <c r="P193" t="str">
        <f t="shared" si="2"/>
        <v>450013818220</v>
      </c>
      <c r="Q193" s="9" cm="1">
        <f t="array" ref="Q193:S193">VLOOKUP(P193,Hoja1!C:F,{2,3,4},FALSE)</f>
        <v>46295</v>
      </c>
      <c r="R193" t="str">
        <v>C01</v>
      </c>
      <c r="S193" t="str">
        <v>1000007451 FLORES CARLOS FELIPE Y OTROS S H</v>
      </c>
      <c r="T193" t="str">
        <f>VLOOKUP(P193,Hoja2!C:D,2,FALSE)</f>
        <v>AZAPANA</v>
      </c>
    </row>
    <row r="194" spans="1:20" x14ac:dyDescent="0.3">
      <c r="A194" s="2" t="s">
        <v>15</v>
      </c>
      <c r="B194" s="3" t="s">
        <v>15</v>
      </c>
      <c r="C194" s="3" t="s">
        <v>418</v>
      </c>
      <c r="D194" s="3" t="s">
        <v>15</v>
      </c>
      <c r="E194" s="3" t="s">
        <v>197</v>
      </c>
      <c r="F194" s="4">
        <v>46279</v>
      </c>
      <c r="G194" s="3" t="s">
        <v>64</v>
      </c>
      <c r="H194" s="6">
        <v>-213417.60000000001</v>
      </c>
      <c r="I194" s="3" t="s">
        <v>19</v>
      </c>
      <c r="J194" s="3" t="s">
        <v>15</v>
      </c>
      <c r="K194" s="3" t="s">
        <v>15</v>
      </c>
      <c r="L194" s="3" t="s">
        <v>419</v>
      </c>
      <c r="M194" s="4">
        <v>46279</v>
      </c>
      <c r="N194" s="3" t="s">
        <v>420</v>
      </c>
      <c r="O194" s="3" t="s">
        <v>38</v>
      </c>
      <c r="P194" t="str">
        <f t="shared" si="2"/>
        <v>450013534540</v>
      </c>
      <c r="Q194" s="9" cm="1">
        <f t="array" ref="Q194:S194">VLOOKUP(P194,Hoja1!C:F,{2,3,4},FALSE)</f>
        <v>46310</v>
      </c>
      <c r="R194" t="str">
        <v>F03</v>
      </c>
      <c r="S194" t="str">
        <v>1000000012 IGARRETA MAQUINAS S.A.</v>
      </c>
      <c r="T194" t="str">
        <f>VLOOKUP(P194,Hoja2!C:D,2,FALSE)</f>
        <v>RPEREZ</v>
      </c>
    </row>
    <row r="195" spans="1:20" x14ac:dyDescent="0.3">
      <c r="A195" s="2" t="s">
        <v>15</v>
      </c>
      <c r="B195" s="3" t="s">
        <v>15</v>
      </c>
      <c r="C195" s="3" t="s">
        <v>421</v>
      </c>
      <c r="D195" s="3" t="s">
        <v>15</v>
      </c>
      <c r="E195" s="3" t="s">
        <v>197</v>
      </c>
      <c r="F195" s="4">
        <v>46279</v>
      </c>
      <c r="G195" s="3" t="s">
        <v>64</v>
      </c>
      <c r="H195" s="6">
        <v>-122280.8</v>
      </c>
      <c r="I195" s="3" t="s">
        <v>19</v>
      </c>
      <c r="J195" s="3" t="s">
        <v>15</v>
      </c>
      <c r="K195" s="3" t="s">
        <v>15</v>
      </c>
      <c r="L195" s="3" t="s">
        <v>422</v>
      </c>
      <c r="M195" s="4">
        <v>46279</v>
      </c>
      <c r="N195" s="3" t="s">
        <v>423</v>
      </c>
      <c r="O195" s="3" t="s">
        <v>49</v>
      </c>
      <c r="P195" t="str">
        <f t="shared" ref="P195:P258" si="3">_xlfn.CONCAT(N195:O195)</f>
        <v>450013833930</v>
      </c>
      <c r="Q195" s="9" cm="1">
        <f t="array" ref="Q195:S195">VLOOKUP(P195,Hoja1!C:F,{2,3,4},FALSE)</f>
        <v>46286</v>
      </c>
      <c r="R195" t="str">
        <v>C01</v>
      </c>
      <c r="S195" t="str">
        <v>1000012333 GO CLEAN S.A.S.</v>
      </c>
      <c r="T195" t="str">
        <f>VLOOKUP(P195,Hoja2!C:D,2,FALSE)</f>
        <v>AZAPANA</v>
      </c>
    </row>
    <row r="196" spans="1:20" x14ac:dyDescent="0.3">
      <c r="A196" s="2" t="s">
        <v>15</v>
      </c>
      <c r="B196" s="3" t="s">
        <v>15</v>
      </c>
      <c r="C196" s="3" t="s">
        <v>424</v>
      </c>
      <c r="D196" s="3" t="s">
        <v>56</v>
      </c>
      <c r="E196" s="3" t="s">
        <v>197</v>
      </c>
      <c r="F196" s="4">
        <v>46276</v>
      </c>
      <c r="G196" s="3" t="s">
        <v>64</v>
      </c>
      <c r="H196" s="6">
        <v>-166570</v>
      </c>
      <c r="I196" s="3" t="s">
        <v>19</v>
      </c>
      <c r="J196" s="3" t="s">
        <v>15</v>
      </c>
      <c r="K196" s="3" t="s">
        <v>15</v>
      </c>
      <c r="L196" s="3" t="s">
        <v>425</v>
      </c>
      <c r="M196" s="4">
        <v>46281</v>
      </c>
      <c r="N196" s="3" t="s">
        <v>163</v>
      </c>
      <c r="O196" s="3" t="s">
        <v>23</v>
      </c>
      <c r="P196" t="str">
        <f t="shared" si="3"/>
        <v>450013792210</v>
      </c>
      <c r="Q196" s="9" cm="1">
        <f t="array" ref="Q196:S196">VLOOKUP(P196,Hoja1!C:F,{2,3,4},FALSE)</f>
        <v>46287</v>
      </c>
      <c r="R196" t="str">
        <v>C03</v>
      </c>
      <c r="S196" t="str">
        <v>1000010268 YEMA REPUESTOS SRL</v>
      </c>
      <c r="T196" t="str">
        <f>VLOOKUP(P196,Hoja2!C:D,2,FALSE)</f>
        <v>MFREIJOMIL</v>
      </c>
    </row>
    <row r="197" spans="1:20" x14ac:dyDescent="0.3">
      <c r="A197" s="2" t="s">
        <v>15</v>
      </c>
      <c r="B197" s="3" t="s">
        <v>15</v>
      </c>
      <c r="C197" s="3" t="s">
        <v>426</v>
      </c>
      <c r="D197" s="3" t="s">
        <v>15</v>
      </c>
      <c r="E197" s="3" t="s">
        <v>197</v>
      </c>
      <c r="F197" s="4">
        <v>46282</v>
      </c>
      <c r="G197" s="3" t="s">
        <v>64</v>
      </c>
      <c r="H197" s="6">
        <v>-39837.599999999999</v>
      </c>
      <c r="I197" s="3" t="s">
        <v>19</v>
      </c>
      <c r="J197" s="3" t="s">
        <v>15</v>
      </c>
      <c r="K197" s="3" t="s">
        <v>15</v>
      </c>
      <c r="L197" s="3" t="s">
        <v>427</v>
      </c>
      <c r="M197" s="4">
        <v>46282</v>
      </c>
      <c r="N197" s="3" t="s">
        <v>144</v>
      </c>
      <c r="O197" s="3" t="s">
        <v>23</v>
      </c>
      <c r="P197" t="str">
        <f t="shared" si="3"/>
        <v>450013869110</v>
      </c>
      <c r="Q197" s="9" cm="1">
        <f t="array" ref="Q197:S197">VLOOKUP(P197,Hoja1!C:F,{2,3,4},FALSE)</f>
        <v>46290</v>
      </c>
      <c r="R197" t="str">
        <v>G05</v>
      </c>
      <c r="S197" t="str">
        <v>1000001129 AGRONORTE S.R.L.</v>
      </c>
      <c r="T197" t="str">
        <f>VLOOKUP(P197,Hoja2!C:D,2,FALSE)</f>
        <v>RPEREZ</v>
      </c>
    </row>
    <row r="198" spans="1:20" x14ac:dyDescent="0.3">
      <c r="A198" s="2" t="s">
        <v>15</v>
      </c>
      <c r="B198" s="3" t="s">
        <v>15</v>
      </c>
      <c r="C198" s="3" t="s">
        <v>426</v>
      </c>
      <c r="D198" s="3" t="s">
        <v>15</v>
      </c>
      <c r="E198" s="3" t="s">
        <v>197</v>
      </c>
      <c r="F198" s="4">
        <v>46282</v>
      </c>
      <c r="G198" s="3" t="s">
        <v>64</v>
      </c>
      <c r="H198" s="6">
        <v>-55153.95</v>
      </c>
      <c r="I198" s="3" t="s">
        <v>19</v>
      </c>
      <c r="J198" s="3" t="s">
        <v>15</v>
      </c>
      <c r="K198" s="3" t="s">
        <v>15</v>
      </c>
      <c r="L198" s="3" t="s">
        <v>428</v>
      </c>
      <c r="M198" s="4">
        <v>46282</v>
      </c>
      <c r="N198" s="3" t="s">
        <v>144</v>
      </c>
      <c r="O198" s="3" t="s">
        <v>62</v>
      </c>
      <c r="P198" t="str">
        <f t="shared" si="3"/>
        <v>450013869120</v>
      </c>
      <c r="Q198" s="9" cm="1">
        <f t="array" ref="Q198:S198">VLOOKUP(P198,Hoja1!C:F,{2,3,4},FALSE)</f>
        <v>46290</v>
      </c>
      <c r="R198" t="str">
        <v>G05</v>
      </c>
      <c r="S198" t="str">
        <v>1000001129 AGRONORTE S.R.L.</v>
      </c>
      <c r="T198" t="str">
        <f>VLOOKUP(P198,Hoja2!C:D,2,FALSE)</f>
        <v>RPEREZ</v>
      </c>
    </row>
    <row r="199" spans="1:20" x14ac:dyDescent="0.3">
      <c r="A199" s="2" t="s">
        <v>15</v>
      </c>
      <c r="B199" s="3" t="s">
        <v>15</v>
      </c>
      <c r="C199" s="3" t="s">
        <v>426</v>
      </c>
      <c r="D199" s="3" t="s">
        <v>15</v>
      </c>
      <c r="E199" s="3" t="s">
        <v>197</v>
      </c>
      <c r="F199" s="4">
        <v>46282</v>
      </c>
      <c r="G199" s="3" t="s">
        <v>64</v>
      </c>
      <c r="H199" s="6">
        <v>-173308.65</v>
      </c>
      <c r="I199" s="3" t="s">
        <v>19</v>
      </c>
      <c r="J199" s="3" t="s">
        <v>15</v>
      </c>
      <c r="K199" s="3" t="s">
        <v>15</v>
      </c>
      <c r="L199" s="3" t="s">
        <v>429</v>
      </c>
      <c r="M199" s="4">
        <v>46282</v>
      </c>
      <c r="N199" s="3" t="s">
        <v>144</v>
      </c>
      <c r="O199" s="3" t="s">
        <v>49</v>
      </c>
      <c r="P199" t="str">
        <f t="shared" si="3"/>
        <v>450013869130</v>
      </c>
      <c r="Q199" s="9" cm="1">
        <f t="array" ref="Q199:S199">VLOOKUP(P199,Hoja1!C:F,{2,3,4},FALSE)</f>
        <v>46290</v>
      </c>
      <c r="R199" t="str">
        <v>G05</v>
      </c>
      <c r="S199" t="str">
        <v>1000001129 AGRONORTE S.R.L.</v>
      </c>
      <c r="T199" t="str">
        <f>VLOOKUP(P199,Hoja2!C:D,2,FALSE)</f>
        <v>RPEREZ</v>
      </c>
    </row>
    <row r="200" spans="1:20" x14ac:dyDescent="0.3">
      <c r="A200" s="2" t="s">
        <v>15</v>
      </c>
      <c r="B200" s="3" t="s">
        <v>15</v>
      </c>
      <c r="C200" s="3" t="s">
        <v>426</v>
      </c>
      <c r="D200" s="3" t="s">
        <v>15</v>
      </c>
      <c r="E200" s="3" t="s">
        <v>197</v>
      </c>
      <c r="F200" s="4">
        <v>46282</v>
      </c>
      <c r="G200" s="3" t="s">
        <v>64</v>
      </c>
      <c r="H200" s="6">
        <v>-46582.83</v>
      </c>
      <c r="I200" s="3" t="s">
        <v>19</v>
      </c>
      <c r="J200" s="3" t="s">
        <v>15</v>
      </c>
      <c r="K200" s="3" t="s">
        <v>15</v>
      </c>
      <c r="L200" s="3" t="s">
        <v>430</v>
      </c>
      <c r="M200" s="4">
        <v>46282</v>
      </c>
      <c r="N200" s="3" t="s">
        <v>144</v>
      </c>
      <c r="O200" s="3" t="s">
        <v>38</v>
      </c>
      <c r="P200" t="str">
        <f t="shared" si="3"/>
        <v>450013869140</v>
      </c>
      <c r="Q200" s="9" cm="1">
        <f t="array" ref="Q200:S200">VLOOKUP(P200,Hoja1!C:F,{2,3,4},FALSE)</f>
        <v>46290</v>
      </c>
      <c r="R200" t="str">
        <v>G05</v>
      </c>
      <c r="S200" t="str">
        <v>1000001129 AGRONORTE S.R.L.</v>
      </c>
      <c r="T200" t="str">
        <f>VLOOKUP(P200,Hoja2!C:D,2,FALSE)</f>
        <v>RPEREZ</v>
      </c>
    </row>
    <row r="201" spans="1:20" x14ac:dyDescent="0.3">
      <c r="A201" s="2" t="s">
        <v>15</v>
      </c>
      <c r="B201" s="3" t="s">
        <v>15</v>
      </c>
      <c r="C201" s="3" t="s">
        <v>426</v>
      </c>
      <c r="D201" s="3" t="s">
        <v>15</v>
      </c>
      <c r="E201" s="3" t="s">
        <v>197</v>
      </c>
      <c r="F201" s="4">
        <v>46282</v>
      </c>
      <c r="G201" s="3" t="s">
        <v>64</v>
      </c>
      <c r="H201" s="6">
        <v>-43730.82</v>
      </c>
      <c r="I201" s="3" t="s">
        <v>19</v>
      </c>
      <c r="J201" s="3" t="s">
        <v>15</v>
      </c>
      <c r="K201" s="3" t="s">
        <v>15</v>
      </c>
      <c r="L201" s="3" t="s">
        <v>431</v>
      </c>
      <c r="M201" s="4">
        <v>46282</v>
      </c>
      <c r="N201" s="3" t="s">
        <v>144</v>
      </c>
      <c r="O201" s="3" t="s">
        <v>47</v>
      </c>
      <c r="P201" t="str">
        <f t="shared" si="3"/>
        <v>450013869150</v>
      </c>
      <c r="Q201" s="9" cm="1">
        <f t="array" ref="Q201:S201">VLOOKUP(P201,Hoja1!C:F,{2,3,4},FALSE)</f>
        <v>46290</v>
      </c>
      <c r="R201" t="str">
        <v>G05</v>
      </c>
      <c r="S201" t="str">
        <v>1000001129 AGRONORTE S.R.L.</v>
      </c>
      <c r="T201" t="str">
        <f>VLOOKUP(P201,Hoja2!C:D,2,FALSE)</f>
        <v>RPEREZ</v>
      </c>
    </row>
    <row r="202" spans="1:20" x14ac:dyDescent="0.3">
      <c r="A202" s="2" t="s">
        <v>15</v>
      </c>
      <c r="B202" s="3" t="s">
        <v>15</v>
      </c>
      <c r="C202" s="3" t="s">
        <v>426</v>
      </c>
      <c r="D202" s="3" t="s">
        <v>15</v>
      </c>
      <c r="E202" s="3" t="s">
        <v>197</v>
      </c>
      <c r="F202" s="4">
        <v>46282</v>
      </c>
      <c r="G202" s="3" t="s">
        <v>64</v>
      </c>
      <c r="H202" s="6">
        <v>-12675.6</v>
      </c>
      <c r="I202" s="3" t="s">
        <v>19</v>
      </c>
      <c r="J202" s="3" t="s">
        <v>15</v>
      </c>
      <c r="K202" s="3" t="s">
        <v>15</v>
      </c>
      <c r="L202" s="3" t="s">
        <v>432</v>
      </c>
      <c r="M202" s="4">
        <v>46282</v>
      </c>
      <c r="N202" s="3" t="s">
        <v>144</v>
      </c>
      <c r="O202" s="3" t="s">
        <v>95</v>
      </c>
      <c r="P202" t="str">
        <f t="shared" si="3"/>
        <v>450013869160</v>
      </c>
      <c r="Q202" s="9" cm="1">
        <f t="array" ref="Q202:S202">VLOOKUP(P202,Hoja1!C:F,{2,3,4},FALSE)</f>
        <v>46290</v>
      </c>
      <c r="R202" t="str">
        <v>G05</v>
      </c>
      <c r="S202" t="str">
        <v>1000001129 AGRONORTE S.R.L.</v>
      </c>
      <c r="T202" t="str">
        <f>VLOOKUP(P202,Hoja2!C:D,2,FALSE)</f>
        <v>RPEREZ</v>
      </c>
    </row>
    <row r="203" spans="1:20" x14ac:dyDescent="0.3">
      <c r="A203" s="2" t="s">
        <v>15</v>
      </c>
      <c r="B203" s="3" t="s">
        <v>15</v>
      </c>
      <c r="C203" s="3" t="s">
        <v>426</v>
      </c>
      <c r="D203" s="3" t="s">
        <v>15</v>
      </c>
      <c r="E203" s="3" t="s">
        <v>197</v>
      </c>
      <c r="F203" s="4">
        <v>46282</v>
      </c>
      <c r="G203" s="3" t="s">
        <v>64</v>
      </c>
      <c r="H203" s="6">
        <v>-11091.15</v>
      </c>
      <c r="I203" s="3" t="s">
        <v>19</v>
      </c>
      <c r="J203" s="3" t="s">
        <v>15</v>
      </c>
      <c r="K203" s="3" t="s">
        <v>15</v>
      </c>
      <c r="L203" s="3" t="s">
        <v>433</v>
      </c>
      <c r="M203" s="4">
        <v>46282</v>
      </c>
      <c r="N203" s="3" t="s">
        <v>144</v>
      </c>
      <c r="O203" s="3" t="s">
        <v>141</v>
      </c>
      <c r="P203" t="str">
        <f t="shared" si="3"/>
        <v>450013869170</v>
      </c>
      <c r="Q203" s="9" cm="1">
        <f t="array" ref="Q203:S203">VLOOKUP(P203,Hoja1!C:F,{2,3,4},FALSE)</f>
        <v>46290</v>
      </c>
      <c r="R203" t="str">
        <v>G05</v>
      </c>
      <c r="S203" t="str">
        <v>1000001129 AGRONORTE S.R.L.</v>
      </c>
      <c r="T203" t="str">
        <f>VLOOKUP(P203,Hoja2!C:D,2,FALSE)</f>
        <v>RPEREZ</v>
      </c>
    </row>
    <row r="204" spans="1:20" x14ac:dyDescent="0.3">
      <c r="A204" s="2" t="s">
        <v>15</v>
      </c>
      <c r="B204" s="3" t="s">
        <v>15</v>
      </c>
      <c r="C204" s="3" t="s">
        <v>426</v>
      </c>
      <c r="D204" s="3" t="s">
        <v>15</v>
      </c>
      <c r="E204" s="3" t="s">
        <v>197</v>
      </c>
      <c r="F204" s="4">
        <v>46282</v>
      </c>
      <c r="G204" s="3" t="s">
        <v>64</v>
      </c>
      <c r="H204" s="6">
        <v>-19224.66</v>
      </c>
      <c r="I204" s="3" t="s">
        <v>19</v>
      </c>
      <c r="J204" s="3" t="s">
        <v>15</v>
      </c>
      <c r="K204" s="3" t="s">
        <v>15</v>
      </c>
      <c r="L204" s="3" t="s">
        <v>434</v>
      </c>
      <c r="M204" s="4">
        <v>46282</v>
      </c>
      <c r="N204" s="3" t="s">
        <v>144</v>
      </c>
      <c r="O204" s="3" t="s">
        <v>158</v>
      </c>
      <c r="P204" t="str">
        <f t="shared" si="3"/>
        <v>450013869190</v>
      </c>
      <c r="Q204" s="9" cm="1">
        <f t="array" ref="Q204:S204">VLOOKUP(P204,Hoja1!C:F,{2,3,4},FALSE)</f>
        <v>46290</v>
      </c>
      <c r="R204" t="str">
        <v>G05</v>
      </c>
      <c r="S204" t="str">
        <v>1000001129 AGRONORTE S.R.L.</v>
      </c>
      <c r="T204" t="str">
        <f>VLOOKUP(P204,Hoja2!C:D,2,FALSE)</f>
        <v>RPEREZ</v>
      </c>
    </row>
    <row r="205" spans="1:20" x14ac:dyDescent="0.3">
      <c r="A205" s="2" t="s">
        <v>15</v>
      </c>
      <c r="B205" s="3" t="s">
        <v>15</v>
      </c>
      <c r="C205" s="3" t="s">
        <v>426</v>
      </c>
      <c r="D205" s="3" t="s">
        <v>15</v>
      </c>
      <c r="E205" s="3" t="s">
        <v>197</v>
      </c>
      <c r="F205" s="4">
        <v>46282</v>
      </c>
      <c r="G205" s="3" t="s">
        <v>64</v>
      </c>
      <c r="H205" s="6">
        <v>-35853.839999999997</v>
      </c>
      <c r="I205" s="3" t="s">
        <v>19</v>
      </c>
      <c r="J205" s="3" t="s">
        <v>15</v>
      </c>
      <c r="K205" s="3" t="s">
        <v>15</v>
      </c>
      <c r="L205" s="3" t="s">
        <v>435</v>
      </c>
      <c r="M205" s="4">
        <v>46282</v>
      </c>
      <c r="N205" s="3" t="s">
        <v>144</v>
      </c>
      <c r="O205" s="3" t="s">
        <v>156</v>
      </c>
      <c r="P205" t="str">
        <f t="shared" si="3"/>
        <v>4500138691100</v>
      </c>
      <c r="Q205" s="9" cm="1">
        <f t="array" ref="Q205:S205">VLOOKUP(P205,Hoja1!C:F,{2,3,4},FALSE)</f>
        <v>46290</v>
      </c>
      <c r="R205" t="str">
        <v>G05</v>
      </c>
      <c r="S205" t="str">
        <v>1000001129 AGRONORTE S.R.L.</v>
      </c>
      <c r="T205" t="str">
        <f>VLOOKUP(P205,Hoja2!C:D,2,FALSE)</f>
        <v>RPEREZ</v>
      </c>
    </row>
    <row r="206" spans="1:20" x14ac:dyDescent="0.3">
      <c r="A206" s="2" t="s">
        <v>15</v>
      </c>
      <c r="B206" s="3" t="s">
        <v>15</v>
      </c>
      <c r="C206" s="3" t="s">
        <v>426</v>
      </c>
      <c r="D206" s="3" t="s">
        <v>15</v>
      </c>
      <c r="E206" s="3" t="s">
        <v>197</v>
      </c>
      <c r="F206" s="4">
        <v>46282</v>
      </c>
      <c r="G206" s="3" t="s">
        <v>64</v>
      </c>
      <c r="H206" s="6">
        <v>-173308.65</v>
      </c>
      <c r="I206" s="3" t="s">
        <v>19</v>
      </c>
      <c r="J206" s="3" t="s">
        <v>15</v>
      </c>
      <c r="K206" s="3" t="s">
        <v>15</v>
      </c>
      <c r="L206" s="3" t="s">
        <v>436</v>
      </c>
      <c r="M206" s="4">
        <v>46282</v>
      </c>
      <c r="N206" s="3" t="s">
        <v>144</v>
      </c>
      <c r="O206" s="3" t="s">
        <v>148</v>
      </c>
      <c r="P206" t="str">
        <f t="shared" si="3"/>
        <v>4500138691110</v>
      </c>
      <c r="Q206" s="9" cm="1">
        <f t="array" ref="Q206:S206">VLOOKUP(P206,Hoja1!C:F,{2,3,4},FALSE)</f>
        <v>46290</v>
      </c>
      <c r="R206" t="str">
        <v>G05</v>
      </c>
      <c r="S206" t="str">
        <v>1000001129 AGRONORTE S.R.L.</v>
      </c>
      <c r="T206" t="str">
        <f>VLOOKUP(P206,Hoja2!C:D,2,FALSE)</f>
        <v>RPEREZ</v>
      </c>
    </row>
    <row r="207" spans="1:20" x14ac:dyDescent="0.3">
      <c r="A207" s="2" t="s">
        <v>15</v>
      </c>
      <c r="B207" s="3" t="s">
        <v>15</v>
      </c>
      <c r="C207" s="3" t="s">
        <v>426</v>
      </c>
      <c r="D207" s="3" t="s">
        <v>15</v>
      </c>
      <c r="E207" s="3" t="s">
        <v>197</v>
      </c>
      <c r="F207" s="4">
        <v>46282</v>
      </c>
      <c r="G207" s="3" t="s">
        <v>64</v>
      </c>
      <c r="H207" s="6">
        <v>-55153.95</v>
      </c>
      <c r="I207" s="3" t="s">
        <v>19</v>
      </c>
      <c r="J207" s="3" t="s">
        <v>15</v>
      </c>
      <c r="K207" s="3" t="s">
        <v>15</v>
      </c>
      <c r="L207" s="3" t="s">
        <v>437</v>
      </c>
      <c r="M207" s="4">
        <v>46282</v>
      </c>
      <c r="N207" s="3" t="s">
        <v>144</v>
      </c>
      <c r="O207" s="3" t="s">
        <v>151</v>
      </c>
      <c r="P207" t="str">
        <f t="shared" si="3"/>
        <v>4500138691120</v>
      </c>
      <c r="Q207" s="9" cm="1">
        <f t="array" ref="Q207:S207">VLOOKUP(P207,Hoja1!C:F,{2,3,4},FALSE)</f>
        <v>46290</v>
      </c>
      <c r="R207" t="str">
        <v>G05</v>
      </c>
      <c r="S207" t="str">
        <v>1000001129 AGRONORTE S.R.L.</v>
      </c>
      <c r="T207" t="str">
        <f>VLOOKUP(P207,Hoja2!C:D,2,FALSE)</f>
        <v>RPEREZ</v>
      </c>
    </row>
    <row r="208" spans="1:20" x14ac:dyDescent="0.3">
      <c r="A208" s="2" t="s">
        <v>15</v>
      </c>
      <c r="B208" s="3" t="s">
        <v>15</v>
      </c>
      <c r="C208" s="3" t="s">
        <v>438</v>
      </c>
      <c r="D208" s="3" t="s">
        <v>15</v>
      </c>
      <c r="E208" s="3" t="s">
        <v>197</v>
      </c>
      <c r="F208" s="4">
        <v>46283</v>
      </c>
      <c r="G208" s="3" t="s">
        <v>64</v>
      </c>
      <c r="H208" s="6">
        <v>-74687.86</v>
      </c>
      <c r="I208" s="3" t="s">
        <v>19</v>
      </c>
      <c r="J208" s="3" t="s">
        <v>15</v>
      </c>
      <c r="K208" s="3" t="s">
        <v>15</v>
      </c>
      <c r="L208" s="3" t="s">
        <v>439</v>
      </c>
      <c r="M208" s="4">
        <v>46283</v>
      </c>
      <c r="N208" s="3" t="s">
        <v>108</v>
      </c>
      <c r="O208" s="3" t="s">
        <v>23</v>
      </c>
      <c r="P208" t="str">
        <f t="shared" si="3"/>
        <v>450013846410</v>
      </c>
      <c r="Q208" s="9" cm="1">
        <f t="array" ref="Q208:S208">VLOOKUP(P208,Hoja1!C:F,{2,3,4},FALSE)</f>
        <v>46285</v>
      </c>
      <c r="R208" t="str">
        <v>C28</v>
      </c>
      <c r="S208" t="str">
        <v>1000007451 FLORES CARLOS FELIPE Y OTROS S H</v>
      </c>
      <c r="T208" t="str">
        <f>VLOOKUP(P208,Hoja2!C:D,2,FALSE)</f>
        <v>JPUPULIN</v>
      </c>
    </row>
    <row r="209" spans="1:20" x14ac:dyDescent="0.3">
      <c r="A209" s="2" t="s">
        <v>15</v>
      </c>
      <c r="B209" s="3" t="s">
        <v>15</v>
      </c>
      <c r="C209" s="3" t="s">
        <v>440</v>
      </c>
      <c r="D209" s="3" t="s">
        <v>15</v>
      </c>
      <c r="E209" s="3" t="s">
        <v>197</v>
      </c>
      <c r="F209" s="4">
        <v>46283</v>
      </c>
      <c r="G209" s="3" t="s">
        <v>64</v>
      </c>
      <c r="H209" s="6">
        <v>-63712.76</v>
      </c>
      <c r="I209" s="3" t="s">
        <v>19</v>
      </c>
      <c r="J209" s="3" t="s">
        <v>15</v>
      </c>
      <c r="K209" s="3" t="s">
        <v>15</v>
      </c>
      <c r="L209" s="3" t="s">
        <v>441</v>
      </c>
      <c r="M209" s="4">
        <v>46283</v>
      </c>
      <c r="N209" s="3" t="s">
        <v>114</v>
      </c>
      <c r="O209" s="3" t="s">
        <v>115</v>
      </c>
      <c r="P209" t="str">
        <f t="shared" si="3"/>
        <v>4500136455230</v>
      </c>
      <c r="Q209" s="9" cm="1">
        <f t="array" ref="Q209:S209">VLOOKUP(P209,Hoja1!C:F,{2,3,4},FALSE)</f>
        <v>46269</v>
      </c>
      <c r="R209" t="str">
        <v>C28</v>
      </c>
      <c r="S209" t="str">
        <v>1000007451 FLORES CARLOS FELIPE Y OTROS S H</v>
      </c>
      <c r="T209" t="str">
        <f>VLOOKUP(P209,Hoja2!C:D,2,FALSE)</f>
        <v>GJULIANI</v>
      </c>
    </row>
    <row r="210" spans="1:20" x14ac:dyDescent="0.3">
      <c r="A210" s="2" t="s">
        <v>15</v>
      </c>
      <c r="B210" s="3" t="s">
        <v>15</v>
      </c>
      <c r="C210" s="3" t="s">
        <v>442</v>
      </c>
      <c r="D210" s="3" t="s">
        <v>15</v>
      </c>
      <c r="E210" s="3" t="s">
        <v>197</v>
      </c>
      <c r="F210" s="4">
        <v>46284</v>
      </c>
      <c r="G210" s="3" t="s">
        <v>64</v>
      </c>
      <c r="H210" s="6">
        <v>-135950.39999999999</v>
      </c>
      <c r="I210" s="3" t="s">
        <v>19</v>
      </c>
      <c r="J210" s="3" t="s">
        <v>15</v>
      </c>
      <c r="K210" s="3" t="s">
        <v>15</v>
      </c>
      <c r="L210" s="3" t="s">
        <v>443</v>
      </c>
      <c r="M210" s="4">
        <v>46284</v>
      </c>
      <c r="N210" s="3" t="s">
        <v>182</v>
      </c>
      <c r="O210" s="3" t="s">
        <v>23</v>
      </c>
      <c r="P210" t="str">
        <f t="shared" si="3"/>
        <v>450013787810</v>
      </c>
      <c r="Q210" s="9" cm="1">
        <f t="array" ref="Q210:S210">VLOOKUP(P210,Hoja1!C:F,{2,3,4},FALSE)</f>
        <v>46284</v>
      </c>
      <c r="R210" t="str">
        <v>C01</v>
      </c>
      <c r="S210" t="str">
        <v>1000012974 BLEXA S. A.</v>
      </c>
      <c r="T210" t="str">
        <f>VLOOKUP(P210,Hoja2!C:D,2,FALSE)</f>
        <v>AZAPANA</v>
      </c>
    </row>
    <row r="211" spans="1:20" x14ac:dyDescent="0.3">
      <c r="A211" s="2" t="s">
        <v>15</v>
      </c>
      <c r="B211" s="3" t="s">
        <v>15</v>
      </c>
      <c r="C211" s="3" t="s">
        <v>442</v>
      </c>
      <c r="D211" s="3" t="s">
        <v>15</v>
      </c>
      <c r="E211" s="3" t="s">
        <v>197</v>
      </c>
      <c r="F211" s="4">
        <v>46284</v>
      </c>
      <c r="G211" s="3" t="s">
        <v>64</v>
      </c>
      <c r="H211" s="6">
        <v>-92198.36</v>
      </c>
      <c r="I211" s="3" t="s">
        <v>19</v>
      </c>
      <c r="J211" s="3" t="s">
        <v>15</v>
      </c>
      <c r="K211" s="3" t="s">
        <v>15</v>
      </c>
      <c r="L211" s="3" t="s">
        <v>444</v>
      </c>
      <c r="M211" s="4">
        <v>46284</v>
      </c>
      <c r="N211" s="3" t="s">
        <v>182</v>
      </c>
      <c r="O211" s="3" t="s">
        <v>62</v>
      </c>
      <c r="P211" t="str">
        <f t="shared" si="3"/>
        <v>450013787820</v>
      </c>
      <c r="Q211" s="9" cm="1">
        <f t="array" ref="Q211:S211">VLOOKUP(P211,Hoja1!C:F,{2,3,4},FALSE)</f>
        <v>46283</v>
      </c>
      <c r="R211" t="str">
        <v>C01</v>
      </c>
      <c r="S211" t="str">
        <v>1000012974 BLEXA S. A.</v>
      </c>
      <c r="T211" t="str">
        <f>VLOOKUP(P211,Hoja2!C:D,2,FALSE)</f>
        <v>AZAPANA</v>
      </c>
    </row>
    <row r="212" spans="1:20" x14ac:dyDescent="0.3">
      <c r="A212" s="2" t="s">
        <v>15</v>
      </c>
      <c r="B212" s="3" t="s">
        <v>15</v>
      </c>
      <c r="C212" s="3" t="s">
        <v>442</v>
      </c>
      <c r="D212" s="3" t="s">
        <v>15</v>
      </c>
      <c r="E212" s="3" t="s">
        <v>197</v>
      </c>
      <c r="F212" s="4">
        <v>46284</v>
      </c>
      <c r="G212" s="3" t="s">
        <v>64</v>
      </c>
      <c r="H212" s="6">
        <v>-408363.64</v>
      </c>
      <c r="I212" s="3" t="s">
        <v>19</v>
      </c>
      <c r="J212" s="3" t="s">
        <v>15</v>
      </c>
      <c r="K212" s="3" t="s">
        <v>15</v>
      </c>
      <c r="L212" s="3" t="s">
        <v>445</v>
      </c>
      <c r="M212" s="4">
        <v>46284</v>
      </c>
      <c r="N212" s="3" t="s">
        <v>182</v>
      </c>
      <c r="O212" s="3" t="s">
        <v>49</v>
      </c>
      <c r="P212" t="str">
        <f t="shared" si="3"/>
        <v>450013787830</v>
      </c>
      <c r="Q212" s="9" cm="1">
        <f t="array" ref="Q212:S212">VLOOKUP(P212,Hoja1!C:F,{2,3,4},FALSE)</f>
        <v>46283</v>
      </c>
      <c r="R212" t="str">
        <v>C01</v>
      </c>
      <c r="S212" t="str">
        <v>1000012974 BLEXA S. A.</v>
      </c>
      <c r="T212" t="str">
        <f>VLOOKUP(P212,Hoja2!C:D,2,FALSE)</f>
        <v>AZAPANA</v>
      </c>
    </row>
    <row r="213" spans="1:20" x14ac:dyDescent="0.3">
      <c r="A213" s="2" t="s">
        <v>15</v>
      </c>
      <c r="B213" s="3" t="s">
        <v>15</v>
      </c>
      <c r="C213" s="3" t="s">
        <v>446</v>
      </c>
      <c r="D213" s="3" t="s">
        <v>15</v>
      </c>
      <c r="E213" s="3" t="s">
        <v>197</v>
      </c>
      <c r="F213" s="4">
        <v>46284</v>
      </c>
      <c r="G213" s="3" t="s">
        <v>64</v>
      </c>
      <c r="H213" s="6">
        <v>-1845000</v>
      </c>
      <c r="I213" s="3" t="s">
        <v>19</v>
      </c>
      <c r="J213" s="3" t="s">
        <v>15</v>
      </c>
      <c r="K213" s="3" t="s">
        <v>15</v>
      </c>
      <c r="L213" s="3" t="s">
        <v>447</v>
      </c>
      <c r="M213" s="4">
        <v>46284</v>
      </c>
      <c r="N213" s="3" t="s">
        <v>448</v>
      </c>
      <c r="O213" s="3" t="s">
        <v>23</v>
      </c>
      <c r="P213" t="str">
        <f t="shared" si="3"/>
        <v>450013885810</v>
      </c>
      <c r="Q213" s="9" cm="1">
        <f t="array" ref="Q213:S213">VLOOKUP(P213,Hoja1!C:F,{2,3,4},FALSE)</f>
        <v>46290</v>
      </c>
      <c r="R213" t="str">
        <v>C01</v>
      </c>
      <c r="S213" t="str">
        <v>1000007451 FLORES CARLOS FELIPE Y OTROS S H</v>
      </c>
      <c r="T213" t="str">
        <f>VLOOKUP(P213,Hoja2!C:D,2,FALSE)</f>
        <v>AZAPANA</v>
      </c>
    </row>
    <row r="214" spans="1:20" x14ac:dyDescent="0.3">
      <c r="A214" s="2" t="s">
        <v>15</v>
      </c>
      <c r="B214" s="3" t="s">
        <v>15</v>
      </c>
      <c r="C214" s="3" t="s">
        <v>449</v>
      </c>
      <c r="D214" s="3" t="s">
        <v>15</v>
      </c>
      <c r="E214" s="3" t="s">
        <v>197</v>
      </c>
      <c r="F214" s="4">
        <v>46284</v>
      </c>
      <c r="G214" s="3" t="s">
        <v>64</v>
      </c>
      <c r="H214" s="6">
        <v>-15604</v>
      </c>
      <c r="I214" s="3" t="s">
        <v>19</v>
      </c>
      <c r="J214" s="3" t="s">
        <v>15</v>
      </c>
      <c r="K214" s="3" t="s">
        <v>15</v>
      </c>
      <c r="L214" s="3" t="s">
        <v>450</v>
      </c>
      <c r="M214" s="4">
        <v>46284</v>
      </c>
      <c r="N214" s="3" t="s">
        <v>451</v>
      </c>
      <c r="O214" s="3" t="s">
        <v>23</v>
      </c>
      <c r="P214" t="str">
        <f t="shared" si="3"/>
        <v>450013887510</v>
      </c>
      <c r="Q214" s="9" cm="1">
        <f t="array" ref="Q214:S214">VLOOKUP(P214,Hoja1!C:F,{2,3,4},FALSE)</f>
        <v>46291</v>
      </c>
      <c r="R214" t="str">
        <v>C01</v>
      </c>
      <c r="S214" t="str">
        <v>1000007451 FLORES CARLOS FELIPE Y OTROS S H</v>
      </c>
      <c r="T214" t="str">
        <f>VLOOKUP(P214,Hoja2!C:D,2,FALSE)</f>
        <v>AZAPANA</v>
      </c>
    </row>
    <row r="215" spans="1:20" x14ac:dyDescent="0.3">
      <c r="A215" s="2" t="s">
        <v>15</v>
      </c>
      <c r="B215" s="3" t="s">
        <v>15</v>
      </c>
      <c r="C215" s="3" t="s">
        <v>449</v>
      </c>
      <c r="D215" s="3" t="s">
        <v>15</v>
      </c>
      <c r="E215" s="3" t="s">
        <v>197</v>
      </c>
      <c r="F215" s="4">
        <v>46284</v>
      </c>
      <c r="G215" s="3" t="s">
        <v>64</v>
      </c>
      <c r="H215" s="6">
        <v>-39010</v>
      </c>
      <c r="I215" s="3" t="s">
        <v>19</v>
      </c>
      <c r="J215" s="3" t="s">
        <v>15</v>
      </c>
      <c r="K215" s="3" t="s">
        <v>15</v>
      </c>
      <c r="L215" s="3" t="s">
        <v>452</v>
      </c>
      <c r="M215" s="4">
        <v>46284</v>
      </c>
      <c r="N215" s="3" t="s">
        <v>451</v>
      </c>
      <c r="O215" s="3" t="s">
        <v>62</v>
      </c>
      <c r="P215" t="str">
        <f t="shared" si="3"/>
        <v>450013887520</v>
      </c>
      <c r="Q215" s="9" cm="1">
        <f t="array" ref="Q215:S215">VLOOKUP(P215,Hoja1!C:F,{2,3,4},FALSE)</f>
        <v>46291</v>
      </c>
      <c r="R215" t="str">
        <v>C01</v>
      </c>
      <c r="S215" t="str">
        <v>1000007451 FLORES CARLOS FELIPE Y OTROS S H</v>
      </c>
      <c r="T215" t="str">
        <f>VLOOKUP(P215,Hoja2!C:D,2,FALSE)</f>
        <v>AZAPANA</v>
      </c>
    </row>
    <row r="216" spans="1:20" x14ac:dyDescent="0.3">
      <c r="A216" s="2" t="s">
        <v>15</v>
      </c>
      <c r="B216" s="3" t="s">
        <v>15</v>
      </c>
      <c r="C216" s="3" t="s">
        <v>449</v>
      </c>
      <c r="D216" s="3" t="s">
        <v>15</v>
      </c>
      <c r="E216" s="3" t="s">
        <v>197</v>
      </c>
      <c r="F216" s="4">
        <v>46284</v>
      </c>
      <c r="G216" s="3" t="s">
        <v>64</v>
      </c>
      <c r="H216" s="6">
        <v>-31208</v>
      </c>
      <c r="I216" s="3" t="s">
        <v>19</v>
      </c>
      <c r="J216" s="3" t="s">
        <v>15</v>
      </c>
      <c r="K216" s="3" t="s">
        <v>15</v>
      </c>
      <c r="L216" s="3" t="s">
        <v>453</v>
      </c>
      <c r="M216" s="4">
        <v>46284</v>
      </c>
      <c r="N216" s="3" t="s">
        <v>451</v>
      </c>
      <c r="O216" s="3" t="s">
        <v>49</v>
      </c>
      <c r="P216" t="str">
        <f t="shared" si="3"/>
        <v>450013887530</v>
      </c>
      <c r="Q216" s="9" cm="1">
        <f t="array" ref="Q216:S216">VLOOKUP(P216,Hoja1!C:F,{2,3,4},FALSE)</f>
        <v>46291</v>
      </c>
      <c r="R216" t="str">
        <v>C01</v>
      </c>
      <c r="S216" t="str">
        <v>1000007451 FLORES CARLOS FELIPE Y OTROS S H</v>
      </c>
      <c r="T216" t="str">
        <f>VLOOKUP(P216,Hoja2!C:D,2,FALSE)</f>
        <v>AZAPANA</v>
      </c>
    </row>
    <row r="217" spans="1:20" x14ac:dyDescent="0.3">
      <c r="A217" s="2" t="s">
        <v>15</v>
      </c>
      <c r="B217" s="3" t="s">
        <v>15</v>
      </c>
      <c r="C217" s="3" t="s">
        <v>449</v>
      </c>
      <c r="D217" s="3" t="s">
        <v>15</v>
      </c>
      <c r="E217" s="3" t="s">
        <v>197</v>
      </c>
      <c r="F217" s="4">
        <v>46284</v>
      </c>
      <c r="G217" s="3" t="s">
        <v>64</v>
      </c>
      <c r="H217" s="6">
        <v>-62416</v>
      </c>
      <c r="I217" s="3" t="s">
        <v>19</v>
      </c>
      <c r="J217" s="3" t="s">
        <v>15</v>
      </c>
      <c r="K217" s="3" t="s">
        <v>15</v>
      </c>
      <c r="L217" s="3" t="s">
        <v>454</v>
      </c>
      <c r="M217" s="4">
        <v>46284</v>
      </c>
      <c r="N217" s="3" t="s">
        <v>451</v>
      </c>
      <c r="O217" s="3" t="s">
        <v>38</v>
      </c>
      <c r="P217" t="str">
        <f t="shared" si="3"/>
        <v>450013887540</v>
      </c>
      <c r="Q217" s="9" cm="1">
        <f t="array" ref="Q217:S217">VLOOKUP(P217,Hoja1!C:F,{2,3,4},FALSE)</f>
        <v>46291</v>
      </c>
      <c r="R217" t="str">
        <v>C01</v>
      </c>
      <c r="S217" t="str">
        <v>1000007451 FLORES CARLOS FELIPE Y OTROS S H</v>
      </c>
      <c r="T217" t="str">
        <f>VLOOKUP(P217,Hoja2!C:D,2,FALSE)</f>
        <v>AZAPANA</v>
      </c>
    </row>
    <row r="218" spans="1:20" x14ac:dyDescent="0.3">
      <c r="A218" s="2" t="s">
        <v>15</v>
      </c>
      <c r="B218" s="3" t="s">
        <v>15</v>
      </c>
      <c r="C218" s="3" t="s">
        <v>449</v>
      </c>
      <c r="D218" s="3" t="s">
        <v>15</v>
      </c>
      <c r="E218" s="3" t="s">
        <v>197</v>
      </c>
      <c r="F218" s="4">
        <v>46284</v>
      </c>
      <c r="G218" s="3" t="s">
        <v>64</v>
      </c>
      <c r="H218" s="6">
        <v>-39010</v>
      </c>
      <c r="I218" s="3" t="s">
        <v>19</v>
      </c>
      <c r="J218" s="3" t="s">
        <v>15</v>
      </c>
      <c r="K218" s="3" t="s">
        <v>15</v>
      </c>
      <c r="L218" s="3" t="s">
        <v>455</v>
      </c>
      <c r="M218" s="4">
        <v>46284</v>
      </c>
      <c r="N218" s="3" t="s">
        <v>451</v>
      </c>
      <c r="O218" s="3" t="s">
        <v>47</v>
      </c>
      <c r="P218" t="str">
        <f t="shared" si="3"/>
        <v>450013887550</v>
      </c>
      <c r="Q218" s="9" cm="1">
        <f t="array" ref="Q218:S218">VLOOKUP(P218,Hoja1!C:F,{2,3,4},FALSE)</f>
        <v>46291</v>
      </c>
      <c r="R218" t="str">
        <v>C01</v>
      </c>
      <c r="S218" t="str">
        <v>1000007451 FLORES CARLOS FELIPE Y OTROS S H</v>
      </c>
      <c r="T218" t="str">
        <f>VLOOKUP(P218,Hoja2!C:D,2,FALSE)</f>
        <v>AZAPANA</v>
      </c>
    </row>
    <row r="219" spans="1:20" x14ac:dyDescent="0.3">
      <c r="A219" s="2" t="s">
        <v>15</v>
      </c>
      <c r="B219" s="3" t="s">
        <v>15</v>
      </c>
      <c r="C219" s="3" t="s">
        <v>449</v>
      </c>
      <c r="D219" s="3" t="s">
        <v>15</v>
      </c>
      <c r="E219" s="3" t="s">
        <v>197</v>
      </c>
      <c r="F219" s="4">
        <v>46284</v>
      </c>
      <c r="G219" s="3" t="s">
        <v>64</v>
      </c>
      <c r="H219" s="6">
        <v>-23406</v>
      </c>
      <c r="I219" s="3" t="s">
        <v>19</v>
      </c>
      <c r="J219" s="3" t="s">
        <v>15</v>
      </c>
      <c r="K219" s="3" t="s">
        <v>15</v>
      </c>
      <c r="L219" s="3" t="s">
        <v>456</v>
      </c>
      <c r="M219" s="4">
        <v>46284</v>
      </c>
      <c r="N219" s="3" t="s">
        <v>451</v>
      </c>
      <c r="O219" s="3" t="s">
        <v>95</v>
      </c>
      <c r="P219" t="str">
        <f t="shared" si="3"/>
        <v>450013887560</v>
      </c>
      <c r="Q219" s="9" cm="1">
        <f t="array" ref="Q219:S219">VLOOKUP(P219,Hoja1!C:F,{2,3,4},FALSE)</f>
        <v>46291</v>
      </c>
      <c r="R219" t="str">
        <v>C01</v>
      </c>
      <c r="S219" t="str">
        <v>1000007451 FLORES CARLOS FELIPE Y OTROS S H</v>
      </c>
      <c r="T219" t="str">
        <f>VLOOKUP(P219,Hoja2!C:D,2,FALSE)</f>
        <v>AZAPANA</v>
      </c>
    </row>
    <row r="220" spans="1:20" x14ac:dyDescent="0.3">
      <c r="A220" s="2" t="s">
        <v>15</v>
      </c>
      <c r="B220" s="3" t="s">
        <v>15</v>
      </c>
      <c r="C220" s="3" t="s">
        <v>449</v>
      </c>
      <c r="D220" s="3" t="s">
        <v>15</v>
      </c>
      <c r="E220" s="3" t="s">
        <v>197</v>
      </c>
      <c r="F220" s="4">
        <v>46284</v>
      </c>
      <c r="G220" s="3" t="s">
        <v>64</v>
      </c>
      <c r="H220" s="6">
        <v>-32375</v>
      </c>
      <c r="I220" s="3" t="s">
        <v>19</v>
      </c>
      <c r="J220" s="3" t="s">
        <v>15</v>
      </c>
      <c r="K220" s="3" t="s">
        <v>15</v>
      </c>
      <c r="L220" s="3" t="s">
        <v>457</v>
      </c>
      <c r="M220" s="4">
        <v>46284</v>
      </c>
      <c r="N220" s="3" t="s">
        <v>451</v>
      </c>
      <c r="O220" s="3" t="s">
        <v>141</v>
      </c>
      <c r="P220" t="str">
        <f t="shared" si="3"/>
        <v>450013887570</v>
      </c>
      <c r="Q220" s="9" cm="1">
        <f t="array" ref="Q220:S220">VLOOKUP(P220,Hoja1!C:F,{2,3,4},FALSE)</f>
        <v>46291</v>
      </c>
      <c r="R220" t="str">
        <v>C01</v>
      </c>
      <c r="S220" t="str">
        <v>1000007451 FLORES CARLOS FELIPE Y OTROS S H</v>
      </c>
      <c r="T220" t="str">
        <f>VLOOKUP(P220,Hoja2!C:D,2,FALSE)</f>
        <v>AZAPANA</v>
      </c>
    </row>
    <row r="221" spans="1:20" x14ac:dyDescent="0.3">
      <c r="A221" s="2" t="s">
        <v>15</v>
      </c>
      <c r="B221" s="3" t="s">
        <v>15</v>
      </c>
      <c r="C221" s="3" t="s">
        <v>449</v>
      </c>
      <c r="D221" s="3" t="s">
        <v>15</v>
      </c>
      <c r="E221" s="3" t="s">
        <v>197</v>
      </c>
      <c r="F221" s="4">
        <v>46284</v>
      </c>
      <c r="G221" s="3" t="s">
        <v>64</v>
      </c>
      <c r="H221" s="6">
        <v>-97125</v>
      </c>
      <c r="I221" s="3" t="s">
        <v>19</v>
      </c>
      <c r="J221" s="3" t="s">
        <v>15</v>
      </c>
      <c r="K221" s="3" t="s">
        <v>15</v>
      </c>
      <c r="L221" s="3" t="s">
        <v>458</v>
      </c>
      <c r="M221" s="4">
        <v>46284</v>
      </c>
      <c r="N221" s="3" t="s">
        <v>451</v>
      </c>
      <c r="O221" s="3" t="s">
        <v>351</v>
      </c>
      <c r="P221" t="str">
        <f t="shared" si="3"/>
        <v>450013887580</v>
      </c>
      <c r="Q221" s="9" cm="1">
        <f t="array" ref="Q221:S221">VLOOKUP(P221,Hoja1!C:F,{2,3,4},FALSE)</f>
        <v>46291</v>
      </c>
      <c r="R221" t="str">
        <v>C01</v>
      </c>
      <c r="S221" t="str">
        <v>1000007451 FLORES CARLOS FELIPE Y OTROS S H</v>
      </c>
      <c r="T221" t="str">
        <f>VLOOKUP(P221,Hoja2!C:D,2,FALSE)</f>
        <v>AZAPANA</v>
      </c>
    </row>
    <row r="222" spans="1:20" x14ac:dyDescent="0.3">
      <c r="A222" s="2" t="s">
        <v>15</v>
      </c>
      <c r="B222" s="3" t="s">
        <v>15</v>
      </c>
      <c r="C222" s="3" t="s">
        <v>449</v>
      </c>
      <c r="D222" s="3" t="s">
        <v>15</v>
      </c>
      <c r="E222" s="3" t="s">
        <v>197</v>
      </c>
      <c r="F222" s="4">
        <v>46284</v>
      </c>
      <c r="G222" s="3" t="s">
        <v>64</v>
      </c>
      <c r="H222" s="6">
        <v>-259000</v>
      </c>
      <c r="I222" s="3" t="s">
        <v>19</v>
      </c>
      <c r="J222" s="3" t="s">
        <v>15</v>
      </c>
      <c r="K222" s="3" t="s">
        <v>15</v>
      </c>
      <c r="L222" s="3" t="s">
        <v>459</v>
      </c>
      <c r="M222" s="4">
        <v>46284</v>
      </c>
      <c r="N222" s="3" t="s">
        <v>451</v>
      </c>
      <c r="O222" s="3" t="s">
        <v>158</v>
      </c>
      <c r="P222" t="str">
        <f t="shared" si="3"/>
        <v>450013887590</v>
      </c>
      <c r="Q222" s="9" cm="1">
        <f t="array" ref="Q222:S222">VLOOKUP(P222,Hoja1!C:F,{2,3,4},FALSE)</f>
        <v>46291</v>
      </c>
      <c r="R222" t="str">
        <v>C01</v>
      </c>
      <c r="S222" t="str">
        <v>1000007451 FLORES CARLOS FELIPE Y OTROS S H</v>
      </c>
      <c r="T222" t="str">
        <f>VLOOKUP(P222,Hoja2!C:D,2,FALSE)</f>
        <v>AZAPANA</v>
      </c>
    </row>
    <row r="223" spans="1:20" x14ac:dyDescent="0.3">
      <c r="A223" s="2" t="s">
        <v>15</v>
      </c>
      <c r="B223" s="3" t="s">
        <v>15</v>
      </c>
      <c r="C223" s="3" t="s">
        <v>449</v>
      </c>
      <c r="D223" s="3" t="s">
        <v>15</v>
      </c>
      <c r="E223" s="3" t="s">
        <v>197</v>
      </c>
      <c r="F223" s="4">
        <v>46284</v>
      </c>
      <c r="G223" s="3" t="s">
        <v>64</v>
      </c>
      <c r="H223" s="6">
        <v>-15604</v>
      </c>
      <c r="I223" s="3" t="s">
        <v>19</v>
      </c>
      <c r="J223" s="3" t="s">
        <v>15</v>
      </c>
      <c r="K223" s="3" t="s">
        <v>15</v>
      </c>
      <c r="L223" s="3" t="s">
        <v>460</v>
      </c>
      <c r="M223" s="4">
        <v>46284</v>
      </c>
      <c r="N223" s="3" t="s">
        <v>451</v>
      </c>
      <c r="O223" s="3" t="s">
        <v>156</v>
      </c>
      <c r="P223" t="str">
        <f t="shared" si="3"/>
        <v>4500138875100</v>
      </c>
      <c r="Q223" s="9" cm="1">
        <f t="array" ref="Q223:S223">VLOOKUP(P223,Hoja1!C:F,{2,3,4},FALSE)</f>
        <v>46291</v>
      </c>
      <c r="R223" t="str">
        <v>C01</v>
      </c>
      <c r="S223" t="str">
        <v>1000007451 FLORES CARLOS FELIPE Y OTROS S H</v>
      </c>
      <c r="T223" t="str">
        <f>VLOOKUP(P223,Hoja2!C:D,2,FALSE)</f>
        <v>AZAPANA</v>
      </c>
    </row>
    <row r="224" spans="1:20" x14ac:dyDescent="0.3">
      <c r="A224" s="2" t="s">
        <v>15</v>
      </c>
      <c r="B224" s="3" t="s">
        <v>15</v>
      </c>
      <c r="C224" s="3" t="s">
        <v>449</v>
      </c>
      <c r="D224" s="3" t="s">
        <v>15</v>
      </c>
      <c r="E224" s="3" t="s">
        <v>197</v>
      </c>
      <c r="F224" s="4">
        <v>46284</v>
      </c>
      <c r="G224" s="3" t="s">
        <v>64</v>
      </c>
      <c r="H224" s="6">
        <v>-39010</v>
      </c>
      <c r="I224" s="3" t="s">
        <v>19</v>
      </c>
      <c r="J224" s="3" t="s">
        <v>15</v>
      </c>
      <c r="K224" s="3" t="s">
        <v>15</v>
      </c>
      <c r="L224" s="3" t="s">
        <v>461</v>
      </c>
      <c r="M224" s="4">
        <v>46284</v>
      </c>
      <c r="N224" s="3" t="s">
        <v>451</v>
      </c>
      <c r="O224" s="3" t="s">
        <v>148</v>
      </c>
      <c r="P224" t="str">
        <f t="shared" si="3"/>
        <v>4500138875110</v>
      </c>
      <c r="Q224" s="9" cm="1">
        <f t="array" ref="Q224:S224">VLOOKUP(P224,Hoja1!C:F,{2,3,4},FALSE)</f>
        <v>46291</v>
      </c>
      <c r="R224" t="str">
        <v>C01</v>
      </c>
      <c r="S224" t="str">
        <v>1000007451 FLORES CARLOS FELIPE Y OTROS S H</v>
      </c>
      <c r="T224" t="str">
        <f>VLOOKUP(P224,Hoja2!C:D,2,FALSE)</f>
        <v>AZAPANA</v>
      </c>
    </row>
    <row r="225" spans="1:20" x14ac:dyDescent="0.3">
      <c r="A225" s="2" t="s">
        <v>15</v>
      </c>
      <c r="B225" s="3" t="s">
        <v>15</v>
      </c>
      <c r="C225" s="3" t="s">
        <v>449</v>
      </c>
      <c r="D225" s="3" t="s">
        <v>15</v>
      </c>
      <c r="E225" s="3" t="s">
        <v>197</v>
      </c>
      <c r="F225" s="4">
        <v>46284</v>
      </c>
      <c r="G225" s="3" t="s">
        <v>64</v>
      </c>
      <c r="H225" s="6">
        <v>-31208</v>
      </c>
      <c r="I225" s="3" t="s">
        <v>19</v>
      </c>
      <c r="J225" s="3" t="s">
        <v>15</v>
      </c>
      <c r="K225" s="3" t="s">
        <v>15</v>
      </c>
      <c r="L225" s="3" t="s">
        <v>462</v>
      </c>
      <c r="M225" s="4">
        <v>46284</v>
      </c>
      <c r="N225" s="3" t="s">
        <v>451</v>
      </c>
      <c r="O225" s="3" t="s">
        <v>151</v>
      </c>
      <c r="P225" t="str">
        <f t="shared" si="3"/>
        <v>4500138875120</v>
      </c>
      <c r="Q225" s="9" cm="1">
        <f t="array" ref="Q225:S225">VLOOKUP(P225,Hoja1!C:F,{2,3,4},FALSE)</f>
        <v>46291</v>
      </c>
      <c r="R225" t="str">
        <v>C01</v>
      </c>
      <c r="S225" t="str">
        <v>1000007451 FLORES CARLOS FELIPE Y OTROS S H</v>
      </c>
      <c r="T225" t="str">
        <f>VLOOKUP(P225,Hoja2!C:D,2,FALSE)</f>
        <v>AZAPANA</v>
      </c>
    </row>
    <row r="226" spans="1:20" x14ac:dyDescent="0.3">
      <c r="A226" s="2" t="s">
        <v>15</v>
      </c>
      <c r="B226" s="3" t="s">
        <v>15</v>
      </c>
      <c r="C226" s="3" t="s">
        <v>449</v>
      </c>
      <c r="D226" s="3" t="s">
        <v>15</v>
      </c>
      <c r="E226" s="3" t="s">
        <v>197</v>
      </c>
      <c r="F226" s="4">
        <v>46284</v>
      </c>
      <c r="G226" s="3" t="s">
        <v>64</v>
      </c>
      <c r="H226" s="6">
        <v>-62416</v>
      </c>
      <c r="I226" s="3" t="s">
        <v>19</v>
      </c>
      <c r="J226" s="3" t="s">
        <v>15</v>
      </c>
      <c r="K226" s="3" t="s">
        <v>15</v>
      </c>
      <c r="L226" s="3" t="s">
        <v>463</v>
      </c>
      <c r="M226" s="4">
        <v>46284</v>
      </c>
      <c r="N226" s="3" t="s">
        <v>451</v>
      </c>
      <c r="O226" s="3" t="s">
        <v>464</v>
      </c>
      <c r="P226" t="str">
        <f t="shared" si="3"/>
        <v>4500138875130</v>
      </c>
      <c r="Q226" s="9" cm="1">
        <f t="array" ref="Q226:S226">VLOOKUP(P226,Hoja1!C:F,{2,3,4},FALSE)</f>
        <v>46291</v>
      </c>
      <c r="R226" t="str">
        <v>C01</v>
      </c>
      <c r="S226" t="str">
        <v>1000007451 FLORES CARLOS FELIPE Y OTROS S H</v>
      </c>
      <c r="T226" t="str">
        <f>VLOOKUP(P226,Hoja2!C:D,2,FALSE)</f>
        <v>AZAPANA</v>
      </c>
    </row>
    <row r="227" spans="1:20" x14ac:dyDescent="0.3">
      <c r="A227" s="2" t="s">
        <v>15</v>
      </c>
      <c r="B227" s="3" t="s">
        <v>15</v>
      </c>
      <c r="C227" s="3" t="s">
        <v>449</v>
      </c>
      <c r="D227" s="3" t="s">
        <v>15</v>
      </c>
      <c r="E227" s="3" t="s">
        <v>197</v>
      </c>
      <c r="F227" s="4">
        <v>46284</v>
      </c>
      <c r="G227" s="3" t="s">
        <v>64</v>
      </c>
      <c r="H227" s="6">
        <v>-39010</v>
      </c>
      <c r="I227" s="3" t="s">
        <v>19</v>
      </c>
      <c r="J227" s="3" t="s">
        <v>15</v>
      </c>
      <c r="K227" s="3" t="s">
        <v>15</v>
      </c>
      <c r="L227" s="3" t="s">
        <v>465</v>
      </c>
      <c r="M227" s="4">
        <v>46284</v>
      </c>
      <c r="N227" s="3" t="s">
        <v>451</v>
      </c>
      <c r="O227" s="3" t="s">
        <v>466</v>
      </c>
      <c r="P227" t="str">
        <f t="shared" si="3"/>
        <v>4500138875140</v>
      </c>
      <c r="Q227" s="9" cm="1">
        <f t="array" ref="Q227:S227">VLOOKUP(P227,Hoja1!C:F,{2,3,4},FALSE)</f>
        <v>46291</v>
      </c>
      <c r="R227" t="str">
        <v>C01</v>
      </c>
      <c r="S227" t="str">
        <v>1000007451 FLORES CARLOS FELIPE Y OTROS S H</v>
      </c>
      <c r="T227" t="str">
        <f>VLOOKUP(P227,Hoja2!C:D,2,FALSE)</f>
        <v>AZAPANA</v>
      </c>
    </row>
    <row r="228" spans="1:20" x14ac:dyDescent="0.3">
      <c r="A228" s="2" t="s">
        <v>15</v>
      </c>
      <c r="B228" s="3" t="s">
        <v>15</v>
      </c>
      <c r="C228" s="3" t="s">
        <v>449</v>
      </c>
      <c r="D228" s="3" t="s">
        <v>15</v>
      </c>
      <c r="E228" s="3" t="s">
        <v>197</v>
      </c>
      <c r="F228" s="4">
        <v>46284</v>
      </c>
      <c r="G228" s="3" t="s">
        <v>64</v>
      </c>
      <c r="H228" s="6">
        <v>-23406</v>
      </c>
      <c r="I228" s="3" t="s">
        <v>19</v>
      </c>
      <c r="J228" s="3" t="s">
        <v>15</v>
      </c>
      <c r="K228" s="3" t="s">
        <v>15</v>
      </c>
      <c r="L228" s="3" t="s">
        <v>467</v>
      </c>
      <c r="M228" s="4">
        <v>46284</v>
      </c>
      <c r="N228" s="3" t="s">
        <v>451</v>
      </c>
      <c r="O228" s="3" t="s">
        <v>468</v>
      </c>
      <c r="P228" t="str">
        <f t="shared" si="3"/>
        <v>4500138875150</v>
      </c>
      <c r="Q228" s="9" cm="1">
        <f t="array" ref="Q228:S228">VLOOKUP(P228,Hoja1!C:F,{2,3,4},FALSE)</f>
        <v>46291</v>
      </c>
      <c r="R228" t="str">
        <v>C01</v>
      </c>
      <c r="S228" t="str">
        <v>1000007451 FLORES CARLOS FELIPE Y OTROS S H</v>
      </c>
      <c r="T228" t="str">
        <f>VLOOKUP(P228,Hoja2!C:D,2,FALSE)</f>
        <v>AZAPANA</v>
      </c>
    </row>
    <row r="229" spans="1:20" x14ac:dyDescent="0.3">
      <c r="A229" s="2" t="s">
        <v>15</v>
      </c>
      <c r="B229" s="3" t="s">
        <v>15</v>
      </c>
      <c r="C229" s="3" t="s">
        <v>469</v>
      </c>
      <c r="D229" s="3" t="s">
        <v>15</v>
      </c>
      <c r="E229" s="3" t="s">
        <v>197</v>
      </c>
      <c r="F229" s="4">
        <v>46284</v>
      </c>
      <c r="G229" s="3" t="s">
        <v>64</v>
      </c>
      <c r="H229" s="6">
        <v>-150561</v>
      </c>
      <c r="I229" s="3" t="s">
        <v>19</v>
      </c>
      <c r="J229" s="3" t="s">
        <v>15</v>
      </c>
      <c r="K229" s="3" t="s">
        <v>15</v>
      </c>
      <c r="L229" s="3" t="s">
        <v>470</v>
      </c>
      <c r="M229" s="4">
        <v>46284</v>
      </c>
      <c r="N229" s="3" t="s">
        <v>471</v>
      </c>
      <c r="O229" s="3" t="s">
        <v>23</v>
      </c>
      <c r="P229" t="str">
        <f t="shared" si="3"/>
        <v>450013886510</v>
      </c>
      <c r="Q229" s="9" cm="1">
        <f t="array" ref="Q229:S229">VLOOKUP(P229,Hoja1!C:F,{2,3,4},FALSE)</f>
        <v>46291</v>
      </c>
      <c r="R229" t="str">
        <v>C01</v>
      </c>
      <c r="S229" t="str">
        <v>1000007451 FLORES CARLOS FELIPE Y OTROS S H</v>
      </c>
      <c r="T229" t="str">
        <f>VLOOKUP(P229,Hoja2!C:D,2,FALSE)</f>
        <v>AZAPANA</v>
      </c>
    </row>
    <row r="230" spans="1:20" x14ac:dyDescent="0.3">
      <c r="A230" s="2" t="s">
        <v>15</v>
      </c>
      <c r="B230" s="3" t="s">
        <v>15</v>
      </c>
      <c r="C230" s="3" t="s">
        <v>469</v>
      </c>
      <c r="D230" s="3" t="s">
        <v>15</v>
      </c>
      <c r="E230" s="3" t="s">
        <v>197</v>
      </c>
      <c r="F230" s="4">
        <v>46284</v>
      </c>
      <c r="G230" s="3" t="s">
        <v>64</v>
      </c>
      <c r="H230" s="6">
        <v>-200748</v>
      </c>
      <c r="I230" s="3" t="s">
        <v>19</v>
      </c>
      <c r="J230" s="3" t="s">
        <v>15</v>
      </c>
      <c r="K230" s="3" t="s">
        <v>15</v>
      </c>
      <c r="L230" s="3" t="s">
        <v>472</v>
      </c>
      <c r="M230" s="4">
        <v>46284</v>
      </c>
      <c r="N230" s="3" t="s">
        <v>471</v>
      </c>
      <c r="O230" s="3" t="s">
        <v>62</v>
      </c>
      <c r="P230" t="str">
        <f t="shared" si="3"/>
        <v>450013886520</v>
      </c>
      <c r="Q230" s="9" cm="1">
        <f t="array" ref="Q230:S230">VLOOKUP(P230,Hoja1!C:F,{2,3,4},FALSE)</f>
        <v>46291</v>
      </c>
      <c r="R230" t="str">
        <v>C01</v>
      </c>
      <c r="S230" t="str">
        <v>1000007451 FLORES CARLOS FELIPE Y OTROS S H</v>
      </c>
      <c r="T230" t="str">
        <f>VLOOKUP(P230,Hoja2!C:D,2,FALSE)</f>
        <v>AZAPANA</v>
      </c>
    </row>
    <row r="231" spans="1:20" x14ac:dyDescent="0.3">
      <c r="A231" s="2" t="s">
        <v>15</v>
      </c>
      <c r="B231" s="3" t="s">
        <v>15</v>
      </c>
      <c r="C231" s="3" t="s">
        <v>469</v>
      </c>
      <c r="D231" s="3" t="s">
        <v>15</v>
      </c>
      <c r="E231" s="3" t="s">
        <v>197</v>
      </c>
      <c r="F231" s="4">
        <v>46284</v>
      </c>
      <c r="G231" s="3" t="s">
        <v>64</v>
      </c>
      <c r="H231" s="6">
        <v>-200748</v>
      </c>
      <c r="I231" s="3" t="s">
        <v>19</v>
      </c>
      <c r="J231" s="3" t="s">
        <v>15</v>
      </c>
      <c r="K231" s="3" t="s">
        <v>15</v>
      </c>
      <c r="L231" s="3" t="s">
        <v>473</v>
      </c>
      <c r="M231" s="4">
        <v>46284</v>
      </c>
      <c r="N231" s="3" t="s">
        <v>471</v>
      </c>
      <c r="O231" s="3" t="s">
        <v>49</v>
      </c>
      <c r="P231" t="str">
        <f t="shared" si="3"/>
        <v>450013886530</v>
      </c>
      <c r="Q231" s="9" cm="1">
        <f t="array" ref="Q231:S231">VLOOKUP(P231,Hoja1!C:F,{2,3,4},FALSE)</f>
        <v>46291</v>
      </c>
      <c r="R231" t="str">
        <v>C01</v>
      </c>
      <c r="S231" t="str">
        <v>1000007451 FLORES CARLOS FELIPE Y OTROS S H</v>
      </c>
      <c r="T231" t="str">
        <f>VLOOKUP(P231,Hoja2!C:D,2,FALSE)</f>
        <v>AZAPANA</v>
      </c>
    </row>
    <row r="232" spans="1:20" x14ac:dyDescent="0.3">
      <c r="A232" s="2" t="s">
        <v>15</v>
      </c>
      <c r="B232" s="3" t="s">
        <v>15</v>
      </c>
      <c r="C232" s="3" t="s">
        <v>469</v>
      </c>
      <c r="D232" s="3" t="s">
        <v>15</v>
      </c>
      <c r="E232" s="3" t="s">
        <v>197</v>
      </c>
      <c r="F232" s="4">
        <v>46284</v>
      </c>
      <c r="G232" s="3" t="s">
        <v>64</v>
      </c>
      <c r="H232" s="6">
        <v>-100374</v>
      </c>
      <c r="I232" s="3" t="s">
        <v>19</v>
      </c>
      <c r="J232" s="3" t="s">
        <v>15</v>
      </c>
      <c r="K232" s="3" t="s">
        <v>15</v>
      </c>
      <c r="L232" s="3" t="s">
        <v>474</v>
      </c>
      <c r="M232" s="4">
        <v>46284</v>
      </c>
      <c r="N232" s="3" t="s">
        <v>471</v>
      </c>
      <c r="O232" s="3" t="s">
        <v>38</v>
      </c>
      <c r="P232" t="str">
        <f t="shared" si="3"/>
        <v>450013886540</v>
      </c>
      <c r="Q232" s="9" cm="1">
        <f t="array" ref="Q232:S232">VLOOKUP(P232,Hoja1!C:F,{2,3,4},FALSE)</f>
        <v>46291</v>
      </c>
      <c r="R232" t="str">
        <v>C01</v>
      </c>
      <c r="S232" t="str">
        <v>1000007451 FLORES CARLOS FELIPE Y OTROS S H</v>
      </c>
      <c r="T232" t="str">
        <f>VLOOKUP(P232,Hoja2!C:D,2,FALSE)</f>
        <v>AZAPANA</v>
      </c>
    </row>
    <row r="233" spans="1:20" x14ac:dyDescent="0.3">
      <c r="A233" s="2" t="s">
        <v>15</v>
      </c>
      <c r="B233" s="3" t="s">
        <v>15</v>
      </c>
      <c r="C233" s="3" t="s">
        <v>469</v>
      </c>
      <c r="D233" s="3" t="s">
        <v>15</v>
      </c>
      <c r="E233" s="3" t="s">
        <v>197</v>
      </c>
      <c r="F233" s="4">
        <v>46284</v>
      </c>
      <c r="G233" s="3" t="s">
        <v>64</v>
      </c>
      <c r="H233" s="6">
        <v>-351309</v>
      </c>
      <c r="I233" s="3" t="s">
        <v>19</v>
      </c>
      <c r="J233" s="3" t="s">
        <v>15</v>
      </c>
      <c r="K233" s="3" t="s">
        <v>15</v>
      </c>
      <c r="L233" s="3" t="s">
        <v>475</v>
      </c>
      <c r="M233" s="4">
        <v>46284</v>
      </c>
      <c r="N233" s="3" t="s">
        <v>471</v>
      </c>
      <c r="O233" s="3" t="s">
        <v>47</v>
      </c>
      <c r="P233" t="str">
        <f t="shared" si="3"/>
        <v>450013886550</v>
      </c>
      <c r="Q233" s="9" cm="1">
        <f t="array" ref="Q233:S233">VLOOKUP(P233,Hoja1!C:F,{2,3,4},FALSE)</f>
        <v>46291</v>
      </c>
      <c r="R233" t="str">
        <v>C01</v>
      </c>
      <c r="S233" t="str">
        <v>1000007451 FLORES CARLOS FELIPE Y OTROS S H</v>
      </c>
      <c r="T233" t="str">
        <f>VLOOKUP(P233,Hoja2!C:D,2,FALSE)</f>
        <v>AZAPANA</v>
      </c>
    </row>
    <row r="234" spans="1:20" x14ac:dyDescent="0.3">
      <c r="A234" s="2" t="s">
        <v>15</v>
      </c>
      <c r="B234" s="3" t="s">
        <v>15</v>
      </c>
      <c r="C234" s="3" t="s">
        <v>469</v>
      </c>
      <c r="D234" s="3" t="s">
        <v>15</v>
      </c>
      <c r="E234" s="3" t="s">
        <v>197</v>
      </c>
      <c r="F234" s="4">
        <v>46284</v>
      </c>
      <c r="G234" s="3" t="s">
        <v>64</v>
      </c>
      <c r="H234" s="6">
        <v>-150561</v>
      </c>
      <c r="I234" s="3" t="s">
        <v>19</v>
      </c>
      <c r="J234" s="3" t="s">
        <v>15</v>
      </c>
      <c r="K234" s="3" t="s">
        <v>15</v>
      </c>
      <c r="L234" s="3" t="s">
        <v>476</v>
      </c>
      <c r="M234" s="4">
        <v>46284</v>
      </c>
      <c r="N234" s="3" t="s">
        <v>471</v>
      </c>
      <c r="O234" s="3" t="s">
        <v>95</v>
      </c>
      <c r="P234" t="str">
        <f t="shared" si="3"/>
        <v>450013886560</v>
      </c>
      <c r="Q234" s="9" cm="1">
        <f t="array" ref="Q234:S234">VLOOKUP(P234,Hoja1!C:F,{2,3,4},FALSE)</f>
        <v>46291</v>
      </c>
      <c r="R234" t="str">
        <v>C01</v>
      </c>
      <c r="S234" t="str">
        <v>1000007451 FLORES CARLOS FELIPE Y OTROS S H</v>
      </c>
      <c r="T234" t="str">
        <f>VLOOKUP(P234,Hoja2!C:D,2,FALSE)</f>
        <v>AZAPANA</v>
      </c>
    </row>
    <row r="235" spans="1:20" x14ac:dyDescent="0.3">
      <c r="A235" s="2" t="s">
        <v>15</v>
      </c>
      <c r="B235" s="3" t="s">
        <v>15</v>
      </c>
      <c r="C235" s="3" t="s">
        <v>469</v>
      </c>
      <c r="D235" s="3" t="s">
        <v>15</v>
      </c>
      <c r="E235" s="3" t="s">
        <v>197</v>
      </c>
      <c r="F235" s="4">
        <v>46284</v>
      </c>
      <c r="G235" s="3" t="s">
        <v>64</v>
      </c>
      <c r="H235" s="6">
        <v>-50187</v>
      </c>
      <c r="I235" s="3" t="s">
        <v>19</v>
      </c>
      <c r="J235" s="3" t="s">
        <v>15</v>
      </c>
      <c r="K235" s="3" t="s">
        <v>15</v>
      </c>
      <c r="L235" s="3" t="s">
        <v>477</v>
      </c>
      <c r="M235" s="4">
        <v>46284</v>
      </c>
      <c r="N235" s="3" t="s">
        <v>471</v>
      </c>
      <c r="O235" s="3" t="s">
        <v>141</v>
      </c>
      <c r="P235" t="str">
        <f t="shared" si="3"/>
        <v>450013886570</v>
      </c>
      <c r="Q235" s="9" cm="1">
        <f t="array" ref="Q235:S235">VLOOKUP(P235,Hoja1!C:F,{2,3,4},FALSE)</f>
        <v>46291</v>
      </c>
      <c r="R235" t="str">
        <v>C01</v>
      </c>
      <c r="S235" t="str">
        <v>1000007451 FLORES CARLOS FELIPE Y OTROS S H</v>
      </c>
      <c r="T235" t="str">
        <f>VLOOKUP(P235,Hoja2!C:D,2,FALSE)</f>
        <v>AZAPANA</v>
      </c>
    </row>
    <row r="236" spans="1:20" x14ac:dyDescent="0.3">
      <c r="A236" s="2" t="s">
        <v>15</v>
      </c>
      <c r="B236" s="3" t="s">
        <v>15</v>
      </c>
      <c r="C236" s="3" t="s">
        <v>469</v>
      </c>
      <c r="D236" s="3" t="s">
        <v>15</v>
      </c>
      <c r="E236" s="3" t="s">
        <v>197</v>
      </c>
      <c r="F236" s="4">
        <v>46284</v>
      </c>
      <c r="G236" s="3" t="s">
        <v>64</v>
      </c>
      <c r="H236" s="6">
        <v>-47545.599999999999</v>
      </c>
      <c r="I236" s="3" t="s">
        <v>19</v>
      </c>
      <c r="J236" s="3" t="s">
        <v>15</v>
      </c>
      <c r="K236" s="3" t="s">
        <v>15</v>
      </c>
      <c r="L236" s="3" t="s">
        <v>478</v>
      </c>
      <c r="M236" s="4">
        <v>46284</v>
      </c>
      <c r="N236" s="3" t="s">
        <v>471</v>
      </c>
      <c r="O236" s="3" t="s">
        <v>351</v>
      </c>
      <c r="P236" t="str">
        <f t="shared" si="3"/>
        <v>450013886580</v>
      </c>
      <c r="Q236" s="9" cm="1">
        <f t="array" ref="Q236:S236">VLOOKUP(P236,Hoja1!C:F,{2,3,4},FALSE)</f>
        <v>46291</v>
      </c>
      <c r="R236" t="str">
        <v>C01</v>
      </c>
      <c r="S236" t="str">
        <v>1000007451 FLORES CARLOS FELIPE Y OTROS S H</v>
      </c>
      <c r="T236" t="str">
        <f>VLOOKUP(P236,Hoja2!C:D,2,FALSE)</f>
        <v>AZAPANA</v>
      </c>
    </row>
    <row r="237" spans="1:20" x14ac:dyDescent="0.3">
      <c r="A237" s="2" t="s">
        <v>15</v>
      </c>
      <c r="B237" s="3" t="s">
        <v>15</v>
      </c>
      <c r="C237" s="3" t="s">
        <v>469</v>
      </c>
      <c r="D237" s="3" t="s">
        <v>15</v>
      </c>
      <c r="E237" s="3" t="s">
        <v>197</v>
      </c>
      <c r="F237" s="4">
        <v>46284</v>
      </c>
      <c r="G237" s="3" t="s">
        <v>64</v>
      </c>
      <c r="H237" s="6">
        <v>-332819.20000000001</v>
      </c>
      <c r="I237" s="3" t="s">
        <v>19</v>
      </c>
      <c r="J237" s="3" t="s">
        <v>15</v>
      </c>
      <c r="K237" s="3" t="s">
        <v>15</v>
      </c>
      <c r="L237" s="3" t="s">
        <v>479</v>
      </c>
      <c r="M237" s="4">
        <v>46284</v>
      </c>
      <c r="N237" s="3" t="s">
        <v>471</v>
      </c>
      <c r="O237" s="3" t="s">
        <v>158</v>
      </c>
      <c r="P237" t="str">
        <f t="shared" si="3"/>
        <v>450013886590</v>
      </c>
      <c r="Q237" s="9" cm="1">
        <f t="array" ref="Q237:S237">VLOOKUP(P237,Hoja1!C:F,{2,3,4},FALSE)</f>
        <v>46291</v>
      </c>
      <c r="R237" t="str">
        <v>C01</v>
      </c>
      <c r="S237" t="str">
        <v>1000007451 FLORES CARLOS FELIPE Y OTROS S H</v>
      </c>
      <c r="T237" t="str">
        <f>VLOOKUP(P237,Hoja2!C:D,2,FALSE)</f>
        <v>AZAPANA</v>
      </c>
    </row>
    <row r="238" spans="1:20" x14ac:dyDescent="0.3">
      <c r="A238" s="2" t="s">
        <v>15</v>
      </c>
      <c r="B238" s="3" t="s">
        <v>15</v>
      </c>
      <c r="C238" s="3" t="s">
        <v>480</v>
      </c>
      <c r="D238" s="3" t="s">
        <v>15</v>
      </c>
      <c r="E238" s="3" t="s">
        <v>197</v>
      </c>
      <c r="F238" s="4">
        <v>46284</v>
      </c>
      <c r="G238" s="3" t="s">
        <v>64</v>
      </c>
      <c r="H238" s="6">
        <v>-40300</v>
      </c>
      <c r="I238" s="3" t="s">
        <v>19</v>
      </c>
      <c r="J238" s="3" t="s">
        <v>15</v>
      </c>
      <c r="K238" s="3" t="s">
        <v>15</v>
      </c>
      <c r="L238" s="3" t="s">
        <v>481</v>
      </c>
      <c r="M238" s="4">
        <v>46284</v>
      </c>
      <c r="N238" s="3" t="s">
        <v>482</v>
      </c>
      <c r="O238" s="3" t="s">
        <v>23</v>
      </c>
      <c r="P238" t="str">
        <f t="shared" si="3"/>
        <v>450013886910</v>
      </c>
      <c r="Q238" s="9" cm="1">
        <f t="array" ref="Q238:S238">VLOOKUP(P238,Hoja1!C:F,{2,3,4},FALSE)</f>
        <v>46291</v>
      </c>
      <c r="R238" t="str">
        <v>C01</v>
      </c>
      <c r="S238" t="str">
        <v>1000007451 FLORES CARLOS FELIPE Y OTROS S H</v>
      </c>
      <c r="T238" t="str">
        <f>VLOOKUP(P238,Hoja2!C:D,2,FALSE)</f>
        <v>AZAPANA</v>
      </c>
    </row>
    <row r="239" spans="1:20" x14ac:dyDescent="0.3">
      <c r="A239" s="2" t="s">
        <v>15</v>
      </c>
      <c r="B239" s="3" t="s">
        <v>15</v>
      </c>
      <c r="C239" s="3" t="s">
        <v>480</v>
      </c>
      <c r="D239" s="3" t="s">
        <v>15</v>
      </c>
      <c r="E239" s="3" t="s">
        <v>197</v>
      </c>
      <c r="F239" s="4">
        <v>46284</v>
      </c>
      <c r="G239" s="3" t="s">
        <v>64</v>
      </c>
      <c r="H239" s="6">
        <v>-80600</v>
      </c>
      <c r="I239" s="3" t="s">
        <v>19</v>
      </c>
      <c r="J239" s="3" t="s">
        <v>15</v>
      </c>
      <c r="K239" s="3" t="s">
        <v>15</v>
      </c>
      <c r="L239" s="3" t="s">
        <v>483</v>
      </c>
      <c r="M239" s="4">
        <v>46284</v>
      </c>
      <c r="N239" s="3" t="s">
        <v>482</v>
      </c>
      <c r="O239" s="3" t="s">
        <v>62</v>
      </c>
      <c r="P239" t="str">
        <f t="shared" si="3"/>
        <v>450013886920</v>
      </c>
      <c r="Q239" s="9" cm="1">
        <f t="array" ref="Q239:S239">VLOOKUP(P239,Hoja1!C:F,{2,3,4},FALSE)</f>
        <v>46291</v>
      </c>
      <c r="R239" t="str">
        <v>C01</v>
      </c>
      <c r="S239" t="str">
        <v>1000007451 FLORES CARLOS FELIPE Y OTROS S H</v>
      </c>
      <c r="T239" t="str">
        <f>VLOOKUP(P239,Hoja2!C:D,2,FALSE)</f>
        <v>AZAPANA</v>
      </c>
    </row>
    <row r="240" spans="1:20" x14ac:dyDescent="0.3">
      <c r="A240" s="2" t="s">
        <v>15</v>
      </c>
      <c r="B240" s="3" t="s">
        <v>15</v>
      </c>
      <c r="C240" s="3" t="s">
        <v>480</v>
      </c>
      <c r="D240" s="3" t="s">
        <v>15</v>
      </c>
      <c r="E240" s="3" t="s">
        <v>197</v>
      </c>
      <c r="F240" s="4">
        <v>46284</v>
      </c>
      <c r="G240" s="3" t="s">
        <v>64</v>
      </c>
      <c r="H240" s="6">
        <v>-60450</v>
      </c>
      <c r="I240" s="3" t="s">
        <v>19</v>
      </c>
      <c r="J240" s="3" t="s">
        <v>15</v>
      </c>
      <c r="K240" s="3" t="s">
        <v>15</v>
      </c>
      <c r="L240" s="3" t="s">
        <v>484</v>
      </c>
      <c r="M240" s="4">
        <v>46284</v>
      </c>
      <c r="N240" s="3" t="s">
        <v>482</v>
      </c>
      <c r="O240" s="3" t="s">
        <v>49</v>
      </c>
      <c r="P240" t="str">
        <f t="shared" si="3"/>
        <v>450013886930</v>
      </c>
      <c r="Q240" s="9" cm="1">
        <f t="array" ref="Q240:S240">VLOOKUP(P240,Hoja1!C:F,{2,3,4},FALSE)</f>
        <v>46291</v>
      </c>
      <c r="R240" t="str">
        <v>C01</v>
      </c>
      <c r="S240" t="str">
        <v>1000007451 FLORES CARLOS FELIPE Y OTROS S H</v>
      </c>
      <c r="T240" t="str">
        <f>VLOOKUP(P240,Hoja2!C:D,2,FALSE)</f>
        <v>AZAPANA</v>
      </c>
    </row>
    <row r="241" spans="1:20" x14ac:dyDescent="0.3">
      <c r="A241" s="2" t="s">
        <v>15</v>
      </c>
      <c r="B241" s="3" t="s">
        <v>15</v>
      </c>
      <c r="C241" s="3" t="s">
        <v>480</v>
      </c>
      <c r="D241" s="3" t="s">
        <v>15</v>
      </c>
      <c r="E241" s="3" t="s">
        <v>197</v>
      </c>
      <c r="F241" s="4">
        <v>46284</v>
      </c>
      <c r="G241" s="3" t="s">
        <v>64</v>
      </c>
      <c r="H241" s="6">
        <v>-60450</v>
      </c>
      <c r="I241" s="3" t="s">
        <v>19</v>
      </c>
      <c r="J241" s="3" t="s">
        <v>15</v>
      </c>
      <c r="K241" s="3" t="s">
        <v>15</v>
      </c>
      <c r="L241" s="3" t="s">
        <v>485</v>
      </c>
      <c r="M241" s="4">
        <v>46284</v>
      </c>
      <c r="N241" s="3" t="s">
        <v>482</v>
      </c>
      <c r="O241" s="3" t="s">
        <v>38</v>
      </c>
      <c r="P241" t="str">
        <f t="shared" si="3"/>
        <v>450013886940</v>
      </c>
      <c r="Q241" s="9" cm="1">
        <f t="array" ref="Q241:S241">VLOOKUP(P241,Hoja1!C:F,{2,3,4},FALSE)</f>
        <v>46291</v>
      </c>
      <c r="R241" t="str">
        <v>C01</v>
      </c>
      <c r="S241" t="str">
        <v>1000007451 FLORES CARLOS FELIPE Y OTROS S H</v>
      </c>
      <c r="T241" t="str">
        <f>VLOOKUP(P241,Hoja2!C:D,2,FALSE)</f>
        <v>AZAPANA</v>
      </c>
    </row>
    <row r="242" spans="1:20" x14ac:dyDescent="0.3">
      <c r="A242" s="2" t="s">
        <v>15</v>
      </c>
      <c r="B242" s="3" t="s">
        <v>15</v>
      </c>
      <c r="C242" s="3" t="s">
        <v>480</v>
      </c>
      <c r="D242" s="3" t="s">
        <v>15</v>
      </c>
      <c r="E242" s="3" t="s">
        <v>197</v>
      </c>
      <c r="F242" s="4">
        <v>46284</v>
      </c>
      <c r="G242" s="3" t="s">
        <v>64</v>
      </c>
      <c r="H242" s="6">
        <v>-40300</v>
      </c>
      <c r="I242" s="3" t="s">
        <v>19</v>
      </c>
      <c r="J242" s="3" t="s">
        <v>15</v>
      </c>
      <c r="K242" s="3" t="s">
        <v>15</v>
      </c>
      <c r="L242" s="3" t="s">
        <v>486</v>
      </c>
      <c r="M242" s="4">
        <v>46284</v>
      </c>
      <c r="N242" s="3" t="s">
        <v>482</v>
      </c>
      <c r="O242" s="3" t="s">
        <v>47</v>
      </c>
      <c r="P242" t="str">
        <f t="shared" si="3"/>
        <v>450013886950</v>
      </c>
      <c r="Q242" s="9" cm="1">
        <f t="array" ref="Q242:S242">VLOOKUP(P242,Hoja1!C:F,{2,3,4},FALSE)</f>
        <v>46291</v>
      </c>
      <c r="R242" t="str">
        <v>C01</v>
      </c>
      <c r="S242" t="str">
        <v>1000007451 FLORES CARLOS FELIPE Y OTROS S H</v>
      </c>
      <c r="T242" t="str">
        <f>VLOOKUP(P242,Hoja2!C:D,2,FALSE)</f>
        <v>AZAPANA</v>
      </c>
    </row>
    <row r="243" spans="1:20" x14ac:dyDescent="0.3">
      <c r="A243" s="2" t="s">
        <v>15</v>
      </c>
      <c r="B243" s="3" t="s">
        <v>15</v>
      </c>
      <c r="C243" s="3" t="s">
        <v>480</v>
      </c>
      <c r="D243" s="3" t="s">
        <v>15</v>
      </c>
      <c r="E243" s="3" t="s">
        <v>197</v>
      </c>
      <c r="F243" s="4">
        <v>46284</v>
      </c>
      <c r="G243" s="3" t="s">
        <v>64</v>
      </c>
      <c r="H243" s="6">
        <v>-80600</v>
      </c>
      <c r="I243" s="3" t="s">
        <v>19</v>
      </c>
      <c r="J243" s="3" t="s">
        <v>15</v>
      </c>
      <c r="K243" s="3" t="s">
        <v>15</v>
      </c>
      <c r="L243" s="3" t="s">
        <v>487</v>
      </c>
      <c r="M243" s="4">
        <v>46284</v>
      </c>
      <c r="N243" s="3" t="s">
        <v>482</v>
      </c>
      <c r="O243" s="3" t="s">
        <v>95</v>
      </c>
      <c r="P243" t="str">
        <f t="shared" si="3"/>
        <v>450013886960</v>
      </c>
      <c r="Q243" s="9" cm="1">
        <f t="array" ref="Q243:S243">VLOOKUP(P243,Hoja1!C:F,{2,3,4},FALSE)</f>
        <v>46291</v>
      </c>
      <c r="R243" t="str">
        <v>C01</v>
      </c>
      <c r="S243" t="str">
        <v>1000007451 FLORES CARLOS FELIPE Y OTROS S H</v>
      </c>
      <c r="T243" t="str">
        <f>VLOOKUP(P243,Hoja2!C:D,2,FALSE)</f>
        <v>AZAPANA</v>
      </c>
    </row>
    <row r="244" spans="1:20" x14ac:dyDescent="0.3">
      <c r="A244" s="2" t="s">
        <v>15</v>
      </c>
      <c r="B244" s="3" t="s">
        <v>15</v>
      </c>
      <c r="C244" s="3" t="s">
        <v>480</v>
      </c>
      <c r="D244" s="3" t="s">
        <v>15</v>
      </c>
      <c r="E244" s="3" t="s">
        <v>197</v>
      </c>
      <c r="F244" s="4">
        <v>46284</v>
      </c>
      <c r="G244" s="3" t="s">
        <v>64</v>
      </c>
      <c r="H244" s="6">
        <v>-40300</v>
      </c>
      <c r="I244" s="3" t="s">
        <v>19</v>
      </c>
      <c r="J244" s="3" t="s">
        <v>15</v>
      </c>
      <c r="K244" s="3" t="s">
        <v>15</v>
      </c>
      <c r="L244" s="3" t="s">
        <v>488</v>
      </c>
      <c r="M244" s="4">
        <v>46284</v>
      </c>
      <c r="N244" s="3" t="s">
        <v>482</v>
      </c>
      <c r="O244" s="3" t="s">
        <v>141</v>
      </c>
      <c r="P244" t="str">
        <f t="shared" si="3"/>
        <v>450013886970</v>
      </c>
      <c r="Q244" s="9" cm="1">
        <f t="array" ref="Q244:S244">VLOOKUP(P244,Hoja1!C:F,{2,3,4},FALSE)</f>
        <v>46291</v>
      </c>
      <c r="R244" t="str">
        <v>C01</v>
      </c>
      <c r="S244" t="str">
        <v>1000007451 FLORES CARLOS FELIPE Y OTROS S H</v>
      </c>
      <c r="T244" t="str">
        <f>VLOOKUP(P244,Hoja2!C:D,2,FALSE)</f>
        <v>AZAPANA</v>
      </c>
    </row>
    <row r="245" spans="1:20" x14ac:dyDescent="0.3">
      <c r="A245" s="2" t="s">
        <v>15</v>
      </c>
      <c r="B245" s="3" t="s">
        <v>15</v>
      </c>
      <c r="C245" s="3" t="s">
        <v>480</v>
      </c>
      <c r="D245" s="3" t="s">
        <v>15</v>
      </c>
      <c r="E245" s="3" t="s">
        <v>197</v>
      </c>
      <c r="F245" s="4">
        <v>46284</v>
      </c>
      <c r="G245" s="3" t="s">
        <v>64</v>
      </c>
      <c r="H245" s="6">
        <v>-100750</v>
      </c>
      <c r="I245" s="3" t="s">
        <v>19</v>
      </c>
      <c r="J245" s="3" t="s">
        <v>15</v>
      </c>
      <c r="K245" s="3" t="s">
        <v>15</v>
      </c>
      <c r="L245" s="3" t="s">
        <v>489</v>
      </c>
      <c r="M245" s="4">
        <v>46284</v>
      </c>
      <c r="N245" s="3" t="s">
        <v>482</v>
      </c>
      <c r="O245" s="3" t="s">
        <v>351</v>
      </c>
      <c r="P245" t="str">
        <f t="shared" si="3"/>
        <v>450013886980</v>
      </c>
      <c r="Q245" s="9" cm="1">
        <f t="array" ref="Q245:S245">VLOOKUP(P245,Hoja1!C:F,{2,3,4},FALSE)</f>
        <v>46291</v>
      </c>
      <c r="R245" t="str">
        <v>C01</v>
      </c>
      <c r="S245" t="str">
        <v>1000007451 FLORES CARLOS FELIPE Y OTROS S H</v>
      </c>
      <c r="T245" t="str">
        <f>VLOOKUP(P245,Hoja2!C:D,2,FALSE)</f>
        <v>AZAPANA</v>
      </c>
    </row>
    <row r="246" spans="1:20" x14ac:dyDescent="0.3">
      <c r="A246" s="2" t="s">
        <v>15</v>
      </c>
      <c r="B246" s="3" t="s">
        <v>15</v>
      </c>
      <c r="C246" s="3" t="s">
        <v>480</v>
      </c>
      <c r="D246" s="3" t="s">
        <v>15</v>
      </c>
      <c r="E246" s="3" t="s">
        <v>197</v>
      </c>
      <c r="F246" s="4">
        <v>46284</v>
      </c>
      <c r="G246" s="3" t="s">
        <v>64</v>
      </c>
      <c r="H246" s="6">
        <v>-40300</v>
      </c>
      <c r="I246" s="3" t="s">
        <v>19</v>
      </c>
      <c r="J246" s="3" t="s">
        <v>15</v>
      </c>
      <c r="K246" s="3" t="s">
        <v>15</v>
      </c>
      <c r="L246" s="3" t="s">
        <v>490</v>
      </c>
      <c r="M246" s="4">
        <v>46284</v>
      </c>
      <c r="N246" s="3" t="s">
        <v>482</v>
      </c>
      <c r="O246" s="3" t="s">
        <v>158</v>
      </c>
      <c r="P246" t="str">
        <f t="shared" si="3"/>
        <v>450013886990</v>
      </c>
      <c r="Q246" s="9" cm="1">
        <f t="array" ref="Q246:S246">VLOOKUP(P246,Hoja1!C:F,{2,3,4},FALSE)</f>
        <v>46291</v>
      </c>
      <c r="R246" t="str">
        <v>C01</v>
      </c>
      <c r="S246" t="str">
        <v>1000007451 FLORES CARLOS FELIPE Y OTROS S H</v>
      </c>
      <c r="T246" t="str">
        <f>VLOOKUP(P246,Hoja2!C:D,2,FALSE)</f>
        <v>AZAPANA</v>
      </c>
    </row>
    <row r="247" spans="1:20" x14ac:dyDescent="0.3">
      <c r="A247" s="2" t="s">
        <v>15</v>
      </c>
      <c r="B247" s="3" t="s">
        <v>15</v>
      </c>
      <c r="C247" s="3" t="s">
        <v>480</v>
      </c>
      <c r="D247" s="3" t="s">
        <v>15</v>
      </c>
      <c r="E247" s="3" t="s">
        <v>197</v>
      </c>
      <c r="F247" s="4">
        <v>46284</v>
      </c>
      <c r="G247" s="3" t="s">
        <v>64</v>
      </c>
      <c r="H247" s="6">
        <v>-100750</v>
      </c>
      <c r="I247" s="3" t="s">
        <v>19</v>
      </c>
      <c r="J247" s="3" t="s">
        <v>15</v>
      </c>
      <c r="K247" s="3" t="s">
        <v>15</v>
      </c>
      <c r="L247" s="3" t="s">
        <v>491</v>
      </c>
      <c r="M247" s="4">
        <v>46284</v>
      </c>
      <c r="N247" s="3" t="s">
        <v>482</v>
      </c>
      <c r="O247" s="3" t="s">
        <v>156</v>
      </c>
      <c r="P247" t="str">
        <f t="shared" si="3"/>
        <v>4500138869100</v>
      </c>
      <c r="Q247" s="9" cm="1">
        <f t="array" ref="Q247:S247">VLOOKUP(P247,Hoja1!C:F,{2,3,4},FALSE)</f>
        <v>46291</v>
      </c>
      <c r="R247" t="str">
        <v>C01</v>
      </c>
      <c r="S247" t="str">
        <v>1000007451 FLORES CARLOS FELIPE Y OTROS S H</v>
      </c>
      <c r="T247" t="str">
        <f>VLOOKUP(P247,Hoja2!C:D,2,FALSE)</f>
        <v>AZAPANA</v>
      </c>
    </row>
    <row r="248" spans="1:20" x14ac:dyDescent="0.3">
      <c r="A248" s="2" t="s">
        <v>15</v>
      </c>
      <c r="B248" s="3" t="s">
        <v>15</v>
      </c>
      <c r="C248" s="3" t="s">
        <v>480</v>
      </c>
      <c r="D248" s="3" t="s">
        <v>15</v>
      </c>
      <c r="E248" s="3" t="s">
        <v>197</v>
      </c>
      <c r="F248" s="4">
        <v>46284</v>
      </c>
      <c r="G248" s="3" t="s">
        <v>64</v>
      </c>
      <c r="H248" s="6">
        <v>-60450</v>
      </c>
      <c r="I248" s="3" t="s">
        <v>19</v>
      </c>
      <c r="J248" s="3" t="s">
        <v>15</v>
      </c>
      <c r="K248" s="3" t="s">
        <v>15</v>
      </c>
      <c r="L248" s="3" t="s">
        <v>492</v>
      </c>
      <c r="M248" s="4">
        <v>46284</v>
      </c>
      <c r="N248" s="3" t="s">
        <v>482</v>
      </c>
      <c r="O248" s="3" t="s">
        <v>148</v>
      </c>
      <c r="P248" t="str">
        <f t="shared" si="3"/>
        <v>4500138869110</v>
      </c>
      <c r="Q248" s="9" cm="1">
        <f t="array" ref="Q248:S248">VLOOKUP(P248,Hoja1!C:F,{2,3,4},FALSE)</f>
        <v>46291</v>
      </c>
      <c r="R248" t="str">
        <v>C01</v>
      </c>
      <c r="S248" t="str">
        <v>1000007451 FLORES CARLOS FELIPE Y OTROS S H</v>
      </c>
      <c r="T248" t="str">
        <f>VLOOKUP(P248,Hoja2!C:D,2,FALSE)</f>
        <v>AZAPANA</v>
      </c>
    </row>
    <row r="249" spans="1:20" x14ac:dyDescent="0.3">
      <c r="A249" s="2" t="s">
        <v>15</v>
      </c>
      <c r="B249" s="3" t="s">
        <v>15</v>
      </c>
      <c r="C249" s="3" t="s">
        <v>480</v>
      </c>
      <c r="D249" s="3" t="s">
        <v>15</v>
      </c>
      <c r="E249" s="3" t="s">
        <v>197</v>
      </c>
      <c r="F249" s="4">
        <v>46284</v>
      </c>
      <c r="G249" s="3" t="s">
        <v>64</v>
      </c>
      <c r="H249" s="6">
        <v>-80600</v>
      </c>
      <c r="I249" s="3" t="s">
        <v>19</v>
      </c>
      <c r="J249" s="3" t="s">
        <v>15</v>
      </c>
      <c r="K249" s="3" t="s">
        <v>15</v>
      </c>
      <c r="L249" s="3" t="s">
        <v>493</v>
      </c>
      <c r="M249" s="4">
        <v>46284</v>
      </c>
      <c r="N249" s="3" t="s">
        <v>482</v>
      </c>
      <c r="O249" s="3" t="s">
        <v>151</v>
      </c>
      <c r="P249" t="str">
        <f t="shared" si="3"/>
        <v>4500138869120</v>
      </c>
      <c r="Q249" s="9" cm="1">
        <f t="array" ref="Q249:S249">VLOOKUP(P249,Hoja1!C:F,{2,3,4},FALSE)</f>
        <v>46291</v>
      </c>
      <c r="R249" t="str">
        <v>C01</v>
      </c>
      <c r="S249" t="str">
        <v>1000007451 FLORES CARLOS FELIPE Y OTROS S H</v>
      </c>
      <c r="T249" t="str">
        <f>VLOOKUP(P249,Hoja2!C:D,2,FALSE)</f>
        <v>AZAPANA</v>
      </c>
    </row>
    <row r="250" spans="1:20" x14ac:dyDescent="0.3">
      <c r="A250" s="2" t="s">
        <v>15</v>
      </c>
      <c r="B250" s="3" t="s">
        <v>15</v>
      </c>
      <c r="C250" s="3" t="s">
        <v>480</v>
      </c>
      <c r="D250" s="3" t="s">
        <v>15</v>
      </c>
      <c r="E250" s="3" t="s">
        <v>197</v>
      </c>
      <c r="F250" s="4">
        <v>46284</v>
      </c>
      <c r="G250" s="3" t="s">
        <v>64</v>
      </c>
      <c r="H250" s="6">
        <v>-40300</v>
      </c>
      <c r="I250" s="3" t="s">
        <v>19</v>
      </c>
      <c r="J250" s="3" t="s">
        <v>15</v>
      </c>
      <c r="K250" s="3" t="s">
        <v>15</v>
      </c>
      <c r="L250" s="3" t="s">
        <v>494</v>
      </c>
      <c r="M250" s="4">
        <v>46284</v>
      </c>
      <c r="N250" s="3" t="s">
        <v>482</v>
      </c>
      <c r="O250" s="3" t="s">
        <v>464</v>
      </c>
      <c r="P250" t="str">
        <f t="shared" si="3"/>
        <v>4500138869130</v>
      </c>
      <c r="Q250" s="9" cm="1">
        <f t="array" ref="Q250:S250">VLOOKUP(P250,Hoja1!C:F,{2,3,4},FALSE)</f>
        <v>46291</v>
      </c>
      <c r="R250" t="str">
        <v>C01</v>
      </c>
      <c r="S250" t="str">
        <v>1000007451 FLORES CARLOS FELIPE Y OTROS S H</v>
      </c>
      <c r="T250" t="str">
        <f>VLOOKUP(P250,Hoja2!C:D,2,FALSE)</f>
        <v>AZAPANA</v>
      </c>
    </row>
    <row r="251" spans="1:20" x14ac:dyDescent="0.3">
      <c r="A251" s="2" t="s">
        <v>15</v>
      </c>
      <c r="B251" s="3" t="s">
        <v>15</v>
      </c>
      <c r="C251" s="3" t="s">
        <v>480</v>
      </c>
      <c r="D251" s="3" t="s">
        <v>15</v>
      </c>
      <c r="E251" s="3" t="s">
        <v>197</v>
      </c>
      <c r="F251" s="4">
        <v>46284</v>
      </c>
      <c r="G251" s="3" t="s">
        <v>64</v>
      </c>
      <c r="H251" s="6">
        <v>-80600</v>
      </c>
      <c r="I251" s="3" t="s">
        <v>19</v>
      </c>
      <c r="J251" s="3" t="s">
        <v>15</v>
      </c>
      <c r="K251" s="3" t="s">
        <v>15</v>
      </c>
      <c r="L251" s="3" t="s">
        <v>495</v>
      </c>
      <c r="M251" s="4">
        <v>46284</v>
      </c>
      <c r="N251" s="3" t="s">
        <v>482</v>
      </c>
      <c r="O251" s="3" t="s">
        <v>466</v>
      </c>
      <c r="P251" t="str">
        <f t="shared" si="3"/>
        <v>4500138869140</v>
      </c>
      <c r="Q251" s="9" cm="1">
        <f t="array" ref="Q251:S251">VLOOKUP(P251,Hoja1!C:F,{2,3,4},FALSE)</f>
        <v>46291</v>
      </c>
      <c r="R251" t="str">
        <v>C01</v>
      </c>
      <c r="S251" t="str">
        <v>1000007451 FLORES CARLOS FELIPE Y OTROS S H</v>
      </c>
      <c r="T251" t="str">
        <f>VLOOKUP(P251,Hoja2!C:D,2,FALSE)</f>
        <v>AZAPANA</v>
      </c>
    </row>
    <row r="252" spans="1:20" x14ac:dyDescent="0.3">
      <c r="A252" s="2" t="s">
        <v>15</v>
      </c>
      <c r="B252" s="3" t="s">
        <v>15</v>
      </c>
      <c r="C252" s="3" t="s">
        <v>480</v>
      </c>
      <c r="D252" s="3" t="s">
        <v>15</v>
      </c>
      <c r="E252" s="3" t="s">
        <v>197</v>
      </c>
      <c r="F252" s="4">
        <v>46284</v>
      </c>
      <c r="G252" s="3" t="s">
        <v>64</v>
      </c>
      <c r="H252" s="6">
        <v>-100750</v>
      </c>
      <c r="I252" s="3" t="s">
        <v>19</v>
      </c>
      <c r="J252" s="3" t="s">
        <v>15</v>
      </c>
      <c r="K252" s="3" t="s">
        <v>15</v>
      </c>
      <c r="L252" s="3" t="s">
        <v>496</v>
      </c>
      <c r="M252" s="4">
        <v>46284</v>
      </c>
      <c r="N252" s="3" t="s">
        <v>482</v>
      </c>
      <c r="O252" s="3" t="s">
        <v>468</v>
      </c>
      <c r="P252" t="str">
        <f t="shared" si="3"/>
        <v>4500138869150</v>
      </c>
      <c r="Q252" s="9" cm="1">
        <f t="array" ref="Q252:S252">VLOOKUP(P252,Hoja1!C:F,{2,3,4},FALSE)</f>
        <v>46291</v>
      </c>
      <c r="R252" t="str">
        <v>C01</v>
      </c>
      <c r="S252" t="str">
        <v>1000007451 FLORES CARLOS FELIPE Y OTROS S H</v>
      </c>
      <c r="T252" t="str">
        <f>VLOOKUP(P252,Hoja2!C:D,2,FALSE)</f>
        <v>AZAPANA</v>
      </c>
    </row>
    <row r="253" spans="1:20" x14ac:dyDescent="0.3">
      <c r="A253" s="2" t="s">
        <v>15</v>
      </c>
      <c r="B253" s="3" t="s">
        <v>15</v>
      </c>
      <c r="C253" s="3" t="s">
        <v>480</v>
      </c>
      <c r="D253" s="3" t="s">
        <v>15</v>
      </c>
      <c r="E253" s="3" t="s">
        <v>197</v>
      </c>
      <c r="F253" s="4">
        <v>46284</v>
      </c>
      <c r="G253" s="3" t="s">
        <v>64</v>
      </c>
      <c r="H253" s="6">
        <v>-121422.51</v>
      </c>
      <c r="I253" s="3" t="s">
        <v>19</v>
      </c>
      <c r="J253" s="3" t="s">
        <v>15</v>
      </c>
      <c r="K253" s="3" t="s">
        <v>15</v>
      </c>
      <c r="L253" s="3" t="s">
        <v>497</v>
      </c>
      <c r="M253" s="4">
        <v>46284</v>
      </c>
      <c r="N253" s="3" t="s">
        <v>482</v>
      </c>
      <c r="O253" s="3" t="s">
        <v>498</v>
      </c>
      <c r="P253" t="str">
        <f t="shared" si="3"/>
        <v>4500138869160</v>
      </c>
      <c r="Q253" s="9" cm="1">
        <f t="array" ref="Q253:S253">VLOOKUP(P253,Hoja1!C:F,{2,3,4},FALSE)</f>
        <v>46291</v>
      </c>
      <c r="R253" t="str">
        <v>C01</v>
      </c>
      <c r="S253" t="str">
        <v>1000007451 FLORES CARLOS FELIPE Y OTROS S H</v>
      </c>
      <c r="T253" t="str">
        <f>VLOOKUP(P253,Hoja2!C:D,2,FALSE)</f>
        <v>AZAPANA</v>
      </c>
    </row>
    <row r="254" spans="1:20" x14ac:dyDescent="0.3">
      <c r="A254" s="2" t="s">
        <v>15</v>
      </c>
      <c r="B254" s="3" t="s">
        <v>15</v>
      </c>
      <c r="C254" s="3" t="s">
        <v>499</v>
      </c>
      <c r="D254" s="3" t="s">
        <v>56</v>
      </c>
      <c r="E254" s="3" t="s">
        <v>197</v>
      </c>
      <c r="F254" s="4">
        <v>46286</v>
      </c>
      <c r="G254" s="3" t="s">
        <v>64</v>
      </c>
      <c r="H254" s="6">
        <v>-604000</v>
      </c>
      <c r="I254" s="3" t="s">
        <v>19</v>
      </c>
      <c r="J254" s="3" t="s">
        <v>15</v>
      </c>
      <c r="K254" s="3" t="s">
        <v>15</v>
      </c>
      <c r="L254" s="3" t="s">
        <v>500</v>
      </c>
      <c r="M254" s="4">
        <v>46286</v>
      </c>
      <c r="N254" s="3" t="s">
        <v>173</v>
      </c>
      <c r="O254" s="3" t="s">
        <v>23</v>
      </c>
      <c r="P254" t="str">
        <f t="shared" si="3"/>
        <v>450013900410</v>
      </c>
      <c r="Q254" s="9" cm="1">
        <f t="array" ref="Q254:S254">VLOOKUP(P254,Hoja1!C:F,{2,3,4},FALSE)</f>
        <v>46289</v>
      </c>
      <c r="R254" t="str">
        <v>C25</v>
      </c>
      <c r="S254" t="str">
        <v>1000001691 LENOR SRL</v>
      </c>
      <c r="T254" t="str">
        <f>VLOOKUP(P254,Hoja2!C:D,2,FALSE)</f>
        <v>MPITTIA</v>
      </c>
    </row>
    <row r="255" spans="1:20" x14ac:dyDescent="0.3">
      <c r="A255" s="2" t="s">
        <v>15</v>
      </c>
      <c r="B255" s="3" t="s">
        <v>15</v>
      </c>
      <c r="C255" s="3" t="s">
        <v>499</v>
      </c>
      <c r="D255" s="3" t="s">
        <v>56</v>
      </c>
      <c r="E255" s="3" t="s">
        <v>197</v>
      </c>
      <c r="F255" s="4">
        <v>46286</v>
      </c>
      <c r="G255" s="3" t="s">
        <v>64</v>
      </c>
      <c r="H255" s="6">
        <v>-1268400</v>
      </c>
      <c r="I255" s="3" t="s">
        <v>19</v>
      </c>
      <c r="J255" s="3" t="s">
        <v>15</v>
      </c>
      <c r="K255" s="3" t="s">
        <v>15</v>
      </c>
      <c r="L255" s="3" t="s">
        <v>501</v>
      </c>
      <c r="M255" s="4">
        <v>46286</v>
      </c>
      <c r="N255" s="3" t="s">
        <v>173</v>
      </c>
      <c r="O255" s="3" t="s">
        <v>62</v>
      </c>
      <c r="P255" t="str">
        <f t="shared" si="3"/>
        <v>450013900420</v>
      </c>
      <c r="Q255" s="9" cm="1">
        <f t="array" ref="Q255:S255">VLOOKUP(P255,Hoja1!C:F,{2,3,4},FALSE)</f>
        <v>46289</v>
      </c>
      <c r="R255" t="str">
        <v>C25</v>
      </c>
      <c r="S255" t="str">
        <v>1000001691 LENOR SRL</v>
      </c>
      <c r="T255" t="str">
        <f>VLOOKUP(P255,Hoja2!C:D,2,FALSE)</f>
        <v>MPITTIA</v>
      </c>
    </row>
    <row r="256" spans="1:20" x14ac:dyDescent="0.3">
      <c r="A256" s="2" t="s">
        <v>15</v>
      </c>
      <c r="B256" s="3" t="s">
        <v>15</v>
      </c>
      <c r="C256" s="3" t="s">
        <v>499</v>
      </c>
      <c r="D256" s="3" t="s">
        <v>56</v>
      </c>
      <c r="E256" s="3" t="s">
        <v>197</v>
      </c>
      <c r="F256" s="4">
        <v>46286</v>
      </c>
      <c r="G256" s="3" t="s">
        <v>64</v>
      </c>
      <c r="H256" s="6">
        <v>-90600</v>
      </c>
      <c r="I256" s="3" t="s">
        <v>19</v>
      </c>
      <c r="J256" s="3" t="s">
        <v>15</v>
      </c>
      <c r="K256" s="3" t="s">
        <v>15</v>
      </c>
      <c r="L256" s="3" t="s">
        <v>502</v>
      </c>
      <c r="M256" s="4">
        <v>46286</v>
      </c>
      <c r="N256" s="3" t="s">
        <v>173</v>
      </c>
      <c r="O256" s="3" t="s">
        <v>49</v>
      </c>
      <c r="P256" t="str">
        <f t="shared" si="3"/>
        <v>450013900430</v>
      </c>
      <c r="Q256" s="9" cm="1">
        <f t="array" ref="Q256:S256">VLOOKUP(P256,Hoja1!C:F,{2,3,4},FALSE)</f>
        <v>46289</v>
      </c>
      <c r="R256" t="str">
        <v>C25</v>
      </c>
      <c r="S256" t="str">
        <v>1000001691 LENOR SRL</v>
      </c>
      <c r="T256" t="str">
        <f>VLOOKUP(P256,Hoja2!C:D,2,FALSE)</f>
        <v>MPITTIA</v>
      </c>
    </row>
    <row r="257" spans="1:20" x14ac:dyDescent="0.3">
      <c r="A257" s="2" t="s">
        <v>15</v>
      </c>
      <c r="B257" s="3" t="s">
        <v>15</v>
      </c>
      <c r="C257" s="3" t="s">
        <v>503</v>
      </c>
      <c r="D257" s="3" t="s">
        <v>15</v>
      </c>
      <c r="E257" s="3" t="s">
        <v>197</v>
      </c>
      <c r="F257" s="4">
        <v>46286</v>
      </c>
      <c r="G257" s="3" t="s">
        <v>64</v>
      </c>
      <c r="H257" s="6">
        <v>-213151.6</v>
      </c>
      <c r="I257" s="3" t="s">
        <v>19</v>
      </c>
      <c r="J257" s="3" t="s">
        <v>15</v>
      </c>
      <c r="K257" s="3" t="s">
        <v>15</v>
      </c>
      <c r="L257" s="3" t="s">
        <v>504</v>
      </c>
      <c r="M257" s="4">
        <v>46286</v>
      </c>
      <c r="N257" s="3" t="s">
        <v>137</v>
      </c>
      <c r="O257" s="3" t="s">
        <v>23</v>
      </c>
      <c r="P257" t="str">
        <f t="shared" si="3"/>
        <v>450013901110</v>
      </c>
      <c r="Q257" s="9" cm="1">
        <f t="array" ref="Q257:S257">VLOOKUP(P257,Hoja1!C:F,{2,3,4},FALSE)</f>
        <v>46303</v>
      </c>
      <c r="R257" t="str">
        <v>C01</v>
      </c>
      <c r="S257" t="str">
        <v>1000003040 LOPEZ DIESEL S.A.</v>
      </c>
      <c r="T257" t="str">
        <f>VLOOKUP(P257,Hoja2!C:D,2,FALSE)</f>
        <v>AZAPANA</v>
      </c>
    </row>
    <row r="258" spans="1:20" x14ac:dyDescent="0.3">
      <c r="A258" s="2" t="s">
        <v>15</v>
      </c>
      <c r="B258" s="3" t="s">
        <v>15</v>
      </c>
      <c r="C258" s="3" t="s">
        <v>505</v>
      </c>
      <c r="D258" s="3" t="s">
        <v>15</v>
      </c>
      <c r="E258" s="3" t="s">
        <v>197</v>
      </c>
      <c r="F258" s="4">
        <v>46286</v>
      </c>
      <c r="G258" s="3" t="s">
        <v>64</v>
      </c>
      <c r="H258" s="6">
        <v>-507360</v>
      </c>
      <c r="I258" s="3" t="s">
        <v>19</v>
      </c>
      <c r="J258" s="3" t="s">
        <v>15</v>
      </c>
      <c r="K258" s="3" t="s">
        <v>15</v>
      </c>
      <c r="L258" s="3" t="s">
        <v>506</v>
      </c>
      <c r="M258" s="4">
        <v>46286</v>
      </c>
      <c r="N258" s="3" t="s">
        <v>507</v>
      </c>
      <c r="O258" s="3" t="s">
        <v>23</v>
      </c>
      <c r="P258" t="str">
        <f t="shared" si="3"/>
        <v>450013835810</v>
      </c>
      <c r="Q258" s="9" cm="1">
        <f t="array" ref="Q258:S258">VLOOKUP(P258,Hoja1!C:F,{2,3,4},FALSE)</f>
        <v>46283</v>
      </c>
      <c r="R258" t="str">
        <v>G04</v>
      </c>
      <c r="S258" t="str">
        <v>1000000190 FERNANDEZ INSUA S.A.</v>
      </c>
      <c r="T258" t="str">
        <f>VLOOKUP(P258,Hoja2!C:D,2,FALSE)</f>
        <v>RPEREZ</v>
      </c>
    </row>
    <row r="259" spans="1:20" x14ac:dyDescent="0.3">
      <c r="A259" s="2" t="s">
        <v>15</v>
      </c>
      <c r="B259" s="3" t="s">
        <v>15</v>
      </c>
      <c r="C259" s="3" t="s">
        <v>508</v>
      </c>
      <c r="D259" s="3" t="s">
        <v>15</v>
      </c>
      <c r="E259" s="3" t="s">
        <v>197</v>
      </c>
      <c r="F259" s="4">
        <v>46287</v>
      </c>
      <c r="G259" s="3" t="s">
        <v>64</v>
      </c>
      <c r="H259" s="6">
        <v>-46912.59</v>
      </c>
      <c r="I259" s="3" t="s">
        <v>19</v>
      </c>
      <c r="J259" s="3" t="s">
        <v>15</v>
      </c>
      <c r="K259" s="3" t="s">
        <v>15</v>
      </c>
      <c r="L259" s="3" t="s">
        <v>509</v>
      </c>
      <c r="M259" s="4">
        <v>46287</v>
      </c>
      <c r="N259" s="3" t="s">
        <v>510</v>
      </c>
      <c r="O259" s="3" t="s">
        <v>23</v>
      </c>
      <c r="P259" t="str">
        <f t="shared" ref="P259:P322" si="4">_xlfn.CONCAT(N259:O259)</f>
        <v>450013906210</v>
      </c>
      <c r="Q259" s="9" cm="1">
        <f t="array" ref="Q259:S259">VLOOKUP(P259,Hoja1!C:F,{2,3,4},FALSE)</f>
        <v>46294</v>
      </c>
      <c r="R259" t="str">
        <v>F03</v>
      </c>
      <c r="S259" t="str">
        <v>1000008805 SAKURA MOTORS S. A.</v>
      </c>
      <c r="T259" t="str">
        <f>VLOOKUP(P259,Hoja2!C:D,2,FALSE)</f>
        <v>RPEREZ</v>
      </c>
    </row>
    <row r="260" spans="1:20" x14ac:dyDescent="0.3">
      <c r="A260" s="2" t="s">
        <v>15</v>
      </c>
      <c r="B260" s="3" t="s">
        <v>15</v>
      </c>
      <c r="C260" s="3" t="s">
        <v>508</v>
      </c>
      <c r="D260" s="3" t="s">
        <v>15</v>
      </c>
      <c r="E260" s="3" t="s">
        <v>197</v>
      </c>
      <c r="F260" s="4">
        <v>46287</v>
      </c>
      <c r="G260" s="3" t="s">
        <v>64</v>
      </c>
      <c r="H260" s="6">
        <v>-82241.64</v>
      </c>
      <c r="I260" s="3" t="s">
        <v>19</v>
      </c>
      <c r="J260" s="3" t="s">
        <v>15</v>
      </c>
      <c r="K260" s="3" t="s">
        <v>15</v>
      </c>
      <c r="L260" s="3" t="s">
        <v>511</v>
      </c>
      <c r="M260" s="4">
        <v>46287</v>
      </c>
      <c r="N260" s="3" t="s">
        <v>510</v>
      </c>
      <c r="O260" s="3" t="s">
        <v>62</v>
      </c>
      <c r="P260" t="str">
        <f t="shared" si="4"/>
        <v>450013906220</v>
      </c>
      <c r="Q260" s="9" cm="1">
        <f t="array" ref="Q260:S260">VLOOKUP(P260,Hoja1!C:F,{2,3,4},FALSE)</f>
        <v>46294</v>
      </c>
      <c r="R260" t="str">
        <v>F03</v>
      </c>
      <c r="S260" t="str">
        <v>1000008805 SAKURA MOTORS S. A.</v>
      </c>
      <c r="T260" t="str">
        <f>VLOOKUP(P260,Hoja2!C:D,2,FALSE)</f>
        <v>RPEREZ</v>
      </c>
    </row>
    <row r="261" spans="1:20" x14ac:dyDescent="0.3">
      <c r="A261" s="2" t="s">
        <v>15</v>
      </c>
      <c r="B261" s="3" t="s">
        <v>15</v>
      </c>
      <c r="C261" s="3" t="s">
        <v>508</v>
      </c>
      <c r="D261" s="3" t="s">
        <v>15</v>
      </c>
      <c r="E261" s="3" t="s">
        <v>197</v>
      </c>
      <c r="F261" s="4">
        <v>46287</v>
      </c>
      <c r="G261" s="3" t="s">
        <v>64</v>
      </c>
      <c r="H261" s="6">
        <v>-192008.19</v>
      </c>
      <c r="I261" s="3" t="s">
        <v>19</v>
      </c>
      <c r="J261" s="3" t="s">
        <v>15</v>
      </c>
      <c r="K261" s="3" t="s">
        <v>15</v>
      </c>
      <c r="L261" s="3" t="s">
        <v>512</v>
      </c>
      <c r="M261" s="4">
        <v>46287</v>
      </c>
      <c r="N261" s="3" t="s">
        <v>510</v>
      </c>
      <c r="O261" s="3" t="s">
        <v>49</v>
      </c>
      <c r="P261" t="str">
        <f t="shared" si="4"/>
        <v>450013906230</v>
      </c>
      <c r="Q261" s="9" cm="1">
        <f t="array" ref="Q261:S261">VLOOKUP(P261,Hoja1!C:F,{2,3,4},FALSE)</f>
        <v>46294</v>
      </c>
      <c r="R261" t="str">
        <v>F03</v>
      </c>
      <c r="S261" t="str">
        <v>1000008805 SAKURA MOTORS S. A.</v>
      </c>
      <c r="T261" t="str">
        <f>VLOOKUP(P261,Hoja2!C:D,2,FALSE)</f>
        <v>RPEREZ</v>
      </c>
    </row>
    <row r="262" spans="1:20" x14ac:dyDescent="0.3">
      <c r="A262" s="2" t="s">
        <v>15</v>
      </c>
      <c r="B262" s="3" t="s">
        <v>15</v>
      </c>
      <c r="C262" s="3" t="s">
        <v>508</v>
      </c>
      <c r="D262" s="3" t="s">
        <v>15</v>
      </c>
      <c r="E262" s="3" t="s">
        <v>197</v>
      </c>
      <c r="F262" s="4">
        <v>46287</v>
      </c>
      <c r="G262" s="3" t="s">
        <v>64</v>
      </c>
      <c r="H262" s="6">
        <v>-299405.82</v>
      </c>
      <c r="I262" s="3" t="s">
        <v>19</v>
      </c>
      <c r="J262" s="3" t="s">
        <v>15</v>
      </c>
      <c r="K262" s="3" t="s">
        <v>15</v>
      </c>
      <c r="L262" s="3" t="s">
        <v>513</v>
      </c>
      <c r="M262" s="4">
        <v>46287</v>
      </c>
      <c r="N262" s="3" t="s">
        <v>510</v>
      </c>
      <c r="O262" s="3" t="s">
        <v>38</v>
      </c>
      <c r="P262" t="str">
        <f t="shared" si="4"/>
        <v>450013906240</v>
      </c>
      <c r="Q262" s="9" cm="1">
        <f t="array" ref="Q262:S262">VLOOKUP(P262,Hoja1!C:F,{2,3,4},FALSE)</f>
        <v>46294</v>
      </c>
      <c r="R262" t="str">
        <v>F03</v>
      </c>
      <c r="S262" t="str">
        <v>1000008805 SAKURA MOTORS S. A.</v>
      </c>
      <c r="T262" t="str">
        <f>VLOOKUP(P262,Hoja2!C:D,2,FALSE)</f>
        <v>RPEREZ</v>
      </c>
    </row>
    <row r="263" spans="1:20" x14ac:dyDescent="0.3">
      <c r="A263" s="2" t="s">
        <v>15</v>
      </c>
      <c r="B263" s="3" t="s">
        <v>15</v>
      </c>
      <c r="C263" s="3" t="s">
        <v>514</v>
      </c>
      <c r="D263" s="3" t="s">
        <v>15</v>
      </c>
      <c r="E263" s="3" t="s">
        <v>197</v>
      </c>
      <c r="F263" s="4">
        <v>46287</v>
      </c>
      <c r="G263" s="3" t="s">
        <v>64</v>
      </c>
      <c r="H263" s="6">
        <v>-122280.8</v>
      </c>
      <c r="I263" s="3" t="s">
        <v>19</v>
      </c>
      <c r="J263" s="3" t="s">
        <v>15</v>
      </c>
      <c r="K263" s="3" t="s">
        <v>15</v>
      </c>
      <c r="L263" s="3" t="s">
        <v>515</v>
      </c>
      <c r="M263" s="4">
        <v>46287</v>
      </c>
      <c r="N263" s="3" t="s">
        <v>516</v>
      </c>
      <c r="O263" s="3" t="s">
        <v>23</v>
      </c>
      <c r="P263" t="str">
        <f t="shared" si="4"/>
        <v>450013915110</v>
      </c>
      <c r="Q263" s="9" cm="1">
        <f t="array" ref="Q263:S263">VLOOKUP(P263,Hoja1!C:F,{2,3,4},FALSE)</f>
        <v>46293</v>
      </c>
      <c r="R263" t="str">
        <v>C01</v>
      </c>
      <c r="S263" t="str">
        <v>1000012333 GO CLEAN S.A.S.</v>
      </c>
      <c r="T263" t="str">
        <f>VLOOKUP(P263,Hoja2!C:D,2,FALSE)</f>
        <v>AZAPANA</v>
      </c>
    </row>
    <row r="264" spans="1:20" x14ac:dyDescent="0.3">
      <c r="A264" s="2" t="s">
        <v>15</v>
      </c>
      <c r="B264" s="3" t="s">
        <v>15</v>
      </c>
      <c r="C264" s="3" t="s">
        <v>517</v>
      </c>
      <c r="D264" s="3" t="s">
        <v>15</v>
      </c>
      <c r="E264" s="3" t="s">
        <v>197</v>
      </c>
      <c r="F264" s="4">
        <v>46287</v>
      </c>
      <c r="G264" s="3" t="s">
        <v>64</v>
      </c>
      <c r="H264" s="6">
        <v>-429752.8</v>
      </c>
      <c r="I264" s="3" t="s">
        <v>19</v>
      </c>
      <c r="J264" s="3" t="s">
        <v>15</v>
      </c>
      <c r="K264" s="3" t="s">
        <v>15</v>
      </c>
      <c r="L264" s="3" t="s">
        <v>518</v>
      </c>
      <c r="M264" s="4">
        <v>46287</v>
      </c>
      <c r="N264" s="3" t="s">
        <v>519</v>
      </c>
      <c r="O264" s="3" t="s">
        <v>62</v>
      </c>
      <c r="P264" t="str">
        <f t="shared" si="4"/>
        <v>450013897620</v>
      </c>
      <c r="Q264" s="9" cm="1">
        <f t="array" ref="Q264:S264">VLOOKUP(P264,Hoja1!C:F,{2,3,4},FALSE)</f>
        <v>46293</v>
      </c>
      <c r="R264" t="str">
        <v>C01</v>
      </c>
      <c r="S264" t="str">
        <v>1000010215 ARZE MIGUEL ANGEL</v>
      </c>
      <c r="T264" t="str">
        <f>VLOOKUP(P264,Hoja2!C:D,2,FALSE)</f>
        <v>AZAPANA</v>
      </c>
    </row>
    <row r="265" spans="1:20" x14ac:dyDescent="0.3">
      <c r="A265" s="2" t="s">
        <v>15</v>
      </c>
      <c r="B265" s="3" t="s">
        <v>15</v>
      </c>
      <c r="C265" s="3" t="s">
        <v>520</v>
      </c>
      <c r="D265" s="3" t="s">
        <v>15</v>
      </c>
      <c r="E265" s="3" t="s">
        <v>197</v>
      </c>
      <c r="F265" s="4">
        <v>46268</v>
      </c>
      <c r="G265" s="3" t="s">
        <v>64</v>
      </c>
      <c r="H265" s="6">
        <v>-34000</v>
      </c>
      <c r="I265" s="3" t="s">
        <v>19</v>
      </c>
      <c r="J265" s="3" t="s">
        <v>15</v>
      </c>
      <c r="K265" s="3" t="s">
        <v>15</v>
      </c>
      <c r="L265" s="3" t="s">
        <v>521</v>
      </c>
      <c r="M265" s="4">
        <v>46287</v>
      </c>
      <c r="N265" s="3" t="s">
        <v>169</v>
      </c>
      <c r="O265" s="3" t="s">
        <v>23</v>
      </c>
      <c r="P265" t="str">
        <f t="shared" si="4"/>
        <v>450013713010</v>
      </c>
      <c r="Q265" s="9" cm="1">
        <f t="array" ref="Q265:S265">VLOOKUP(P265,Hoja1!C:F,{2,3,4},FALSE)</f>
        <v>46287</v>
      </c>
      <c r="R265" t="str">
        <v>C03</v>
      </c>
      <c r="S265" t="str">
        <v>1000001035 SYS IMPORT S.R.L.</v>
      </c>
      <c r="T265" t="str">
        <f>VLOOKUP(P265,Hoja2!C:D,2,FALSE)</f>
        <v>WVENTURINI</v>
      </c>
    </row>
    <row r="266" spans="1:20" x14ac:dyDescent="0.3">
      <c r="A266" s="2" t="s">
        <v>15</v>
      </c>
      <c r="B266" s="3" t="s">
        <v>15</v>
      </c>
      <c r="C266" s="3" t="s">
        <v>520</v>
      </c>
      <c r="D266" s="3" t="s">
        <v>15</v>
      </c>
      <c r="E266" s="3" t="s">
        <v>197</v>
      </c>
      <c r="F266" s="4">
        <v>46268</v>
      </c>
      <c r="G266" s="3" t="s">
        <v>64</v>
      </c>
      <c r="H266" s="6">
        <v>-70000</v>
      </c>
      <c r="I266" s="3" t="s">
        <v>19</v>
      </c>
      <c r="J266" s="3" t="s">
        <v>15</v>
      </c>
      <c r="K266" s="3" t="s">
        <v>15</v>
      </c>
      <c r="L266" s="3" t="s">
        <v>522</v>
      </c>
      <c r="M266" s="4">
        <v>46287</v>
      </c>
      <c r="N266" s="3" t="s">
        <v>169</v>
      </c>
      <c r="O266" s="3" t="s">
        <v>62</v>
      </c>
      <c r="P266" t="str">
        <f t="shared" si="4"/>
        <v>450013713020</v>
      </c>
      <c r="Q266" s="9" cm="1">
        <f t="array" ref="Q266:S266">VLOOKUP(P266,Hoja1!C:F,{2,3,4},FALSE)</f>
        <v>46287</v>
      </c>
      <c r="R266" t="str">
        <v>C03</v>
      </c>
      <c r="S266" t="str">
        <v>1000001035 SYS IMPORT S.R.L.</v>
      </c>
      <c r="T266" t="str">
        <f>VLOOKUP(P266,Hoja2!C:D,2,FALSE)</f>
        <v>WVENTURINI</v>
      </c>
    </row>
    <row r="267" spans="1:20" x14ac:dyDescent="0.3">
      <c r="A267" s="2" t="s">
        <v>15</v>
      </c>
      <c r="B267" s="3" t="s">
        <v>15</v>
      </c>
      <c r="C267" s="3" t="s">
        <v>523</v>
      </c>
      <c r="D267" s="3" t="s">
        <v>15</v>
      </c>
      <c r="E267" s="3" t="s">
        <v>197</v>
      </c>
      <c r="F267" s="4">
        <v>46287</v>
      </c>
      <c r="G267" s="3" t="s">
        <v>64</v>
      </c>
      <c r="H267" s="6">
        <v>-184297.52</v>
      </c>
      <c r="I267" s="3" t="s">
        <v>19</v>
      </c>
      <c r="J267" s="3" t="s">
        <v>15</v>
      </c>
      <c r="K267" s="3" t="s">
        <v>15</v>
      </c>
      <c r="L267" s="3" t="s">
        <v>524</v>
      </c>
      <c r="M267" s="4">
        <v>46287</v>
      </c>
      <c r="N267" s="3" t="s">
        <v>525</v>
      </c>
      <c r="O267" s="3" t="s">
        <v>23</v>
      </c>
      <c r="P267" t="str">
        <f t="shared" si="4"/>
        <v>450013921510</v>
      </c>
      <c r="Q267" s="9" cm="1">
        <f t="array" ref="Q267:S267">VLOOKUP(P267,Hoja1!C:F,{2,3,4},FALSE)</f>
        <v>46295</v>
      </c>
      <c r="R267" t="str">
        <v>C01</v>
      </c>
      <c r="S267" t="str">
        <v>1000010025 RAMOS MARIO SEBASTIAN</v>
      </c>
      <c r="T267" t="str">
        <f>VLOOKUP(P267,Hoja2!C:D,2,FALSE)</f>
        <v>AZAPANA</v>
      </c>
    </row>
    <row r="268" spans="1:20" x14ac:dyDescent="0.3">
      <c r="A268" s="2" t="s">
        <v>15</v>
      </c>
      <c r="B268" s="3" t="s">
        <v>15</v>
      </c>
      <c r="C268" s="3" t="s">
        <v>526</v>
      </c>
      <c r="D268" s="3" t="s">
        <v>15</v>
      </c>
      <c r="E268" s="3" t="s">
        <v>197</v>
      </c>
      <c r="F268" s="4">
        <v>46287</v>
      </c>
      <c r="G268" s="3" t="s">
        <v>64</v>
      </c>
      <c r="H268" s="6">
        <v>-156111.6</v>
      </c>
      <c r="I268" s="3" t="s">
        <v>19</v>
      </c>
      <c r="J268" s="3" t="s">
        <v>15</v>
      </c>
      <c r="K268" s="3" t="s">
        <v>15</v>
      </c>
      <c r="L268" s="3" t="s">
        <v>527</v>
      </c>
      <c r="M268" s="4">
        <v>46287</v>
      </c>
      <c r="N268" s="3" t="s">
        <v>528</v>
      </c>
      <c r="O268" s="3" t="s">
        <v>351</v>
      </c>
      <c r="P268" t="str">
        <f t="shared" si="4"/>
        <v>450013919880</v>
      </c>
      <c r="Q268" s="9" cm="1">
        <f t="array" ref="Q268:S268">VLOOKUP(P268,Hoja1!C:F,{2,3,4},FALSE)</f>
        <v>46298</v>
      </c>
      <c r="R268" t="str">
        <v>C01</v>
      </c>
      <c r="S268" t="str">
        <v>1000012974 BLEXA S. A.</v>
      </c>
      <c r="T268" t="str">
        <f>VLOOKUP(P268,Hoja2!C:D,2,FALSE)</f>
        <v>AZAPANA</v>
      </c>
    </row>
    <row r="269" spans="1:20" x14ac:dyDescent="0.3">
      <c r="A269" s="2" t="s">
        <v>15</v>
      </c>
      <c r="B269" s="3" t="s">
        <v>15</v>
      </c>
      <c r="C269" s="3" t="s">
        <v>529</v>
      </c>
      <c r="D269" s="3" t="s">
        <v>15</v>
      </c>
      <c r="E269" s="3" t="s">
        <v>197</v>
      </c>
      <c r="F269" s="4">
        <v>46288</v>
      </c>
      <c r="G269" s="3" t="s">
        <v>64</v>
      </c>
      <c r="H269" s="6">
        <v>-249586.78</v>
      </c>
      <c r="I269" s="3" t="s">
        <v>19</v>
      </c>
      <c r="J269" s="3" t="s">
        <v>15</v>
      </c>
      <c r="K269" s="3" t="s">
        <v>15</v>
      </c>
      <c r="L269" s="3" t="s">
        <v>530</v>
      </c>
      <c r="M269" s="4">
        <v>46288</v>
      </c>
      <c r="N269" s="3" t="s">
        <v>531</v>
      </c>
      <c r="O269" s="3" t="s">
        <v>23</v>
      </c>
      <c r="P269" t="str">
        <f t="shared" si="4"/>
        <v>450013926110</v>
      </c>
      <c r="Q269" s="9" cm="1">
        <f t="array" ref="Q269:S269">VLOOKUP(P269,Hoja1!C:F,{2,3,4},FALSE)</f>
        <v>46295</v>
      </c>
      <c r="R269" t="str">
        <v>C01</v>
      </c>
      <c r="S269" t="str">
        <v>1000010025 RAMOS MARIO SEBASTIAN</v>
      </c>
      <c r="T269" t="str">
        <f>VLOOKUP(P269,Hoja2!C:D,2,FALSE)</f>
        <v>AZAPANA</v>
      </c>
    </row>
    <row r="270" spans="1:20" x14ac:dyDescent="0.3">
      <c r="A270" s="2" t="s">
        <v>15</v>
      </c>
      <c r="B270" s="3" t="s">
        <v>15</v>
      </c>
      <c r="C270" s="3" t="s">
        <v>532</v>
      </c>
      <c r="D270" s="3" t="s">
        <v>56</v>
      </c>
      <c r="E270" s="3" t="s">
        <v>197</v>
      </c>
      <c r="F270" s="4">
        <v>46282</v>
      </c>
      <c r="G270" s="3" t="s">
        <v>64</v>
      </c>
      <c r="H270" s="6">
        <v>-32756.15</v>
      </c>
      <c r="I270" s="3" t="s">
        <v>19</v>
      </c>
      <c r="J270" s="3" t="s">
        <v>15</v>
      </c>
      <c r="K270" s="3" t="s">
        <v>15</v>
      </c>
      <c r="L270" s="3" t="s">
        <v>533</v>
      </c>
      <c r="M270" s="4">
        <v>46288</v>
      </c>
      <c r="N270" s="3" t="s">
        <v>111</v>
      </c>
      <c r="O270" s="3" t="s">
        <v>23</v>
      </c>
      <c r="P270" t="str">
        <f t="shared" si="4"/>
        <v>450013635310</v>
      </c>
      <c r="Q270" s="9" cm="1">
        <f t="array" ref="Q270:S270">VLOOKUP(P270,Hoja1!C:F,{2,3,4},FALSE)</f>
        <v>46289</v>
      </c>
      <c r="R270" t="str">
        <v>C43</v>
      </c>
      <c r="S270" t="str">
        <v>1000001550 OLIVARES ANTONIO ALBERTO</v>
      </c>
      <c r="T270" t="str">
        <f>VLOOKUP(P270,Hoja2!C:D,2,FALSE)</f>
        <v>EFUNES</v>
      </c>
    </row>
    <row r="271" spans="1:20" x14ac:dyDescent="0.3">
      <c r="A271" s="2" t="s">
        <v>15</v>
      </c>
      <c r="B271" s="3" t="s">
        <v>15</v>
      </c>
      <c r="C271" s="3" t="s">
        <v>534</v>
      </c>
      <c r="D271" s="3" t="s">
        <v>15</v>
      </c>
      <c r="E271" s="3" t="s">
        <v>197</v>
      </c>
      <c r="F271" s="4">
        <v>46288</v>
      </c>
      <c r="G271" s="3" t="s">
        <v>64</v>
      </c>
      <c r="H271" s="6">
        <v>-233057.85</v>
      </c>
      <c r="I271" s="3" t="s">
        <v>19</v>
      </c>
      <c r="J271" s="3" t="s">
        <v>15</v>
      </c>
      <c r="K271" s="3" t="s">
        <v>15</v>
      </c>
      <c r="L271" s="3" t="s">
        <v>535</v>
      </c>
      <c r="M271" s="4">
        <v>46288</v>
      </c>
      <c r="N271" s="3" t="s">
        <v>536</v>
      </c>
      <c r="O271" s="3" t="s">
        <v>23</v>
      </c>
      <c r="P271" t="str">
        <f t="shared" si="4"/>
        <v>450013928110</v>
      </c>
      <c r="Q271" s="9" cm="1">
        <f t="array" ref="Q271:S271">VLOOKUP(P271,Hoja1!C:F,{2,3,4},FALSE)</f>
        <v>46285</v>
      </c>
      <c r="R271" t="str">
        <v>C01</v>
      </c>
      <c r="S271" t="str">
        <v>1000010025 RAMOS MARIO SEBASTIAN</v>
      </c>
      <c r="T271" t="str">
        <f>VLOOKUP(P271,Hoja2!C:D,2,FALSE)</f>
        <v>AZAPANA</v>
      </c>
    </row>
    <row r="272" spans="1:20" x14ac:dyDescent="0.3">
      <c r="A272" s="2" t="s">
        <v>15</v>
      </c>
      <c r="B272" s="3" t="s">
        <v>15</v>
      </c>
      <c r="C272" s="3" t="s">
        <v>537</v>
      </c>
      <c r="D272" s="3" t="s">
        <v>15</v>
      </c>
      <c r="E272" s="3" t="s">
        <v>197</v>
      </c>
      <c r="F272" s="4">
        <v>46288</v>
      </c>
      <c r="G272" s="3" t="s">
        <v>64</v>
      </c>
      <c r="H272" s="6">
        <v>-245454.55</v>
      </c>
      <c r="I272" s="3" t="s">
        <v>19</v>
      </c>
      <c r="J272" s="3" t="s">
        <v>15</v>
      </c>
      <c r="K272" s="3" t="s">
        <v>15</v>
      </c>
      <c r="L272" s="3" t="s">
        <v>538</v>
      </c>
      <c r="M272" s="4">
        <v>46288</v>
      </c>
      <c r="N272" s="3" t="s">
        <v>539</v>
      </c>
      <c r="O272" s="3" t="s">
        <v>23</v>
      </c>
      <c r="P272" t="str">
        <f t="shared" si="4"/>
        <v>450013928210</v>
      </c>
      <c r="Q272" s="9" cm="1">
        <f t="array" ref="Q272:S272">VLOOKUP(P272,Hoja1!C:F,{2,3,4},FALSE)</f>
        <v>46285</v>
      </c>
      <c r="R272" t="str">
        <v>C01</v>
      </c>
      <c r="S272" t="str">
        <v>1000010025 RAMOS MARIO SEBASTIAN</v>
      </c>
      <c r="T272" t="str">
        <f>VLOOKUP(P272,Hoja2!C:D,2,FALSE)</f>
        <v>AZAPANA</v>
      </c>
    </row>
    <row r="273" spans="1:20" x14ac:dyDescent="0.3">
      <c r="A273" s="2" t="s">
        <v>15</v>
      </c>
      <c r="B273" s="3" t="s">
        <v>15</v>
      </c>
      <c r="C273" s="3" t="s">
        <v>540</v>
      </c>
      <c r="D273" s="3" t="s">
        <v>15</v>
      </c>
      <c r="E273" s="3" t="s">
        <v>197</v>
      </c>
      <c r="F273" s="4">
        <v>46289</v>
      </c>
      <c r="G273" s="3" t="s">
        <v>64</v>
      </c>
      <c r="H273" s="6">
        <v>-157407.60999999999</v>
      </c>
      <c r="I273" s="3" t="s">
        <v>19</v>
      </c>
      <c r="J273" s="3" t="s">
        <v>15</v>
      </c>
      <c r="K273" s="3" t="s">
        <v>15</v>
      </c>
      <c r="L273" s="3" t="s">
        <v>541</v>
      </c>
      <c r="M273" s="4">
        <v>46289</v>
      </c>
      <c r="N273" s="3" t="s">
        <v>542</v>
      </c>
      <c r="O273" s="3" t="s">
        <v>23</v>
      </c>
      <c r="P273" t="str">
        <f t="shared" si="4"/>
        <v>450013916410</v>
      </c>
      <c r="Q273" s="9" cm="1">
        <f t="array" ref="Q273:S273">VLOOKUP(P273,Hoja1!C:F,{2,3,4},FALSE)</f>
        <v>46298</v>
      </c>
      <c r="R273" t="str">
        <v>F03</v>
      </c>
      <c r="S273" t="str">
        <v>1000000012 IGARRETA MAQUINAS S.A.</v>
      </c>
      <c r="T273" t="str">
        <f>VLOOKUP(P273,Hoja2!C:D,2,FALSE)</f>
        <v>RPEREZ</v>
      </c>
    </row>
    <row r="274" spans="1:20" x14ac:dyDescent="0.3">
      <c r="A274" s="2" t="s">
        <v>15</v>
      </c>
      <c r="B274" s="3" t="s">
        <v>15</v>
      </c>
      <c r="C274" s="3" t="s">
        <v>540</v>
      </c>
      <c r="D274" s="3" t="s">
        <v>15</v>
      </c>
      <c r="E274" s="3" t="s">
        <v>197</v>
      </c>
      <c r="F274" s="4">
        <v>46289</v>
      </c>
      <c r="G274" s="3" t="s">
        <v>64</v>
      </c>
      <c r="H274" s="6">
        <v>-142201.92000000001</v>
      </c>
      <c r="I274" s="3" t="s">
        <v>19</v>
      </c>
      <c r="J274" s="3" t="s">
        <v>15</v>
      </c>
      <c r="K274" s="3" t="s">
        <v>15</v>
      </c>
      <c r="L274" s="3" t="s">
        <v>543</v>
      </c>
      <c r="M274" s="4">
        <v>46289</v>
      </c>
      <c r="N274" s="3" t="s">
        <v>542</v>
      </c>
      <c r="O274" s="3" t="s">
        <v>62</v>
      </c>
      <c r="P274" t="str">
        <f t="shared" si="4"/>
        <v>450013916420</v>
      </c>
      <c r="Q274" s="9" cm="1">
        <f t="array" ref="Q274:S274">VLOOKUP(P274,Hoja1!C:F,{2,3,4},FALSE)</f>
        <v>46298</v>
      </c>
      <c r="R274" t="str">
        <v>F03</v>
      </c>
      <c r="S274" t="str">
        <v>1000000012 IGARRETA MAQUINAS S.A.</v>
      </c>
      <c r="T274" t="str">
        <f>VLOOKUP(P274,Hoja2!C:D,2,FALSE)</f>
        <v>RPEREZ</v>
      </c>
    </row>
    <row r="275" spans="1:20" x14ac:dyDescent="0.3">
      <c r="A275" s="2" t="s">
        <v>15</v>
      </c>
      <c r="B275" s="3" t="s">
        <v>15</v>
      </c>
      <c r="C275" s="3" t="s">
        <v>544</v>
      </c>
      <c r="D275" s="3" t="s">
        <v>15</v>
      </c>
      <c r="E275" s="3" t="s">
        <v>197</v>
      </c>
      <c r="F275" s="4">
        <v>46289</v>
      </c>
      <c r="G275" s="3" t="s">
        <v>64</v>
      </c>
      <c r="H275" s="6">
        <v>-139429.44</v>
      </c>
      <c r="I275" s="3" t="s">
        <v>19</v>
      </c>
      <c r="J275" s="3" t="s">
        <v>15</v>
      </c>
      <c r="K275" s="3" t="s">
        <v>15</v>
      </c>
      <c r="L275" s="3" t="s">
        <v>545</v>
      </c>
      <c r="M275" s="4">
        <v>46289</v>
      </c>
      <c r="N275" s="3" t="s">
        <v>546</v>
      </c>
      <c r="O275" s="3" t="s">
        <v>62</v>
      </c>
      <c r="P275" t="str">
        <f t="shared" si="4"/>
        <v>450013930220</v>
      </c>
      <c r="Q275" s="9" cm="1">
        <f t="array" ref="Q275:S275">VLOOKUP(P275,Hoja1!C:F,{2,3,4},FALSE)</f>
        <v>46295</v>
      </c>
      <c r="R275" t="str">
        <v>C01</v>
      </c>
      <c r="S275" t="str">
        <v>1000007451 FLORES CARLOS FELIPE Y OTROS S H</v>
      </c>
      <c r="T275" t="str">
        <f>VLOOKUP(P275,Hoja2!C:D,2,FALSE)</f>
        <v>AZAPANA</v>
      </c>
    </row>
    <row r="276" spans="1:20" x14ac:dyDescent="0.3">
      <c r="A276" s="2" t="s">
        <v>15</v>
      </c>
      <c r="B276" s="3" t="s">
        <v>15</v>
      </c>
      <c r="C276" s="3" t="s">
        <v>544</v>
      </c>
      <c r="D276" s="3" t="s">
        <v>56</v>
      </c>
      <c r="E276" s="3" t="s">
        <v>197</v>
      </c>
      <c r="F276" s="4">
        <v>46289</v>
      </c>
      <c r="G276" s="3" t="s">
        <v>64</v>
      </c>
      <c r="H276" s="6">
        <v>-158904.70000000001</v>
      </c>
      <c r="I276" s="3" t="s">
        <v>19</v>
      </c>
      <c r="J276" s="3" t="s">
        <v>15</v>
      </c>
      <c r="K276" s="3" t="s">
        <v>15</v>
      </c>
      <c r="L276" s="3" t="s">
        <v>547</v>
      </c>
      <c r="M276" s="4">
        <v>46289</v>
      </c>
      <c r="N276" s="3" t="s">
        <v>546</v>
      </c>
      <c r="O276" s="3" t="s">
        <v>156</v>
      </c>
      <c r="P276" t="str">
        <f t="shared" si="4"/>
        <v>4500139302100</v>
      </c>
      <c r="Q276" s="9" cm="1">
        <f t="array" ref="Q276:S276">VLOOKUP(P276,Hoja1!C:F,{2,3,4},FALSE)</f>
        <v>46307</v>
      </c>
      <c r="R276" t="str">
        <v>C01</v>
      </c>
      <c r="S276" t="str">
        <v>1000007451 FLORES CARLOS FELIPE Y OTROS S H</v>
      </c>
      <c r="T276" t="str">
        <f>VLOOKUP(P276,Hoja2!C:D,2,FALSE)</f>
        <v>AZAPANA</v>
      </c>
    </row>
    <row r="277" spans="1:20" x14ac:dyDescent="0.3">
      <c r="A277" s="2" t="s">
        <v>15</v>
      </c>
      <c r="B277" s="3" t="s">
        <v>15</v>
      </c>
      <c r="C277" s="3" t="s">
        <v>544</v>
      </c>
      <c r="D277" s="3" t="s">
        <v>15</v>
      </c>
      <c r="E277" s="3" t="s">
        <v>197</v>
      </c>
      <c r="F277" s="4">
        <v>46289</v>
      </c>
      <c r="G277" s="3" t="s">
        <v>64</v>
      </c>
      <c r="H277" s="6">
        <v>-100176</v>
      </c>
      <c r="I277" s="3" t="s">
        <v>19</v>
      </c>
      <c r="J277" s="3" t="s">
        <v>15</v>
      </c>
      <c r="K277" s="3" t="s">
        <v>15</v>
      </c>
      <c r="L277" s="3" t="s">
        <v>548</v>
      </c>
      <c r="M277" s="4">
        <v>46289</v>
      </c>
      <c r="N277" s="3" t="s">
        <v>546</v>
      </c>
      <c r="O277" s="3" t="s">
        <v>148</v>
      </c>
      <c r="P277" t="str">
        <f t="shared" si="4"/>
        <v>4500139302110</v>
      </c>
      <c r="Q277" s="9" cm="1">
        <f t="array" ref="Q277:S277">VLOOKUP(P277,Hoja1!C:F,{2,3,4},FALSE)</f>
        <v>46304</v>
      </c>
      <c r="R277" t="str">
        <v>C01</v>
      </c>
      <c r="S277" t="str">
        <v>1000007451 FLORES CARLOS FELIPE Y OTROS S H</v>
      </c>
      <c r="T277" t="str">
        <f>VLOOKUP(P277,Hoja2!C:D,2,FALSE)</f>
        <v>AZAPANA</v>
      </c>
    </row>
    <row r="278" spans="1:20" x14ac:dyDescent="0.3">
      <c r="A278" s="2" t="s">
        <v>15</v>
      </c>
      <c r="B278" s="3" t="s">
        <v>15</v>
      </c>
      <c r="C278" s="3" t="s">
        <v>544</v>
      </c>
      <c r="D278" s="3" t="s">
        <v>15</v>
      </c>
      <c r="E278" s="3" t="s">
        <v>197</v>
      </c>
      <c r="F278" s="4">
        <v>46289</v>
      </c>
      <c r="G278" s="3" t="s">
        <v>64</v>
      </c>
      <c r="H278" s="6">
        <v>-129076</v>
      </c>
      <c r="I278" s="3" t="s">
        <v>19</v>
      </c>
      <c r="J278" s="3" t="s">
        <v>15</v>
      </c>
      <c r="K278" s="3" t="s">
        <v>15</v>
      </c>
      <c r="L278" s="3" t="s">
        <v>549</v>
      </c>
      <c r="M278" s="4">
        <v>46289</v>
      </c>
      <c r="N278" s="3" t="s">
        <v>546</v>
      </c>
      <c r="O278" s="3" t="s">
        <v>151</v>
      </c>
      <c r="P278" t="str">
        <f t="shared" si="4"/>
        <v>4500139302120</v>
      </c>
      <c r="Q278" s="9" cm="1">
        <f t="array" ref="Q278:S278">VLOOKUP(P278,Hoja1!C:F,{2,3,4},FALSE)</f>
        <v>46304</v>
      </c>
      <c r="R278" t="str">
        <v>C01</v>
      </c>
      <c r="S278" t="str">
        <v>1000007451 FLORES CARLOS FELIPE Y OTROS S H</v>
      </c>
      <c r="T278" t="str">
        <f>VLOOKUP(P278,Hoja2!C:D,2,FALSE)</f>
        <v>AZAPANA</v>
      </c>
    </row>
    <row r="279" spans="1:20" x14ac:dyDescent="0.3">
      <c r="A279" s="2" t="s">
        <v>15</v>
      </c>
      <c r="B279" s="3" t="s">
        <v>15</v>
      </c>
      <c r="C279" s="3" t="s">
        <v>550</v>
      </c>
      <c r="D279" s="3" t="s">
        <v>15</v>
      </c>
      <c r="E279" s="3" t="s">
        <v>197</v>
      </c>
      <c r="F279" s="4">
        <v>46287</v>
      </c>
      <c r="G279" s="3" t="s">
        <v>64</v>
      </c>
      <c r="H279" s="6">
        <v>-499671.67</v>
      </c>
      <c r="I279" s="3" t="s">
        <v>19</v>
      </c>
      <c r="J279" s="3" t="s">
        <v>15</v>
      </c>
      <c r="K279" s="3" t="s">
        <v>15</v>
      </c>
      <c r="L279" s="3" t="s">
        <v>551</v>
      </c>
      <c r="M279" s="4">
        <v>46289</v>
      </c>
      <c r="N279" s="3" t="s">
        <v>552</v>
      </c>
      <c r="O279" s="3" t="s">
        <v>23</v>
      </c>
      <c r="P279" t="str">
        <f t="shared" si="4"/>
        <v>450013730110</v>
      </c>
      <c r="Q279" s="9" cm="1">
        <f t="array" ref="Q279:S279">VLOOKUP(P279,Hoja1!C:F,{2,3,4},FALSE)</f>
        <v>46289</v>
      </c>
      <c r="R279" t="str">
        <v>C03</v>
      </c>
      <c r="S279" t="str">
        <v>1000000062 FINNING ARGENTINA S.A.</v>
      </c>
      <c r="T279" t="str">
        <f>VLOOKUP(P279,Hoja2!C:D,2,FALSE)</f>
        <v>RPEREZ</v>
      </c>
    </row>
    <row r="280" spans="1:20" x14ac:dyDescent="0.3">
      <c r="A280" s="2" t="s">
        <v>15</v>
      </c>
      <c r="B280" s="3" t="s">
        <v>15</v>
      </c>
      <c r="C280" s="3" t="s">
        <v>550</v>
      </c>
      <c r="D280" s="3" t="s">
        <v>15</v>
      </c>
      <c r="E280" s="3" t="s">
        <v>197</v>
      </c>
      <c r="F280" s="4">
        <v>46287</v>
      </c>
      <c r="G280" s="3" t="s">
        <v>64</v>
      </c>
      <c r="H280" s="6">
        <v>-372297.57</v>
      </c>
      <c r="I280" s="3" t="s">
        <v>19</v>
      </c>
      <c r="J280" s="3" t="s">
        <v>15</v>
      </c>
      <c r="K280" s="3" t="s">
        <v>15</v>
      </c>
      <c r="L280" s="3" t="s">
        <v>553</v>
      </c>
      <c r="M280" s="4">
        <v>46289</v>
      </c>
      <c r="N280" s="3" t="s">
        <v>552</v>
      </c>
      <c r="O280" s="3" t="s">
        <v>62</v>
      </c>
      <c r="P280" t="str">
        <f t="shared" si="4"/>
        <v>450013730120</v>
      </c>
      <c r="Q280" s="9" cm="1">
        <f t="array" ref="Q280:S280">VLOOKUP(P280,Hoja1!C:F,{2,3,4},FALSE)</f>
        <v>46289</v>
      </c>
      <c r="R280" t="str">
        <v>C03</v>
      </c>
      <c r="S280" t="str">
        <v>1000000062 FINNING ARGENTINA S.A.</v>
      </c>
      <c r="T280" t="str">
        <f>VLOOKUP(P280,Hoja2!C:D,2,FALSE)</f>
        <v>RPEREZ</v>
      </c>
    </row>
    <row r="281" spans="1:20" x14ac:dyDescent="0.3">
      <c r="A281" s="2" t="s">
        <v>15</v>
      </c>
      <c r="B281" s="3" t="s">
        <v>15</v>
      </c>
      <c r="C281" s="3" t="s">
        <v>550</v>
      </c>
      <c r="D281" s="3" t="s">
        <v>15</v>
      </c>
      <c r="E281" s="3" t="s">
        <v>197</v>
      </c>
      <c r="F281" s="4">
        <v>46287</v>
      </c>
      <c r="G281" s="3" t="s">
        <v>64</v>
      </c>
      <c r="H281" s="6">
        <v>-286550.17</v>
      </c>
      <c r="I281" s="3" t="s">
        <v>19</v>
      </c>
      <c r="J281" s="3" t="s">
        <v>15</v>
      </c>
      <c r="K281" s="3" t="s">
        <v>15</v>
      </c>
      <c r="L281" s="3" t="s">
        <v>554</v>
      </c>
      <c r="M281" s="4">
        <v>46289</v>
      </c>
      <c r="N281" s="3" t="s">
        <v>552</v>
      </c>
      <c r="O281" s="3" t="s">
        <v>38</v>
      </c>
      <c r="P281" t="str">
        <f t="shared" si="4"/>
        <v>450013730140</v>
      </c>
      <c r="Q281" s="9" cm="1">
        <f t="array" ref="Q281:S281">VLOOKUP(P281,Hoja1!C:F,{2,3,4},FALSE)</f>
        <v>46289</v>
      </c>
      <c r="R281" t="str">
        <v>C03</v>
      </c>
      <c r="S281" t="str">
        <v>1000000062 FINNING ARGENTINA S.A.</v>
      </c>
      <c r="T281" t="str">
        <f>VLOOKUP(P281,Hoja2!C:D,2,FALSE)</f>
        <v>RPEREZ</v>
      </c>
    </row>
    <row r="282" spans="1:20" x14ac:dyDescent="0.3">
      <c r="A282" s="2" t="s">
        <v>15</v>
      </c>
      <c r="B282" s="3" t="s">
        <v>15</v>
      </c>
      <c r="C282" s="3" t="s">
        <v>555</v>
      </c>
      <c r="D282" s="3" t="s">
        <v>15</v>
      </c>
      <c r="E282" s="3" t="s">
        <v>197</v>
      </c>
      <c r="F282" s="4">
        <v>46289</v>
      </c>
      <c r="G282" s="3" t="s">
        <v>64</v>
      </c>
      <c r="H282" s="6">
        <v>-9840</v>
      </c>
      <c r="I282" s="3" t="s">
        <v>19</v>
      </c>
      <c r="J282" s="3" t="s">
        <v>15</v>
      </c>
      <c r="K282" s="3" t="s">
        <v>15</v>
      </c>
      <c r="L282" s="3" t="s">
        <v>556</v>
      </c>
      <c r="M282" s="4">
        <v>46289</v>
      </c>
      <c r="N282" s="3" t="s">
        <v>557</v>
      </c>
      <c r="O282" s="3" t="s">
        <v>23</v>
      </c>
      <c r="P282" t="str">
        <f t="shared" si="4"/>
        <v>450013928510</v>
      </c>
      <c r="Q282" s="9" cm="1">
        <f t="array" ref="Q282:S282">VLOOKUP(P282,Hoja1!C:F,{2,3,4},FALSE)</f>
        <v>46293</v>
      </c>
      <c r="R282" t="str">
        <v>C01</v>
      </c>
      <c r="S282" t="str">
        <v>1000000295 BOLLINI S.A</v>
      </c>
      <c r="T282" t="str">
        <f>VLOOKUP(P282,Hoja2!C:D,2,FALSE)</f>
        <v>AZAPANA</v>
      </c>
    </row>
    <row r="283" spans="1:20" x14ac:dyDescent="0.3">
      <c r="A283" s="2" t="s">
        <v>15</v>
      </c>
      <c r="B283" s="3" t="s">
        <v>15</v>
      </c>
      <c r="C283" s="3" t="s">
        <v>555</v>
      </c>
      <c r="D283" s="3" t="s">
        <v>56</v>
      </c>
      <c r="E283" s="3" t="s">
        <v>197</v>
      </c>
      <c r="F283" s="4">
        <v>46289</v>
      </c>
      <c r="G283" s="3" t="s">
        <v>64</v>
      </c>
      <c r="H283" s="6">
        <v>-40000</v>
      </c>
      <c r="I283" s="3" t="s">
        <v>19</v>
      </c>
      <c r="J283" s="3" t="s">
        <v>15</v>
      </c>
      <c r="K283" s="3" t="s">
        <v>15</v>
      </c>
      <c r="L283" s="3" t="s">
        <v>558</v>
      </c>
      <c r="M283" s="4">
        <v>46289</v>
      </c>
      <c r="N283" s="3" t="s">
        <v>557</v>
      </c>
      <c r="O283" s="3" t="s">
        <v>141</v>
      </c>
      <c r="P283" t="str">
        <f t="shared" si="4"/>
        <v>450013928570</v>
      </c>
      <c r="Q283" s="9" cm="1">
        <f t="array" ref="Q283:S283">VLOOKUP(P283,Hoja1!C:F,{2,3,4},FALSE)</f>
        <v>46290</v>
      </c>
      <c r="R283" t="str">
        <v>C01</v>
      </c>
      <c r="S283" t="str">
        <v>1000000295 BOLLINI S.A</v>
      </c>
      <c r="T283" t="str">
        <f>VLOOKUP(P283,Hoja2!C:D,2,FALSE)</f>
        <v>AZAPANA</v>
      </c>
    </row>
    <row r="284" spans="1:20" x14ac:dyDescent="0.3">
      <c r="A284" s="2" t="s">
        <v>15</v>
      </c>
      <c r="B284" s="3" t="s">
        <v>15</v>
      </c>
      <c r="C284" s="3" t="s">
        <v>559</v>
      </c>
      <c r="D284" s="3" t="s">
        <v>15</v>
      </c>
      <c r="E284" s="3" t="s">
        <v>197</v>
      </c>
      <c r="F284" s="4">
        <v>46289</v>
      </c>
      <c r="G284" s="3" t="s">
        <v>64</v>
      </c>
      <c r="H284" s="6">
        <v>-400725</v>
      </c>
      <c r="I284" s="3" t="s">
        <v>19</v>
      </c>
      <c r="J284" s="3" t="s">
        <v>15</v>
      </c>
      <c r="K284" s="3" t="s">
        <v>15</v>
      </c>
      <c r="L284" s="3" t="s">
        <v>560</v>
      </c>
      <c r="M284" s="4">
        <v>46289</v>
      </c>
      <c r="N284" s="3" t="s">
        <v>29</v>
      </c>
      <c r="O284" s="3" t="s">
        <v>49</v>
      </c>
      <c r="P284" t="str">
        <f t="shared" si="4"/>
        <v>450011474330</v>
      </c>
      <c r="Q284" s="9" cm="1">
        <f t="array" ref="Q284:S284">VLOOKUP(P284,Hoja1!C:F,{2,3,4},FALSE)</f>
        <v>46290</v>
      </c>
      <c r="R284" t="str">
        <v>CGT</v>
      </c>
      <c r="S284" t="str">
        <v>1000001583 HELING S.A.</v>
      </c>
      <c r="T284" t="str">
        <f>VLOOKUP(P284,Hoja2!C:D,2,FALSE)</f>
        <v>EFUNES</v>
      </c>
    </row>
    <row r="285" spans="1:20" x14ac:dyDescent="0.3">
      <c r="A285" s="2" t="s">
        <v>15</v>
      </c>
      <c r="B285" s="3" t="s">
        <v>15</v>
      </c>
      <c r="C285" s="3" t="s">
        <v>559</v>
      </c>
      <c r="D285" s="3" t="s">
        <v>15</v>
      </c>
      <c r="E285" s="3" t="s">
        <v>197</v>
      </c>
      <c r="F285" s="4">
        <v>46289</v>
      </c>
      <c r="G285" s="3" t="s">
        <v>64</v>
      </c>
      <c r="H285" s="6">
        <v>-424641.1</v>
      </c>
      <c r="I285" s="3" t="s">
        <v>19</v>
      </c>
      <c r="J285" s="3" t="s">
        <v>15</v>
      </c>
      <c r="K285" s="3" t="s">
        <v>15</v>
      </c>
      <c r="L285" s="3" t="s">
        <v>561</v>
      </c>
      <c r="M285" s="4">
        <v>46289</v>
      </c>
      <c r="N285" s="3" t="s">
        <v>29</v>
      </c>
      <c r="O285" s="3" t="s">
        <v>38</v>
      </c>
      <c r="P285" t="str">
        <f t="shared" si="4"/>
        <v>450011474340</v>
      </c>
      <c r="Q285" s="9" cm="1">
        <f t="array" ref="Q285:S285">VLOOKUP(P285,Hoja1!C:F,{2,3,4},FALSE)</f>
        <v>46290</v>
      </c>
      <c r="R285" t="str">
        <v>CGT</v>
      </c>
      <c r="S285" t="str">
        <v>1000001583 HELING S.A.</v>
      </c>
      <c r="T285" t="str">
        <f>VLOOKUP(P285,Hoja2!C:D,2,FALSE)</f>
        <v>EFUNES</v>
      </c>
    </row>
    <row r="286" spans="1:20" x14ac:dyDescent="0.3">
      <c r="A286" s="2" t="s">
        <v>15</v>
      </c>
      <c r="B286" s="3" t="s">
        <v>15</v>
      </c>
      <c r="C286" s="3" t="s">
        <v>559</v>
      </c>
      <c r="D286" s="3" t="s">
        <v>15</v>
      </c>
      <c r="E286" s="3" t="s">
        <v>197</v>
      </c>
      <c r="F286" s="4">
        <v>46289</v>
      </c>
      <c r="G286" s="3" t="s">
        <v>64</v>
      </c>
      <c r="H286" s="6">
        <v>-51969</v>
      </c>
      <c r="I286" s="3" t="s">
        <v>19</v>
      </c>
      <c r="J286" s="3" t="s">
        <v>15</v>
      </c>
      <c r="K286" s="3" t="s">
        <v>15</v>
      </c>
      <c r="L286" s="3" t="s">
        <v>562</v>
      </c>
      <c r="M286" s="4">
        <v>46289</v>
      </c>
      <c r="N286" s="3" t="s">
        <v>29</v>
      </c>
      <c r="O286" s="3" t="s">
        <v>53</v>
      </c>
      <c r="P286" t="str">
        <f t="shared" si="4"/>
        <v>4500114743480</v>
      </c>
      <c r="Q286" s="9" cm="1">
        <f t="array" ref="Q286:S286">VLOOKUP(P286,Hoja1!C:F,{2,3,4},FALSE)</f>
        <v>46290</v>
      </c>
      <c r="R286" t="str">
        <v>CGT</v>
      </c>
      <c r="S286" t="str">
        <v>1000001583 HELING S.A.</v>
      </c>
      <c r="T286" t="str">
        <f>VLOOKUP(P286,Hoja2!C:D,2,FALSE)</f>
        <v>EFUNES</v>
      </c>
    </row>
    <row r="287" spans="1:20" x14ac:dyDescent="0.3">
      <c r="A287" s="2" t="s">
        <v>15</v>
      </c>
      <c r="B287" s="3" t="s">
        <v>15</v>
      </c>
      <c r="C287" s="3" t="s">
        <v>563</v>
      </c>
      <c r="D287" s="3" t="s">
        <v>15</v>
      </c>
      <c r="E287" s="3" t="s">
        <v>197</v>
      </c>
      <c r="F287" s="4">
        <v>46289</v>
      </c>
      <c r="G287" s="3" t="s">
        <v>64</v>
      </c>
      <c r="H287" s="6">
        <v>-94910</v>
      </c>
      <c r="I287" s="3" t="s">
        <v>19</v>
      </c>
      <c r="J287" s="3" t="s">
        <v>15</v>
      </c>
      <c r="K287" s="3" t="s">
        <v>15</v>
      </c>
      <c r="L287" s="3" t="s">
        <v>564</v>
      </c>
      <c r="M287" s="4">
        <v>46289</v>
      </c>
      <c r="N287" s="3" t="s">
        <v>565</v>
      </c>
      <c r="O287" s="3" t="s">
        <v>23</v>
      </c>
      <c r="P287" t="str">
        <f t="shared" si="4"/>
        <v>450013886710</v>
      </c>
      <c r="Q287" s="9" cm="1">
        <f t="array" ref="Q287:S287">VLOOKUP(P287,Hoja1!C:F,{2,3,4},FALSE)</f>
        <v>46289</v>
      </c>
      <c r="R287" t="str">
        <v>C27</v>
      </c>
      <c r="S287" t="str">
        <v>1000007610 IMPLEMENTOS INDUSTRIALES S R L</v>
      </c>
      <c r="T287" t="str">
        <f>VLOOKUP(P287,Hoja2!C:D,2,FALSE)</f>
        <v>PRODRIGUEZ</v>
      </c>
    </row>
    <row r="288" spans="1:20" x14ac:dyDescent="0.3">
      <c r="A288" s="2" t="s">
        <v>15</v>
      </c>
      <c r="B288" s="3" t="s">
        <v>15</v>
      </c>
      <c r="C288" s="3" t="s">
        <v>566</v>
      </c>
      <c r="D288" s="3" t="s">
        <v>56</v>
      </c>
      <c r="E288" s="3" t="s">
        <v>197</v>
      </c>
      <c r="F288" s="4">
        <v>46290</v>
      </c>
      <c r="G288" s="3" t="s">
        <v>64</v>
      </c>
      <c r="H288" s="6">
        <v>-2337300</v>
      </c>
      <c r="I288" s="3" t="s">
        <v>19</v>
      </c>
      <c r="J288" s="3" t="s">
        <v>15</v>
      </c>
      <c r="K288" s="3" t="s">
        <v>15</v>
      </c>
      <c r="L288" s="3" t="s">
        <v>567</v>
      </c>
      <c r="M288" s="4">
        <v>46290</v>
      </c>
      <c r="N288" s="3" t="s">
        <v>101</v>
      </c>
      <c r="O288" s="3" t="s">
        <v>23</v>
      </c>
      <c r="P288" t="str">
        <f t="shared" si="4"/>
        <v>450013917510</v>
      </c>
      <c r="Q288" s="9" cm="1">
        <f t="array" ref="Q288:S288">VLOOKUP(P288,Hoja1!C:F,{2,3,4},FALSE)</f>
        <v>46290</v>
      </c>
      <c r="R288" t="str">
        <v>C25</v>
      </c>
      <c r="S288" t="str">
        <v>1000007510 LABTEC S. R. L.</v>
      </c>
      <c r="T288" t="str">
        <f>VLOOKUP(P288,Hoja2!C:D,2,FALSE)</f>
        <v>MPITTIA</v>
      </c>
    </row>
    <row r="289" spans="1:20" x14ac:dyDescent="0.3">
      <c r="A289" s="2" t="s">
        <v>15</v>
      </c>
      <c r="B289" s="3" t="s">
        <v>15</v>
      </c>
      <c r="C289" s="3" t="s">
        <v>568</v>
      </c>
      <c r="D289" s="3" t="s">
        <v>15</v>
      </c>
      <c r="E289" s="3" t="s">
        <v>197</v>
      </c>
      <c r="F289" s="4">
        <v>46291</v>
      </c>
      <c r="G289" s="3" t="s">
        <v>64</v>
      </c>
      <c r="H289" s="6">
        <v>-61921.5</v>
      </c>
      <c r="I289" s="3" t="s">
        <v>19</v>
      </c>
      <c r="J289" s="3" t="s">
        <v>15</v>
      </c>
      <c r="K289" s="3" t="s">
        <v>15</v>
      </c>
      <c r="L289" s="3" t="s">
        <v>569</v>
      </c>
      <c r="M289" s="4">
        <v>46291</v>
      </c>
      <c r="N289" s="3" t="s">
        <v>123</v>
      </c>
      <c r="O289" s="3" t="s">
        <v>23</v>
      </c>
      <c r="P289" t="str">
        <f t="shared" si="4"/>
        <v>450013932510</v>
      </c>
      <c r="Q289" s="9" cm="1">
        <f t="array" ref="Q289:S289">VLOOKUP(P289,Hoja1!C:F,{2,3,4},FALSE)</f>
        <v>46304</v>
      </c>
      <c r="R289" t="str">
        <v>C17</v>
      </c>
      <c r="S289" t="str">
        <v>1000012333 GO CLEAN S.A.S.</v>
      </c>
      <c r="T289" t="str">
        <f>VLOOKUP(P289,Hoja2!C:D,2,FALSE)</f>
        <v>GJULIANI</v>
      </c>
    </row>
    <row r="290" spans="1:20" x14ac:dyDescent="0.3">
      <c r="A290" s="2" t="s">
        <v>15</v>
      </c>
      <c r="B290" s="3" t="s">
        <v>15</v>
      </c>
      <c r="C290" s="3" t="s">
        <v>568</v>
      </c>
      <c r="D290" s="3" t="s">
        <v>15</v>
      </c>
      <c r="E290" s="3" t="s">
        <v>197</v>
      </c>
      <c r="F290" s="4">
        <v>46291</v>
      </c>
      <c r="G290" s="3" t="s">
        <v>64</v>
      </c>
      <c r="H290" s="6">
        <v>-12561.96</v>
      </c>
      <c r="I290" s="3" t="s">
        <v>19</v>
      </c>
      <c r="J290" s="3" t="s">
        <v>15</v>
      </c>
      <c r="K290" s="3" t="s">
        <v>15</v>
      </c>
      <c r="L290" s="3" t="s">
        <v>570</v>
      </c>
      <c r="M290" s="4">
        <v>46291</v>
      </c>
      <c r="N290" s="3" t="s">
        <v>123</v>
      </c>
      <c r="O290" s="3" t="s">
        <v>62</v>
      </c>
      <c r="P290" t="str">
        <f t="shared" si="4"/>
        <v>450013932520</v>
      </c>
      <c r="Q290" s="9" cm="1">
        <f t="array" ref="Q290:S290">VLOOKUP(P290,Hoja1!C:F,{2,3,4},FALSE)</f>
        <v>46304</v>
      </c>
      <c r="R290" t="str">
        <v>C17</v>
      </c>
      <c r="S290" t="str">
        <v>1000012333 GO CLEAN S.A.S.</v>
      </c>
      <c r="T290" t="str">
        <f>VLOOKUP(P290,Hoja2!C:D,2,FALSE)</f>
        <v>GJULIANI</v>
      </c>
    </row>
    <row r="291" spans="1:20" x14ac:dyDescent="0.3">
      <c r="A291" s="2" t="s">
        <v>15</v>
      </c>
      <c r="B291" s="3" t="s">
        <v>15</v>
      </c>
      <c r="C291" s="3" t="s">
        <v>568</v>
      </c>
      <c r="D291" s="3" t="s">
        <v>15</v>
      </c>
      <c r="E291" s="3" t="s">
        <v>197</v>
      </c>
      <c r="F291" s="4">
        <v>46291</v>
      </c>
      <c r="G291" s="3" t="s">
        <v>64</v>
      </c>
      <c r="H291" s="6">
        <v>-18181.8</v>
      </c>
      <c r="I291" s="3" t="s">
        <v>19</v>
      </c>
      <c r="J291" s="3" t="s">
        <v>15</v>
      </c>
      <c r="K291" s="3" t="s">
        <v>15</v>
      </c>
      <c r="L291" s="3" t="s">
        <v>571</v>
      </c>
      <c r="M291" s="4">
        <v>46291</v>
      </c>
      <c r="N291" s="3" t="s">
        <v>123</v>
      </c>
      <c r="O291" s="3" t="s">
        <v>49</v>
      </c>
      <c r="P291" t="str">
        <f t="shared" si="4"/>
        <v>450013932530</v>
      </c>
      <c r="Q291" s="9" cm="1">
        <f t="array" ref="Q291:S291">VLOOKUP(P291,Hoja1!C:F,{2,3,4},FALSE)</f>
        <v>46304</v>
      </c>
      <c r="R291" t="str">
        <v>C17</v>
      </c>
      <c r="S291" t="str">
        <v>1000012333 GO CLEAN S.A.S.</v>
      </c>
      <c r="T291" t="str">
        <f>VLOOKUP(P291,Hoja2!C:D,2,FALSE)</f>
        <v>GJULIANI</v>
      </c>
    </row>
    <row r="292" spans="1:20" x14ac:dyDescent="0.3">
      <c r="A292" s="2" t="s">
        <v>15</v>
      </c>
      <c r="B292" s="3" t="s">
        <v>15</v>
      </c>
      <c r="C292" s="3" t="s">
        <v>568</v>
      </c>
      <c r="D292" s="3" t="s">
        <v>15</v>
      </c>
      <c r="E292" s="3" t="s">
        <v>197</v>
      </c>
      <c r="F292" s="4">
        <v>46291</v>
      </c>
      <c r="G292" s="3" t="s">
        <v>64</v>
      </c>
      <c r="H292" s="6">
        <v>-12392.55</v>
      </c>
      <c r="I292" s="3" t="s">
        <v>19</v>
      </c>
      <c r="J292" s="3" t="s">
        <v>15</v>
      </c>
      <c r="K292" s="3" t="s">
        <v>15</v>
      </c>
      <c r="L292" s="3" t="s">
        <v>572</v>
      </c>
      <c r="M292" s="4">
        <v>46291</v>
      </c>
      <c r="N292" s="3" t="s">
        <v>123</v>
      </c>
      <c r="O292" s="3" t="s">
        <v>38</v>
      </c>
      <c r="P292" t="str">
        <f t="shared" si="4"/>
        <v>450013932540</v>
      </c>
      <c r="Q292" s="9" cm="1">
        <f t="array" ref="Q292:S292">VLOOKUP(P292,Hoja1!C:F,{2,3,4},FALSE)</f>
        <v>46304</v>
      </c>
      <c r="R292" t="str">
        <v>C17</v>
      </c>
      <c r="S292" t="str">
        <v>1000012333 GO CLEAN S.A.S.</v>
      </c>
      <c r="T292" t="str">
        <f>VLOOKUP(P292,Hoja2!C:D,2,FALSE)</f>
        <v>GJULIANI</v>
      </c>
    </row>
    <row r="293" spans="1:20" x14ac:dyDescent="0.3">
      <c r="A293" s="2" t="s">
        <v>15</v>
      </c>
      <c r="B293" s="3" t="s">
        <v>15</v>
      </c>
      <c r="C293" s="3" t="s">
        <v>568</v>
      </c>
      <c r="D293" s="3" t="s">
        <v>15</v>
      </c>
      <c r="E293" s="3" t="s">
        <v>197</v>
      </c>
      <c r="F293" s="4">
        <v>46291</v>
      </c>
      <c r="G293" s="3" t="s">
        <v>64</v>
      </c>
      <c r="H293" s="6">
        <v>-123843</v>
      </c>
      <c r="I293" s="3" t="s">
        <v>19</v>
      </c>
      <c r="J293" s="3" t="s">
        <v>15</v>
      </c>
      <c r="K293" s="3" t="s">
        <v>15</v>
      </c>
      <c r="L293" s="3" t="s">
        <v>573</v>
      </c>
      <c r="M293" s="4">
        <v>46291</v>
      </c>
      <c r="N293" s="3" t="s">
        <v>123</v>
      </c>
      <c r="O293" s="3" t="s">
        <v>47</v>
      </c>
      <c r="P293" t="str">
        <f t="shared" si="4"/>
        <v>450013932550</v>
      </c>
      <c r="Q293" s="9" cm="1">
        <f t="array" ref="Q293:S293">VLOOKUP(P293,Hoja1!C:F,{2,3,4},FALSE)</f>
        <v>46304</v>
      </c>
      <c r="R293" t="str">
        <v>C17</v>
      </c>
      <c r="S293" t="str">
        <v>1000012333 GO CLEAN S.A.S.</v>
      </c>
      <c r="T293" t="str">
        <f>VLOOKUP(P293,Hoja2!C:D,2,FALSE)</f>
        <v>GJULIANI</v>
      </c>
    </row>
    <row r="294" spans="1:20" x14ac:dyDescent="0.3">
      <c r="A294" s="2" t="s">
        <v>15</v>
      </c>
      <c r="B294" s="3" t="s">
        <v>15</v>
      </c>
      <c r="C294" s="3" t="s">
        <v>574</v>
      </c>
      <c r="D294" s="3" t="s">
        <v>56</v>
      </c>
      <c r="E294" s="3" t="s">
        <v>197</v>
      </c>
      <c r="F294" s="4">
        <v>46292</v>
      </c>
      <c r="G294" s="3" t="s">
        <v>64</v>
      </c>
      <c r="H294" s="6">
        <v>-6236100</v>
      </c>
      <c r="I294" s="3" t="s">
        <v>19</v>
      </c>
      <c r="J294" s="3" t="s">
        <v>15</v>
      </c>
      <c r="K294" s="3" t="s">
        <v>15</v>
      </c>
      <c r="L294" s="3" t="s">
        <v>575</v>
      </c>
      <c r="M294" s="4">
        <v>46292</v>
      </c>
      <c r="N294" s="3" t="s">
        <v>576</v>
      </c>
      <c r="O294" s="3" t="s">
        <v>23</v>
      </c>
      <c r="P294" t="str">
        <f t="shared" si="4"/>
        <v>450013901910</v>
      </c>
      <c r="Q294" s="9" cm="1">
        <f t="array" ref="Q294:S294">VLOOKUP(P294,Hoja1!C:F,{2,3,4},FALSE)</f>
        <v>46319</v>
      </c>
      <c r="R294" t="str">
        <v>C15</v>
      </c>
      <c r="S294" t="str">
        <v>1000013615 CAMPO BRAVO S. A. S.</v>
      </c>
      <c r="T294" t="str">
        <f>VLOOKUP(P294,Hoja2!C:D,2,FALSE)</f>
        <v>GDIAZ</v>
      </c>
    </row>
    <row r="295" spans="1:20" x14ac:dyDescent="0.3">
      <c r="A295" s="2" t="s">
        <v>15</v>
      </c>
      <c r="B295" s="3" t="s">
        <v>15</v>
      </c>
      <c r="C295" s="3" t="s">
        <v>577</v>
      </c>
      <c r="D295" s="3" t="s">
        <v>56</v>
      </c>
      <c r="E295" s="3" t="s">
        <v>197</v>
      </c>
      <c r="F295" s="4">
        <v>46293</v>
      </c>
      <c r="G295" s="3" t="s">
        <v>64</v>
      </c>
      <c r="H295" s="6">
        <v>-405000</v>
      </c>
      <c r="I295" s="3" t="s">
        <v>19</v>
      </c>
      <c r="J295" s="3" t="s">
        <v>15</v>
      </c>
      <c r="K295" s="3" t="s">
        <v>15</v>
      </c>
      <c r="L295" s="3" t="s">
        <v>578</v>
      </c>
      <c r="M295" s="4">
        <v>46293</v>
      </c>
      <c r="N295" s="3" t="s">
        <v>105</v>
      </c>
      <c r="O295" s="3" t="s">
        <v>23</v>
      </c>
      <c r="P295" t="str">
        <f t="shared" si="4"/>
        <v>450013959810</v>
      </c>
      <c r="Q295" s="9" cm="1">
        <f t="array" ref="Q295:S295">VLOOKUP(P295,Hoja1!C:F,{2,3,4},FALSE)</f>
        <v>46294</v>
      </c>
      <c r="R295" t="str">
        <v>C24</v>
      </c>
      <c r="S295" t="str">
        <v>1000009058 FLORES OSCAR ARIEL</v>
      </c>
      <c r="T295" t="str">
        <f>VLOOKUP(P295,Hoja2!C:D,2,FALSE)</f>
        <v>MPITTIA</v>
      </c>
    </row>
    <row r="296" spans="1:20" x14ac:dyDescent="0.3">
      <c r="A296" s="2" t="s">
        <v>15</v>
      </c>
      <c r="B296" s="3" t="s">
        <v>15</v>
      </c>
      <c r="C296" s="3" t="s">
        <v>579</v>
      </c>
      <c r="D296" s="3" t="s">
        <v>15</v>
      </c>
      <c r="E296" s="3" t="s">
        <v>197</v>
      </c>
      <c r="F296" s="4">
        <v>46293</v>
      </c>
      <c r="G296" s="3" t="s">
        <v>64</v>
      </c>
      <c r="H296" s="6">
        <v>-128250.72</v>
      </c>
      <c r="I296" s="3" t="s">
        <v>19</v>
      </c>
      <c r="J296" s="3" t="s">
        <v>15</v>
      </c>
      <c r="K296" s="3" t="s">
        <v>15</v>
      </c>
      <c r="L296" s="3" t="s">
        <v>580</v>
      </c>
      <c r="M296" s="4">
        <v>46293</v>
      </c>
      <c r="N296" s="3" t="s">
        <v>581</v>
      </c>
      <c r="O296" s="3" t="s">
        <v>23</v>
      </c>
      <c r="P296" t="str">
        <f t="shared" si="4"/>
        <v>450013962010</v>
      </c>
      <c r="Q296" s="9" cm="1">
        <f t="array" ref="Q296:S296">VLOOKUP(P296,Hoja1!C:F,{2,3,4},FALSE)</f>
        <v>46297</v>
      </c>
      <c r="R296" t="str">
        <v>C01</v>
      </c>
      <c r="S296" t="str">
        <v>1000003040 LOPEZ DIESEL S.A.</v>
      </c>
      <c r="T296" t="str">
        <f>VLOOKUP(P296,Hoja2!C:D,2,FALSE)</f>
        <v>AZAPANA</v>
      </c>
    </row>
    <row r="297" spans="1:20" x14ac:dyDescent="0.3">
      <c r="A297" s="2" t="s">
        <v>15</v>
      </c>
      <c r="B297" s="3" t="s">
        <v>15</v>
      </c>
      <c r="C297" s="3" t="s">
        <v>582</v>
      </c>
      <c r="D297" s="3" t="s">
        <v>15</v>
      </c>
      <c r="E297" s="3" t="s">
        <v>197</v>
      </c>
      <c r="F297" s="4">
        <v>46288</v>
      </c>
      <c r="G297" s="3" t="s">
        <v>64</v>
      </c>
      <c r="H297" s="6">
        <v>-5110.5600000000004</v>
      </c>
      <c r="I297" s="3" t="s">
        <v>19</v>
      </c>
      <c r="J297" s="3" t="s">
        <v>15</v>
      </c>
      <c r="K297" s="3" t="s">
        <v>15</v>
      </c>
      <c r="L297" s="3" t="s">
        <v>583</v>
      </c>
      <c r="M297" s="4">
        <v>46293</v>
      </c>
      <c r="N297" s="3" t="s">
        <v>144</v>
      </c>
      <c r="O297" s="3" t="s">
        <v>95</v>
      </c>
      <c r="P297" t="str">
        <f t="shared" si="4"/>
        <v>450013869160</v>
      </c>
      <c r="Q297" s="9" cm="1">
        <f t="array" ref="Q297:S297">VLOOKUP(P297,Hoja1!C:F,{2,3,4},FALSE)</f>
        <v>46290</v>
      </c>
      <c r="R297" t="str">
        <v>G05</v>
      </c>
      <c r="S297" t="str">
        <v>1000001129 AGRONORTE S.R.L.</v>
      </c>
      <c r="T297" t="str">
        <f>VLOOKUP(P297,Hoja2!C:D,2,FALSE)</f>
        <v>RPEREZ</v>
      </c>
    </row>
    <row r="298" spans="1:20" x14ac:dyDescent="0.3">
      <c r="A298" s="2" t="s">
        <v>15</v>
      </c>
      <c r="B298" s="3" t="s">
        <v>15</v>
      </c>
      <c r="C298" s="3" t="s">
        <v>584</v>
      </c>
      <c r="D298" s="3" t="s">
        <v>15</v>
      </c>
      <c r="E298" s="3" t="s">
        <v>197</v>
      </c>
      <c r="F298" s="4">
        <v>46290</v>
      </c>
      <c r="G298" s="3" t="s">
        <v>64</v>
      </c>
      <c r="H298" s="6">
        <v>-147628.26</v>
      </c>
      <c r="I298" s="3" t="s">
        <v>19</v>
      </c>
      <c r="J298" s="3" t="s">
        <v>15</v>
      </c>
      <c r="K298" s="3" t="s">
        <v>15</v>
      </c>
      <c r="L298" s="3" t="s">
        <v>585</v>
      </c>
      <c r="M298" s="4">
        <v>46293</v>
      </c>
      <c r="N298" s="3" t="s">
        <v>586</v>
      </c>
      <c r="O298" s="3" t="s">
        <v>23</v>
      </c>
      <c r="P298" t="str">
        <f t="shared" si="4"/>
        <v>450013923110</v>
      </c>
      <c r="Q298" s="9" cm="1">
        <f t="array" ref="Q298:S298">VLOOKUP(P298,Hoja1!C:F,{2,3,4},FALSE)</f>
        <v>46307</v>
      </c>
      <c r="R298" t="str">
        <v>F13</v>
      </c>
      <c r="S298" t="str">
        <v>1000000062 FINNING ARGENTINA S.A.</v>
      </c>
      <c r="T298" t="str">
        <f>VLOOKUP(P298,Hoja2!C:D,2,FALSE)</f>
        <v>RPEREZ</v>
      </c>
    </row>
    <row r="299" spans="1:20" x14ac:dyDescent="0.3">
      <c r="A299" s="2" t="s">
        <v>15</v>
      </c>
      <c r="B299" s="3" t="s">
        <v>15</v>
      </c>
      <c r="C299" s="3" t="s">
        <v>584</v>
      </c>
      <c r="D299" s="3" t="s">
        <v>15</v>
      </c>
      <c r="E299" s="3" t="s">
        <v>197</v>
      </c>
      <c r="F299" s="4">
        <v>46290</v>
      </c>
      <c r="G299" s="3" t="s">
        <v>64</v>
      </c>
      <c r="H299" s="6">
        <v>-147628.26</v>
      </c>
      <c r="I299" s="3" t="s">
        <v>19</v>
      </c>
      <c r="J299" s="3" t="s">
        <v>15</v>
      </c>
      <c r="K299" s="3" t="s">
        <v>15</v>
      </c>
      <c r="L299" s="3" t="s">
        <v>587</v>
      </c>
      <c r="M299" s="4">
        <v>46293</v>
      </c>
      <c r="N299" s="3" t="s">
        <v>586</v>
      </c>
      <c r="O299" s="3" t="s">
        <v>62</v>
      </c>
      <c r="P299" t="str">
        <f t="shared" si="4"/>
        <v>450013923120</v>
      </c>
      <c r="Q299" s="9" cm="1">
        <f t="array" ref="Q299:S299">VLOOKUP(P299,Hoja1!C:F,{2,3,4},FALSE)</f>
        <v>46307</v>
      </c>
      <c r="R299" t="str">
        <v>F13</v>
      </c>
      <c r="S299" t="str">
        <v>1000000062 FINNING ARGENTINA S.A.</v>
      </c>
      <c r="T299" t="str">
        <f>VLOOKUP(P299,Hoja2!C:D,2,FALSE)</f>
        <v>RPEREZ</v>
      </c>
    </row>
    <row r="300" spans="1:20" x14ac:dyDescent="0.3">
      <c r="A300" s="2" t="s">
        <v>15</v>
      </c>
      <c r="B300" s="3" t="s">
        <v>15</v>
      </c>
      <c r="C300" s="3" t="s">
        <v>588</v>
      </c>
      <c r="D300" s="3" t="s">
        <v>56</v>
      </c>
      <c r="E300" s="3" t="s">
        <v>197</v>
      </c>
      <c r="F300" s="4">
        <v>46294</v>
      </c>
      <c r="G300" s="3" t="s">
        <v>64</v>
      </c>
      <c r="H300" s="6">
        <v>-57851.3</v>
      </c>
      <c r="I300" s="3" t="s">
        <v>19</v>
      </c>
      <c r="J300" s="3" t="s">
        <v>15</v>
      </c>
      <c r="K300" s="3" t="s">
        <v>15</v>
      </c>
      <c r="L300" s="3" t="s">
        <v>589</v>
      </c>
      <c r="M300" s="4">
        <v>46294</v>
      </c>
      <c r="N300" s="3" t="s">
        <v>241</v>
      </c>
      <c r="O300" s="3" t="s">
        <v>23</v>
      </c>
      <c r="P300" t="str">
        <f t="shared" si="4"/>
        <v>450011392010</v>
      </c>
      <c r="Q300" s="9" cm="1">
        <f t="array" ref="Q300:S300">VLOOKUP(P300,Hoja1!C:F,{2,3,4},FALSE)</f>
        <v>46325</v>
      </c>
      <c r="R300" t="str">
        <v>C25</v>
      </c>
      <c r="S300" t="str">
        <v>1000012293 ZAMBRANA SAMUEL</v>
      </c>
      <c r="T300" t="str">
        <f>VLOOKUP(P300,Hoja2!C:D,2,FALSE)</f>
        <v>MPITTIA</v>
      </c>
    </row>
    <row r="301" spans="1:20" x14ac:dyDescent="0.3">
      <c r="A301" s="2" t="s">
        <v>15</v>
      </c>
      <c r="B301" s="3" t="s">
        <v>15</v>
      </c>
      <c r="C301" s="3" t="s">
        <v>590</v>
      </c>
      <c r="D301" s="3" t="s">
        <v>15</v>
      </c>
      <c r="E301" s="3" t="s">
        <v>197</v>
      </c>
      <c r="F301" s="4">
        <v>46294</v>
      </c>
      <c r="G301" s="3" t="s">
        <v>64</v>
      </c>
      <c r="H301" s="6">
        <v>-577904</v>
      </c>
      <c r="I301" s="3" t="s">
        <v>19</v>
      </c>
      <c r="J301" s="3" t="s">
        <v>15</v>
      </c>
      <c r="K301" s="3" t="s">
        <v>15</v>
      </c>
      <c r="L301" s="3" t="s">
        <v>591</v>
      </c>
      <c r="M301" s="4">
        <v>46294</v>
      </c>
      <c r="N301" s="3" t="s">
        <v>592</v>
      </c>
      <c r="O301" s="3" t="s">
        <v>23</v>
      </c>
      <c r="P301" t="str">
        <f t="shared" si="4"/>
        <v>450013943710</v>
      </c>
      <c r="Q301" s="9" cm="1">
        <f t="array" ref="Q301:S301">VLOOKUP(P301,Hoja1!C:F,{2,3,4},FALSE)</f>
        <v>46304</v>
      </c>
      <c r="R301" t="str">
        <v>C29</v>
      </c>
      <c r="S301" t="str">
        <v>1000001123 HAULOTTE ARGENTINA S.A.</v>
      </c>
      <c r="T301" t="str">
        <f>VLOOKUP(P301,Hoja2!C:D,2,FALSE)</f>
        <v>MFREIJOMIL</v>
      </c>
    </row>
    <row r="302" spans="1:20" x14ac:dyDescent="0.3">
      <c r="A302" s="2" t="s">
        <v>15</v>
      </c>
      <c r="B302" s="3" t="s">
        <v>15</v>
      </c>
      <c r="C302" s="3" t="s">
        <v>593</v>
      </c>
      <c r="D302" s="3" t="s">
        <v>56</v>
      </c>
      <c r="E302" s="3" t="s">
        <v>197</v>
      </c>
      <c r="F302" s="4">
        <v>46295</v>
      </c>
      <c r="G302" s="3" t="s">
        <v>64</v>
      </c>
      <c r="H302" s="6">
        <v>-4687186</v>
      </c>
      <c r="I302" s="3" t="s">
        <v>19</v>
      </c>
      <c r="J302" s="3" t="s">
        <v>15</v>
      </c>
      <c r="K302" s="3" t="s">
        <v>15</v>
      </c>
      <c r="L302" s="3" t="s">
        <v>594</v>
      </c>
      <c r="M302" s="4">
        <v>46295</v>
      </c>
      <c r="N302" s="3" t="s">
        <v>595</v>
      </c>
      <c r="O302" s="3" t="s">
        <v>23</v>
      </c>
      <c r="P302" t="str">
        <f t="shared" si="4"/>
        <v>450013937910</v>
      </c>
      <c r="Q302" s="9" cm="1">
        <f t="array" ref="Q302:S302">VLOOKUP(P302,Hoja1!C:F,{2,3,4},FALSE)</f>
        <v>46296</v>
      </c>
      <c r="R302" t="str">
        <v>C01</v>
      </c>
      <c r="S302" t="str">
        <v>1000007607 TUKUY S.R.L.</v>
      </c>
      <c r="T302" t="str">
        <f>VLOOKUP(P302,Hoja2!C:D,2,FALSE)</f>
        <v>AZAPANA</v>
      </c>
    </row>
    <row r="303" spans="1:20" x14ac:dyDescent="0.3">
      <c r="A303" s="2" t="s">
        <v>15</v>
      </c>
      <c r="B303" s="3" t="s">
        <v>15</v>
      </c>
      <c r="C303" s="3" t="s">
        <v>596</v>
      </c>
      <c r="D303" s="3" t="s">
        <v>15</v>
      </c>
      <c r="E303" s="3" t="s">
        <v>197</v>
      </c>
      <c r="F303" s="4">
        <v>46295</v>
      </c>
      <c r="G303" s="3" t="s">
        <v>64</v>
      </c>
      <c r="H303" s="6">
        <v>-111570.24000000001</v>
      </c>
      <c r="I303" s="3" t="s">
        <v>19</v>
      </c>
      <c r="J303" s="3" t="s">
        <v>15</v>
      </c>
      <c r="K303" s="3" t="s">
        <v>15</v>
      </c>
      <c r="L303" s="3" t="s">
        <v>597</v>
      </c>
      <c r="M303" s="4">
        <v>46295</v>
      </c>
      <c r="N303" s="3" t="s">
        <v>598</v>
      </c>
      <c r="O303" s="3" t="s">
        <v>23</v>
      </c>
      <c r="P303" t="str">
        <f t="shared" si="4"/>
        <v>450013985310</v>
      </c>
      <c r="Q303" s="9" cm="1">
        <f t="array" ref="Q303:S303">VLOOKUP(P303,Hoja1!C:F,{2,3,4},FALSE)</f>
        <v>46295</v>
      </c>
      <c r="R303" t="str">
        <v>C01</v>
      </c>
      <c r="S303" t="str">
        <v>1000003790 NSA ECO SRL</v>
      </c>
      <c r="T303" t="str">
        <f>VLOOKUP(P303,Hoja2!C:D,2,FALSE)</f>
        <v>AZAPANA</v>
      </c>
    </row>
    <row r="304" spans="1:20" x14ac:dyDescent="0.3">
      <c r="A304" s="2" t="s">
        <v>15</v>
      </c>
      <c r="B304" s="3" t="s">
        <v>15</v>
      </c>
      <c r="C304" s="3" t="s">
        <v>599</v>
      </c>
      <c r="D304" s="3" t="s">
        <v>56</v>
      </c>
      <c r="E304" s="3" t="s">
        <v>197</v>
      </c>
      <c r="F304" s="4">
        <v>46295</v>
      </c>
      <c r="G304" s="3" t="s">
        <v>64</v>
      </c>
      <c r="H304" s="6">
        <v>-91400</v>
      </c>
      <c r="I304" s="3" t="s">
        <v>19</v>
      </c>
      <c r="J304" s="3" t="s">
        <v>15</v>
      </c>
      <c r="K304" s="3" t="s">
        <v>15</v>
      </c>
      <c r="L304" s="3" t="s">
        <v>600</v>
      </c>
      <c r="M304" s="4">
        <v>46296</v>
      </c>
      <c r="N304" s="3" t="s">
        <v>130</v>
      </c>
      <c r="O304" s="3" t="s">
        <v>23</v>
      </c>
      <c r="P304" t="str">
        <f t="shared" si="4"/>
        <v>450013967010</v>
      </c>
      <c r="Q304" s="9" cm="1">
        <f t="array" ref="Q304:S304">VLOOKUP(P304,Hoja1!C:F,{2,3,4},FALSE)</f>
        <v>46304</v>
      </c>
      <c r="R304" t="str">
        <v>C28</v>
      </c>
      <c r="S304" t="str">
        <v>1000012043 PROAR IMAGEN PROMOCIONAL SRL</v>
      </c>
      <c r="T304" t="str">
        <f>VLOOKUP(P304,Hoja2!C:D,2,FALSE)</f>
        <v>GJULIANI</v>
      </c>
    </row>
    <row r="305" spans="1:20" x14ac:dyDescent="0.3">
      <c r="A305" s="2" t="s">
        <v>15</v>
      </c>
      <c r="B305" s="3" t="s">
        <v>15</v>
      </c>
      <c r="C305" s="3" t="s">
        <v>599</v>
      </c>
      <c r="D305" s="3" t="s">
        <v>56</v>
      </c>
      <c r="E305" s="3" t="s">
        <v>197</v>
      </c>
      <c r="F305" s="4">
        <v>46295</v>
      </c>
      <c r="G305" s="3" t="s">
        <v>64</v>
      </c>
      <c r="H305" s="6">
        <v>-87400</v>
      </c>
      <c r="I305" s="3" t="s">
        <v>19</v>
      </c>
      <c r="J305" s="3" t="s">
        <v>15</v>
      </c>
      <c r="K305" s="3" t="s">
        <v>15</v>
      </c>
      <c r="L305" s="3" t="s">
        <v>601</v>
      </c>
      <c r="M305" s="4">
        <v>46296</v>
      </c>
      <c r="N305" s="3" t="s">
        <v>130</v>
      </c>
      <c r="O305" s="3" t="s">
        <v>62</v>
      </c>
      <c r="P305" t="str">
        <f t="shared" si="4"/>
        <v>450013967020</v>
      </c>
      <c r="Q305" s="9" cm="1">
        <f t="array" ref="Q305:S305">VLOOKUP(P305,Hoja1!C:F,{2,3,4},FALSE)</f>
        <v>46304</v>
      </c>
      <c r="R305" t="str">
        <v>C28</v>
      </c>
      <c r="S305" t="str">
        <v>1000012043 PROAR IMAGEN PROMOCIONAL SRL</v>
      </c>
      <c r="T305" t="str">
        <f>VLOOKUP(P305,Hoja2!C:D,2,FALSE)</f>
        <v>GJULIANI</v>
      </c>
    </row>
    <row r="306" spans="1:20" x14ac:dyDescent="0.3">
      <c r="A306" s="2" t="s">
        <v>15</v>
      </c>
      <c r="B306" s="3" t="s">
        <v>15</v>
      </c>
      <c r="C306" s="3" t="s">
        <v>602</v>
      </c>
      <c r="D306" s="3" t="s">
        <v>15</v>
      </c>
      <c r="E306" s="3" t="s">
        <v>197</v>
      </c>
      <c r="F306" s="4">
        <v>46296</v>
      </c>
      <c r="G306" s="3" t="s">
        <v>64</v>
      </c>
      <c r="H306" s="6">
        <v>-1917356</v>
      </c>
      <c r="I306" s="3" t="s">
        <v>19</v>
      </c>
      <c r="J306" s="3" t="s">
        <v>15</v>
      </c>
      <c r="K306" s="3" t="s">
        <v>15</v>
      </c>
      <c r="L306" s="3" t="s">
        <v>603</v>
      </c>
      <c r="M306" s="4">
        <v>46296</v>
      </c>
      <c r="N306" s="3" t="s">
        <v>140</v>
      </c>
      <c r="O306" s="3" t="s">
        <v>141</v>
      </c>
      <c r="P306" t="str">
        <f t="shared" si="4"/>
        <v>450013988670</v>
      </c>
      <c r="Q306" s="9" cm="1">
        <f t="array" ref="Q306:S306">VLOOKUP(P306,Hoja1!C:F,{2,3,4},FALSE)</f>
        <v>46300</v>
      </c>
      <c r="R306" t="str">
        <v>C01</v>
      </c>
      <c r="S306" t="str">
        <v>1000010215 ARZE MIGUEL ANGEL</v>
      </c>
      <c r="T306" t="str">
        <f>VLOOKUP(P306,Hoja2!C:D,2,FALSE)</f>
        <v>AZAPANA</v>
      </c>
    </row>
    <row r="307" spans="1:20" x14ac:dyDescent="0.3">
      <c r="A307" s="2" t="s">
        <v>15</v>
      </c>
      <c r="B307" s="3" t="s">
        <v>15</v>
      </c>
      <c r="C307" s="3" t="s">
        <v>604</v>
      </c>
      <c r="D307" s="3" t="s">
        <v>15</v>
      </c>
      <c r="E307" s="3" t="s">
        <v>197</v>
      </c>
      <c r="F307" s="4">
        <v>46296</v>
      </c>
      <c r="G307" s="3" t="s">
        <v>64</v>
      </c>
      <c r="H307" s="6">
        <v>-122280.8</v>
      </c>
      <c r="I307" s="3" t="s">
        <v>19</v>
      </c>
      <c r="J307" s="3" t="s">
        <v>15</v>
      </c>
      <c r="K307" s="3" t="s">
        <v>15</v>
      </c>
      <c r="L307" s="3" t="s">
        <v>605</v>
      </c>
      <c r="M307" s="4">
        <v>46296</v>
      </c>
      <c r="N307" s="3" t="s">
        <v>606</v>
      </c>
      <c r="O307" s="3" t="s">
        <v>351</v>
      </c>
      <c r="P307" t="str">
        <f t="shared" si="4"/>
        <v>450013987880</v>
      </c>
      <c r="Q307" s="9" cm="1">
        <f t="array" ref="Q307:S307">VLOOKUP(P307,Hoja1!C:F,{2,3,4},FALSE)</f>
        <v>46300</v>
      </c>
      <c r="R307" t="str">
        <v>C01</v>
      </c>
      <c r="S307" t="str">
        <v>1000012333 GO CLEAN S.A.S.</v>
      </c>
      <c r="T307" t="str">
        <f>VLOOKUP(P307,Hoja2!C:D,2,FALSE)</f>
        <v>AZAPANA</v>
      </c>
    </row>
    <row r="308" spans="1:20" x14ac:dyDescent="0.3">
      <c r="A308" s="2" t="s">
        <v>15</v>
      </c>
      <c r="B308" s="3" t="s">
        <v>15</v>
      </c>
      <c r="C308" s="3" t="s">
        <v>604</v>
      </c>
      <c r="D308" s="3" t="s">
        <v>56</v>
      </c>
      <c r="E308" s="3" t="s">
        <v>197</v>
      </c>
      <c r="F308" s="4">
        <v>46296</v>
      </c>
      <c r="G308" s="3" t="s">
        <v>64</v>
      </c>
      <c r="H308" s="6">
        <v>-136363.64000000001</v>
      </c>
      <c r="I308" s="3" t="s">
        <v>19</v>
      </c>
      <c r="J308" s="3" t="s">
        <v>15</v>
      </c>
      <c r="K308" s="3" t="s">
        <v>15</v>
      </c>
      <c r="L308" s="3" t="s">
        <v>607</v>
      </c>
      <c r="M308" s="4">
        <v>46296</v>
      </c>
      <c r="N308" s="3" t="s">
        <v>606</v>
      </c>
      <c r="O308" s="3" t="s">
        <v>158</v>
      </c>
      <c r="P308" t="str">
        <f t="shared" si="4"/>
        <v>450013987890</v>
      </c>
      <c r="Q308" s="9" cm="1">
        <f t="array" ref="Q308:S308">VLOOKUP(P308,Hoja1!C:F,{2,3,4},FALSE)</f>
        <v>46300</v>
      </c>
      <c r="R308" t="str">
        <v>C01</v>
      </c>
      <c r="S308" t="str">
        <v>1000012333 GO CLEAN S.A.S.</v>
      </c>
      <c r="T308" t="str">
        <f>VLOOKUP(P308,Hoja2!C:D,2,FALSE)</f>
        <v>AZAPANA</v>
      </c>
    </row>
    <row r="309" spans="1:20" x14ac:dyDescent="0.3">
      <c r="A309" s="2" t="s">
        <v>15</v>
      </c>
      <c r="B309" s="3" t="s">
        <v>15</v>
      </c>
      <c r="C309" s="3" t="s">
        <v>608</v>
      </c>
      <c r="D309" s="3" t="s">
        <v>15</v>
      </c>
      <c r="E309" s="3" t="s">
        <v>197</v>
      </c>
      <c r="F309" s="4">
        <v>46296</v>
      </c>
      <c r="G309" s="3" t="s">
        <v>64</v>
      </c>
      <c r="H309" s="6">
        <v>-144500</v>
      </c>
      <c r="I309" s="3" t="s">
        <v>19</v>
      </c>
      <c r="J309" s="3" t="s">
        <v>15</v>
      </c>
      <c r="K309" s="3" t="s">
        <v>15</v>
      </c>
      <c r="L309" s="3" t="s">
        <v>609</v>
      </c>
      <c r="M309" s="4">
        <v>46296</v>
      </c>
      <c r="N309" s="3" t="s">
        <v>192</v>
      </c>
      <c r="O309" s="3" t="s">
        <v>23</v>
      </c>
      <c r="P309" t="str">
        <f t="shared" si="4"/>
        <v>450013933810</v>
      </c>
      <c r="Q309" s="9" cm="1">
        <f t="array" ref="Q309:S309">VLOOKUP(P309,Hoja1!C:F,{2,3,4},FALSE)</f>
        <v>46304</v>
      </c>
      <c r="R309" t="str">
        <v>C22</v>
      </c>
      <c r="S309" t="str">
        <v>1000000003 ARROYITO MAQUINARIAS S.R.L.</v>
      </c>
      <c r="T309" t="str">
        <f>VLOOKUP(P309,Hoja2!C:D,2,FALSE)</f>
        <v>GJULIANI</v>
      </c>
    </row>
    <row r="310" spans="1:20" x14ac:dyDescent="0.3">
      <c r="A310" s="2" t="s">
        <v>15</v>
      </c>
      <c r="B310" s="3" t="s">
        <v>15</v>
      </c>
      <c r="C310" s="3" t="s">
        <v>610</v>
      </c>
      <c r="D310" s="3" t="s">
        <v>56</v>
      </c>
      <c r="E310" s="3" t="s">
        <v>197</v>
      </c>
      <c r="F310" s="4">
        <v>46292</v>
      </c>
      <c r="G310" s="3" t="s">
        <v>18</v>
      </c>
      <c r="H310" s="5">
        <v>6236100</v>
      </c>
      <c r="I310" s="3" t="s">
        <v>19</v>
      </c>
      <c r="J310" s="3" t="s">
        <v>15</v>
      </c>
      <c r="K310" s="3" t="s">
        <v>15</v>
      </c>
      <c r="L310" s="3" t="s">
        <v>611</v>
      </c>
      <c r="M310" s="4">
        <v>46292</v>
      </c>
      <c r="N310" s="3" t="s">
        <v>576</v>
      </c>
      <c r="O310" s="3" t="s">
        <v>23</v>
      </c>
      <c r="P310" t="str">
        <f t="shared" si="4"/>
        <v>450013901910</v>
      </c>
      <c r="Q310" s="9" cm="1">
        <f t="array" ref="Q310:S310">VLOOKUP(P310,Hoja1!C:F,{2,3,4},FALSE)</f>
        <v>46319</v>
      </c>
      <c r="R310" t="str">
        <v>C15</v>
      </c>
      <c r="S310" t="str">
        <v>1000013615 CAMPO BRAVO S. A. S.</v>
      </c>
      <c r="T310" t="str">
        <f>VLOOKUP(P310,Hoja2!C:D,2,FALSE)</f>
        <v>GDIAZ</v>
      </c>
    </row>
    <row r="311" spans="1:20" x14ac:dyDescent="0.3">
      <c r="A311" s="2" t="s">
        <v>15</v>
      </c>
      <c r="B311" s="3" t="s">
        <v>15</v>
      </c>
      <c r="C311" s="3" t="s">
        <v>612</v>
      </c>
      <c r="D311" s="3" t="s">
        <v>15</v>
      </c>
      <c r="E311" s="3" t="s">
        <v>197</v>
      </c>
      <c r="F311" s="4">
        <v>46296</v>
      </c>
      <c r="G311" s="3" t="s">
        <v>64</v>
      </c>
      <c r="H311" s="6">
        <v>-374391.2</v>
      </c>
      <c r="I311" s="3" t="s">
        <v>19</v>
      </c>
      <c r="J311" s="3" t="s">
        <v>15</v>
      </c>
      <c r="K311" s="3" t="s">
        <v>15</v>
      </c>
      <c r="L311" s="3" t="s">
        <v>613</v>
      </c>
      <c r="M311" s="4">
        <v>46297</v>
      </c>
      <c r="N311" s="3" t="s">
        <v>552</v>
      </c>
      <c r="O311" s="3" t="s">
        <v>49</v>
      </c>
      <c r="P311" t="str">
        <f t="shared" si="4"/>
        <v>450013730130</v>
      </c>
      <c r="Q311" s="9" cm="1">
        <f t="array" ref="Q311:S311">VLOOKUP(P311,Hoja1!C:F,{2,3,4},FALSE)</f>
        <v>46297</v>
      </c>
      <c r="R311" t="str">
        <v>C03</v>
      </c>
      <c r="S311" t="str">
        <v>1000000062 FINNING ARGENTINA S.A.</v>
      </c>
      <c r="T311" t="str">
        <f>VLOOKUP(P311,Hoja2!C:D,2,FALSE)</f>
        <v>RPEREZ</v>
      </c>
    </row>
    <row r="312" spans="1:20" x14ac:dyDescent="0.3">
      <c r="A312" s="2" t="s">
        <v>15</v>
      </c>
      <c r="B312" s="3" t="s">
        <v>15</v>
      </c>
      <c r="C312" s="3" t="s">
        <v>614</v>
      </c>
      <c r="D312" s="3" t="s">
        <v>56</v>
      </c>
      <c r="E312" s="3" t="s">
        <v>197</v>
      </c>
      <c r="F312" s="4">
        <v>46297</v>
      </c>
      <c r="G312" s="3" t="s">
        <v>64</v>
      </c>
      <c r="H312" s="6">
        <v>-150780.60999999999</v>
      </c>
      <c r="I312" s="3" t="s">
        <v>19</v>
      </c>
      <c r="J312" s="3" t="s">
        <v>15</v>
      </c>
      <c r="K312" s="3" t="s">
        <v>15</v>
      </c>
      <c r="L312" s="3" t="s">
        <v>615</v>
      </c>
      <c r="M312" s="4">
        <v>46297</v>
      </c>
      <c r="N312" s="3" t="s">
        <v>195</v>
      </c>
      <c r="O312" s="3" t="s">
        <v>23</v>
      </c>
      <c r="P312" t="str">
        <f t="shared" si="4"/>
        <v>450013973110</v>
      </c>
      <c r="Q312" s="9" cm="1">
        <f t="array" ref="Q312:S312">VLOOKUP(P312,Hoja1!C:F,{2,3,4},FALSE)</f>
        <v>46304</v>
      </c>
      <c r="R312" t="str">
        <v>C28</v>
      </c>
      <c r="S312" t="str">
        <v>1000007451 FLORES CARLOS FELIPE Y OTROS S H</v>
      </c>
      <c r="T312" t="str">
        <f>VLOOKUP(P312,Hoja2!C:D,2,FALSE)</f>
        <v>GJULIANI</v>
      </c>
    </row>
    <row r="313" spans="1:20" x14ac:dyDescent="0.3">
      <c r="A313" s="2" t="s">
        <v>15</v>
      </c>
      <c r="B313" s="3" t="s">
        <v>15</v>
      </c>
      <c r="C313" s="3" t="s">
        <v>616</v>
      </c>
      <c r="D313" s="3" t="s">
        <v>56</v>
      </c>
      <c r="E313" s="3" t="s">
        <v>197</v>
      </c>
      <c r="F313" s="4">
        <v>46298</v>
      </c>
      <c r="G313" s="3" t="s">
        <v>64</v>
      </c>
      <c r="H313" s="6">
        <v>-405000</v>
      </c>
      <c r="I313" s="3" t="s">
        <v>19</v>
      </c>
      <c r="J313" s="3" t="s">
        <v>15</v>
      </c>
      <c r="K313" s="3" t="s">
        <v>15</v>
      </c>
      <c r="L313" s="3" t="s">
        <v>617</v>
      </c>
      <c r="M313" s="4">
        <v>46298</v>
      </c>
      <c r="N313" s="3" t="s">
        <v>618</v>
      </c>
      <c r="O313" s="3" t="s">
        <v>23</v>
      </c>
      <c r="P313" t="str">
        <f t="shared" si="4"/>
        <v>450013980910</v>
      </c>
      <c r="Q313" s="9" cm="1">
        <f t="array" ref="Q313:S313">VLOOKUP(P313,Hoja1!C:F,{2,3,4},FALSE)</f>
        <v>46354</v>
      </c>
      <c r="R313" t="str">
        <v>C24</v>
      </c>
      <c r="S313" t="str">
        <v>1000009058 FLORES OSCAR ARIEL</v>
      </c>
      <c r="T313" t="str">
        <f>VLOOKUP(P313,Hoja2!C:D,2,FALSE)</f>
        <v>MPITTIA</v>
      </c>
    </row>
    <row r="314" spans="1:20" x14ac:dyDescent="0.3">
      <c r="A314" s="2" t="s">
        <v>15</v>
      </c>
      <c r="B314" s="3" t="s">
        <v>15</v>
      </c>
      <c r="C314" s="3" t="s">
        <v>619</v>
      </c>
      <c r="D314" s="3" t="s">
        <v>56</v>
      </c>
      <c r="E314" s="3" t="s">
        <v>197</v>
      </c>
      <c r="F314" s="4">
        <v>46298</v>
      </c>
      <c r="G314" s="3" t="s">
        <v>64</v>
      </c>
      <c r="H314" s="6">
        <v>-467168.03</v>
      </c>
      <c r="I314" s="3" t="s">
        <v>19</v>
      </c>
      <c r="J314" s="3" t="s">
        <v>15</v>
      </c>
      <c r="K314" s="3" t="s">
        <v>15</v>
      </c>
      <c r="L314" s="3" t="s">
        <v>620</v>
      </c>
      <c r="M314" s="4">
        <v>46298</v>
      </c>
      <c r="N314" s="3" t="s">
        <v>621</v>
      </c>
      <c r="O314" s="3" t="s">
        <v>23</v>
      </c>
      <c r="P314" t="str">
        <f t="shared" si="4"/>
        <v>450013924510</v>
      </c>
      <c r="Q314" s="9" cm="1">
        <f t="array" ref="Q314:S314">VLOOKUP(P314,Hoja1!C:F,{2,3,4},FALSE)</f>
        <v>46356</v>
      </c>
      <c r="R314" t="str">
        <v>C25</v>
      </c>
      <c r="S314" t="str">
        <v>1000007795 JAWIT S.A.</v>
      </c>
      <c r="T314" t="str">
        <f>VLOOKUP(P314,Hoja2!C:D,2,FALSE)</f>
        <v>MPITTIA</v>
      </c>
    </row>
    <row r="315" spans="1:20" x14ac:dyDescent="0.3">
      <c r="A315" s="2" t="s">
        <v>15</v>
      </c>
      <c r="B315" s="3" t="s">
        <v>15</v>
      </c>
      <c r="C315" s="3" t="s">
        <v>622</v>
      </c>
      <c r="D315" s="3" t="s">
        <v>56</v>
      </c>
      <c r="E315" s="3" t="s">
        <v>197</v>
      </c>
      <c r="F315" s="4">
        <v>46298</v>
      </c>
      <c r="G315" s="3" t="s">
        <v>64</v>
      </c>
      <c r="H315" s="6">
        <v>-40738.730000000003</v>
      </c>
      <c r="I315" s="3" t="s">
        <v>19</v>
      </c>
      <c r="J315" s="3" t="s">
        <v>15</v>
      </c>
      <c r="K315" s="3" t="s">
        <v>15</v>
      </c>
      <c r="L315" s="3" t="s">
        <v>623</v>
      </c>
      <c r="M315" s="4">
        <v>46298</v>
      </c>
      <c r="N315" s="3" t="s">
        <v>624</v>
      </c>
      <c r="O315" s="3" t="s">
        <v>23</v>
      </c>
      <c r="P315" t="str">
        <f t="shared" si="4"/>
        <v>450012018410</v>
      </c>
      <c r="Q315" s="9" cm="1">
        <f t="array" ref="Q315:S315">VLOOKUP(P315,Hoja1!C:F,{2,3,4},FALSE)</f>
        <v>46321</v>
      </c>
      <c r="R315" t="str">
        <v>C15</v>
      </c>
      <c r="S315" t="str">
        <v>1000000104 TRANSPORTES LA SEVILLANITA SRL</v>
      </c>
      <c r="T315" t="str">
        <f>VLOOKUP(P315,Hoja2!C:D,2,FALSE)</f>
        <v>GDIAZ</v>
      </c>
    </row>
    <row r="316" spans="1:20" x14ac:dyDescent="0.3">
      <c r="A316" s="2" t="s">
        <v>15</v>
      </c>
      <c r="B316" s="3" t="s">
        <v>15</v>
      </c>
      <c r="C316" s="3" t="s">
        <v>625</v>
      </c>
      <c r="D316" s="3" t="s">
        <v>56</v>
      </c>
      <c r="E316" s="3" t="s">
        <v>197</v>
      </c>
      <c r="F316" s="4">
        <v>46298</v>
      </c>
      <c r="G316" s="3" t="s">
        <v>64</v>
      </c>
      <c r="H316" s="6">
        <v>-2500000</v>
      </c>
      <c r="I316" s="3" t="s">
        <v>19</v>
      </c>
      <c r="J316" s="3" t="s">
        <v>15</v>
      </c>
      <c r="K316" s="3" t="s">
        <v>15</v>
      </c>
      <c r="L316" s="3" t="s">
        <v>626</v>
      </c>
      <c r="M316" s="4">
        <v>46298</v>
      </c>
      <c r="N316" s="3" t="s">
        <v>627</v>
      </c>
      <c r="O316" s="3" t="s">
        <v>23</v>
      </c>
      <c r="P316" t="str">
        <f t="shared" si="4"/>
        <v>450013952410</v>
      </c>
      <c r="Q316" s="9" cm="1">
        <f t="array" ref="Q316:S316">VLOOKUP(P316,Hoja1!C:F,{2,3,4},FALSE)</f>
        <v>46325</v>
      </c>
      <c r="R316" t="str">
        <v>C15</v>
      </c>
      <c r="S316" t="str">
        <v>1000013466 INTREC SAS</v>
      </c>
      <c r="T316" t="str">
        <f>VLOOKUP(P316,Hoja2!C:D,2,FALSE)</f>
        <v>GDIAZ</v>
      </c>
    </row>
    <row r="317" spans="1:20" x14ac:dyDescent="0.3">
      <c r="A317" s="2" t="s">
        <v>15</v>
      </c>
      <c r="B317" s="3" t="s">
        <v>15</v>
      </c>
      <c r="C317" s="3" t="s">
        <v>628</v>
      </c>
      <c r="D317" s="3" t="s">
        <v>15</v>
      </c>
      <c r="E317" s="3" t="s">
        <v>197</v>
      </c>
      <c r="F317" s="4">
        <v>46298</v>
      </c>
      <c r="G317" s="3" t="s">
        <v>64</v>
      </c>
      <c r="H317" s="6">
        <v>-97749.75</v>
      </c>
      <c r="I317" s="3" t="s">
        <v>19</v>
      </c>
      <c r="J317" s="3" t="s">
        <v>15</v>
      </c>
      <c r="K317" s="3" t="s">
        <v>15</v>
      </c>
      <c r="L317" s="3" t="s">
        <v>629</v>
      </c>
      <c r="M317" s="4">
        <v>46298</v>
      </c>
      <c r="N317" s="3" t="s">
        <v>630</v>
      </c>
      <c r="O317" s="3" t="s">
        <v>23</v>
      </c>
      <c r="P317" t="str">
        <f t="shared" si="4"/>
        <v>450013981610</v>
      </c>
      <c r="Q317" s="9" cm="1">
        <f t="array" ref="Q317:S317">VLOOKUP(P317,Hoja1!C:F,{2,3,4},FALSE)</f>
        <v>46318</v>
      </c>
      <c r="R317" t="str">
        <v>C28</v>
      </c>
      <c r="S317" t="str">
        <v>1000007451 FLORES CARLOS FELIPE Y OTROS S H</v>
      </c>
      <c r="T317" t="str">
        <f>VLOOKUP(P317,Hoja2!C:D,2,FALSE)</f>
        <v>GJULIANI</v>
      </c>
    </row>
    <row r="318" spans="1:20" x14ac:dyDescent="0.3">
      <c r="A318" s="2" t="s">
        <v>15</v>
      </c>
      <c r="B318" s="3" t="s">
        <v>15</v>
      </c>
      <c r="C318" s="3" t="s">
        <v>631</v>
      </c>
      <c r="D318" s="3" t="s">
        <v>15</v>
      </c>
      <c r="E318" s="3" t="s">
        <v>197</v>
      </c>
      <c r="F318" s="4">
        <v>46298</v>
      </c>
      <c r="G318" s="3" t="s">
        <v>64</v>
      </c>
      <c r="H318" s="6">
        <v>-48138.8</v>
      </c>
      <c r="I318" s="3" t="s">
        <v>19</v>
      </c>
      <c r="J318" s="3" t="s">
        <v>15</v>
      </c>
      <c r="K318" s="3" t="s">
        <v>15</v>
      </c>
      <c r="L318" s="3" t="s">
        <v>632</v>
      </c>
      <c r="M318" s="4">
        <v>46298</v>
      </c>
      <c r="N318" s="3" t="s">
        <v>633</v>
      </c>
      <c r="O318" s="3" t="s">
        <v>156</v>
      </c>
      <c r="P318" t="str">
        <f t="shared" si="4"/>
        <v>4500140013100</v>
      </c>
      <c r="Q318" s="9" cm="1">
        <f t="array" ref="Q318:S318">VLOOKUP(P318,Hoja1!C:F,{2,3,4},FALSE)</f>
        <v>46300</v>
      </c>
      <c r="R318" t="str">
        <v>C01</v>
      </c>
      <c r="S318" t="str">
        <v>1000008136 LIBRERIA SAN PABLO S.R.L.</v>
      </c>
      <c r="T318" t="str">
        <f>VLOOKUP(P318,Hoja2!C:D,2,FALSE)</f>
        <v>AZAPANA</v>
      </c>
    </row>
    <row r="319" spans="1:20" x14ac:dyDescent="0.3">
      <c r="A319" s="2" t="s">
        <v>15</v>
      </c>
      <c r="B319" s="3" t="s">
        <v>15</v>
      </c>
      <c r="C319" s="3" t="s">
        <v>631</v>
      </c>
      <c r="D319" s="3" t="s">
        <v>15</v>
      </c>
      <c r="E319" s="3" t="s">
        <v>197</v>
      </c>
      <c r="F319" s="4">
        <v>46298</v>
      </c>
      <c r="G319" s="3" t="s">
        <v>64</v>
      </c>
      <c r="H319" s="6">
        <v>-31465</v>
      </c>
      <c r="I319" s="3" t="s">
        <v>19</v>
      </c>
      <c r="J319" s="3" t="s">
        <v>15</v>
      </c>
      <c r="K319" s="3" t="s">
        <v>15</v>
      </c>
      <c r="L319" s="3" t="s">
        <v>634</v>
      </c>
      <c r="M319" s="4">
        <v>46298</v>
      </c>
      <c r="N319" s="3" t="s">
        <v>633</v>
      </c>
      <c r="O319" s="3" t="s">
        <v>148</v>
      </c>
      <c r="P319" t="str">
        <f t="shared" si="4"/>
        <v>4500140013110</v>
      </c>
      <c r="Q319" s="9" cm="1">
        <f t="array" ref="Q319:S319">VLOOKUP(P319,Hoja1!C:F,{2,3,4},FALSE)</f>
        <v>46300</v>
      </c>
      <c r="R319" t="str">
        <v>C01</v>
      </c>
      <c r="S319" t="str">
        <v>1000008136 LIBRERIA SAN PABLO S.R.L.</v>
      </c>
      <c r="T319" t="str">
        <f>VLOOKUP(P319,Hoja2!C:D,2,FALSE)</f>
        <v>AZAPANA</v>
      </c>
    </row>
    <row r="320" spans="1:20" x14ac:dyDescent="0.3">
      <c r="A320" s="2" t="s">
        <v>15</v>
      </c>
      <c r="B320" s="3" t="s">
        <v>15</v>
      </c>
      <c r="C320" s="3" t="s">
        <v>635</v>
      </c>
      <c r="D320" s="3" t="s">
        <v>15</v>
      </c>
      <c r="E320" s="3" t="s">
        <v>197</v>
      </c>
      <c r="F320" s="4">
        <v>46298</v>
      </c>
      <c r="G320" s="3" t="s">
        <v>64</v>
      </c>
      <c r="H320" s="6">
        <v>-22050.53</v>
      </c>
      <c r="I320" s="3" t="s">
        <v>19</v>
      </c>
      <c r="J320" s="3" t="s">
        <v>15</v>
      </c>
      <c r="K320" s="3" t="s">
        <v>15</v>
      </c>
      <c r="L320" s="3" t="s">
        <v>636</v>
      </c>
      <c r="M320" s="4">
        <v>46298</v>
      </c>
      <c r="N320" s="3" t="s">
        <v>637</v>
      </c>
      <c r="O320" s="3" t="s">
        <v>23</v>
      </c>
      <c r="P320" t="str">
        <f t="shared" si="4"/>
        <v>450014013010</v>
      </c>
      <c r="Q320" s="9" cm="1">
        <f t="array" ref="Q320:S320">VLOOKUP(P320,Hoja1!C:F,{2,3,4},FALSE)</f>
        <v>46311</v>
      </c>
      <c r="R320" t="str">
        <v>C01</v>
      </c>
      <c r="S320" t="str">
        <v>1000000907 SERVICIOS VIALES DE STA. FE SA</v>
      </c>
      <c r="T320" t="str">
        <f>VLOOKUP(P320,Hoja2!C:D,2,FALSE)</f>
        <v>AZAPANA</v>
      </c>
    </row>
    <row r="321" spans="1:20" x14ac:dyDescent="0.3">
      <c r="A321" s="2" t="s">
        <v>15</v>
      </c>
      <c r="B321" s="3" t="s">
        <v>15</v>
      </c>
      <c r="C321" s="3" t="s">
        <v>635</v>
      </c>
      <c r="D321" s="3" t="s">
        <v>15</v>
      </c>
      <c r="E321" s="3" t="s">
        <v>197</v>
      </c>
      <c r="F321" s="4">
        <v>46298</v>
      </c>
      <c r="G321" s="3" t="s">
        <v>64</v>
      </c>
      <c r="H321" s="6">
        <v>-81655.14</v>
      </c>
      <c r="I321" s="3" t="s">
        <v>19</v>
      </c>
      <c r="J321" s="3" t="s">
        <v>15</v>
      </c>
      <c r="K321" s="3" t="s">
        <v>15</v>
      </c>
      <c r="L321" s="3" t="s">
        <v>638</v>
      </c>
      <c r="M321" s="4">
        <v>46298</v>
      </c>
      <c r="N321" s="3" t="s">
        <v>637</v>
      </c>
      <c r="O321" s="3" t="s">
        <v>62</v>
      </c>
      <c r="P321" t="str">
        <f t="shared" si="4"/>
        <v>450014013020</v>
      </c>
      <c r="Q321" s="9" cm="1">
        <f t="array" ref="Q321:S321">VLOOKUP(P321,Hoja1!C:F,{2,3,4},FALSE)</f>
        <v>46311</v>
      </c>
      <c r="R321" t="str">
        <v>C01</v>
      </c>
      <c r="S321" t="str">
        <v>1000000907 SERVICIOS VIALES DE STA. FE SA</v>
      </c>
      <c r="T321" t="str">
        <f>VLOOKUP(P321,Hoja2!C:D,2,FALSE)</f>
        <v>AZAPANA</v>
      </c>
    </row>
    <row r="322" spans="1:20" x14ac:dyDescent="0.3">
      <c r="A322" s="2" t="s">
        <v>15</v>
      </c>
      <c r="B322" s="3" t="s">
        <v>15</v>
      </c>
      <c r="C322" s="3" t="s">
        <v>639</v>
      </c>
      <c r="D322" s="3" t="s">
        <v>15</v>
      </c>
      <c r="E322" s="3" t="s">
        <v>197</v>
      </c>
      <c r="F322" s="4">
        <v>46298</v>
      </c>
      <c r="G322" s="3" t="s">
        <v>64</v>
      </c>
      <c r="H322" s="6">
        <v>-14407.56</v>
      </c>
      <c r="I322" s="3" t="s">
        <v>19</v>
      </c>
      <c r="J322" s="3" t="s">
        <v>15</v>
      </c>
      <c r="K322" s="3" t="s">
        <v>15</v>
      </c>
      <c r="L322" s="3" t="s">
        <v>640</v>
      </c>
      <c r="M322" s="4">
        <v>46298</v>
      </c>
      <c r="N322" s="3" t="s">
        <v>641</v>
      </c>
      <c r="O322" s="3" t="s">
        <v>23</v>
      </c>
      <c r="P322" t="str">
        <f t="shared" si="4"/>
        <v>450013929310</v>
      </c>
      <c r="Q322" s="9" cm="1">
        <f t="array" ref="Q322:S322">VLOOKUP(P322,Hoja1!C:F,{2,3,4},FALSE)</f>
        <v>46295</v>
      </c>
      <c r="R322" t="str">
        <v>C27</v>
      </c>
      <c r="S322" t="str">
        <v>1000007451 FLORES CARLOS FELIPE Y OTROS S H</v>
      </c>
      <c r="T322" t="str">
        <f>VLOOKUP(P322,Hoja2!C:D,2,FALSE)</f>
        <v>PRODRIGUEZ</v>
      </c>
    </row>
    <row r="323" spans="1:20" x14ac:dyDescent="0.3">
      <c r="A323" s="2" t="s">
        <v>15</v>
      </c>
      <c r="B323" s="3" t="s">
        <v>15</v>
      </c>
      <c r="C323" s="3" t="s">
        <v>642</v>
      </c>
      <c r="D323" s="3" t="s">
        <v>15</v>
      </c>
      <c r="E323" s="3" t="s">
        <v>197</v>
      </c>
      <c r="F323" s="4">
        <v>46298</v>
      </c>
      <c r="G323" s="3" t="s">
        <v>64</v>
      </c>
      <c r="H323" s="6">
        <v>-380364.79999999999</v>
      </c>
      <c r="I323" s="3" t="s">
        <v>19</v>
      </c>
      <c r="J323" s="3" t="s">
        <v>15</v>
      </c>
      <c r="K323" s="3" t="s">
        <v>15</v>
      </c>
      <c r="L323" s="3" t="s">
        <v>643</v>
      </c>
      <c r="M323" s="4">
        <v>46298</v>
      </c>
      <c r="N323" s="3" t="s">
        <v>644</v>
      </c>
      <c r="O323" s="3" t="s">
        <v>23</v>
      </c>
      <c r="P323" t="str">
        <f t="shared" ref="P323:P340" si="5">_xlfn.CONCAT(N323:O323)</f>
        <v>450014001110</v>
      </c>
      <c r="Q323" s="9" cm="1">
        <f t="array" ref="Q323:S323">VLOOKUP(P323,Hoja1!C:F,{2,3,4},FALSE)</f>
        <v>46300</v>
      </c>
      <c r="R323" t="str">
        <v>C01</v>
      </c>
      <c r="S323" t="str">
        <v>1000007451 FLORES CARLOS FELIPE Y OTROS S H</v>
      </c>
      <c r="T323" t="str">
        <f>VLOOKUP(P323,Hoja2!C:D,2,FALSE)</f>
        <v>AZAPANA</v>
      </c>
    </row>
    <row r="324" spans="1:20" x14ac:dyDescent="0.3">
      <c r="A324" s="2" t="s">
        <v>15</v>
      </c>
      <c r="B324" s="3" t="s">
        <v>15</v>
      </c>
      <c r="C324" s="3" t="s">
        <v>642</v>
      </c>
      <c r="D324" s="3" t="s">
        <v>15</v>
      </c>
      <c r="E324" s="3" t="s">
        <v>197</v>
      </c>
      <c r="F324" s="4">
        <v>46298</v>
      </c>
      <c r="G324" s="3" t="s">
        <v>64</v>
      </c>
      <c r="H324" s="6">
        <v>-332819.20000000001</v>
      </c>
      <c r="I324" s="3" t="s">
        <v>19</v>
      </c>
      <c r="J324" s="3" t="s">
        <v>15</v>
      </c>
      <c r="K324" s="3" t="s">
        <v>15</v>
      </c>
      <c r="L324" s="3" t="s">
        <v>645</v>
      </c>
      <c r="M324" s="4">
        <v>46298</v>
      </c>
      <c r="N324" s="3" t="s">
        <v>644</v>
      </c>
      <c r="O324" s="3" t="s">
        <v>62</v>
      </c>
      <c r="P324" t="str">
        <f t="shared" si="5"/>
        <v>450014001120</v>
      </c>
      <c r="Q324" s="9" cm="1">
        <f t="array" ref="Q324:S324">VLOOKUP(P324,Hoja1!C:F,{2,3,4},FALSE)</f>
        <v>46300</v>
      </c>
      <c r="R324" t="str">
        <v>C01</v>
      </c>
      <c r="S324" t="str">
        <v>1000007451 FLORES CARLOS FELIPE Y OTROS S H</v>
      </c>
      <c r="T324" t="str">
        <f>VLOOKUP(P324,Hoja2!C:D,2,FALSE)</f>
        <v>AZAPANA</v>
      </c>
    </row>
    <row r="325" spans="1:20" x14ac:dyDescent="0.3">
      <c r="A325" s="2" t="s">
        <v>15</v>
      </c>
      <c r="B325" s="3" t="s">
        <v>15</v>
      </c>
      <c r="C325" s="3" t="s">
        <v>642</v>
      </c>
      <c r="D325" s="3" t="s">
        <v>15</v>
      </c>
      <c r="E325" s="3" t="s">
        <v>197</v>
      </c>
      <c r="F325" s="4">
        <v>46298</v>
      </c>
      <c r="G325" s="3" t="s">
        <v>64</v>
      </c>
      <c r="H325" s="6">
        <v>-237728</v>
      </c>
      <c r="I325" s="3" t="s">
        <v>19</v>
      </c>
      <c r="J325" s="3" t="s">
        <v>15</v>
      </c>
      <c r="K325" s="3" t="s">
        <v>15</v>
      </c>
      <c r="L325" s="3" t="s">
        <v>646</v>
      </c>
      <c r="M325" s="4">
        <v>46298</v>
      </c>
      <c r="N325" s="3" t="s">
        <v>644</v>
      </c>
      <c r="O325" s="3" t="s">
        <v>49</v>
      </c>
      <c r="P325" t="str">
        <f t="shared" si="5"/>
        <v>450014001130</v>
      </c>
      <c r="Q325" s="9" cm="1">
        <f t="array" ref="Q325:S325">VLOOKUP(P325,Hoja1!C:F,{2,3,4},FALSE)</f>
        <v>46300</v>
      </c>
      <c r="R325" t="str">
        <v>C01</v>
      </c>
      <c r="S325" t="str">
        <v>1000007451 FLORES CARLOS FELIPE Y OTROS S H</v>
      </c>
      <c r="T325" t="str">
        <f>VLOOKUP(P325,Hoja2!C:D,2,FALSE)</f>
        <v>AZAPANA</v>
      </c>
    </row>
    <row r="326" spans="1:20" x14ac:dyDescent="0.3">
      <c r="A326" s="2" t="s">
        <v>15</v>
      </c>
      <c r="B326" s="3" t="s">
        <v>15</v>
      </c>
      <c r="C326" s="3" t="s">
        <v>642</v>
      </c>
      <c r="D326" s="3" t="s">
        <v>15</v>
      </c>
      <c r="E326" s="3" t="s">
        <v>197</v>
      </c>
      <c r="F326" s="4">
        <v>46298</v>
      </c>
      <c r="G326" s="3" t="s">
        <v>64</v>
      </c>
      <c r="H326" s="6">
        <v>-104296.28</v>
      </c>
      <c r="I326" s="3" t="s">
        <v>19</v>
      </c>
      <c r="J326" s="3" t="s">
        <v>15</v>
      </c>
      <c r="K326" s="3" t="s">
        <v>15</v>
      </c>
      <c r="L326" s="3" t="s">
        <v>647</v>
      </c>
      <c r="M326" s="4">
        <v>46298</v>
      </c>
      <c r="N326" s="3" t="s">
        <v>644</v>
      </c>
      <c r="O326" s="3" t="s">
        <v>38</v>
      </c>
      <c r="P326" t="str">
        <f t="shared" si="5"/>
        <v>450014001140</v>
      </c>
      <c r="Q326" s="9" cm="1">
        <f t="array" ref="Q326:S326">VLOOKUP(P326,Hoja1!C:F,{2,3,4},FALSE)</f>
        <v>46300</v>
      </c>
      <c r="R326" t="str">
        <v>C01</v>
      </c>
      <c r="S326" t="str">
        <v>1000007451 FLORES CARLOS FELIPE Y OTROS S H</v>
      </c>
      <c r="T326" t="str">
        <f>VLOOKUP(P326,Hoja2!C:D,2,FALSE)</f>
        <v>AZAPANA</v>
      </c>
    </row>
    <row r="327" spans="1:20" x14ac:dyDescent="0.3">
      <c r="A327" s="2" t="s">
        <v>15</v>
      </c>
      <c r="B327" s="3" t="s">
        <v>15</v>
      </c>
      <c r="C327" s="3" t="s">
        <v>642</v>
      </c>
      <c r="D327" s="3" t="s">
        <v>15</v>
      </c>
      <c r="E327" s="3" t="s">
        <v>197</v>
      </c>
      <c r="F327" s="4">
        <v>46298</v>
      </c>
      <c r="G327" s="3" t="s">
        <v>64</v>
      </c>
      <c r="H327" s="6">
        <v>-104296.28</v>
      </c>
      <c r="I327" s="3" t="s">
        <v>19</v>
      </c>
      <c r="J327" s="3" t="s">
        <v>15</v>
      </c>
      <c r="K327" s="3" t="s">
        <v>15</v>
      </c>
      <c r="L327" s="3" t="s">
        <v>648</v>
      </c>
      <c r="M327" s="4">
        <v>46298</v>
      </c>
      <c r="N327" s="3" t="s">
        <v>644</v>
      </c>
      <c r="O327" s="3" t="s">
        <v>47</v>
      </c>
      <c r="P327" t="str">
        <f t="shared" si="5"/>
        <v>450014001150</v>
      </c>
      <c r="Q327" s="9" cm="1">
        <f t="array" ref="Q327:S327">VLOOKUP(P327,Hoja1!C:F,{2,3,4},FALSE)</f>
        <v>46300</v>
      </c>
      <c r="R327" t="str">
        <v>C01</v>
      </c>
      <c r="S327" t="str">
        <v>1000007451 FLORES CARLOS FELIPE Y OTROS S H</v>
      </c>
      <c r="T327" t="str">
        <f>VLOOKUP(P327,Hoja2!C:D,2,FALSE)</f>
        <v>AZAPANA</v>
      </c>
    </row>
    <row r="328" spans="1:20" x14ac:dyDescent="0.3">
      <c r="A328" s="2" t="s">
        <v>15</v>
      </c>
      <c r="B328" s="3" t="s">
        <v>15</v>
      </c>
      <c r="C328" s="3" t="s">
        <v>642</v>
      </c>
      <c r="D328" s="3" t="s">
        <v>15</v>
      </c>
      <c r="E328" s="3" t="s">
        <v>197</v>
      </c>
      <c r="F328" s="4">
        <v>46298</v>
      </c>
      <c r="G328" s="3" t="s">
        <v>64</v>
      </c>
      <c r="H328" s="6">
        <v>-156444.42000000001</v>
      </c>
      <c r="I328" s="3" t="s">
        <v>19</v>
      </c>
      <c r="J328" s="3" t="s">
        <v>15</v>
      </c>
      <c r="K328" s="3" t="s">
        <v>15</v>
      </c>
      <c r="L328" s="3" t="s">
        <v>649</v>
      </c>
      <c r="M328" s="4">
        <v>46298</v>
      </c>
      <c r="N328" s="3" t="s">
        <v>644</v>
      </c>
      <c r="O328" s="3" t="s">
        <v>95</v>
      </c>
      <c r="P328" t="str">
        <f t="shared" si="5"/>
        <v>450014001160</v>
      </c>
      <c r="Q328" s="9" cm="1">
        <f t="array" ref="Q328:S328">VLOOKUP(P328,Hoja1!C:F,{2,3,4},FALSE)</f>
        <v>46300</v>
      </c>
      <c r="R328" t="str">
        <v>C01</v>
      </c>
      <c r="S328" t="str">
        <v>1000007451 FLORES CARLOS FELIPE Y OTROS S H</v>
      </c>
      <c r="T328" t="str">
        <f>VLOOKUP(P328,Hoja2!C:D,2,FALSE)</f>
        <v>AZAPANA</v>
      </c>
    </row>
    <row r="329" spans="1:20" x14ac:dyDescent="0.3">
      <c r="A329" s="2" t="s">
        <v>15</v>
      </c>
      <c r="B329" s="3" t="s">
        <v>15</v>
      </c>
      <c r="C329" s="3" t="s">
        <v>642</v>
      </c>
      <c r="D329" s="3" t="s">
        <v>15</v>
      </c>
      <c r="E329" s="3" t="s">
        <v>197</v>
      </c>
      <c r="F329" s="4">
        <v>46298</v>
      </c>
      <c r="G329" s="3" t="s">
        <v>64</v>
      </c>
      <c r="H329" s="6">
        <v>-238311.5</v>
      </c>
      <c r="I329" s="3" t="s">
        <v>19</v>
      </c>
      <c r="J329" s="3" t="s">
        <v>15</v>
      </c>
      <c r="K329" s="3" t="s">
        <v>15</v>
      </c>
      <c r="L329" s="3" t="s">
        <v>650</v>
      </c>
      <c r="M329" s="4">
        <v>46298</v>
      </c>
      <c r="N329" s="3" t="s">
        <v>644</v>
      </c>
      <c r="O329" s="3" t="s">
        <v>466</v>
      </c>
      <c r="P329" t="str">
        <f t="shared" si="5"/>
        <v>4500140011140</v>
      </c>
      <c r="Q329" s="9" cm="1">
        <f t="array" ref="Q329:S329">VLOOKUP(P329,Hoja1!C:F,{2,3,4},FALSE)</f>
        <v>46300</v>
      </c>
      <c r="R329" t="str">
        <v>C01</v>
      </c>
      <c r="S329" t="str">
        <v>1000007451 FLORES CARLOS FELIPE Y OTROS S H</v>
      </c>
      <c r="T329" t="str">
        <f>VLOOKUP(P329,Hoja2!C:D,2,FALSE)</f>
        <v>AZAPANA</v>
      </c>
    </row>
    <row r="330" spans="1:20" x14ac:dyDescent="0.3">
      <c r="A330" s="2" t="s">
        <v>15</v>
      </c>
      <c r="B330" s="3" t="s">
        <v>15</v>
      </c>
      <c r="C330" s="3" t="s">
        <v>651</v>
      </c>
      <c r="D330" s="3" t="s">
        <v>56</v>
      </c>
      <c r="E330" s="3" t="s">
        <v>197</v>
      </c>
      <c r="F330" s="4">
        <v>46298</v>
      </c>
      <c r="G330" s="3" t="s">
        <v>64</v>
      </c>
      <c r="H330" s="6">
        <v>-290000</v>
      </c>
      <c r="I330" s="3" t="s">
        <v>19</v>
      </c>
      <c r="J330" s="3" t="s">
        <v>15</v>
      </c>
      <c r="K330" s="3" t="s">
        <v>15</v>
      </c>
      <c r="L330" s="3" t="s">
        <v>652</v>
      </c>
      <c r="M330" s="4">
        <v>46298</v>
      </c>
      <c r="N330" s="3" t="s">
        <v>653</v>
      </c>
      <c r="O330" s="3" t="s">
        <v>62</v>
      </c>
      <c r="P330" t="str">
        <f t="shared" si="5"/>
        <v>450013742220</v>
      </c>
      <c r="Q330" s="9" cm="1">
        <f t="array" ref="Q330:S330">VLOOKUP(P330,Hoja1!C:F,{2,3,4},FALSE)</f>
        <v>46328</v>
      </c>
      <c r="R330" t="str">
        <v>C24</v>
      </c>
      <c r="S330" t="str">
        <v>1000012877 RASGIDO GASTON ANDRES</v>
      </c>
      <c r="T330" t="str">
        <f>VLOOKUP(P330,Hoja2!C:D,2,FALSE)</f>
        <v>MPITTIA</v>
      </c>
    </row>
    <row r="331" spans="1:20" x14ac:dyDescent="0.3">
      <c r="A331" s="2" t="s">
        <v>15</v>
      </c>
      <c r="B331" s="3" t="s">
        <v>15</v>
      </c>
      <c r="C331" s="3" t="s">
        <v>651</v>
      </c>
      <c r="D331" s="3" t="s">
        <v>56</v>
      </c>
      <c r="E331" s="3" t="s">
        <v>197</v>
      </c>
      <c r="F331" s="4">
        <v>46298</v>
      </c>
      <c r="G331" s="3" t="s">
        <v>64</v>
      </c>
      <c r="H331" s="6">
        <v>-285000</v>
      </c>
      <c r="I331" s="3" t="s">
        <v>19</v>
      </c>
      <c r="J331" s="3" t="s">
        <v>15</v>
      </c>
      <c r="K331" s="3" t="s">
        <v>15</v>
      </c>
      <c r="L331" s="3" t="s">
        <v>654</v>
      </c>
      <c r="M331" s="4">
        <v>46298</v>
      </c>
      <c r="N331" s="3" t="s">
        <v>653</v>
      </c>
      <c r="O331" s="3" t="s">
        <v>49</v>
      </c>
      <c r="P331" t="str">
        <f t="shared" si="5"/>
        <v>450013742230</v>
      </c>
      <c r="Q331" s="9" cm="1">
        <f t="array" ref="Q331:S331">VLOOKUP(P331,Hoja1!C:F,{2,3,4},FALSE)</f>
        <v>46328</v>
      </c>
      <c r="R331" t="str">
        <v>C24</v>
      </c>
      <c r="S331" t="str">
        <v>1000012877 RASGIDO GASTON ANDRES</v>
      </c>
      <c r="T331" t="str">
        <f>VLOOKUP(P331,Hoja2!C:D,2,FALSE)</f>
        <v>MPITTIA</v>
      </c>
    </row>
    <row r="332" spans="1:20" x14ac:dyDescent="0.3">
      <c r="A332" s="2" t="s">
        <v>15</v>
      </c>
      <c r="B332" s="3" t="s">
        <v>15</v>
      </c>
      <c r="C332" s="3" t="s">
        <v>655</v>
      </c>
      <c r="D332" s="3" t="s">
        <v>56</v>
      </c>
      <c r="E332" s="3" t="s">
        <v>197</v>
      </c>
      <c r="F332" s="4">
        <v>46299</v>
      </c>
      <c r="G332" s="3" t="s">
        <v>64</v>
      </c>
      <c r="H332" s="6">
        <v>-1130371.2</v>
      </c>
      <c r="I332" s="3" t="s">
        <v>19</v>
      </c>
      <c r="J332" s="3" t="s">
        <v>15</v>
      </c>
      <c r="K332" s="3" t="s">
        <v>15</v>
      </c>
      <c r="L332" s="3" t="s">
        <v>656</v>
      </c>
      <c r="M332" s="4">
        <v>46299</v>
      </c>
      <c r="N332" s="3" t="s">
        <v>657</v>
      </c>
      <c r="O332" s="3" t="s">
        <v>23</v>
      </c>
      <c r="P332" t="str">
        <f t="shared" si="5"/>
        <v>450013482410</v>
      </c>
      <c r="Q332" s="9" cm="1">
        <f t="array" ref="Q332:S332">VLOOKUP(P332,Hoja1!C:F,{2,3,4},FALSE)</f>
        <v>46325</v>
      </c>
      <c r="R332" t="str">
        <v>C25</v>
      </c>
      <c r="S332" t="str">
        <v>1000012132 PRODUCTOS SERVICIOS Y DISTRIBUCIONE</v>
      </c>
      <c r="T332" t="str">
        <f>VLOOKUP(P332,Hoja2!C:D,2,FALSE)</f>
        <v>MPITTIA</v>
      </c>
    </row>
    <row r="333" spans="1:20" x14ac:dyDescent="0.3">
      <c r="A333" s="2" t="s">
        <v>15</v>
      </c>
      <c r="B333" s="3" t="s">
        <v>15</v>
      </c>
      <c r="C333" s="3" t="s">
        <v>658</v>
      </c>
      <c r="D333" s="3" t="s">
        <v>56</v>
      </c>
      <c r="E333" s="3" t="s">
        <v>197</v>
      </c>
      <c r="F333" s="4">
        <v>46299</v>
      </c>
      <c r="G333" s="3" t="s">
        <v>64</v>
      </c>
      <c r="H333" s="6">
        <v>-18089075.16</v>
      </c>
      <c r="I333" s="3" t="s">
        <v>19</v>
      </c>
      <c r="J333" s="3" t="s">
        <v>15</v>
      </c>
      <c r="K333" s="3" t="s">
        <v>15</v>
      </c>
      <c r="L333" s="3" t="s">
        <v>659</v>
      </c>
      <c r="M333" s="4">
        <v>46299</v>
      </c>
      <c r="N333" s="3" t="s">
        <v>307</v>
      </c>
      <c r="O333" s="3" t="s">
        <v>23</v>
      </c>
      <c r="P333" t="str">
        <f t="shared" si="5"/>
        <v>450012853310</v>
      </c>
      <c r="Q333" s="9" cm="1">
        <f t="array" ref="Q333:S333">VLOOKUP(P333,Hoja1!C:F,{2,3,4},FALSE)</f>
        <v>46326</v>
      </c>
      <c r="R333" t="str">
        <v>C25</v>
      </c>
      <c r="S333" t="str">
        <v>1000012132 PRODUCTOS SERVICIOS Y DISTRIBUCIONE</v>
      </c>
      <c r="T333" t="str">
        <f>VLOOKUP(P333,Hoja2!C:D,2,FALSE)</f>
        <v>MPITTIA</v>
      </c>
    </row>
    <row r="334" spans="1:20" x14ac:dyDescent="0.3">
      <c r="A334" s="2" t="s">
        <v>15</v>
      </c>
      <c r="B334" s="3" t="s">
        <v>15</v>
      </c>
      <c r="C334" s="3" t="s">
        <v>658</v>
      </c>
      <c r="D334" s="3" t="s">
        <v>56</v>
      </c>
      <c r="E334" s="3" t="s">
        <v>197</v>
      </c>
      <c r="F334" s="4">
        <v>46299</v>
      </c>
      <c r="G334" s="3" t="s">
        <v>64</v>
      </c>
      <c r="H334" s="6">
        <v>-5641598.4000000004</v>
      </c>
      <c r="I334" s="3" t="s">
        <v>19</v>
      </c>
      <c r="J334" s="3" t="s">
        <v>15</v>
      </c>
      <c r="K334" s="3" t="s">
        <v>15</v>
      </c>
      <c r="L334" s="3" t="s">
        <v>660</v>
      </c>
      <c r="M334" s="4">
        <v>46299</v>
      </c>
      <c r="N334" s="3" t="s">
        <v>307</v>
      </c>
      <c r="O334" s="3" t="s">
        <v>62</v>
      </c>
      <c r="P334" t="str">
        <f t="shared" si="5"/>
        <v>450012853320</v>
      </c>
      <c r="Q334" s="9" cm="1">
        <f t="array" ref="Q334:S334">VLOOKUP(P334,Hoja1!C:F,{2,3,4},FALSE)</f>
        <v>46326</v>
      </c>
      <c r="R334" t="str">
        <v>C25</v>
      </c>
      <c r="S334" t="str">
        <v>1000012132 PRODUCTOS SERVICIOS Y DISTRIBUCIONE</v>
      </c>
      <c r="T334" t="str">
        <f>VLOOKUP(P334,Hoja2!C:D,2,FALSE)</f>
        <v>MPITTIA</v>
      </c>
    </row>
    <row r="335" spans="1:20" x14ac:dyDescent="0.3">
      <c r="A335" s="2" t="s">
        <v>15</v>
      </c>
      <c r="B335" s="3" t="s">
        <v>15</v>
      </c>
      <c r="C335" s="3" t="s">
        <v>661</v>
      </c>
      <c r="D335" s="3" t="s">
        <v>56</v>
      </c>
      <c r="E335" s="3" t="s">
        <v>197</v>
      </c>
      <c r="F335" s="4">
        <v>46299</v>
      </c>
      <c r="G335" s="3" t="s">
        <v>64</v>
      </c>
      <c r="H335" s="6">
        <v>-638408.25</v>
      </c>
      <c r="I335" s="3" t="s">
        <v>19</v>
      </c>
      <c r="J335" s="3" t="s">
        <v>15</v>
      </c>
      <c r="K335" s="3" t="s">
        <v>15</v>
      </c>
      <c r="L335" s="3" t="s">
        <v>662</v>
      </c>
      <c r="M335" s="4">
        <v>46299</v>
      </c>
      <c r="N335" s="3" t="s">
        <v>663</v>
      </c>
      <c r="O335" s="3" t="s">
        <v>23</v>
      </c>
      <c r="P335" t="str">
        <f t="shared" si="5"/>
        <v>450013929810</v>
      </c>
      <c r="Q335" s="9" cm="1">
        <f t="array" ref="Q335:S335">VLOOKUP(P335,Hoja1!C:F,{2,3,4},FALSE)</f>
        <v>46325</v>
      </c>
      <c r="R335" t="str">
        <v>C25</v>
      </c>
      <c r="S335" t="str">
        <v>1000012097 TRANSPORTE TMS S. A. S.</v>
      </c>
      <c r="T335" t="str">
        <f>VLOOKUP(P335,Hoja2!C:D,2,FALSE)</f>
        <v>MPITTIA</v>
      </c>
    </row>
    <row r="336" spans="1:20" x14ac:dyDescent="0.3">
      <c r="A336" s="2" t="s">
        <v>15</v>
      </c>
      <c r="B336" s="3" t="s">
        <v>15</v>
      </c>
      <c r="C336" s="3" t="s">
        <v>661</v>
      </c>
      <c r="D336" s="3" t="s">
        <v>56</v>
      </c>
      <c r="E336" s="3" t="s">
        <v>197</v>
      </c>
      <c r="F336" s="4">
        <v>46299</v>
      </c>
      <c r="G336" s="3" t="s">
        <v>64</v>
      </c>
      <c r="H336" s="6">
        <v>-5503537.2000000002</v>
      </c>
      <c r="I336" s="3" t="s">
        <v>19</v>
      </c>
      <c r="J336" s="3" t="s">
        <v>15</v>
      </c>
      <c r="K336" s="3" t="s">
        <v>15</v>
      </c>
      <c r="L336" s="3" t="s">
        <v>664</v>
      </c>
      <c r="M336" s="4">
        <v>46299</v>
      </c>
      <c r="N336" s="3" t="s">
        <v>663</v>
      </c>
      <c r="O336" s="3" t="s">
        <v>49</v>
      </c>
      <c r="P336" t="str">
        <f t="shared" si="5"/>
        <v>450013929830</v>
      </c>
      <c r="Q336" s="9" cm="1">
        <f t="array" ref="Q336:S336">VLOOKUP(P336,Hoja1!C:F,{2,3,4},FALSE)</f>
        <v>46325</v>
      </c>
      <c r="R336" t="str">
        <v>C25</v>
      </c>
      <c r="S336" t="str">
        <v>1000012097 TRANSPORTE TMS S. A. S.</v>
      </c>
      <c r="T336" t="str">
        <f>VLOOKUP(P336,Hoja2!C:D,2,FALSE)</f>
        <v>MPITTIA</v>
      </c>
    </row>
    <row r="337" spans="1:20" x14ac:dyDescent="0.3">
      <c r="A337" s="2" t="s">
        <v>15</v>
      </c>
      <c r="B337" s="3" t="s">
        <v>15</v>
      </c>
      <c r="C337" s="3" t="s">
        <v>665</v>
      </c>
      <c r="D337" s="3" t="s">
        <v>56</v>
      </c>
      <c r="E337" s="3" t="s">
        <v>197</v>
      </c>
      <c r="F337" s="4">
        <v>46299</v>
      </c>
      <c r="G337" s="3" t="s">
        <v>64</v>
      </c>
      <c r="H337" s="6">
        <v>-2528682.2400000002</v>
      </c>
      <c r="I337" s="3" t="s">
        <v>19</v>
      </c>
      <c r="J337" s="3" t="s">
        <v>15</v>
      </c>
      <c r="K337" s="3" t="s">
        <v>15</v>
      </c>
      <c r="L337" s="3" t="s">
        <v>666</v>
      </c>
      <c r="M337" s="4">
        <v>46299</v>
      </c>
      <c r="N337" s="3" t="s">
        <v>79</v>
      </c>
      <c r="O337" s="3" t="s">
        <v>23</v>
      </c>
      <c r="P337" t="str">
        <f t="shared" si="5"/>
        <v>450013722710</v>
      </c>
      <c r="Q337" s="9" cm="1">
        <f t="array" ref="Q337:S337">VLOOKUP(P337,Hoja1!C:F,{2,3,4},FALSE)</f>
        <v>46325</v>
      </c>
      <c r="R337" t="str">
        <v>C25</v>
      </c>
      <c r="S337" t="str">
        <v>1000012097 TRANSPORTE TMS S. A. S.</v>
      </c>
      <c r="T337" t="str">
        <f>VLOOKUP(P337,Hoja2!C:D,2,FALSE)</f>
        <v>MPITTIA</v>
      </c>
    </row>
    <row r="338" spans="1:20" x14ac:dyDescent="0.3">
      <c r="A338" s="2" t="s">
        <v>15</v>
      </c>
      <c r="B338" s="3" t="s">
        <v>15</v>
      </c>
      <c r="C338" s="3" t="s">
        <v>665</v>
      </c>
      <c r="D338" s="3" t="s">
        <v>56</v>
      </c>
      <c r="E338" s="3" t="s">
        <v>197</v>
      </c>
      <c r="F338" s="4">
        <v>46299</v>
      </c>
      <c r="G338" s="3" t="s">
        <v>64</v>
      </c>
      <c r="H338" s="6">
        <v>-25080445.859999999</v>
      </c>
      <c r="I338" s="3" t="s">
        <v>19</v>
      </c>
      <c r="J338" s="3" t="s">
        <v>15</v>
      </c>
      <c r="K338" s="3" t="s">
        <v>15</v>
      </c>
      <c r="L338" s="3" t="s">
        <v>667</v>
      </c>
      <c r="M338" s="4">
        <v>46299</v>
      </c>
      <c r="N338" s="3" t="s">
        <v>79</v>
      </c>
      <c r="O338" s="3" t="s">
        <v>62</v>
      </c>
      <c r="P338" t="str">
        <f t="shared" si="5"/>
        <v>450013722720</v>
      </c>
      <c r="Q338" s="9" cm="1">
        <f t="array" ref="Q338:S338">VLOOKUP(P338,Hoja1!C:F,{2,3,4},FALSE)</f>
        <v>46325</v>
      </c>
      <c r="R338" t="str">
        <v>C25</v>
      </c>
      <c r="S338" t="str">
        <v>1000012097 TRANSPORTE TMS S. A. S.</v>
      </c>
      <c r="T338" t="str">
        <f>VLOOKUP(P338,Hoja2!C:D,2,FALSE)</f>
        <v>MPITTIA</v>
      </c>
    </row>
    <row r="339" spans="1:20" x14ac:dyDescent="0.3">
      <c r="A339" s="2" t="s">
        <v>15</v>
      </c>
      <c r="B339" s="3" t="s">
        <v>15</v>
      </c>
      <c r="C339" s="3" t="s">
        <v>668</v>
      </c>
      <c r="D339" s="3" t="s">
        <v>56</v>
      </c>
      <c r="E339" s="3" t="s">
        <v>197</v>
      </c>
      <c r="F339" s="4">
        <v>46300</v>
      </c>
      <c r="G339" s="3" t="s">
        <v>64</v>
      </c>
      <c r="H339" s="6">
        <v>-4207707</v>
      </c>
      <c r="I339" s="3" t="s">
        <v>19</v>
      </c>
      <c r="J339" s="3" t="s">
        <v>15</v>
      </c>
      <c r="K339" s="3" t="s">
        <v>15</v>
      </c>
      <c r="L339" s="3" t="s">
        <v>669</v>
      </c>
      <c r="M339" s="4">
        <v>46300</v>
      </c>
      <c r="N339" s="3" t="s">
        <v>670</v>
      </c>
      <c r="O339" s="3" t="s">
        <v>23</v>
      </c>
      <c r="P339" t="str">
        <f t="shared" si="5"/>
        <v>450013984510</v>
      </c>
      <c r="Q339" s="9" cm="1">
        <f t="array" ref="Q339:S339">VLOOKUP(P339,Hoja1!C:F,{2,3,4},FALSE)</f>
        <v>46304</v>
      </c>
      <c r="R339" t="str">
        <v>C01</v>
      </c>
      <c r="S339" t="str">
        <v>1000012527 FAES DISTRIBUCIONES S.R.L.</v>
      </c>
      <c r="T339" t="str">
        <f>VLOOKUP(P339,Hoja2!C:D,2,FALSE)</f>
        <v>AZAPANA</v>
      </c>
    </row>
    <row r="340" spans="1:20" x14ac:dyDescent="0.3">
      <c r="A340" s="7" t="s">
        <v>15</v>
      </c>
      <c r="B340" s="7" t="s">
        <v>15</v>
      </c>
      <c r="C340" s="7" t="s">
        <v>15</v>
      </c>
      <c r="D340" s="7" t="s">
        <v>15</v>
      </c>
      <c r="E340" s="7" t="s">
        <v>15</v>
      </c>
      <c r="F340" s="7" t="s">
        <v>15</v>
      </c>
      <c r="G340" s="7" t="s">
        <v>15</v>
      </c>
      <c r="H340" s="8">
        <v>-112790821.77</v>
      </c>
      <c r="I340" s="7" t="s">
        <v>19</v>
      </c>
      <c r="J340" s="7" t="s">
        <v>15</v>
      </c>
      <c r="K340" s="7" t="s">
        <v>15</v>
      </c>
      <c r="L340" s="7" t="s">
        <v>15</v>
      </c>
      <c r="M340" s="7" t="s">
        <v>15</v>
      </c>
      <c r="N340" s="7" t="s">
        <v>15</v>
      </c>
      <c r="O340" s="7" t="s">
        <v>15</v>
      </c>
      <c r="P340" t="str">
        <f t="shared" si="5"/>
        <v/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142A7-049E-4136-8377-B1821FAAC9EA}">
  <dimension ref="A1:D334"/>
  <sheetViews>
    <sheetView workbookViewId="0">
      <selection activeCell="E3" sqref="E3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6.6640625" customWidth="1"/>
    <col min="4" max="4" width="12" bestFit="1" customWidth="1"/>
  </cols>
  <sheetData>
    <row r="1" spans="1:4" x14ac:dyDescent="0.3">
      <c r="A1" s="1" t="s">
        <v>773</v>
      </c>
      <c r="B1" s="1" t="s">
        <v>774</v>
      </c>
      <c r="C1" s="1"/>
      <c r="D1" s="1" t="s">
        <v>775</v>
      </c>
    </row>
    <row r="2" spans="1:4" x14ac:dyDescent="0.3">
      <c r="A2" s="3" t="s">
        <v>58</v>
      </c>
      <c r="B2" s="3" t="s">
        <v>23</v>
      </c>
      <c r="C2" s="3" t="str">
        <f>_xlfn.CONCAT(A2:B2)</f>
        <v>450010951410</v>
      </c>
      <c r="D2" s="3" t="s">
        <v>776</v>
      </c>
    </row>
    <row r="3" spans="1:4" x14ac:dyDescent="0.3">
      <c r="A3" s="3" t="s">
        <v>207</v>
      </c>
      <c r="B3" s="3" t="s">
        <v>23</v>
      </c>
      <c r="C3" s="3" t="str">
        <f t="shared" ref="C3:C66" si="0">_xlfn.CONCAT(A3:B3)</f>
        <v>450010984110</v>
      </c>
      <c r="D3" s="3" t="s">
        <v>777</v>
      </c>
    </row>
    <row r="4" spans="1:4" x14ac:dyDescent="0.3">
      <c r="A4" s="3" t="s">
        <v>207</v>
      </c>
      <c r="B4" s="3" t="s">
        <v>62</v>
      </c>
      <c r="C4" s="3" t="str">
        <f t="shared" si="0"/>
        <v>450010984120</v>
      </c>
      <c r="D4" s="3" t="s">
        <v>777</v>
      </c>
    </row>
    <row r="5" spans="1:4" x14ac:dyDescent="0.3">
      <c r="A5" s="3" t="s">
        <v>207</v>
      </c>
      <c r="B5" s="3" t="s">
        <v>49</v>
      </c>
      <c r="C5" s="3" t="str">
        <f t="shared" si="0"/>
        <v>450010984130</v>
      </c>
      <c r="D5" s="3" t="s">
        <v>777</v>
      </c>
    </row>
    <row r="6" spans="1:4" x14ac:dyDescent="0.3">
      <c r="A6" s="3" t="s">
        <v>226</v>
      </c>
      <c r="B6" s="3" t="s">
        <v>62</v>
      </c>
      <c r="C6" s="3" t="str">
        <f t="shared" si="0"/>
        <v>450011022620</v>
      </c>
      <c r="D6" s="3" t="s">
        <v>778</v>
      </c>
    </row>
    <row r="7" spans="1:4" x14ac:dyDescent="0.3">
      <c r="A7" s="3" t="s">
        <v>212</v>
      </c>
      <c r="B7" s="3" t="s">
        <v>23</v>
      </c>
      <c r="C7" s="3" t="str">
        <f t="shared" si="0"/>
        <v>450010970910</v>
      </c>
      <c r="D7" s="3" t="s">
        <v>779</v>
      </c>
    </row>
    <row r="8" spans="1:4" x14ac:dyDescent="0.3">
      <c r="A8" s="3" t="s">
        <v>199</v>
      </c>
      <c r="B8" s="3" t="s">
        <v>49</v>
      </c>
      <c r="C8" s="3" t="str">
        <f t="shared" si="0"/>
        <v>450011207930</v>
      </c>
      <c r="D8" s="3" t="s">
        <v>780</v>
      </c>
    </row>
    <row r="9" spans="1:4" x14ac:dyDescent="0.3">
      <c r="A9" s="3" t="s">
        <v>199</v>
      </c>
      <c r="B9" s="3" t="s">
        <v>62</v>
      </c>
      <c r="C9" s="3" t="str">
        <f t="shared" si="0"/>
        <v>450011207920</v>
      </c>
      <c r="D9" s="3" t="s">
        <v>780</v>
      </c>
    </row>
    <row r="10" spans="1:4" x14ac:dyDescent="0.3">
      <c r="A10" s="3" t="s">
        <v>241</v>
      </c>
      <c r="B10" s="3" t="s">
        <v>23</v>
      </c>
      <c r="C10" s="3" t="str">
        <f t="shared" si="0"/>
        <v>450011392010</v>
      </c>
      <c r="D10" s="3" t="s">
        <v>779</v>
      </c>
    </row>
    <row r="11" spans="1:4" x14ac:dyDescent="0.3">
      <c r="A11" s="3" t="s">
        <v>202</v>
      </c>
      <c r="B11" s="3" t="s">
        <v>23</v>
      </c>
      <c r="C11" s="3" t="str">
        <f t="shared" si="0"/>
        <v>450011380010</v>
      </c>
      <c r="D11" s="3" t="s">
        <v>776</v>
      </c>
    </row>
    <row r="12" spans="1:4" x14ac:dyDescent="0.3">
      <c r="A12" s="3" t="s">
        <v>202</v>
      </c>
      <c r="B12" s="3" t="s">
        <v>62</v>
      </c>
      <c r="C12" s="3" t="str">
        <f t="shared" si="0"/>
        <v>450011380020</v>
      </c>
      <c r="D12" s="3" t="s">
        <v>776</v>
      </c>
    </row>
    <row r="13" spans="1:4" x14ac:dyDescent="0.3">
      <c r="A13" s="3" t="s">
        <v>202</v>
      </c>
      <c r="B13" s="3" t="s">
        <v>49</v>
      </c>
      <c r="C13" s="3" t="str">
        <f t="shared" si="0"/>
        <v>450011380030</v>
      </c>
      <c r="D13" s="3" t="s">
        <v>776</v>
      </c>
    </row>
    <row r="14" spans="1:4" x14ac:dyDescent="0.3">
      <c r="A14" s="3" t="s">
        <v>233</v>
      </c>
      <c r="B14" s="3" t="s">
        <v>49</v>
      </c>
      <c r="C14" s="3" t="str">
        <f t="shared" si="0"/>
        <v>450011416830</v>
      </c>
      <c r="D14" s="3" t="s">
        <v>781</v>
      </c>
    </row>
    <row r="15" spans="1:4" x14ac:dyDescent="0.3">
      <c r="A15" s="3" t="s">
        <v>233</v>
      </c>
      <c r="B15" s="3" t="s">
        <v>38</v>
      </c>
      <c r="C15" s="3" t="str">
        <f t="shared" si="0"/>
        <v>450011416840</v>
      </c>
      <c r="D15" s="3" t="s">
        <v>781</v>
      </c>
    </row>
    <row r="16" spans="1:4" x14ac:dyDescent="0.3">
      <c r="A16" s="3" t="s">
        <v>29</v>
      </c>
      <c r="B16" s="3" t="s">
        <v>23</v>
      </c>
      <c r="C16" s="3" t="str">
        <f t="shared" si="0"/>
        <v>450011474310</v>
      </c>
      <c r="D16" s="3" t="s">
        <v>778</v>
      </c>
    </row>
    <row r="17" spans="1:4" x14ac:dyDescent="0.3">
      <c r="A17" s="3" t="s">
        <v>29</v>
      </c>
      <c r="B17" s="3" t="s">
        <v>62</v>
      </c>
      <c r="C17" s="3" t="str">
        <f t="shared" si="0"/>
        <v>450011474320</v>
      </c>
      <c r="D17" s="3" t="s">
        <v>778</v>
      </c>
    </row>
    <row r="18" spans="1:4" x14ac:dyDescent="0.3">
      <c r="A18" s="3" t="s">
        <v>29</v>
      </c>
      <c r="B18" s="3" t="s">
        <v>49</v>
      </c>
      <c r="C18" s="3" t="str">
        <f t="shared" si="0"/>
        <v>450011474330</v>
      </c>
      <c r="D18" s="3" t="s">
        <v>778</v>
      </c>
    </row>
    <row r="19" spans="1:4" x14ac:dyDescent="0.3">
      <c r="A19" s="3" t="s">
        <v>29</v>
      </c>
      <c r="B19" s="3" t="s">
        <v>38</v>
      </c>
      <c r="C19" s="3" t="str">
        <f t="shared" si="0"/>
        <v>450011474340</v>
      </c>
      <c r="D19" s="3" t="s">
        <v>778</v>
      </c>
    </row>
    <row r="20" spans="1:4" x14ac:dyDescent="0.3">
      <c r="A20" s="3" t="s">
        <v>29</v>
      </c>
      <c r="B20" s="3" t="s">
        <v>47</v>
      </c>
      <c r="C20" s="3" t="str">
        <f t="shared" si="0"/>
        <v>450011474350</v>
      </c>
      <c r="D20" s="3" t="s">
        <v>778</v>
      </c>
    </row>
    <row r="21" spans="1:4" x14ac:dyDescent="0.3">
      <c r="A21" s="3" t="s">
        <v>29</v>
      </c>
      <c r="B21" s="3" t="s">
        <v>95</v>
      </c>
      <c r="C21" s="3" t="str">
        <f t="shared" si="0"/>
        <v>450011474360</v>
      </c>
      <c r="D21" s="3" t="s">
        <v>778</v>
      </c>
    </row>
    <row r="22" spans="1:4" x14ac:dyDescent="0.3">
      <c r="A22" s="3" t="s">
        <v>29</v>
      </c>
      <c r="B22" s="3" t="s">
        <v>141</v>
      </c>
      <c r="C22" s="3" t="str">
        <f t="shared" si="0"/>
        <v>450011474370</v>
      </c>
      <c r="D22" s="3" t="s">
        <v>778</v>
      </c>
    </row>
    <row r="23" spans="1:4" x14ac:dyDescent="0.3">
      <c r="A23" s="3" t="s">
        <v>29</v>
      </c>
      <c r="B23" s="3" t="s">
        <v>351</v>
      </c>
      <c r="C23" s="3" t="str">
        <f t="shared" si="0"/>
        <v>450011474380</v>
      </c>
      <c r="D23" s="3" t="s">
        <v>778</v>
      </c>
    </row>
    <row r="24" spans="1:4" x14ac:dyDescent="0.3">
      <c r="A24" s="3" t="s">
        <v>29</v>
      </c>
      <c r="B24" s="3" t="s">
        <v>158</v>
      </c>
      <c r="C24" s="3" t="str">
        <f t="shared" si="0"/>
        <v>450011474390</v>
      </c>
      <c r="D24" s="3" t="s">
        <v>778</v>
      </c>
    </row>
    <row r="25" spans="1:4" x14ac:dyDescent="0.3">
      <c r="A25" s="3" t="s">
        <v>29</v>
      </c>
      <c r="B25" s="3" t="s">
        <v>156</v>
      </c>
      <c r="C25" s="3" t="str">
        <f t="shared" si="0"/>
        <v>4500114743100</v>
      </c>
      <c r="D25" s="3" t="s">
        <v>778</v>
      </c>
    </row>
    <row r="26" spans="1:4" x14ac:dyDescent="0.3">
      <c r="A26" s="3" t="s">
        <v>29</v>
      </c>
      <c r="B26" s="3" t="s">
        <v>148</v>
      </c>
      <c r="C26" s="3" t="str">
        <f t="shared" si="0"/>
        <v>4500114743110</v>
      </c>
      <c r="D26" s="3" t="s">
        <v>778</v>
      </c>
    </row>
    <row r="27" spans="1:4" x14ac:dyDescent="0.3">
      <c r="A27" s="3" t="s">
        <v>29</v>
      </c>
      <c r="B27" s="3" t="s">
        <v>151</v>
      </c>
      <c r="C27" s="3" t="str">
        <f t="shared" si="0"/>
        <v>4500114743120</v>
      </c>
      <c r="D27" s="3" t="s">
        <v>778</v>
      </c>
    </row>
    <row r="28" spans="1:4" x14ac:dyDescent="0.3">
      <c r="A28" s="3" t="s">
        <v>29</v>
      </c>
      <c r="B28" s="3" t="s">
        <v>464</v>
      </c>
      <c r="C28" s="3" t="str">
        <f t="shared" si="0"/>
        <v>4500114743130</v>
      </c>
      <c r="D28" s="3" t="s">
        <v>778</v>
      </c>
    </row>
    <row r="29" spans="1:4" x14ac:dyDescent="0.3">
      <c r="A29" s="3" t="s">
        <v>29</v>
      </c>
      <c r="B29" s="3" t="s">
        <v>466</v>
      </c>
      <c r="C29" s="3" t="str">
        <f t="shared" si="0"/>
        <v>4500114743140</v>
      </c>
      <c r="D29" s="3" t="s">
        <v>778</v>
      </c>
    </row>
    <row r="30" spans="1:4" x14ac:dyDescent="0.3">
      <c r="A30" s="3" t="s">
        <v>29</v>
      </c>
      <c r="B30" s="3" t="s">
        <v>468</v>
      </c>
      <c r="C30" s="3" t="str">
        <f t="shared" si="0"/>
        <v>4500114743150</v>
      </c>
      <c r="D30" s="3" t="s">
        <v>778</v>
      </c>
    </row>
    <row r="31" spans="1:4" x14ac:dyDescent="0.3">
      <c r="A31" s="3" t="s">
        <v>29</v>
      </c>
      <c r="B31" s="3" t="s">
        <v>498</v>
      </c>
      <c r="C31" s="3" t="str">
        <f t="shared" si="0"/>
        <v>4500114743160</v>
      </c>
      <c r="D31" s="3" t="s">
        <v>778</v>
      </c>
    </row>
    <row r="32" spans="1:4" x14ac:dyDescent="0.3">
      <c r="A32" s="3" t="s">
        <v>29</v>
      </c>
      <c r="B32" s="3" t="s">
        <v>51</v>
      </c>
      <c r="C32" s="3" t="str">
        <f t="shared" si="0"/>
        <v>4500114743170</v>
      </c>
      <c r="D32" s="3" t="s">
        <v>778</v>
      </c>
    </row>
    <row r="33" spans="1:4" x14ac:dyDescent="0.3">
      <c r="A33" s="3" t="s">
        <v>29</v>
      </c>
      <c r="B33" s="3" t="s">
        <v>707</v>
      </c>
      <c r="C33" s="3" t="str">
        <f t="shared" si="0"/>
        <v>4500114743180</v>
      </c>
      <c r="D33" s="3" t="s">
        <v>778</v>
      </c>
    </row>
    <row r="34" spans="1:4" x14ac:dyDescent="0.3">
      <c r="A34" s="3" t="s">
        <v>29</v>
      </c>
      <c r="B34" s="3" t="s">
        <v>708</v>
      </c>
      <c r="C34" s="3" t="str">
        <f t="shared" si="0"/>
        <v>4500114743190</v>
      </c>
      <c r="D34" s="3" t="s">
        <v>778</v>
      </c>
    </row>
    <row r="35" spans="1:4" x14ac:dyDescent="0.3">
      <c r="A35" s="3" t="s">
        <v>29</v>
      </c>
      <c r="B35" s="3" t="s">
        <v>709</v>
      </c>
      <c r="C35" s="3" t="str">
        <f t="shared" si="0"/>
        <v>4500114743200</v>
      </c>
      <c r="D35" s="3" t="s">
        <v>778</v>
      </c>
    </row>
    <row r="36" spans="1:4" x14ac:dyDescent="0.3">
      <c r="A36" s="3" t="s">
        <v>29</v>
      </c>
      <c r="B36" s="3" t="s">
        <v>710</v>
      </c>
      <c r="C36" s="3" t="str">
        <f t="shared" si="0"/>
        <v>4500114743210</v>
      </c>
      <c r="D36" s="3" t="s">
        <v>778</v>
      </c>
    </row>
    <row r="37" spans="1:4" x14ac:dyDescent="0.3">
      <c r="A37" s="3" t="s">
        <v>29</v>
      </c>
      <c r="B37" s="3" t="s">
        <v>40</v>
      </c>
      <c r="C37" s="3" t="str">
        <f t="shared" si="0"/>
        <v>4500114743270</v>
      </c>
      <c r="D37" s="3" t="s">
        <v>778</v>
      </c>
    </row>
    <row r="38" spans="1:4" x14ac:dyDescent="0.3">
      <c r="A38" s="3" t="s">
        <v>29</v>
      </c>
      <c r="B38" s="3" t="s">
        <v>711</v>
      </c>
      <c r="C38" s="3" t="str">
        <f t="shared" si="0"/>
        <v>4500114743290</v>
      </c>
      <c r="D38" s="3" t="s">
        <v>778</v>
      </c>
    </row>
    <row r="39" spans="1:4" x14ac:dyDescent="0.3">
      <c r="A39" s="3" t="s">
        <v>29</v>
      </c>
      <c r="B39" s="3" t="s">
        <v>712</v>
      </c>
      <c r="C39" s="3" t="str">
        <f t="shared" si="0"/>
        <v>4500114743300</v>
      </c>
      <c r="D39" s="3" t="s">
        <v>778</v>
      </c>
    </row>
    <row r="40" spans="1:4" x14ac:dyDescent="0.3">
      <c r="A40" s="3" t="s">
        <v>29</v>
      </c>
      <c r="B40" s="3" t="s">
        <v>713</v>
      </c>
      <c r="C40" s="3" t="str">
        <f t="shared" si="0"/>
        <v>4500114743310</v>
      </c>
      <c r="D40" s="3" t="s">
        <v>778</v>
      </c>
    </row>
    <row r="41" spans="1:4" x14ac:dyDescent="0.3">
      <c r="A41" s="3" t="s">
        <v>29</v>
      </c>
      <c r="B41" s="3" t="s">
        <v>30</v>
      </c>
      <c r="C41" s="3" t="str">
        <f t="shared" si="0"/>
        <v>4500114743320</v>
      </c>
      <c r="D41" s="3" t="s">
        <v>778</v>
      </c>
    </row>
    <row r="42" spans="1:4" x14ac:dyDescent="0.3">
      <c r="A42" s="3" t="s">
        <v>29</v>
      </c>
      <c r="B42" s="3" t="s">
        <v>32</v>
      </c>
      <c r="C42" s="3" t="str">
        <f t="shared" si="0"/>
        <v>4500114743330</v>
      </c>
      <c r="D42" s="3" t="s">
        <v>778</v>
      </c>
    </row>
    <row r="43" spans="1:4" x14ac:dyDescent="0.3">
      <c r="A43" s="3" t="s">
        <v>29</v>
      </c>
      <c r="B43" s="3" t="s">
        <v>714</v>
      </c>
      <c r="C43" s="3" t="str">
        <f t="shared" si="0"/>
        <v>4500114743340</v>
      </c>
      <c r="D43" s="3" t="s">
        <v>778</v>
      </c>
    </row>
    <row r="44" spans="1:4" x14ac:dyDescent="0.3">
      <c r="A44" s="3" t="s">
        <v>29</v>
      </c>
      <c r="B44" s="3" t="s">
        <v>715</v>
      </c>
      <c r="C44" s="3" t="str">
        <f t="shared" si="0"/>
        <v>4500114743350</v>
      </c>
      <c r="D44" s="3" t="s">
        <v>778</v>
      </c>
    </row>
    <row r="45" spans="1:4" x14ac:dyDescent="0.3">
      <c r="A45" s="3" t="s">
        <v>29</v>
      </c>
      <c r="B45" s="3" t="s">
        <v>716</v>
      </c>
      <c r="C45" s="3" t="str">
        <f t="shared" si="0"/>
        <v>4500114743360</v>
      </c>
      <c r="D45" s="3" t="s">
        <v>778</v>
      </c>
    </row>
    <row r="46" spans="1:4" x14ac:dyDescent="0.3">
      <c r="A46" s="3" t="s">
        <v>29</v>
      </c>
      <c r="B46" s="3" t="s">
        <v>691</v>
      </c>
      <c r="C46" s="3" t="str">
        <f t="shared" si="0"/>
        <v>4500114743370</v>
      </c>
      <c r="D46" s="3" t="s">
        <v>778</v>
      </c>
    </row>
    <row r="47" spans="1:4" x14ac:dyDescent="0.3">
      <c r="A47" s="3" t="s">
        <v>29</v>
      </c>
      <c r="B47" s="3" t="s">
        <v>694</v>
      </c>
      <c r="C47" s="3" t="str">
        <f t="shared" si="0"/>
        <v>4500114743380</v>
      </c>
      <c r="D47" s="3" t="s">
        <v>778</v>
      </c>
    </row>
    <row r="48" spans="1:4" x14ac:dyDescent="0.3">
      <c r="A48" s="3" t="s">
        <v>29</v>
      </c>
      <c r="B48" s="3" t="s">
        <v>685</v>
      </c>
      <c r="C48" s="3" t="str">
        <f t="shared" si="0"/>
        <v>4500114743390</v>
      </c>
      <c r="D48" s="3" t="s">
        <v>778</v>
      </c>
    </row>
    <row r="49" spans="1:4" x14ac:dyDescent="0.3">
      <c r="A49" s="3" t="s">
        <v>29</v>
      </c>
      <c r="B49" s="3" t="s">
        <v>717</v>
      </c>
      <c r="C49" s="3" t="str">
        <f t="shared" si="0"/>
        <v>4500114743400</v>
      </c>
      <c r="D49" s="3" t="s">
        <v>778</v>
      </c>
    </row>
    <row r="50" spans="1:4" x14ac:dyDescent="0.3">
      <c r="A50" s="3" t="s">
        <v>29</v>
      </c>
      <c r="B50" s="3" t="s">
        <v>718</v>
      </c>
      <c r="C50" s="3" t="str">
        <f t="shared" si="0"/>
        <v>4500114743410</v>
      </c>
      <c r="D50" s="3" t="s">
        <v>778</v>
      </c>
    </row>
    <row r="51" spans="1:4" x14ac:dyDescent="0.3">
      <c r="A51" s="3" t="s">
        <v>29</v>
      </c>
      <c r="B51" s="3" t="s">
        <v>719</v>
      </c>
      <c r="C51" s="3" t="str">
        <f t="shared" si="0"/>
        <v>4500114743420</v>
      </c>
      <c r="D51" s="3" t="s">
        <v>778</v>
      </c>
    </row>
    <row r="52" spans="1:4" x14ac:dyDescent="0.3">
      <c r="A52" s="3" t="s">
        <v>29</v>
      </c>
      <c r="B52" s="3" t="s">
        <v>720</v>
      </c>
      <c r="C52" s="3" t="str">
        <f t="shared" si="0"/>
        <v>4500114743430</v>
      </c>
      <c r="D52" s="3" t="s">
        <v>778</v>
      </c>
    </row>
    <row r="53" spans="1:4" x14ac:dyDescent="0.3">
      <c r="A53" s="3" t="s">
        <v>29</v>
      </c>
      <c r="B53" s="3" t="s">
        <v>721</v>
      </c>
      <c r="C53" s="3" t="str">
        <f t="shared" si="0"/>
        <v>4500114743440</v>
      </c>
      <c r="D53" s="3" t="s">
        <v>778</v>
      </c>
    </row>
    <row r="54" spans="1:4" x14ac:dyDescent="0.3">
      <c r="A54" s="3" t="s">
        <v>29</v>
      </c>
      <c r="B54" s="3" t="s">
        <v>722</v>
      </c>
      <c r="C54" s="3" t="str">
        <f t="shared" si="0"/>
        <v>4500114743450</v>
      </c>
      <c r="D54" s="3" t="s">
        <v>778</v>
      </c>
    </row>
    <row r="55" spans="1:4" x14ac:dyDescent="0.3">
      <c r="A55" s="3" t="s">
        <v>29</v>
      </c>
      <c r="B55" s="3" t="s">
        <v>723</v>
      </c>
      <c r="C55" s="3" t="str">
        <f t="shared" si="0"/>
        <v>4500114743460</v>
      </c>
      <c r="D55" s="3" t="s">
        <v>778</v>
      </c>
    </row>
    <row r="56" spans="1:4" x14ac:dyDescent="0.3">
      <c r="A56" s="3" t="s">
        <v>29</v>
      </c>
      <c r="B56" s="3" t="s">
        <v>724</v>
      </c>
      <c r="C56" s="3" t="str">
        <f t="shared" si="0"/>
        <v>4500114743470</v>
      </c>
      <c r="D56" s="3" t="s">
        <v>778</v>
      </c>
    </row>
    <row r="57" spans="1:4" x14ac:dyDescent="0.3">
      <c r="A57" s="3" t="s">
        <v>29</v>
      </c>
      <c r="B57" s="3" t="s">
        <v>53</v>
      </c>
      <c r="C57" s="3" t="str">
        <f t="shared" si="0"/>
        <v>4500114743480</v>
      </c>
      <c r="D57" s="3" t="s">
        <v>778</v>
      </c>
    </row>
    <row r="58" spans="1:4" x14ac:dyDescent="0.3">
      <c r="A58" s="3" t="s">
        <v>29</v>
      </c>
      <c r="B58" s="3" t="s">
        <v>725</v>
      </c>
      <c r="C58" s="3" t="str">
        <f t="shared" si="0"/>
        <v>4500114743550</v>
      </c>
      <c r="D58" s="3" t="s">
        <v>778</v>
      </c>
    </row>
    <row r="59" spans="1:4" x14ac:dyDescent="0.3">
      <c r="A59" s="3" t="s">
        <v>29</v>
      </c>
      <c r="B59" s="3" t="s">
        <v>726</v>
      </c>
      <c r="C59" s="3" t="str">
        <f t="shared" si="0"/>
        <v>4500114743560</v>
      </c>
      <c r="D59" s="3" t="s">
        <v>778</v>
      </c>
    </row>
    <row r="60" spans="1:4" x14ac:dyDescent="0.3">
      <c r="A60" s="3" t="s">
        <v>29</v>
      </c>
      <c r="B60" s="3" t="s">
        <v>727</v>
      </c>
      <c r="C60" s="3" t="str">
        <f t="shared" si="0"/>
        <v>4500114743570</v>
      </c>
      <c r="D60" s="3" t="s">
        <v>778</v>
      </c>
    </row>
    <row r="61" spans="1:4" x14ac:dyDescent="0.3">
      <c r="A61" s="3" t="s">
        <v>43</v>
      </c>
      <c r="B61" s="3" t="s">
        <v>23</v>
      </c>
      <c r="C61" s="3" t="str">
        <f t="shared" si="0"/>
        <v>450011783110</v>
      </c>
      <c r="D61" s="3" t="s">
        <v>777</v>
      </c>
    </row>
    <row r="62" spans="1:4" x14ac:dyDescent="0.3">
      <c r="A62" s="3" t="s">
        <v>43</v>
      </c>
      <c r="B62" s="3" t="s">
        <v>62</v>
      </c>
      <c r="C62" s="3" t="str">
        <f t="shared" si="0"/>
        <v>450011783120</v>
      </c>
      <c r="D62" s="3" t="s">
        <v>777</v>
      </c>
    </row>
    <row r="63" spans="1:4" x14ac:dyDescent="0.3">
      <c r="A63" s="3" t="s">
        <v>624</v>
      </c>
      <c r="B63" s="3" t="s">
        <v>23</v>
      </c>
      <c r="C63" s="3" t="str">
        <f t="shared" si="0"/>
        <v>450012018410</v>
      </c>
      <c r="D63" s="3" t="s">
        <v>781</v>
      </c>
    </row>
    <row r="64" spans="1:4" x14ac:dyDescent="0.3">
      <c r="A64" s="3" t="s">
        <v>70</v>
      </c>
      <c r="B64" s="3" t="s">
        <v>23</v>
      </c>
      <c r="C64" s="3" t="str">
        <f t="shared" si="0"/>
        <v>450012326210</v>
      </c>
      <c r="D64" s="3" t="s">
        <v>779</v>
      </c>
    </row>
    <row r="65" spans="1:4" x14ac:dyDescent="0.3">
      <c r="A65" s="3" t="s">
        <v>221</v>
      </c>
      <c r="B65" s="3" t="s">
        <v>23</v>
      </c>
      <c r="C65" s="3" t="str">
        <f t="shared" si="0"/>
        <v>450012180010</v>
      </c>
      <c r="D65" s="3" t="s">
        <v>782</v>
      </c>
    </row>
    <row r="66" spans="1:4" x14ac:dyDescent="0.3">
      <c r="A66" s="3" t="s">
        <v>73</v>
      </c>
      <c r="B66" s="3" t="s">
        <v>23</v>
      </c>
      <c r="C66" s="3" t="str">
        <f t="shared" si="0"/>
        <v>450012303610</v>
      </c>
      <c r="D66" s="3" t="s">
        <v>782</v>
      </c>
    </row>
    <row r="67" spans="1:4" x14ac:dyDescent="0.3">
      <c r="A67" s="3" t="s">
        <v>22</v>
      </c>
      <c r="B67" s="3" t="s">
        <v>23</v>
      </c>
      <c r="C67" s="3" t="str">
        <f t="shared" ref="C67:C130" si="1">_xlfn.CONCAT(A67:B67)</f>
        <v>450012636310</v>
      </c>
      <c r="D67" s="3" t="s">
        <v>783</v>
      </c>
    </row>
    <row r="68" spans="1:4" x14ac:dyDescent="0.3">
      <c r="A68" s="3" t="s">
        <v>27</v>
      </c>
      <c r="B68" s="3" t="s">
        <v>23</v>
      </c>
      <c r="C68" s="3" t="str">
        <f t="shared" si="1"/>
        <v>450012711610</v>
      </c>
      <c r="D68" s="3" t="s">
        <v>783</v>
      </c>
    </row>
    <row r="69" spans="1:4" x14ac:dyDescent="0.3">
      <c r="A69" s="3" t="s">
        <v>27</v>
      </c>
      <c r="B69" s="3" t="s">
        <v>62</v>
      </c>
      <c r="C69" s="3" t="str">
        <f t="shared" si="1"/>
        <v>450012711620</v>
      </c>
      <c r="D69" s="3" t="s">
        <v>783</v>
      </c>
    </row>
    <row r="70" spans="1:4" x14ac:dyDescent="0.3">
      <c r="A70" s="3" t="s">
        <v>238</v>
      </c>
      <c r="B70" s="3" t="s">
        <v>23</v>
      </c>
      <c r="C70" s="3" t="str">
        <f t="shared" si="1"/>
        <v>450012687210</v>
      </c>
      <c r="D70" s="3" t="s">
        <v>784</v>
      </c>
    </row>
    <row r="71" spans="1:4" x14ac:dyDescent="0.3">
      <c r="A71" s="3" t="s">
        <v>238</v>
      </c>
      <c r="B71" s="3" t="s">
        <v>62</v>
      </c>
      <c r="C71" s="3" t="str">
        <f t="shared" si="1"/>
        <v>450012687220</v>
      </c>
      <c r="D71" s="3" t="s">
        <v>784</v>
      </c>
    </row>
    <row r="72" spans="1:4" x14ac:dyDescent="0.3">
      <c r="A72" s="3" t="s">
        <v>238</v>
      </c>
      <c r="B72" s="3" t="s">
        <v>49</v>
      </c>
      <c r="C72" s="3" t="str">
        <f t="shared" si="1"/>
        <v>450012687230</v>
      </c>
      <c r="D72" s="3" t="s">
        <v>784</v>
      </c>
    </row>
    <row r="73" spans="1:4" x14ac:dyDescent="0.3">
      <c r="A73" s="3" t="s">
        <v>27</v>
      </c>
      <c r="B73" s="3" t="s">
        <v>49</v>
      </c>
      <c r="C73" s="3" t="str">
        <f t="shared" si="1"/>
        <v>450012711630</v>
      </c>
      <c r="D73" s="3" t="s">
        <v>783</v>
      </c>
    </row>
    <row r="74" spans="1:4" x14ac:dyDescent="0.3">
      <c r="A74" s="3" t="s">
        <v>66</v>
      </c>
      <c r="B74" s="3" t="s">
        <v>23</v>
      </c>
      <c r="C74" s="3" t="str">
        <f t="shared" si="1"/>
        <v>450012695410</v>
      </c>
      <c r="D74" s="3" t="s">
        <v>785</v>
      </c>
    </row>
    <row r="75" spans="1:4" x14ac:dyDescent="0.3">
      <c r="A75" s="3" t="s">
        <v>66</v>
      </c>
      <c r="B75" s="3" t="s">
        <v>62</v>
      </c>
      <c r="C75" s="3" t="str">
        <f t="shared" si="1"/>
        <v>450012695420</v>
      </c>
      <c r="D75" s="3" t="s">
        <v>785</v>
      </c>
    </row>
    <row r="76" spans="1:4" x14ac:dyDescent="0.3">
      <c r="A76" s="3" t="s">
        <v>61</v>
      </c>
      <c r="B76" s="3" t="s">
        <v>62</v>
      </c>
      <c r="C76" s="3" t="str">
        <f t="shared" si="1"/>
        <v>450012729520</v>
      </c>
      <c r="D76" s="3" t="s">
        <v>783</v>
      </c>
    </row>
    <row r="77" spans="1:4" x14ac:dyDescent="0.3">
      <c r="A77" s="3" t="s">
        <v>61</v>
      </c>
      <c r="B77" s="3" t="s">
        <v>23</v>
      </c>
      <c r="C77" s="3" t="str">
        <f t="shared" si="1"/>
        <v>450012729510</v>
      </c>
      <c r="D77" s="3" t="s">
        <v>783</v>
      </c>
    </row>
    <row r="78" spans="1:4" x14ac:dyDescent="0.3">
      <c r="A78" s="3" t="s">
        <v>307</v>
      </c>
      <c r="B78" s="3" t="s">
        <v>23</v>
      </c>
      <c r="C78" s="3" t="str">
        <f t="shared" si="1"/>
        <v>450012853310</v>
      </c>
      <c r="D78" s="3" t="s">
        <v>779</v>
      </c>
    </row>
    <row r="79" spans="1:4" x14ac:dyDescent="0.3">
      <c r="A79" s="3" t="s">
        <v>307</v>
      </c>
      <c r="B79" s="3" t="s">
        <v>62</v>
      </c>
      <c r="C79" s="3" t="str">
        <f t="shared" si="1"/>
        <v>450012853320</v>
      </c>
      <c r="D79" s="3" t="s">
        <v>779</v>
      </c>
    </row>
    <row r="80" spans="1:4" x14ac:dyDescent="0.3">
      <c r="A80" s="3" t="s">
        <v>76</v>
      </c>
      <c r="B80" s="3" t="s">
        <v>23</v>
      </c>
      <c r="C80" s="3" t="str">
        <f t="shared" si="1"/>
        <v>450012854310</v>
      </c>
      <c r="D80" s="3" t="s">
        <v>779</v>
      </c>
    </row>
    <row r="81" spans="1:4" x14ac:dyDescent="0.3">
      <c r="A81" s="3" t="s">
        <v>300</v>
      </c>
      <c r="B81" s="3" t="s">
        <v>23</v>
      </c>
      <c r="C81" s="3" t="str">
        <f t="shared" si="1"/>
        <v>450012989010</v>
      </c>
      <c r="D81" s="3" t="s">
        <v>785</v>
      </c>
    </row>
    <row r="82" spans="1:4" x14ac:dyDescent="0.3">
      <c r="A82" s="3" t="s">
        <v>87</v>
      </c>
      <c r="B82" s="3" t="s">
        <v>49</v>
      </c>
      <c r="C82" s="3" t="str">
        <f t="shared" si="1"/>
        <v>450012906130</v>
      </c>
      <c r="D82" s="3" t="s">
        <v>784</v>
      </c>
    </row>
    <row r="83" spans="1:4" x14ac:dyDescent="0.3">
      <c r="A83" s="3" t="s">
        <v>87</v>
      </c>
      <c r="B83" s="3" t="s">
        <v>38</v>
      </c>
      <c r="C83" s="3" t="str">
        <f t="shared" si="1"/>
        <v>450012906140</v>
      </c>
      <c r="D83" s="3" t="s">
        <v>784</v>
      </c>
    </row>
    <row r="84" spans="1:4" x14ac:dyDescent="0.3">
      <c r="A84" s="3" t="s">
        <v>87</v>
      </c>
      <c r="B84" s="3" t="s">
        <v>47</v>
      </c>
      <c r="C84" s="3" t="str">
        <f t="shared" si="1"/>
        <v>450012906150</v>
      </c>
      <c r="D84" s="3" t="s">
        <v>784</v>
      </c>
    </row>
    <row r="85" spans="1:4" x14ac:dyDescent="0.3">
      <c r="A85" s="3" t="s">
        <v>87</v>
      </c>
      <c r="B85" s="3" t="s">
        <v>95</v>
      </c>
      <c r="C85" s="3" t="str">
        <f t="shared" si="1"/>
        <v>450012906160</v>
      </c>
      <c r="D85" s="3" t="s">
        <v>784</v>
      </c>
    </row>
    <row r="86" spans="1:4" x14ac:dyDescent="0.3">
      <c r="A86" s="3" t="s">
        <v>87</v>
      </c>
      <c r="B86" s="3" t="s">
        <v>23</v>
      </c>
      <c r="C86" s="3" t="str">
        <f t="shared" si="1"/>
        <v>450012906110</v>
      </c>
      <c r="D86" s="3" t="s">
        <v>784</v>
      </c>
    </row>
    <row r="87" spans="1:4" x14ac:dyDescent="0.3">
      <c r="A87" s="3" t="s">
        <v>87</v>
      </c>
      <c r="B87" s="3" t="s">
        <v>62</v>
      </c>
      <c r="C87" s="3" t="str">
        <f t="shared" si="1"/>
        <v>450012906120</v>
      </c>
      <c r="D87" s="3" t="s">
        <v>784</v>
      </c>
    </row>
    <row r="88" spans="1:4" x14ac:dyDescent="0.3">
      <c r="A88" s="3" t="s">
        <v>259</v>
      </c>
      <c r="B88" s="3" t="s">
        <v>23</v>
      </c>
      <c r="C88" s="3" t="str">
        <f t="shared" si="1"/>
        <v>450012967410</v>
      </c>
      <c r="D88" s="3" t="s">
        <v>785</v>
      </c>
    </row>
    <row r="89" spans="1:4" x14ac:dyDescent="0.3">
      <c r="A89" s="3" t="s">
        <v>262</v>
      </c>
      <c r="B89" s="3" t="s">
        <v>23</v>
      </c>
      <c r="C89" s="3" t="str">
        <f t="shared" si="1"/>
        <v>450012975410</v>
      </c>
      <c r="D89" s="3" t="s">
        <v>785</v>
      </c>
    </row>
    <row r="90" spans="1:4" x14ac:dyDescent="0.3">
      <c r="A90" s="3" t="s">
        <v>277</v>
      </c>
      <c r="B90" s="3" t="s">
        <v>23</v>
      </c>
      <c r="C90" s="3" t="str">
        <f t="shared" si="1"/>
        <v>450013076210</v>
      </c>
      <c r="D90" s="3" t="s">
        <v>784</v>
      </c>
    </row>
    <row r="91" spans="1:4" x14ac:dyDescent="0.3">
      <c r="A91" s="3" t="s">
        <v>329</v>
      </c>
      <c r="B91" s="3" t="s">
        <v>23</v>
      </c>
      <c r="C91" s="3" t="str">
        <f t="shared" si="1"/>
        <v>450013075010</v>
      </c>
      <c r="D91" s="3" t="s">
        <v>785</v>
      </c>
    </row>
    <row r="92" spans="1:4" x14ac:dyDescent="0.3">
      <c r="A92" s="3" t="s">
        <v>329</v>
      </c>
      <c r="B92" s="3" t="s">
        <v>62</v>
      </c>
      <c r="C92" s="3" t="str">
        <f t="shared" si="1"/>
        <v>450013075020</v>
      </c>
      <c r="D92" s="3" t="s">
        <v>785</v>
      </c>
    </row>
    <row r="93" spans="1:4" x14ac:dyDescent="0.3">
      <c r="A93" s="3" t="s">
        <v>329</v>
      </c>
      <c r="B93" s="3" t="s">
        <v>49</v>
      </c>
      <c r="C93" s="3" t="str">
        <f t="shared" si="1"/>
        <v>450013075030</v>
      </c>
      <c r="D93" s="3" t="s">
        <v>785</v>
      </c>
    </row>
    <row r="94" spans="1:4" x14ac:dyDescent="0.3">
      <c r="A94" s="3" t="s">
        <v>329</v>
      </c>
      <c r="B94" s="3" t="s">
        <v>38</v>
      </c>
      <c r="C94" s="3" t="str">
        <f t="shared" si="1"/>
        <v>450013075040</v>
      </c>
      <c r="D94" s="3" t="s">
        <v>785</v>
      </c>
    </row>
    <row r="95" spans="1:4" x14ac:dyDescent="0.3">
      <c r="A95" s="3" t="s">
        <v>329</v>
      </c>
      <c r="B95" s="3" t="s">
        <v>47</v>
      </c>
      <c r="C95" s="3" t="str">
        <f t="shared" si="1"/>
        <v>450013075050</v>
      </c>
      <c r="D95" s="3" t="s">
        <v>785</v>
      </c>
    </row>
    <row r="96" spans="1:4" x14ac:dyDescent="0.3">
      <c r="A96" s="3" t="s">
        <v>329</v>
      </c>
      <c r="B96" s="3" t="s">
        <v>95</v>
      </c>
      <c r="C96" s="3" t="str">
        <f t="shared" si="1"/>
        <v>450013075060</v>
      </c>
      <c r="D96" s="3" t="s">
        <v>785</v>
      </c>
    </row>
    <row r="97" spans="1:4" x14ac:dyDescent="0.3">
      <c r="A97" s="3" t="s">
        <v>329</v>
      </c>
      <c r="B97" s="3" t="s">
        <v>141</v>
      </c>
      <c r="C97" s="3" t="str">
        <f t="shared" si="1"/>
        <v>450013075070</v>
      </c>
      <c r="D97" s="3" t="s">
        <v>785</v>
      </c>
    </row>
    <row r="98" spans="1:4" x14ac:dyDescent="0.3">
      <c r="A98" s="3" t="s">
        <v>329</v>
      </c>
      <c r="B98" s="3" t="s">
        <v>351</v>
      </c>
      <c r="C98" s="3" t="str">
        <f t="shared" si="1"/>
        <v>450013075080</v>
      </c>
      <c r="D98" s="3" t="s">
        <v>785</v>
      </c>
    </row>
    <row r="99" spans="1:4" x14ac:dyDescent="0.3">
      <c r="A99" s="3" t="s">
        <v>329</v>
      </c>
      <c r="B99" s="3" t="s">
        <v>158</v>
      </c>
      <c r="C99" s="3" t="str">
        <f t="shared" si="1"/>
        <v>450013075090</v>
      </c>
      <c r="D99" s="3" t="s">
        <v>785</v>
      </c>
    </row>
    <row r="100" spans="1:4" x14ac:dyDescent="0.3">
      <c r="A100" s="3" t="s">
        <v>274</v>
      </c>
      <c r="B100" s="3" t="s">
        <v>23</v>
      </c>
      <c r="C100" s="3" t="str">
        <f t="shared" si="1"/>
        <v>450013137810</v>
      </c>
      <c r="D100" s="3" t="s">
        <v>784</v>
      </c>
    </row>
    <row r="101" spans="1:4" x14ac:dyDescent="0.3">
      <c r="A101" s="3" t="s">
        <v>280</v>
      </c>
      <c r="B101" s="3" t="s">
        <v>23</v>
      </c>
      <c r="C101" s="3" t="str">
        <f t="shared" si="1"/>
        <v>450013213810</v>
      </c>
      <c r="D101" s="3" t="s">
        <v>784</v>
      </c>
    </row>
    <row r="102" spans="1:4" x14ac:dyDescent="0.3">
      <c r="A102" s="3" t="s">
        <v>285</v>
      </c>
      <c r="B102" s="3" t="s">
        <v>49</v>
      </c>
      <c r="C102" s="3" t="str">
        <f t="shared" si="1"/>
        <v>450013381430</v>
      </c>
      <c r="D102" s="3" t="s">
        <v>785</v>
      </c>
    </row>
    <row r="103" spans="1:4" x14ac:dyDescent="0.3">
      <c r="A103" s="3" t="s">
        <v>285</v>
      </c>
      <c r="B103" s="3" t="s">
        <v>38</v>
      </c>
      <c r="C103" s="3" t="str">
        <f t="shared" si="1"/>
        <v>450013381440</v>
      </c>
      <c r="D103" s="3" t="s">
        <v>785</v>
      </c>
    </row>
    <row r="104" spans="1:4" x14ac:dyDescent="0.3">
      <c r="A104" s="3" t="s">
        <v>320</v>
      </c>
      <c r="B104" s="3" t="s">
        <v>23</v>
      </c>
      <c r="C104" s="3" t="str">
        <f t="shared" si="1"/>
        <v>450013425610</v>
      </c>
      <c r="D104" s="3" t="s">
        <v>785</v>
      </c>
    </row>
    <row r="105" spans="1:4" x14ac:dyDescent="0.3">
      <c r="A105" s="3" t="s">
        <v>303</v>
      </c>
      <c r="B105" s="3" t="s">
        <v>23</v>
      </c>
      <c r="C105" s="3" t="str">
        <f t="shared" si="1"/>
        <v>450013370910</v>
      </c>
      <c r="D105" s="3" t="s">
        <v>785</v>
      </c>
    </row>
    <row r="106" spans="1:4" x14ac:dyDescent="0.3">
      <c r="A106" s="3" t="s">
        <v>303</v>
      </c>
      <c r="B106" s="3" t="s">
        <v>62</v>
      </c>
      <c r="C106" s="3" t="str">
        <f t="shared" si="1"/>
        <v>450013370920</v>
      </c>
      <c r="D106" s="3" t="s">
        <v>785</v>
      </c>
    </row>
    <row r="107" spans="1:4" x14ac:dyDescent="0.3">
      <c r="A107" s="3" t="s">
        <v>312</v>
      </c>
      <c r="B107" s="3" t="s">
        <v>95</v>
      </c>
      <c r="C107" s="3" t="str">
        <f t="shared" si="1"/>
        <v>450013463160</v>
      </c>
      <c r="D107" s="3" t="s">
        <v>785</v>
      </c>
    </row>
    <row r="108" spans="1:4" x14ac:dyDescent="0.3">
      <c r="A108" s="3" t="s">
        <v>187</v>
      </c>
      <c r="B108" s="3" t="s">
        <v>23</v>
      </c>
      <c r="C108" s="3" t="str">
        <f t="shared" si="1"/>
        <v>450013735310</v>
      </c>
      <c r="D108" s="3" t="s">
        <v>786</v>
      </c>
    </row>
    <row r="109" spans="1:4" x14ac:dyDescent="0.3">
      <c r="A109" s="3" t="s">
        <v>332</v>
      </c>
      <c r="B109" s="3" t="s">
        <v>47</v>
      </c>
      <c r="C109" s="3" t="str">
        <f t="shared" si="1"/>
        <v>450013511950</v>
      </c>
      <c r="D109" s="3" t="s">
        <v>786</v>
      </c>
    </row>
    <row r="110" spans="1:4" x14ac:dyDescent="0.3">
      <c r="A110" s="3" t="s">
        <v>332</v>
      </c>
      <c r="B110" s="3" t="s">
        <v>351</v>
      </c>
      <c r="C110" s="3" t="str">
        <f t="shared" si="1"/>
        <v>450013511980</v>
      </c>
      <c r="D110" s="3" t="s">
        <v>786</v>
      </c>
    </row>
    <row r="111" spans="1:4" x14ac:dyDescent="0.3">
      <c r="A111" s="3" t="s">
        <v>332</v>
      </c>
      <c r="B111" s="3" t="s">
        <v>158</v>
      </c>
      <c r="C111" s="3" t="str">
        <f t="shared" si="1"/>
        <v>450013511990</v>
      </c>
      <c r="D111" s="3" t="s">
        <v>786</v>
      </c>
    </row>
    <row r="112" spans="1:4" x14ac:dyDescent="0.3">
      <c r="A112" s="3" t="s">
        <v>657</v>
      </c>
      <c r="B112" s="3" t="s">
        <v>23</v>
      </c>
      <c r="C112" s="3" t="str">
        <f t="shared" si="1"/>
        <v>450013482410</v>
      </c>
      <c r="D112" s="3" t="s">
        <v>779</v>
      </c>
    </row>
    <row r="113" spans="1:4" x14ac:dyDescent="0.3">
      <c r="A113" s="3" t="s">
        <v>178</v>
      </c>
      <c r="B113" s="3" t="s">
        <v>23</v>
      </c>
      <c r="C113" s="3" t="str">
        <f t="shared" si="1"/>
        <v>450013506710</v>
      </c>
      <c r="D113" s="3" t="s">
        <v>785</v>
      </c>
    </row>
    <row r="114" spans="1:4" x14ac:dyDescent="0.3">
      <c r="A114" s="3" t="s">
        <v>178</v>
      </c>
      <c r="B114" s="3" t="s">
        <v>62</v>
      </c>
      <c r="C114" s="3" t="str">
        <f t="shared" si="1"/>
        <v>450013506720</v>
      </c>
      <c r="D114" s="3" t="s">
        <v>785</v>
      </c>
    </row>
    <row r="115" spans="1:4" x14ac:dyDescent="0.3">
      <c r="A115" s="3" t="s">
        <v>420</v>
      </c>
      <c r="B115" s="3" t="s">
        <v>23</v>
      </c>
      <c r="C115" s="3" t="str">
        <f t="shared" si="1"/>
        <v>450013534510</v>
      </c>
      <c r="D115" s="3" t="s">
        <v>784</v>
      </c>
    </row>
    <row r="116" spans="1:4" x14ac:dyDescent="0.3">
      <c r="A116" s="3" t="s">
        <v>420</v>
      </c>
      <c r="B116" s="3" t="s">
        <v>62</v>
      </c>
      <c r="C116" s="3" t="str">
        <f t="shared" si="1"/>
        <v>450013534520</v>
      </c>
      <c r="D116" s="3" t="s">
        <v>784</v>
      </c>
    </row>
    <row r="117" spans="1:4" x14ac:dyDescent="0.3">
      <c r="A117" s="3" t="s">
        <v>420</v>
      </c>
      <c r="B117" s="3" t="s">
        <v>49</v>
      </c>
      <c r="C117" s="3" t="str">
        <f t="shared" si="1"/>
        <v>450013534530</v>
      </c>
      <c r="D117" s="3" t="s">
        <v>784</v>
      </c>
    </row>
    <row r="118" spans="1:4" x14ac:dyDescent="0.3">
      <c r="A118" s="3" t="s">
        <v>98</v>
      </c>
      <c r="B118" s="3" t="s">
        <v>23</v>
      </c>
      <c r="C118" s="3" t="str">
        <f t="shared" si="1"/>
        <v>450013558710</v>
      </c>
      <c r="D118" s="3" t="s">
        <v>784</v>
      </c>
    </row>
    <row r="119" spans="1:4" x14ac:dyDescent="0.3">
      <c r="A119" s="3" t="s">
        <v>420</v>
      </c>
      <c r="B119" s="3" t="s">
        <v>38</v>
      </c>
      <c r="C119" s="3" t="str">
        <f t="shared" si="1"/>
        <v>450013534540</v>
      </c>
      <c r="D119" s="3" t="s">
        <v>784</v>
      </c>
    </row>
    <row r="120" spans="1:4" x14ac:dyDescent="0.3">
      <c r="A120" s="3" t="s">
        <v>387</v>
      </c>
      <c r="B120" s="3" t="s">
        <v>23</v>
      </c>
      <c r="C120" s="3" t="str">
        <f t="shared" si="1"/>
        <v>450013549510</v>
      </c>
      <c r="D120" s="3" t="s">
        <v>784</v>
      </c>
    </row>
    <row r="121" spans="1:4" x14ac:dyDescent="0.3">
      <c r="A121" s="3" t="s">
        <v>576</v>
      </c>
      <c r="B121" s="3" t="s">
        <v>23</v>
      </c>
      <c r="C121" s="3" t="str">
        <f t="shared" si="1"/>
        <v>450013901910</v>
      </c>
      <c r="D121" s="3" t="s">
        <v>781</v>
      </c>
    </row>
    <row r="122" spans="1:4" x14ac:dyDescent="0.3">
      <c r="A122" s="3" t="s">
        <v>111</v>
      </c>
      <c r="B122" s="3" t="s">
        <v>23</v>
      </c>
      <c r="C122" s="3" t="str">
        <f t="shared" si="1"/>
        <v>450013635310</v>
      </c>
      <c r="D122" s="3" t="s">
        <v>778</v>
      </c>
    </row>
    <row r="123" spans="1:4" x14ac:dyDescent="0.3">
      <c r="A123" s="3" t="s">
        <v>336</v>
      </c>
      <c r="B123" s="3" t="s">
        <v>23</v>
      </c>
      <c r="C123" s="3" t="str">
        <f t="shared" si="1"/>
        <v>450013566910</v>
      </c>
      <c r="D123" s="3" t="s">
        <v>787</v>
      </c>
    </row>
    <row r="124" spans="1:4" x14ac:dyDescent="0.3">
      <c r="A124" s="3" t="s">
        <v>336</v>
      </c>
      <c r="B124" s="3" t="s">
        <v>62</v>
      </c>
      <c r="C124" s="3" t="str">
        <f t="shared" si="1"/>
        <v>450013566920</v>
      </c>
      <c r="D124" s="3" t="s">
        <v>787</v>
      </c>
    </row>
    <row r="125" spans="1:4" x14ac:dyDescent="0.3">
      <c r="A125" s="3" t="s">
        <v>565</v>
      </c>
      <c r="B125" s="3" t="s">
        <v>23</v>
      </c>
      <c r="C125" s="3" t="str">
        <f t="shared" si="1"/>
        <v>450013886710</v>
      </c>
      <c r="D125" s="3" t="s">
        <v>786</v>
      </c>
    </row>
    <row r="126" spans="1:4" x14ac:dyDescent="0.3">
      <c r="A126" s="3" t="s">
        <v>339</v>
      </c>
      <c r="B126" s="3" t="s">
        <v>23</v>
      </c>
      <c r="C126" s="3" t="str">
        <f t="shared" si="1"/>
        <v>450013642610</v>
      </c>
      <c r="D126" s="3" t="s">
        <v>785</v>
      </c>
    </row>
    <row r="127" spans="1:4" x14ac:dyDescent="0.3">
      <c r="A127" s="3" t="s">
        <v>339</v>
      </c>
      <c r="B127" s="3" t="s">
        <v>49</v>
      </c>
      <c r="C127" s="3" t="str">
        <f t="shared" si="1"/>
        <v>450013642630</v>
      </c>
      <c r="D127" s="3" t="s">
        <v>785</v>
      </c>
    </row>
    <row r="128" spans="1:4" x14ac:dyDescent="0.3">
      <c r="A128" s="3" t="s">
        <v>339</v>
      </c>
      <c r="B128" s="3" t="s">
        <v>38</v>
      </c>
      <c r="C128" s="3" t="str">
        <f t="shared" si="1"/>
        <v>450013642640</v>
      </c>
      <c r="D128" s="3" t="s">
        <v>785</v>
      </c>
    </row>
    <row r="129" spans="1:4" x14ac:dyDescent="0.3">
      <c r="A129" s="3" t="s">
        <v>339</v>
      </c>
      <c r="B129" s="3" t="s">
        <v>47</v>
      </c>
      <c r="C129" s="3" t="str">
        <f t="shared" si="1"/>
        <v>450013642650</v>
      </c>
      <c r="D129" s="3" t="s">
        <v>785</v>
      </c>
    </row>
    <row r="130" spans="1:4" x14ac:dyDescent="0.3">
      <c r="A130" s="3" t="s">
        <v>381</v>
      </c>
      <c r="B130" s="3" t="s">
        <v>62</v>
      </c>
      <c r="C130" s="3" t="str">
        <f t="shared" si="1"/>
        <v>450013654220</v>
      </c>
      <c r="D130" s="3" t="s">
        <v>778</v>
      </c>
    </row>
    <row r="131" spans="1:4" x14ac:dyDescent="0.3">
      <c r="A131" s="3" t="s">
        <v>381</v>
      </c>
      <c r="B131" s="3" t="s">
        <v>49</v>
      </c>
      <c r="C131" s="3" t="str">
        <f t="shared" ref="C131:C194" si="2">_xlfn.CONCAT(A131:B131)</f>
        <v>450013654230</v>
      </c>
      <c r="D131" s="3" t="s">
        <v>778</v>
      </c>
    </row>
    <row r="132" spans="1:4" x14ac:dyDescent="0.3">
      <c r="A132" s="3" t="s">
        <v>381</v>
      </c>
      <c r="B132" s="3" t="s">
        <v>38</v>
      </c>
      <c r="C132" s="3" t="str">
        <f t="shared" si="2"/>
        <v>450013654240</v>
      </c>
      <c r="D132" s="3" t="s">
        <v>778</v>
      </c>
    </row>
    <row r="133" spans="1:4" x14ac:dyDescent="0.3">
      <c r="A133" s="3" t="s">
        <v>369</v>
      </c>
      <c r="B133" s="3" t="s">
        <v>23</v>
      </c>
      <c r="C133" s="3" t="str">
        <f t="shared" si="2"/>
        <v>450013662510</v>
      </c>
      <c r="D133" s="3" t="s">
        <v>780</v>
      </c>
    </row>
    <row r="134" spans="1:4" x14ac:dyDescent="0.3">
      <c r="A134" s="3" t="s">
        <v>369</v>
      </c>
      <c r="B134" s="3" t="s">
        <v>62</v>
      </c>
      <c r="C134" s="3" t="str">
        <f t="shared" si="2"/>
        <v>450013662520</v>
      </c>
      <c r="D134" s="3" t="s">
        <v>780</v>
      </c>
    </row>
    <row r="135" spans="1:4" x14ac:dyDescent="0.3">
      <c r="A135" s="3" t="s">
        <v>369</v>
      </c>
      <c r="B135" s="3" t="s">
        <v>49</v>
      </c>
      <c r="C135" s="3" t="str">
        <f t="shared" si="2"/>
        <v>450013662530</v>
      </c>
      <c r="D135" s="3" t="s">
        <v>780</v>
      </c>
    </row>
    <row r="136" spans="1:4" x14ac:dyDescent="0.3">
      <c r="A136" s="3" t="s">
        <v>369</v>
      </c>
      <c r="B136" s="3" t="s">
        <v>38</v>
      </c>
      <c r="C136" s="3" t="str">
        <f t="shared" si="2"/>
        <v>450013662540</v>
      </c>
      <c r="D136" s="3" t="s">
        <v>780</v>
      </c>
    </row>
    <row r="137" spans="1:4" x14ac:dyDescent="0.3">
      <c r="A137" s="3" t="s">
        <v>163</v>
      </c>
      <c r="B137" s="3" t="s">
        <v>23</v>
      </c>
      <c r="C137" s="3" t="str">
        <f t="shared" si="2"/>
        <v>450013792210</v>
      </c>
      <c r="D137" s="3" t="s">
        <v>788</v>
      </c>
    </row>
    <row r="138" spans="1:4" x14ac:dyDescent="0.3">
      <c r="A138" s="3" t="s">
        <v>381</v>
      </c>
      <c r="B138" s="3" t="s">
        <v>23</v>
      </c>
      <c r="C138" s="3" t="str">
        <f t="shared" si="2"/>
        <v>450013654210</v>
      </c>
      <c r="D138" s="3" t="s">
        <v>778</v>
      </c>
    </row>
    <row r="139" spans="1:4" x14ac:dyDescent="0.3">
      <c r="A139" s="3" t="s">
        <v>344</v>
      </c>
      <c r="B139" s="3" t="s">
        <v>23</v>
      </c>
      <c r="C139" s="3" t="str">
        <f t="shared" si="2"/>
        <v>450013654410</v>
      </c>
      <c r="D139" s="3" t="s">
        <v>785</v>
      </c>
    </row>
    <row r="140" spans="1:4" x14ac:dyDescent="0.3">
      <c r="A140" s="3" t="s">
        <v>344</v>
      </c>
      <c r="B140" s="3" t="s">
        <v>62</v>
      </c>
      <c r="C140" s="3" t="str">
        <f t="shared" si="2"/>
        <v>450013654420</v>
      </c>
      <c r="D140" s="3" t="s">
        <v>785</v>
      </c>
    </row>
    <row r="141" spans="1:4" x14ac:dyDescent="0.3">
      <c r="A141" s="3" t="s">
        <v>344</v>
      </c>
      <c r="B141" s="3" t="s">
        <v>49</v>
      </c>
      <c r="C141" s="3" t="str">
        <f t="shared" si="2"/>
        <v>450013654430</v>
      </c>
      <c r="D141" s="3" t="s">
        <v>785</v>
      </c>
    </row>
    <row r="142" spans="1:4" x14ac:dyDescent="0.3">
      <c r="A142" s="3" t="s">
        <v>344</v>
      </c>
      <c r="B142" s="3" t="s">
        <v>38</v>
      </c>
      <c r="C142" s="3" t="str">
        <f t="shared" si="2"/>
        <v>450013654440</v>
      </c>
      <c r="D142" s="3" t="s">
        <v>785</v>
      </c>
    </row>
    <row r="143" spans="1:4" x14ac:dyDescent="0.3">
      <c r="A143" s="3" t="s">
        <v>344</v>
      </c>
      <c r="B143" s="3" t="s">
        <v>148</v>
      </c>
      <c r="C143" s="3" t="str">
        <f t="shared" si="2"/>
        <v>4500136544110</v>
      </c>
      <c r="D143" s="3" t="s">
        <v>785</v>
      </c>
    </row>
    <row r="144" spans="1:4" x14ac:dyDescent="0.3">
      <c r="A144" s="3" t="s">
        <v>344</v>
      </c>
      <c r="B144" s="3" t="s">
        <v>47</v>
      </c>
      <c r="C144" s="3" t="str">
        <f t="shared" si="2"/>
        <v>450013654450</v>
      </c>
      <c r="D144" s="3" t="s">
        <v>785</v>
      </c>
    </row>
    <row r="145" spans="1:4" x14ac:dyDescent="0.3">
      <c r="A145" s="3" t="s">
        <v>344</v>
      </c>
      <c r="B145" s="3" t="s">
        <v>95</v>
      </c>
      <c r="C145" s="3" t="str">
        <f t="shared" si="2"/>
        <v>450013654460</v>
      </c>
      <c r="D145" s="3" t="s">
        <v>785</v>
      </c>
    </row>
    <row r="146" spans="1:4" x14ac:dyDescent="0.3">
      <c r="A146" s="3" t="s">
        <v>344</v>
      </c>
      <c r="B146" s="3" t="s">
        <v>351</v>
      </c>
      <c r="C146" s="3" t="str">
        <f t="shared" si="2"/>
        <v>450013654480</v>
      </c>
      <c r="D146" s="3" t="s">
        <v>785</v>
      </c>
    </row>
    <row r="147" spans="1:4" x14ac:dyDescent="0.3">
      <c r="A147" s="3" t="s">
        <v>344</v>
      </c>
      <c r="B147" s="3" t="s">
        <v>51</v>
      </c>
      <c r="C147" s="3" t="str">
        <f t="shared" si="2"/>
        <v>4500136544170</v>
      </c>
      <c r="D147" s="3" t="s">
        <v>785</v>
      </c>
    </row>
    <row r="148" spans="1:4" x14ac:dyDescent="0.3">
      <c r="A148" s="3" t="s">
        <v>114</v>
      </c>
      <c r="B148" s="3" t="s">
        <v>23</v>
      </c>
      <c r="C148" s="3" t="str">
        <f t="shared" si="2"/>
        <v>450013645510</v>
      </c>
      <c r="D148" s="3" t="s">
        <v>780</v>
      </c>
    </row>
    <row r="149" spans="1:4" x14ac:dyDescent="0.3">
      <c r="A149" s="3" t="s">
        <v>114</v>
      </c>
      <c r="B149" s="3" t="s">
        <v>62</v>
      </c>
      <c r="C149" s="3" t="str">
        <f t="shared" si="2"/>
        <v>450013645520</v>
      </c>
      <c r="D149" s="3" t="s">
        <v>780</v>
      </c>
    </row>
    <row r="150" spans="1:4" x14ac:dyDescent="0.3">
      <c r="A150" s="3" t="s">
        <v>114</v>
      </c>
      <c r="B150" s="3" t="s">
        <v>49</v>
      </c>
      <c r="C150" s="3" t="str">
        <f t="shared" si="2"/>
        <v>450013645530</v>
      </c>
      <c r="D150" s="3" t="s">
        <v>780</v>
      </c>
    </row>
    <row r="151" spans="1:4" x14ac:dyDescent="0.3">
      <c r="A151" s="3" t="s">
        <v>114</v>
      </c>
      <c r="B151" s="3" t="s">
        <v>38</v>
      </c>
      <c r="C151" s="3" t="str">
        <f t="shared" si="2"/>
        <v>450013645540</v>
      </c>
      <c r="D151" s="3" t="s">
        <v>780</v>
      </c>
    </row>
    <row r="152" spans="1:4" x14ac:dyDescent="0.3">
      <c r="A152" s="3" t="s">
        <v>114</v>
      </c>
      <c r="B152" s="3" t="s">
        <v>47</v>
      </c>
      <c r="C152" s="3" t="str">
        <f t="shared" si="2"/>
        <v>450013645550</v>
      </c>
      <c r="D152" s="3" t="s">
        <v>780</v>
      </c>
    </row>
    <row r="153" spans="1:4" x14ac:dyDescent="0.3">
      <c r="A153" s="3" t="s">
        <v>114</v>
      </c>
      <c r="B153" s="3" t="s">
        <v>95</v>
      </c>
      <c r="C153" s="3" t="str">
        <f t="shared" si="2"/>
        <v>450013645560</v>
      </c>
      <c r="D153" s="3" t="s">
        <v>780</v>
      </c>
    </row>
    <row r="154" spans="1:4" x14ac:dyDescent="0.3">
      <c r="A154" s="3" t="s">
        <v>114</v>
      </c>
      <c r="B154" s="3" t="s">
        <v>141</v>
      </c>
      <c r="C154" s="3" t="str">
        <f t="shared" si="2"/>
        <v>450013645570</v>
      </c>
      <c r="D154" s="3" t="s">
        <v>780</v>
      </c>
    </row>
    <row r="155" spans="1:4" x14ac:dyDescent="0.3">
      <c r="A155" s="3" t="s">
        <v>114</v>
      </c>
      <c r="B155" s="3" t="s">
        <v>351</v>
      </c>
      <c r="C155" s="3" t="str">
        <f t="shared" si="2"/>
        <v>450013645580</v>
      </c>
      <c r="D155" s="3" t="s">
        <v>780</v>
      </c>
    </row>
    <row r="156" spans="1:4" x14ac:dyDescent="0.3">
      <c r="A156" s="3" t="s">
        <v>114</v>
      </c>
      <c r="B156" s="3" t="s">
        <v>158</v>
      </c>
      <c r="C156" s="3" t="str">
        <f t="shared" si="2"/>
        <v>450013645590</v>
      </c>
      <c r="D156" s="3" t="s">
        <v>780</v>
      </c>
    </row>
    <row r="157" spans="1:4" x14ac:dyDescent="0.3">
      <c r="A157" s="3" t="s">
        <v>114</v>
      </c>
      <c r="B157" s="3" t="s">
        <v>156</v>
      </c>
      <c r="C157" s="3" t="str">
        <f t="shared" si="2"/>
        <v>4500136455100</v>
      </c>
      <c r="D157" s="3" t="s">
        <v>780</v>
      </c>
    </row>
    <row r="158" spans="1:4" x14ac:dyDescent="0.3">
      <c r="A158" s="3" t="s">
        <v>114</v>
      </c>
      <c r="B158" s="3" t="s">
        <v>148</v>
      </c>
      <c r="C158" s="3" t="str">
        <f t="shared" si="2"/>
        <v>4500136455110</v>
      </c>
      <c r="D158" s="3" t="s">
        <v>780</v>
      </c>
    </row>
    <row r="159" spans="1:4" x14ac:dyDescent="0.3">
      <c r="A159" s="3" t="s">
        <v>114</v>
      </c>
      <c r="B159" s="3" t="s">
        <v>151</v>
      </c>
      <c r="C159" s="3" t="str">
        <f t="shared" si="2"/>
        <v>4500136455120</v>
      </c>
      <c r="D159" s="3" t="s">
        <v>780</v>
      </c>
    </row>
    <row r="160" spans="1:4" x14ac:dyDescent="0.3">
      <c r="A160" s="3" t="s">
        <v>114</v>
      </c>
      <c r="B160" s="3" t="s">
        <v>464</v>
      </c>
      <c r="C160" s="3" t="str">
        <f t="shared" si="2"/>
        <v>4500136455130</v>
      </c>
      <c r="D160" s="3" t="s">
        <v>780</v>
      </c>
    </row>
    <row r="161" spans="1:4" x14ac:dyDescent="0.3">
      <c r="A161" s="3" t="s">
        <v>114</v>
      </c>
      <c r="B161" s="3" t="s">
        <v>466</v>
      </c>
      <c r="C161" s="3" t="str">
        <f t="shared" si="2"/>
        <v>4500136455140</v>
      </c>
      <c r="D161" s="3" t="s">
        <v>780</v>
      </c>
    </row>
    <row r="162" spans="1:4" x14ac:dyDescent="0.3">
      <c r="A162" s="3" t="s">
        <v>114</v>
      </c>
      <c r="B162" s="3" t="s">
        <v>468</v>
      </c>
      <c r="C162" s="3" t="str">
        <f t="shared" si="2"/>
        <v>4500136455150</v>
      </c>
      <c r="D162" s="3" t="s">
        <v>780</v>
      </c>
    </row>
    <row r="163" spans="1:4" x14ac:dyDescent="0.3">
      <c r="A163" s="3" t="s">
        <v>114</v>
      </c>
      <c r="B163" s="3" t="s">
        <v>498</v>
      </c>
      <c r="C163" s="3" t="str">
        <f t="shared" si="2"/>
        <v>4500136455160</v>
      </c>
      <c r="D163" s="3" t="s">
        <v>780</v>
      </c>
    </row>
    <row r="164" spans="1:4" x14ac:dyDescent="0.3">
      <c r="A164" s="3" t="s">
        <v>114</v>
      </c>
      <c r="B164" s="3" t="s">
        <v>51</v>
      </c>
      <c r="C164" s="3" t="str">
        <f t="shared" si="2"/>
        <v>4500136455170</v>
      </c>
      <c r="D164" s="3" t="s">
        <v>780</v>
      </c>
    </row>
    <row r="165" spans="1:4" x14ac:dyDescent="0.3">
      <c r="A165" s="3" t="s">
        <v>114</v>
      </c>
      <c r="B165" s="3" t="s">
        <v>707</v>
      </c>
      <c r="C165" s="3" t="str">
        <f t="shared" si="2"/>
        <v>4500136455180</v>
      </c>
      <c r="D165" s="3" t="s">
        <v>780</v>
      </c>
    </row>
    <row r="166" spans="1:4" x14ac:dyDescent="0.3">
      <c r="A166" s="3" t="s">
        <v>114</v>
      </c>
      <c r="B166" s="3" t="s">
        <v>708</v>
      </c>
      <c r="C166" s="3" t="str">
        <f t="shared" si="2"/>
        <v>4500136455190</v>
      </c>
      <c r="D166" s="3" t="s">
        <v>780</v>
      </c>
    </row>
    <row r="167" spans="1:4" x14ac:dyDescent="0.3">
      <c r="A167" s="3" t="s">
        <v>114</v>
      </c>
      <c r="B167" s="3" t="s">
        <v>709</v>
      </c>
      <c r="C167" s="3" t="str">
        <f t="shared" si="2"/>
        <v>4500136455200</v>
      </c>
      <c r="D167" s="3" t="s">
        <v>780</v>
      </c>
    </row>
    <row r="168" spans="1:4" x14ac:dyDescent="0.3">
      <c r="A168" s="3" t="s">
        <v>114</v>
      </c>
      <c r="B168" s="3" t="s">
        <v>710</v>
      </c>
      <c r="C168" s="3" t="str">
        <f t="shared" si="2"/>
        <v>4500136455210</v>
      </c>
      <c r="D168" s="3" t="s">
        <v>780</v>
      </c>
    </row>
    <row r="169" spans="1:4" x14ac:dyDescent="0.3">
      <c r="A169" s="3" t="s">
        <v>114</v>
      </c>
      <c r="B169" s="3" t="s">
        <v>748</v>
      </c>
      <c r="C169" s="3" t="str">
        <f t="shared" si="2"/>
        <v>4500136455220</v>
      </c>
      <c r="D169" s="3" t="s">
        <v>780</v>
      </c>
    </row>
    <row r="170" spans="1:4" x14ac:dyDescent="0.3">
      <c r="A170" s="3" t="s">
        <v>114</v>
      </c>
      <c r="B170" s="3" t="s">
        <v>115</v>
      </c>
      <c r="C170" s="3" t="str">
        <f t="shared" si="2"/>
        <v>4500136455230</v>
      </c>
      <c r="D170" s="3" t="s">
        <v>780</v>
      </c>
    </row>
    <row r="171" spans="1:4" x14ac:dyDescent="0.3">
      <c r="A171" s="3" t="s">
        <v>114</v>
      </c>
      <c r="B171" s="3" t="s">
        <v>749</v>
      </c>
      <c r="C171" s="3" t="str">
        <f t="shared" si="2"/>
        <v>4500136455240</v>
      </c>
      <c r="D171" s="3" t="s">
        <v>780</v>
      </c>
    </row>
    <row r="172" spans="1:4" x14ac:dyDescent="0.3">
      <c r="A172" s="3" t="s">
        <v>166</v>
      </c>
      <c r="B172" s="3" t="s">
        <v>23</v>
      </c>
      <c r="C172" s="3" t="str">
        <f t="shared" si="2"/>
        <v>450013694310</v>
      </c>
      <c r="D172" s="3" t="s">
        <v>783</v>
      </c>
    </row>
    <row r="173" spans="1:4" x14ac:dyDescent="0.3">
      <c r="A173" s="3" t="s">
        <v>169</v>
      </c>
      <c r="B173" s="3" t="s">
        <v>23</v>
      </c>
      <c r="C173" s="3" t="str">
        <f t="shared" si="2"/>
        <v>450013713010</v>
      </c>
      <c r="D173" s="3" t="s">
        <v>783</v>
      </c>
    </row>
    <row r="174" spans="1:4" x14ac:dyDescent="0.3">
      <c r="A174" s="3" t="s">
        <v>169</v>
      </c>
      <c r="B174" s="3" t="s">
        <v>62</v>
      </c>
      <c r="C174" s="3" t="str">
        <f t="shared" si="2"/>
        <v>450013713020</v>
      </c>
      <c r="D174" s="3" t="s">
        <v>783</v>
      </c>
    </row>
    <row r="175" spans="1:4" x14ac:dyDescent="0.3">
      <c r="A175" s="3" t="s">
        <v>552</v>
      </c>
      <c r="B175" s="3" t="s">
        <v>23</v>
      </c>
      <c r="C175" s="3" t="str">
        <f t="shared" si="2"/>
        <v>450013730110</v>
      </c>
      <c r="D175" s="3" t="s">
        <v>784</v>
      </c>
    </row>
    <row r="176" spans="1:4" x14ac:dyDescent="0.3">
      <c r="A176" s="3" t="s">
        <v>653</v>
      </c>
      <c r="B176" s="3" t="s">
        <v>23</v>
      </c>
      <c r="C176" s="3" t="str">
        <f t="shared" si="2"/>
        <v>450013742210</v>
      </c>
      <c r="D176" s="3" t="s">
        <v>779</v>
      </c>
    </row>
    <row r="177" spans="1:4" x14ac:dyDescent="0.3">
      <c r="A177" s="3" t="s">
        <v>653</v>
      </c>
      <c r="B177" s="3" t="s">
        <v>62</v>
      </c>
      <c r="C177" s="3" t="str">
        <f t="shared" si="2"/>
        <v>450013742220</v>
      </c>
      <c r="D177" s="3" t="s">
        <v>779</v>
      </c>
    </row>
    <row r="178" spans="1:4" x14ac:dyDescent="0.3">
      <c r="A178" s="3" t="s">
        <v>653</v>
      </c>
      <c r="B178" s="3" t="s">
        <v>49</v>
      </c>
      <c r="C178" s="3" t="str">
        <f t="shared" si="2"/>
        <v>450013742230</v>
      </c>
      <c r="D178" s="3" t="s">
        <v>779</v>
      </c>
    </row>
    <row r="179" spans="1:4" x14ac:dyDescent="0.3">
      <c r="A179" s="3" t="s">
        <v>653</v>
      </c>
      <c r="B179" s="3" t="s">
        <v>38</v>
      </c>
      <c r="C179" s="3" t="str">
        <f t="shared" si="2"/>
        <v>450013742240</v>
      </c>
      <c r="D179" s="3" t="s">
        <v>779</v>
      </c>
    </row>
    <row r="180" spans="1:4" x14ac:dyDescent="0.3">
      <c r="A180" s="3" t="s">
        <v>359</v>
      </c>
      <c r="B180" s="3" t="s">
        <v>95</v>
      </c>
      <c r="C180" s="3" t="str">
        <f t="shared" si="2"/>
        <v>450013704660</v>
      </c>
      <c r="D180" s="3" t="s">
        <v>785</v>
      </c>
    </row>
    <row r="181" spans="1:4" x14ac:dyDescent="0.3">
      <c r="A181" s="3" t="s">
        <v>359</v>
      </c>
      <c r="B181" s="3" t="s">
        <v>23</v>
      </c>
      <c r="C181" s="3" t="str">
        <f t="shared" si="2"/>
        <v>450013704610</v>
      </c>
      <c r="D181" s="3" t="s">
        <v>785</v>
      </c>
    </row>
    <row r="182" spans="1:4" x14ac:dyDescent="0.3">
      <c r="A182" s="3" t="s">
        <v>359</v>
      </c>
      <c r="B182" s="3" t="s">
        <v>62</v>
      </c>
      <c r="C182" s="3" t="str">
        <f t="shared" si="2"/>
        <v>450013704620</v>
      </c>
      <c r="D182" s="3" t="s">
        <v>785</v>
      </c>
    </row>
    <row r="183" spans="1:4" x14ac:dyDescent="0.3">
      <c r="A183" s="3" t="s">
        <v>359</v>
      </c>
      <c r="B183" s="3" t="s">
        <v>49</v>
      </c>
      <c r="C183" s="3" t="str">
        <f t="shared" si="2"/>
        <v>450013704630</v>
      </c>
      <c r="D183" s="3" t="s">
        <v>785</v>
      </c>
    </row>
    <row r="184" spans="1:4" x14ac:dyDescent="0.3">
      <c r="A184" s="3" t="s">
        <v>359</v>
      </c>
      <c r="B184" s="3" t="s">
        <v>38</v>
      </c>
      <c r="C184" s="3" t="str">
        <f t="shared" si="2"/>
        <v>450013704640</v>
      </c>
      <c r="D184" s="3" t="s">
        <v>785</v>
      </c>
    </row>
    <row r="185" spans="1:4" x14ac:dyDescent="0.3">
      <c r="A185" s="3" t="s">
        <v>366</v>
      </c>
      <c r="B185" s="3" t="s">
        <v>95</v>
      </c>
      <c r="C185" s="3" t="str">
        <f t="shared" si="2"/>
        <v>450013689660</v>
      </c>
      <c r="D185" s="3" t="s">
        <v>785</v>
      </c>
    </row>
    <row r="186" spans="1:4" x14ac:dyDescent="0.3">
      <c r="A186" s="3" t="s">
        <v>84</v>
      </c>
      <c r="B186" s="3" t="s">
        <v>23</v>
      </c>
      <c r="C186" s="3" t="str">
        <f t="shared" si="2"/>
        <v>450013710710</v>
      </c>
      <c r="D186" s="3" t="s">
        <v>785</v>
      </c>
    </row>
    <row r="187" spans="1:4" x14ac:dyDescent="0.3">
      <c r="A187" s="3" t="s">
        <v>84</v>
      </c>
      <c r="B187" s="3" t="s">
        <v>62</v>
      </c>
      <c r="C187" s="3" t="str">
        <f t="shared" si="2"/>
        <v>450013710720</v>
      </c>
      <c r="D187" s="3" t="s">
        <v>785</v>
      </c>
    </row>
    <row r="188" spans="1:4" x14ac:dyDescent="0.3">
      <c r="A188" s="3" t="s">
        <v>552</v>
      </c>
      <c r="B188" s="3" t="s">
        <v>62</v>
      </c>
      <c r="C188" s="3" t="str">
        <f t="shared" si="2"/>
        <v>450013730120</v>
      </c>
      <c r="D188" s="3" t="s">
        <v>784</v>
      </c>
    </row>
    <row r="189" spans="1:4" x14ac:dyDescent="0.3">
      <c r="A189" s="3" t="s">
        <v>552</v>
      </c>
      <c r="B189" s="3" t="s">
        <v>49</v>
      </c>
      <c r="C189" s="3" t="str">
        <f t="shared" si="2"/>
        <v>450013730130</v>
      </c>
      <c r="D189" s="3" t="s">
        <v>784</v>
      </c>
    </row>
    <row r="190" spans="1:4" x14ac:dyDescent="0.3">
      <c r="A190" s="3" t="s">
        <v>552</v>
      </c>
      <c r="B190" s="3" t="s">
        <v>38</v>
      </c>
      <c r="C190" s="3" t="str">
        <f t="shared" si="2"/>
        <v>450013730140</v>
      </c>
      <c r="D190" s="3" t="s">
        <v>784</v>
      </c>
    </row>
    <row r="191" spans="1:4" x14ac:dyDescent="0.3">
      <c r="A191" s="3" t="s">
        <v>411</v>
      </c>
      <c r="B191" s="3" t="s">
        <v>23</v>
      </c>
      <c r="C191" s="3" t="str">
        <f t="shared" si="2"/>
        <v>450013714610</v>
      </c>
      <c r="D191" s="3" t="s">
        <v>784</v>
      </c>
    </row>
    <row r="192" spans="1:4" x14ac:dyDescent="0.3">
      <c r="A192" s="3" t="s">
        <v>182</v>
      </c>
      <c r="B192" s="3" t="s">
        <v>23</v>
      </c>
      <c r="C192" s="3" t="str">
        <f t="shared" si="2"/>
        <v>450013787810</v>
      </c>
      <c r="D192" s="3" t="s">
        <v>785</v>
      </c>
    </row>
    <row r="193" spans="1:4" x14ac:dyDescent="0.3">
      <c r="A193" s="3" t="s">
        <v>79</v>
      </c>
      <c r="B193" s="3" t="s">
        <v>23</v>
      </c>
      <c r="C193" s="3" t="str">
        <f t="shared" si="2"/>
        <v>450013722710</v>
      </c>
      <c r="D193" s="3" t="s">
        <v>779</v>
      </c>
    </row>
    <row r="194" spans="1:4" x14ac:dyDescent="0.3">
      <c r="A194" s="3" t="s">
        <v>79</v>
      </c>
      <c r="B194" s="3" t="s">
        <v>62</v>
      </c>
      <c r="C194" s="3" t="str">
        <f t="shared" si="2"/>
        <v>450013722720</v>
      </c>
      <c r="D194" s="3" t="s">
        <v>779</v>
      </c>
    </row>
    <row r="195" spans="1:4" x14ac:dyDescent="0.3">
      <c r="A195" s="3" t="s">
        <v>118</v>
      </c>
      <c r="B195" s="3" t="s">
        <v>23</v>
      </c>
      <c r="C195" s="3" t="str">
        <f t="shared" ref="C195:C258" si="3">_xlfn.CONCAT(A195:B195)</f>
        <v>450013779910</v>
      </c>
      <c r="D195" s="3" t="s">
        <v>780</v>
      </c>
    </row>
    <row r="196" spans="1:4" x14ac:dyDescent="0.3">
      <c r="A196" s="3" t="s">
        <v>118</v>
      </c>
      <c r="B196" s="3" t="s">
        <v>62</v>
      </c>
      <c r="C196" s="3" t="str">
        <f t="shared" si="3"/>
        <v>450013779920</v>
      </c>
      <c r="D196" s="3" t="s">
        <v>780</v>
      </c>
    </row>
    <row r="197" spans="1:4" x14ac:dyDescent="0.3">
      <c r="A197" s="3" t="s">
        <v>118</v>
      </c>
      <c r="B197" s="3" t="s">
        <v>49</v>
      </c>
      <c r="C197" s="3" t="str">
        <f t="shared" si="3"/>
        <v>450013779930</v>
      </c>
      <c r="D197" s="3" t="s">
        <v>780</v>
      </c>
    </row>
    <row r="198" spans="1:4" x14ac:dyDescent="0.3">
      <c r="A198" s="3" t="s">
        <v>182</v>
      </c>
      <c r="B198" s="3" t="s">
        <v>62</v>
      </c>
      <c r="C198" s="3" t="str">
        <f t="shared" si="3"/>
        <v>450013787820</v>
      </c>
      <c r="D198" s="3" t="s">
        <v>785</v>
      </c>
    </row>
    <row r="199" spans="1:4" x14ac:dyDescent="0.3">
      <c r="A199" s="3" t="s">
        <v>182</v>
      </c>
      <c r="B199" s="3" t="s">
        <v>49</v>
      </c>
      <c r="C199" s="3" t="str">
        <f t="shared" si="3"/>
        <v>450013787830</v>
      </c>
      <c r="D199" s="3" t="s">
        <v>785</v>
      </c>
    </row>
    <row r="200" spans="1:4" x14ac:dyDescent="0.3">
      <c r="A200" s="3" t="s">
        <v>399</v>
      </c>
      <c r="B200" s="3" t="s">
        <v>49</v>
      </c>
      <c r="C200" s="3" t="str">
        <f t="shared" si="3"/>
        <v>450013788630</v>
      </c>
      <c r="D200" s="3" t="s">
        <v>785</v>
      </c>
    </row>
    <row r="201" spans="1:4" x14ac:dyDescent="0.3">
      <c r="A201" s="3" t="s">
        <v>392</v>
      </c>
      <c r="B201" s="3" t="s">
        <v>62</v>
      </c>
      <c r="C201" s="3" t="str">
        <f t="shared" si="3"/>
        <v>450013788820</v>
      </c>
      <c r="D201" s="3" t="s">
        <v>785</v>
      </c>
    </row>
    <row r="202" spans="1:4" x14ac:dyDescent="0.3">
      <c r="A202" s="3" t="s">
        <v>507</v>
      </c>
      <c r="B202" s="3" t="s">
        <v>23</v>
      </c>
      <c r="C202" s="3" t="str">
        <f t="shared" si="3"/>
        <v>450013835810</v>
      </c>
      <c r="D202" s="3" t="s">
        <v>784</v>
      </c>
    </row>
    <row r="203" spans="1:4" x14ac:dyDescent="0.3">
      <c r="A203" s="3" t="s">
        <v>134</v>
      </c>
      <c r="B203" s="3" t="s">
        <v>23</v>
      </c>
      <c r="C203" s="3" t="str">
        <f t="shared" si="3"/>
        <v>450013814710</v>
      </c>
      <c r="D203" s="3" t="s">
        <v>785</v>
      </c>
    </row>
    <row r="204" spans="1:4" x14ac:dyDescent="0.3">
      <c r="A204" s="3" t="s">
        <v>399</v>
      </c>
      <c r="B204" s="3" t="s">
        <v>38</v>
      </c>
      <c r="C204" s="3" t="str">
        <f t="shared" si="3"/>
        <v>450013788640</v>
      </c>
      <c r="D204" s="3" t="s">
        <v>785</v>
      </c>
    </row>
    <row r="205" spans="1:4" x14ac:dyDescent="0.3">
      <c r="A205" s="3" t="s">
        <v>399</v>
      </c>
      <c r="B205" s="3" t="s">
        <v>47</v>
      </c>
      <c r="C205" s="3" t="str">
        <f t="shared" si="3"/>
        <v>450013788650</v>
      </c>
      <c r="D205" s="3" t="s">
        <v>785</v>
      </c>
    </row>
    <row r="206" spans="1:4" x14ac:dyDescent="0.3">
      <c r="A206" s="3" t="s">
        <v>399</v>
      </c>
      <c r="B206" s="3" t="s">
        <v>95</v>
      </c>
      <c r="C206" s="3" t="str">
        <f t="shared" si="3"/>
        <v>450013788660</v>
      </c>
      <c r="D206" s="3" t="s">
        <v>785</v>
      </c>
    </row>
    <row r="207" spans="1:4" x14ac:dyDescent="0.3">
      <c r="A207" s="3" t="s">
        <v>416</v>
      </c>
      <c r="B207" s="3" t="s">
        <v>23</v>
      </c>
      <c r="C207" s="3" t="str">
        <f t="shared" si="3"/>
        <v>450013818210</v>
      </c>
      <c r="D207" s="3" t="s">
        <v>785</v>
      </c>
    </row>
    <row r="208" spans="1:4" x14ac:dyDescent="0.3">
      <c r="A208" s="3" t="s">
        <v>416</v>
      </c>
      <c r="B208" s="3" t="s">
        <v>62</v>
      </c>
      <c r="C208" s="3" t="str">
        <f t="shared" si="3"/>
        <v>450013818220</v>
      </c>
      <c r="D208" s="3" t="s">
        <v>785</v>
      </c>
    </row>
    <row r="209" spans="1:4" x14ac:dyDescent="0.3">
      <c r="A209" s="3" t="s">
        <v>423</v>
      </c>
      <c r="B209" s="3" t="s">
        <v>49</v>
      </c>
      <c r="C209" s="3" t="str">
        <f t="shared" si="3"/>
        <v>450013833930</v>
      </c>
      <c r="D209" s="3" t="s">
        <v>785</v>
      </c>
    </row>
    <row r="210" spans="1:4" x14ac:dyDescent="0.3">
      <c r="A210" s="3" t="s">
        <v>621</v>
      </c>
      <c r="B210" s="3" t="s">
        <v>23</v>
      </c>
      <c r="C210" s="3" t="str">
        <f t="shared" si="3"/>
        <v>450013924510</v>
      </c>
      <c r="D210" s="3" t="s">
        <v>779</v>
      </c>
    </row>
    <row r="211" spans="1:4" x14ac:dyDescent="0.3">
      <c r="A211" s="3" t="s">
        <v>173</v>
      </c>
      <c r="B211" s="3" t="s">
        <v>23</v>
      </c>
      <c r="C211" s="3" t="str">
        <f t="shared" si="3"/>
        <v>450013900410</v>
      </c>
      <c r="D211" s="3" t="s">
        <v>779</v>
      </c>
    </row>
    <row r="212" spans="1:4" x14ac:dyDescent="0.3">
      <c r="A212" s="3" t="s">
        <v>173</v>
      </c>
      <c r="B212" s="3" t="s">
        <v>62</v>
      </c>
      <c r="C212" s="3" t="str">
        <f t="shared" si="3"/>
        <v>450013900420</v>
      </c>
      <c r="D212" s="3" t="s">
        <v>779</v>
      </c>
    </row>
    <row r="213" spans="1:4" x14ac:dyDescent="0.3">
      <c r="A213" s="3" t="s">
        <v>173</v>
      </c>
      <c r="B213" s="3" t="s">
        <v>49</v>
      </c>
      <c r="C213" s="3" t="str">
        <f t="shared" si="3"/>
        <v>450013900430</v>
      </c>
      <c r="D213" s="3" t="s">
        <v>779</v>
      </c>
    </row>
    <row r="214" spans="1:4" x14ac:dyDescent="0.3">
      <c r="A214" s="3" t="s">
        <v>101</v>
      </c>
      <c r="B214" s="3" t="s">
        <v>23</v>
      </c>
      <c r="C214" s="3" t="str">
        <f t="shared" si="3"/>
        <v>450013917510</v>
      </c>
      <c r="D214" s="3" t="s">
        <v>779</v>
      </c>
    </row>
    <row r="215" spans="1:4" x14ac:dyDescent="0.3">
      <c r="A215" s="3" t="s">
        <v>448</v>
      </c>
      <c r="B215" s="3" t="s">
        <v>23</v>
      </c>
      <c r="C215" s="3" t="str">
        <f t="shared" si="3"/>
        <v>450013885810</v>
      </c>
      <c r="D215" s="3" t="s">
        <v>785</v>
      </c>
    </row>
    <row r="216" spans="1:4" x14ac:dyDescent="0.3">
      <c r="A216" s="3" t="s">
        <v>557</v>
      </c>
      <c r="B216" s="3" t="s">
        <v>141</v>
      </c>
      <c r="C216" s="3" t="str">
        <f t="shared" si="3"/>
        <v>450013928570</v>
      </c>
      <c r="D216" s="3" t="s">
        <v>785</v>
      </c>
    </row>
    <row r="217" spans="1:4" x14ac:dyDescent="0.3">
      <c r="A217" s="3" t="s">
        <v>627</v>
      </c>
      <c r="B217" s="3" t="s">
        <v>23</v>
      </c>
      <c r="C217" s="3" t="str">
        <f t="shared" si="3"/>
        <v>450013952410</v>
      </c>
      <c r="D217" s="3" t="s">
        <v>781</v>
      </c>
    </row>
    <row r="218" spans="1:4" x14ac:dyDescent="0.3">
      <c r="A218" s="3" t="s">
        <v>108</v>
      </c>
      <c r="B218" s="3" t="s">
        <v>23</v>
      </c>
      <c r="C218" s="3" t="str">
        <f t="shared" si="3"/>
        <v>450013846410</v>
      </c>
      <c r="D218" s="3" t="s">
        <v>789</v>
      </c>
    </row>
    <row r="219" spans="1:4" x14ac:dyDescent="0.3">
      <c r="A219" s="3" t="s">
        <v>471</v>
      </c>
      <c r="B219" s="3" t="s">
        <v>23</v>
      </c>
      <c r="C219" s="3" t="str">
        <f t="shared" si="3"/>
        <v>450013886510</v>
      </c>
      <c r="D219" s="3" t="s">
        <v>785</v>
      </c>
    </row>
    <row r="220" spans="1:4" x14ac:dyDescent="0.3">
      <c r="A220" s="3" t="s">
        <v>471</v>
      </c>
      <c r="B220" s="3" t="s">
        <v>62</v>
      </c>
      <c r="C220" s="3" t="str">
        <f t="shared" si="3"/>
        <v>450013886520</v>
      </c>
      <c r="D220" s="3" t="s">
        <v>785</v>
      </c>
    </row>
    <row r="221" spans="1:4" x14ac:dyDescent="0.3">
      <c r="A221" s="3" t="s">
        <v>471</v>
      </c>
      <c r="B221" s="3" t="s">
        <v>49</v>
      </c>
      <c r="C221" s="3" t="str">
        <f t="shared" si="3"/>
        <v>450013886530</v>
      </c>
      <c r="D221" s="3" t="s">
        <v>785</v>
      </c>
    </row>
    <row r="222" spans="1:4" x14ac:dyDescent="0.3">
      <c r="A222" s="3" t="s">
        <v>471</v>
      </c>
      <c r="B222" s="3" t="s">
        <v>38</v>
      </c>
      <c r="C222" s="3" t="str">
        <f t="shared" si="3"/>
        <v>450013886540</v>
      </c>
      <c r="D222" s="3" t="s">
        <v>785</v>
      </c>
    </row>
    <row r="223" spans="1:4" x14ac:dyDescent="0.3">
      <c r="A223" s="3" t="s">
        <v>471</v>
      </c>
      <c r="B223" s="3" t="s">
        <v>47</v>
      </c>
      <c r="C223" s="3" t="str">
        <f t="shared" si="3"/>
        <v>450013886550</v>
      </c>
      <c r="D223" s="3" t="s">
        <v>785</v>
      </c>
    </row>
    <row r="224" spans="1:4" x14ac:dyDescent="0.3">
      <c r="A224" s="3" t="s">
        <v>471</v>
      </c>
      <c r="B224" s="3" t="s">
        <v>95</v>
      </c>
      <c r="C224" s="3" t="str">
        <f t="shared" si="3"/>
        <v>450013886560</v>
      </c>
      <c r="D224" s="3" t="s">
        <v>785</v>
      </c>
    </row>
    <row r="225" spans="1:4" x14ac:dyDescent="0.3">
      <c r="A225" s="3" t="s">
        <v>471</v>
      </c>
      <c r="B225" s="3" t="s">
        <v>141</v>
      </c>
      <c r="C225" s="3" t="str">
        <f t="shared" si="3"/>
        <v>450013886570</v>
      </c>
      <c r="D225" s="3" t="s">
        <v>785</v>
      </c>
    </row>
    <row r="226" spans="1:4" x14ac:dyDescent="0.3">
      <c r="A226" s="3" t="s">
        <v>471</v>
      </c>
      <c r="B226" s="3" t="s">
        <v>351</v>
      </c>
      <c r="C226" s="3" t="str">
        <f t="shared" si="3"/>
        <v>450013886580</v>
      </c>
      <c r="D226" s="3" t="s">
        <v>785</v>
      </c>
    </row>
    <row r="227" spans="1:4" x14ac:dyDescent="0.3">
      <c r="A227" s="3" t="s">
        <v>471</v>
      </c>
      <c r="B227" s="3" t="s">
        <v>158</v>
      </c>
      <c r="C227" s="3" t="str">
        <f t="shared" si="3"/>
        <v>450013886590</v>
      </c>
      <c r="D227" s="3" t="s">
        <v>785</v>
      </c>
    </row>
    <row r="228" spans="1:4" x14ac:dyDescent="0.3">
      <c r="A228" s="3" t="s">
        <v>482</v>
      </c>
      <c r="B228" s="3" t="s">
        <v>23</v>
      </c>
      <c r="C228" s="3" t="str">
        <f t="shared" si="3"/>
        <v>450013886910</v>
      </c>
      <c r="D228" s="3" t="s">
        <v>785</v>
      </c>
    </row>
    <row r="229" spans="1:4" x14ac:dyDescent="0.3">
      <c r="A229" s="3" t="s">
        <v>482</v>
      </c>
      <c r="B229" s="3" t="s">
        <v>62</v>
      </c>
      <c r="C229" s="3" t="str">
        <f t="shared" si="3"/>
        <v>450013886920</v>
      </c>
      <c r="D229" s="3" t="s">
        <v>785</v>
      </c>
    </row>
    <row r="230" spans="1:4" x14ac:dyDescent="0.3">
      <c r="A230" s="3" t="s">
        <v>482</v>
      </c>
      <c r="B230" s="3" t="s">
        <v>49</v>
      </c>
      <c r="C230" s="3" t="str">
        <f t="shared" si="3"/>
        <v>450013886930</v>
      </c>
      <c r="D230" s="3" t="s">
        <v>785</v>
      </c>
    </row>
    <row r="231" spans="1:4" x14ac:dyDescent="0.3">
      <c r="A231" s="3" t="s">
        <v>482</v>
      </c>
      <c r="B231" s="3" t="s">
        <v>38</v>
      </c>
      <c r="C231" s="3" t="str">
        <f t="shared" si="3"/>
        <v>450013886940</v>
      </c>
      <c r="D231" s="3" t="s">
        <v>785</v>
      </c>
    </row>
    <row r="232" spans="1:4" x14ac:dyDescent="0.3">
      <c r="A232" s="3" t="s">
        <v>482</v>
      </c>
      <c r="B232" s="3" t="s">
        <v>47</v>
      </c>
      <c r="C232" s="3" t="str">
        <f t="shared" si="3"/>
        <v>450013886950</v>
      </c>
      <c r="D232" s="3" t="s">
        <v>785</v>
      </c>
    </row>
    <row r="233" spans="1:4" x14ac:dyDescent="0.3">
      <c r="A233" s="3" t="s">
        <v>482</v>
      </c>
      <c r="B233" s="3" t="s">
        <v>95</v>
      </c>
      <c r="C233" s="3" t="str">
        <f t="shared" si="3"/>
        <v>450013886960</v>
      </c>
      <c r="D233" s="3" t="s">
        <v>785</v>
      </c>
    </row>
    <row r="234" spans="1:4" x14ac:dyDescent="0.3">
      <c r="A234" s="3" t="s">
        <v>482</v>
      </c>
      <c r="B234" s="3" t="s">
        <v>141</v>
      </c>
      <c r="C234" s="3" t="str">
        <f t="shared" si="3"/>
        <v>450013886970</v>
      </c>
      <c r="D234" s="3" t="s">
        <v>785</v>
      </c>
    </row>
    <row r="235" spans="1:4" x14ac:dyDescent="0.3">
      <c r="A235" s="3" t="s">
        <v>482</v>
      </c>
      <c r="B235" s="3" t="s">
        <v>351</v>
      </c>
      <c r="C235" s="3" t="str">
        <f t="shared" si="3"/>
        <v>450013886980</v>
      </c>
      <c r="D235" s="3" t="s">
        <v>785</v>
      </c>
    </row>
    <row r="236" spans="1:4" x14ac:dyDescent="0.3">
      <c r="A236" s="3" t="s">
        <v>482</v>
      </c>
      <c r="B236" s="3" t="s">
        <v>158</v>
      </c>
      <c r="C236" s="3" t="str">
        <f t="shared" si="3"/>
        <v>450013886990</v>
      </c>
      <c r="D236" s="3" t="s">
        <v>785</v>
      </c>
    </row>
    <row r="237" spans="1:4" x14ac:dyDescent="0.3">
      <c r="A237" s="3" t="s">
        <v>482</v>
      </c>
      <c r="B237" s="3" t="s">
        <v>156</v>
      </c>
      <c r="C237" s="3" t="str">
        <f t="shared" si="3"/>
        <v>4500138869100</v>
      </c>
      <c r="D237" s="3" t="s">
        <v>785</v>
      </c>
    </row>
    <row r="238" spans="1:4" x14ac:dyDescent="0.3">
      <c r="A238" s="3" t="s">
        <v>482</v>
      </c>
      <c r="B238" s="3" t="s">
        <v>148</v>
      </c>
      <c r="C238" s="3" t="str">
        <f t="shared" si="3"/>
        <v>4500138869110</v>
      </c>
      <c r="D238" s="3" t="s">
        <v>785</v>
      </c>
    </row>
    <row r="239" spans="1:4" x14ac:dyDescent="0.3">
      <c r="A239" s="3" t="s">
        <v>482</v>
      </c>
      <c r="B239" s="3" t="s">
        <v>151</v>
      </c>
      <c r="C239" s="3" t="str">
        <f t="shared" si="3"/>
        <v>4500138869120</v>
      </c>
      <c r="D239" s="3" t="s">
        <v>785</v>
      </c>
    </row>
    <row r="240" spans="1:4" x14ac:dyDescent="0.3">
      <c r="A240" s="3" t="s">
        <v>482</v>
      </c>
      <c r="B240" s="3" t="s">
        <v>464</v>
      </c>
      <c r="C240" s="3" t="str">
        <f t="shared" si="3"/>
        <v>4500138869130</v>
      </c>
      <c r="D240" s="3" t="s">
        <v>785</v>
      </c>
    </row>
    <row r="241" spans="1:4" x14ac:dyDescent="0.3">
      <c r="A241" s="3" t="s">
        <v>482</v>
      </c>
      <c r="B241" s="3" t="s">
        <v>466</v>
      </c>
      <c r="C241" s="3" t="str">
        <f t="shared" si="3"/>
        <v>4500138869140</v>
      </c>
      <c r="D241" s="3" t="s">
        <v>785</v>
      </c>
    </row>
    <row r="242" spans="1:4" x14ac:dyDescent="0.3">
      <c r="A242" s="3" t="s">
        <v>482</v>
      </c>
      <c r="B242" s="3" t="s">
        <v>468</v>
      </c>
      <c r="C242" s="3" t="str">
        <f t="shared" si="3"/>
        <v>4500138869150</v>
      </c>
      <c r="D242" s="3" t="s">
        <v>785</v>
      </c>
    </row>
    <row r="243" spans="1:4" x14ac:dyDescent="0.3">
      <c r="A243" s="3" t="s">
        <v>482</v>
      </c>
      <c r="B243" s="3" t="s">
        <v>498</v>
      </c>
      <c r="C243" s="3" t="str">
        <f t="shared" si="3"/>
        <v>4500138869160</v>
      </c>
      <c r="D243" s="3" t="s">
        <v>785</v>
      </c>
    </row>
    <row r="244" spans="1:4" x14ac:dyDescent="0.3">
      <c r="A244" s="3" t="s">
        <v>451</v>
      </c>
      <c r="B244" s="3" t="s">
        <v>23</v>
      </c>
      <c r="C244" s="3" t="str">
        <f t="shared" si="3"/>
        <v>450013887510</v>
      </c>
      <c r="D244" s="3" t="s">
        <v>785</v>
      </c>
    </row>
    <row r="245" spans="1:4" x14ac:dyDescent="0.3">
      <c r="A245" s="3" t="s">
        <v>451</v>
      </c>
      <c r="B245" s="3" t="s">
        <v>62</v>
      </c>
      <c r="C245" s="3" t="str">
        <f t="shared" si="3"/>
        <v>450013887520</v>
      </c>
      <c r="D245" s="3" t="s">
        <v>785</v>
      </c>
    </row>
    <row r="246" spans="1:4" x14ac:dyDescent="0.3">
      <c r="A246" s="3" t="s">
        <v>451</v>
      </c>
      <c r="B246" s="3" t="s">
        <v>49</v>
      </c>
      <c r="C246" s="3" t="str">
        <f t="shared" si="3"/>
        <v>450013887530</v>
      </c>
      <c r="D246" s="3" t="s">
        <v>785</v>
      </c>
    </row>
    <row r="247" spans="1:4" x14ac:dyDescent="0.3">
      <c r="A247" s="3" t="s">
        <v>451</v>
      </c>
      <c r="B247" s="3" t="s">
        <v>38</v>
      </c>
      <c r="C247" s="3" t="str">
        <f t="shared" si="3"/>
        <v>450013887540</v>
      </c>
      <c r="D247" s="3" t="s">
        <v>785</v>
      </c>
    </row>
    <row r="248" spans="1:4" x14ac:dyDescent="0.3">
      <c r="A248" s="3" t="s">
        <v>451</v>
      </c>
      <c r="B248" s="3" t="s">
        <v>47</v>
      </c>
      <c r="C248" s="3" t="str">
        <f t="shared" si="3"/>
        <v>450013887550</v>
      </c>
      <c r="D248" s="3" t="s">
        <v>785</v>
      </c>
    </row>
    <row r="249" spans="1:4" x14ac:dyDescent="0.3">
      <c r="A249" s="3" t="s">
        <v>451</v>
      </c>
      <c r="B249" s="3" t="s">
        <v>95</v>
      </c>
      <c r="C249" s="3" t="str">
        <f t="shared" si="3"/>
        <v>450013887560</v>
      </c>
      <c r="D249" s="3" t="s">
        <v>785</v>
      </c>
    </row>
    <row r="250" spans="1:4" x14ac:dyDescent="0.3">
      <c r="A250" s="3" t="s">
        <v>451</v>
      </c>
      <c r="B250" s="3" t="s">
        <v>141</v>
      </c>
      <c r="C250" s="3" t="str">
        <f t="shared" si="3"/>
        <v>450013887570</v>
      </c>
      <c r="D250" s="3" t="s">
        <v>785</v>
      </c>
    </row>
    <row r="251" spans="1:4" x14ac:dyDescent="0.3">
      <c r="A251" s="3" t="s">
        <v>451</v>
      </c>
      <c r="B251" s="3" t="s">
        <v>351</v>
      </c>
      <c r="C251" s="3" t="str">
        <f t="shared" si="3"/>
        <v>450013887580</v>
      </c>
      <c r="D251" s="3" t="s">
        <v>785</v>
      </c>
    </row>
    <row r="252" spans="1:4" x14ac:dyDescent="0.3">
      <c r="A252" s="3" t="s">
        <v>451</v>
      </c>
      <c r="B252" s="3" t="s">
        <v>158</v>
      </c>
      <c r="C252" s="3" t="str">
        <f t="shared" si="3"/>
        <v>450013887590</v>
      </c>
      <c r="D252" s="3" t="s">
        <v>785</v>
      </c>
    </row>
    <row r="253" spans="1:4" x14ac:dyDescent="0.3">
      <c r="A253" s="3" t="s">
        <v>451</v>
      </c>
      <c r="B253" s="3" t="s">
        <v>156</v>
      </c>
      <c r="C253" s="3" t="str">
        <f t="shared" si="3"/>
        <v>4500138875100</v>
      </c>
      <c r="D253" s="3" t="s">
        <v>785</v>
      </c>
    </row>
    <row r="254" spans="1:4" x14ac:dyDescent="0.3">
      <c r="A254" s="3" t="s">
        <v>451</v>
      </c>
      <c r="B254" s="3" t="s">
        <v>148</v>
      </c>
      <c r="C254" s="3" t="str">
        <f t="shared" si="3"/>
        <v>4500138875110</v>
      </c>
      <c r="D254" s="3" t="s">
        <v>785</v>
      </c>
    </row>
    <row r="255" spans="1:4" x14ac:dyDescent="0.3">
      <c r="A255" s="3" t="s">
        <v>451</v>
      </c>
      <c r="B255" s="3" t="s">
        <v>151</v>
      </c>
      <c r="C255" s="3" t="str">
        <f t="shared" si="3"/>
        <v>4500138875120</v>
      </c>
      <c r="D255" s="3" t="s">
        <v>785</v>
      </c>
    </row>
    <row r="256" spans="1:4" x14ac:dyDescent="0.3">
      <c r="A256" s="3" t="s">
        <v>451</v>
      </c>
      <c r="B256" s="3" t="s">
        <v>464</v>
      </c>
      <c r="C256" s="3" t="str">
        <f t="shared" si="3"/>
        <v>4500138875130</v>
      </c>
      <c r="D256" s="3" t="s">
        <v>785</v>
      </c>
    </row>
    <row r="257" spans="1:4" x14ac:dyDescent="0.3">
      <c r="A257" s="3" t="s">
        <v>451</v>
      </c>
      <c r="B257" s="3" t="s">
        <v>466</v>
      </c>
      <c r="C257" s="3" t="str">
        <f t="shared" si="3"/>
        <v>4500138875140</v>
      </c>
      <c r="D257" s="3" t="s">
        <v>785</v>
      </c>
    </row>
    <row r="258" spans="1:4" x14ac:dyDescent="0.3">
      <c r="A258" s="3" t="s">
        <v>451</v>
      </c>
      <c r="B258" s="3" t="s">
        <v>468</v>
      </c>
      <c r="C258" s="3" t="str">
        <f t="shared" si="3"/>
        <v>4500138875150</v>
      </c>
      <c r="D258" s="3" t="s">
        <v>785</v>
      </c>
    </row>
    <row r="259" spans="1:4" x14ac:dyDescent="0.3">
      <c r="A259" s="3" t="s">
        <v>663</v>
      </c>
      <c r="B259" s="3" t="s">
        <v>23</v>
      </c>
      <c r="C259" s="3" t="str">
        <f t="shared" ref="C259:C322" si="4">_xlfn.CONCAT(A259:B259)</f>
        <v>450013929810</v>
      </c>
      <c r="D259" s="3" t="s">
        <v>779</v>
      </c>
    </row>
    <row r="260" spans="1:4" x14ac:dyDescent="0.3">
      <c r="A260" s="3" t="s">
        <v>663</v>
      </c>
      <c r="B260" s="3" t="s">
        <v>62</v>
      </c>
      <c r="C260" s="3" t="str">
        <f t="shared" si="4"/>
        <v>450013929820</v>
      </c>
      <c r="D260" s="3" t="s">
        <v>779</v>
      </c>
    </row>
    <row r="261" spans="1:4" x14ac:dyDescent="0.3">
      <c r="A261" s="3" t="s">
        <v>663</v>
      </c>
      <c r="B261" s="3" t="s">
        <v>49</v>
      </c>
      <c r="C261" s="3" t="str">
        <f t="shared" si="4"/>
        <v>450013929830</v>
      </c>
      <c r="D261" s="3" t="s">
        <v>779</v>
      </c>
    </row>
    <row r="262" spans="1:4" x14ac:dyDescent="0.3">
      <c r="A262" s="3" t="s">
        <v>144</v>
      </c>
      <c r="B262" s="3" t="s">
        <v>141</v>
      </c>
      <c r="C262" s="3" t="str">
        <f t="shared" si="4"/>
        <v>450013869170</v>
      </c>
      <c r="D262" s="3" t="s">
        <v>784</v>
      </c>
    </row>
    <row r="263" spans="1:4" x14ac:dyDescent="0.3">
      <c r="A263" s="3" t="s">
        <v>144</v>
      </c>
      <c r="B263" s="3" t="s">
        <v>158</v>
      </c>
      <c r="C263" s="3" t="str">
        <f t="shared" si="4"/>
        <v>450013869190</v>
      </c>
      <c r="D263" s="3" t="s">
        <v>784</v>
      </c>
    </row>
    <row r="264" spans="1:4" x14ac:dyDescent="0.3">
      <c r="A264" s="3" t="s">
        <v>144</v>
      </c>
      <c r="B264" s="3" t="s">
        <v>156</v>
      </c>
      <c r="C264" s="3" t="str">
        <f t="shared" si="4"/>
        <v>4500138691100</v>
      </c>
      <c r="D264" s="3" t="s">
        <v>784</v>
      </c>
    </row>
    <row r="265" spans="1:4" x14ac:dyDescent="0.3">
      <c r="A265" s="3" t="s">
        <v>144</v>
      </c>
      <c r="B265" s="3" t="s">
        <v>148</v>
      </c>
      <c r="C265" s="3" t="str">
        <f t="shared" si="4"/>
        <v>4500138691110</v>
      </c>
      <c r="D265" s="3" t="s">
        <v>784</v>
      </c>
    </row>
    <row r="266" spans="1:4" x14ac:dyDescent="0.3">
      <c r="A266" s="3" t="s">
        <v>144</v>
      </c>
      <c r="B266" s="3" t="s">
        <v>151</v>
      </c>
      <c r="C266" s="3" t="str">
        <f t="shared" si="4"/>
        <v>4500138691120</v>
      </c>
      <c r="D266" s="3" t="s">
        <v>784</v>
      </c>
    </row>
    <row r="267" spans="1:4" x14ac:dyDescent="0.3">
      <c r="A267" s="3" t="s">
        <v>144</v>
      </c>
      <c r="B267" s="3" t="s">
        <v>23</v>
      </c>
      <c r="C267" s="3" t="str">
        <f t="shared" si="4"/>
        <v>450013869110</v>
      </c>
      <c r="D267" s="3" t="s">
        <v>784</v>
      </c>
    </row>
    <row r="268" spans="1:4" x14ac:dyDescent="0.3">
      <c r="A268" s="3" t="s">
        <v>144</v>
      </c>
      <c r="B268" s="3" t="s">
        <v>62</v>
      </c>
      <c r="C268" s="3" t="str">
        <f t="shared" si="4"/>
        <v>450013869120</v>
      </c>
      <c r="D268" s="3" t="s">
        <v>784</v>
      </c>
    </row>
    <row r="269" spans="1:4" x14ac:dyDescent="0.3">
      <c r="A269" s="3" t="s">
        <v>144</v>
      </c>
      <c r="B269" s="3" t="s">
        <v>49</v>
      </c>
      <c r="C269" s="3" t="str">
        <f t="shared" si="4"/>
        <v>450013869130</v>
      </c>
      <c r="D269" s="3" t="s">
        <v>784</v>
      </c>
    </row>
    <row r="270" spans="1:4" x14ac:dyDescent="0.3">
      <c r="A270" s="3" t="s">
        <v>144</v>
      </c>
      <c r="B270" s="3" t="s">
        <v>38</v>
      </c>
      <c r="C270" s="3" t="str">
        <f t="shared" si="4"/>
        <v>450013869140</v>
      </c>
      <c r="D270" s="3" t="s">
        <v>784</v>
      </c>
    </row>
    <row r="271" spans="1:4" x14ac:dyDescent="0.3">
      <c r="A271" s="3" t="s">
        <v>144</v>
      </c>
      <c r="B271" s="3" t="s">
        <v>47</v>
      </c>
      <c r="C271" s="3" t="str">
        <f t="shared" si="4"/>
        <v>450013869150</v>
      </c>
      <c r="D271" s="3" t="s">
        <v>784</v>
      </c>
    </row>
    <row r="272" spans="1:4" x14ac:dyDescent="0.3">
      <c r="A272" s="3" t="s">
        <v>144</v>
      </c>
      <c r="B272" s="3" t="s">
        <v>95</v>
      </c>
      <c r="C272" s="3" t="str">
        <f t="shared" si="4"/>
        <v>450013869160</v>
      </c>
      <c r="D272" s="3" t="s">
        <v>784</v>
      </c>
    </row>
    <row r="273" spans="1:4" x14ac:dyDescent="0.3">
      <c r="A273" s="3" t="s">
        <v>557</v>
      </c>
      <c r="B273" s="3" t="s">
        <v>23</v>
      </c>
      <c r="C273" s="3" t="str">
        <f t="shared" si="4"/>
        <v>450013928510</v>
      </c>
      <c r="D273" s="3" t="s">
        <v>785</v>
      </c>
    </row>
    <row r="274" spans="1:4" x14ac:dyDescent="0.3">
      <c r="A274" s="3" t="s">
        <v>519</v>
      </c>
      <c r="B274" s="3" t="s">
        <v>62</v>
      </c>
      <c r="C274" s="3" t="str">
        <f t="shared" si="4"/>
        <v>450013897620</v>
      </c>
      <c r="D274" s="3" t="s">
        <v>785</v>
      </c>
    </row>
    <row r="275" spans="1:4" x14ac:dyDescent="0.3">
      <c r="A275" s="3" t="s">
        <v>618</v>
      </c>
      <c r="B275" s="3" t="s">
        <v>23</v>
      </c>
      <c r="C275" s="3" t="str">
        <f t="shared" si="4"/>
        <v>450013980910</v>
      </c>
      <c r="D275" s="3" t="s">
        <v>779</v>
      </c>
    </row>
    <row r="276" spans="1:4" x14ac:dyDescent="0.3">
      <c r="A276" s="3" t="s">
        <v>641</v>
      </c>
      <c r="B276" s="3" t="s">
        <v>23</v>
      </c>
      <c r="C276" s="3" t="str">
        <f t="shared" si="4"/>
        <v>450013929310</v>
      </c>
      <c r="D276" s="3" t="s">
        <v>786</v>
      </c>
    </row>
    <row r="277" spans="1:4" x14ac:dyDescent="0.3">
      <c r="A277" s="3" t="s">
        <v>105</v>
      </c>
      <c r="B277" s="3" t="s">
        <v>23</v>
      </c>
      <c r="C277" s="3" t="str">
        <f t="shared" si="4"/>
        <v>450013959810</v>
      </c>
      <c r="D277" s="3" t="s">
        <v>779</v>
      </c>
    </row>
    <row r="278" spans="1:4" x14ac:dyDescent="0.3">
      <c r="A278" s="3" t="s">
        <v>123</v>
      </c>
      <c r="B278" s="3" t="s">
        <v>47</v>
      </c>
      <c r="C278" s="3" t="str">
        <f t="shared" si="4"/>
        <v>450013932550</v>
      </c>
      <c r="D278" s="3" t="s">
        <v>780</v>
      </c>
    </row>
    <row r="279" spans="1:4" x14ac:dyDescent="0.3">
      <c r="A279" s="3" t="s">
        <v>137</v>
      </c>
      <c r="B279" s="3" t="s">
        <v>23</v>
      </c>
      <c r="C279" s="3" t="str">
        <f t="shared" si="4"/>
        <v>450013901110</v>
      </c>
      <c r="D279" s="3" t="s">
        <v>785</v>
      </c>
    </row>
    <row r="280" spans="1:4" x14ac:dyDescent="0.3">
      <c r="A280" s="3" t="s">
        <v>546</v>
      </c>
      <c r="B280" s="3" t="s">
        <v>148</v>
      </c>
      <c r="C280" s="3" t="str">
        <f t="shared" si="4"/>
        <v>4500139302110</v>
      </c>
      <c r="D280" s="3" t="s">
        <v>785</v>
      </c>
    </row>
    <row r="281" spans="1:4" x14ac:dyDescent="0.3">
      <c r="A281" s="3" t="s">
        <v>546</v>
      </c>
      <c r="B281" s="3" t="s">
        <v>151</v>
      </c>
      <c r="C281" s="3" t="str">
        <f t="shared" si="4"/>
        <v>4500139302120</v>
      </c>
      <c r="D281" s="3" t="s">
        <v>785</v>
      </c>
    </row>
    <row r="282" spans="1:4" x14ac:dyDescent="0.3">
      <c r="A282" s="3" t="s">
        <v>592</v>
      </c>
      <c r="B282" s="3" t="s">
        <v>23</v>
      </c>
      <c r="C282" s="3" t="str">
        <f t="shared" si="4"/>
        <v>450013943710</v>
      </c>
      <c r="D282" s="3" t="s">
        <v>788</v>
      </c>
    </row>
    <row r="283" spans="1:4" x14ac:dyDescent="0.3">
      <c r="A283" s="3" t="s">
        <v>670</v>
      </c>
      <c r="B283" s="3" t="s">
        <v>23</v>
      </c>
      <c r="C283" s="3" t="str">
        <f t="shared" si="4"/>
        <v>450013984510</v>
      </c>
      <c r="D283" s="3" t="s">
        <v>785</v>
      </c>
    </row>
    <row r="284" spans="1:4" x14ac:dyDescent="0.3">
      <c r="A284" s="3" t="s">
        <v>542</v>
      </c>
      <c r="B284" s="3" t="s">
        <v>23</v>
      </c>
      <c r="C284" s="3" t="str">
        <f t="shared" si="4"/>
        <v>450013916410</v>
      </c>
      <c r="D284" s="3" t="s">
        <v>784</v>
      </c>
    </row>
    <row r="285" spans="1:4" x14ac:dyDescent="0.3">
      <c r="A285" s="3" t="s">
        <v>542</v>
      </c>
      <c r="B285" s="3" t="s">
        <v>62</v>
      </c>
      <c r="C285" s="3" t="str">
        <f t="shared" si="4"/>
        <v>450013916420</v>
      </c>
      <c r="D285" s="3" t="s">
        <v>784</v>
      </c>
    </row>
    <row r="286" spans="1:4" x14ac:dyDescent="0.3">
      <c r="A286" s="3" t="s">
        <v>510</v>
      </c>
      <c r="B286" s="3" t="s">
        <v>23</v>
      </c>
      <c r="C286" s="3" t="str">
        <f t="shared" si="4"/>
        <v>450013906210</v>
      </c>
      <c r="D286" s="3" t="s">
        <v>784</v>
      </c>
    </row>
    <row r="287" spans="1:4" x14ac:dyDescent="0.3">
      <c r="A287" s="3" t="s">
        <v>510</v>
      </c>
      <c r="B287" s="3" t="s">
        <v>49</v>
      </c>
      <c r="C287" s="3" t="str">
        <f t="shared" si="4"/>
        <v>450013906230</v>
      </c>
      <c r="D287" s="3" t="s">
        <v>784</v>
      </c>
    </row>
    <row r="288" spans="1:4" x14ac:dyDescent="0.3">
      <c r="A288" s="3" t="s">
        <v>510</v>
      </c>
      <c r="B288" s="3" t="s">
        <v>38</v>
      </c>
      <c r="C288" s="3" t="str">
        <f t="shared" si="4"/>
        <v>450013906240</v>
      </c>
      <c r="D288" s="3" t="s">
        <v>784</v>
      </c>
    </row>
    <row r="289" spans="1:4" x14ac:dyDescent="0.3">
      <c r="A289" s="3" t="s">
        <v>510</v>
      </c>
      <c r="B289" s="3" t="s">
        <v>62</v>
      </c>
      <c r="C289" s="3" t="str">
        <f t="shared" si="4"/>
        <v>450013906220</v>
      </c>
      <c r="D289" s="3" t="s">
        <v>784</v>
      </c>
    </row>
    <row r="290" spans="1:4" x14ac:dyDescent="0.3">
      <c r="A290" s="3" t="s">
        <v>528</v>
      </c>
      <c r="B290" s="3" t="s">
        <v>351</v>
      </c>
      <c r="C290" s="3" t="str">
        <f t="shared" si="4"/>
        <v>450013919880</v>
      </c>
      <c r="D290" s="3" t="s">
        <v>785</v>
      </c>
    </row>
    <row r="291" spans="1:4" x14ac:dyDescent="0.3">
      <c r="A291" s="3" t="s">
        <v>516</v>
      </c>
      <c r="B291" s="3" t="s">
        <v>23</v>
      </c>
      <c r="C291" s="3" t="str">
        <f t="shared" si="4"/>
        <v>450013915110</v>
      </c>
      <c r="D291" s="3" t="s">
        <v>785</v>
      </c>
    </row>
    <row r="292" spans="1:4" x14ac:dyDescent="0.3">
      <c r="A292" s="3" t="s">
        <v>586</v>
      </c>
      <c r="B292" s="3" t="s">
        <v>23</v>
      </c>
      <c r="C292" s="3" t="str">
        <f t="shared" si="4"/>
        <v>450013923110</v>
      </c>
      <c r="D292" s="3" t="s">
        <v>784</v>
      </c>
    </row>
    <row r="293" spans="1:4" x14ac:dyDescent="0.3">
      <c r="A293" s="3" t="s">
        <v>123</v>
      </c>
      <c r="B293" s="3" t="s">
        <v>62</v>
      </c>
      <c r="C293" s="3" t="str">
        <f t="shared" si="4"/>
        <v>450013932520</v>
      </c>
      <c r="D293" s="3" t="s">
        <v>780</v>
      </c>
    </row>
    <row r="294" spans="1:4" x14ac:dyDescent="0.3">
      <c r="A294" s="3" t="s">
        <v>586</v>
      </c>
      <c r="B294" s="3" t="s">
        <v>62</v>
      </c>
      <c r="C294" s="3" t="str">
        <f t="shared" si="4"/>
        <v>450013923120</v>
      </c>
      <c r="D294" s="3" t="s">
        <v>784</v>
      </c>
    </row>
    <row r="295" spans="1:4" x14ac:dyDescent="0.3">
      <c r="A295" s="3" t="s">
        <v>123</v>
      </c>
      <c r="B295" s="3" t="s">
        <v>49</v>
      </c>
      <c r="C295" s="3" t="str">
        <f t="shared" si="4"/>
        <v>450013932530</v>
      </c>
      <c r="D295" s="3" t="s">
        <v>780</v>
      </c>
    </row>
    <row r="296" spans="1:4" x14ac:dyDescent="0.3">
      <c r="A296" s="3" t="s">
        <v>123</v>
      </c>
      <c r="B296" s="3" t="s">
        <v>38</v>
      </c>
      <c r="C296" s="3" t="str">
        <f t="shared" si="4"/>
        <v>450013932540</v>
      </c>
      <c r="D296" s="3" t="s">
        <v>780</v>
      </c>
    </row>
    <row r="297" spans="1:4" x14ac:dyDescent="0.3">
      <c r="A297" s="3" t="s">
        <v>546</v>
      </c>
      <c r="B297" s="3" t="s">
        <v>156</v>
      </c>
      <c r="C297" s="3" t="str">
        <f t="shared" si="4"/>
        <v>4500139302100</v>
      </c>
      <c r="D297" s="3" t="s">
        <v>785</v>
      </c>
    </row>
    <row r="298" spans="1:4" x14ac:dyDescent="0.3">
      <c r="A298" s="3" t="s">
        <v>192</v>
      </c>
      <c r="B298" s="3" t="s">
        <v>23</v>
      </c>
      <c r="C298" s="3" t="str">
        <f t="shared" si="4"/>
        <v>450013933810</v>
      </c>
      <c r="D298" s="3" t="s">
        <v>780</v>
      </c>
    </row>
    <row r="299" spans="1:4" x14ac:dyDescent="0.3">
      <c r="A299" s="3" t="s">
        <v>123</v>
      </c>
      <c r="B299" s="3" t="s">
        <v>23</v>
      </c>
      <c r="C299" s="3" t="str">
        <f t="shared" si="4"/>
        <v>450013932510</v>
      </c>
      <c r="D299" s="3" t="s">
        <v>780</v>
      </c>
    </row>
    <row r="300" spans="1:4" x14ac:dyDescent="0.3">
      <c r="A300" s="3" t="s">
        <v>546</v>
      </c>
      <c r="B300" s="3" t="s">
        <v>62</v>
      </c>
      <c r="C300" s="3" t="str">
        <f t="shared" si="4"/>
        <v>450013930220</v>
      </c>
      <c r="D300" s="3" t="s">
        <v>785</v>
      </c>
    </row>
    <row r="301" spans="1:4" x14ac:dyDescent="0.3">
      <c r="A301" s="3" t="s">
        <v>595</v>
      </c>
      <c r="B301" s="3" t="s">
        <v>23</v>
      </c>
      <c r="C301" s="3" t="str">
        <f t="shared" si="4"/>
        <v>450013937910</v>
      </c>
      <c r="D301" s="3" t="s">
        <v>785</v>
      </c>
    </row>
    <row r="302" spans="1:4" x14ac:dyDescent="0.3">
      <c r="A302" s="3" t="s">
        <v>130</v>
      </c>
      <c r="B302" s="3" t="s">
        <v>23</v>
      </c>
      <c r="C302" s="3" t="str">
        <f t="shared" si="4"/>
        <v>450013967010</v>
      </c>
      <c r="D302" s="3" t="s">
        <v>780</v>
      </c>
    </row>
    <row r="303" spans="1:4" x14ac:dyDescent="0.3">
      <c r="A303" s="3" t="s">
        <v>130</v>
      </c>
      <c r="B303" s="3" t="s">
        <v>62</v>
      </c>
      <c r="C303" s="3" t="str">
        <f t="shared" si="4"/>
        <v>450013967020</v>
      </c>
      <c r="D303" s="3" t="s">
        <v>780</v>
      </c>
    </row>
    <row r="304" spans="1:4" x14ac:dyDescent="0.3">
      <c r="A304" s="3" t="s">
        <v>195</v>
      </c>
      <c r="B304" s="3" t="s">
        <v>23</v>
      </c>
      <c r="C304" s="3" t="str">
        <f t="shared" si="4"/>
        <v>450013973110</v>
      </c>
      <c r="D304" s="3" t="s">
        <v>780</v>
      </c>
    </row>
    <row r="305" spans="1:4" x14ac:dyDescent="0.3">
      <c r="A305" s="3" t="s">
        <v>581</v>
      </c>
      <c r="B305" s="3" t="s">
        <v>23</v>
      </c>
      <c r="C305" s="3" t="str">
        <f t="shared" si="4"/>
        <v>450013962010</v>
      </c>
      <c r="D305" s="3" t="s">
        <v>785</v>
      </c>
    </row>
    <row r="306" spans="1:4" x14ac:dyDescent="0.3">
      <c r="A306" s="3" t="s">
        <v>644</v>
      </c>
      <c r="B306" s="3" t="s">
        <v>23</v>
      </c>
      <c r="C306" s="3" t="str">
        <f t="shared" si="4"/>
        <v>450014001110</v>
      </c>
      <c r="D306" s="3" t="s">
        <v>785</v>
      </c>
    </row>
    <row r="307" spans="1:4" x14ac:dyDescent="0.3">
      <c r="A307" s="3" t="s">
        <v>644</v>
      </c>
      <c r="B307" s="3" t="s">
        <v>62</v>
      </c>
      <c r="C307" s="3" t="str">
        <f t="shared" si="4"/>
        <v>450014001120</v>
      </c>
      <c r="D307" s="3" t="s">
        <v>785</v>
      </c>
    </row>
    <row r="308" spans="1:4" x14ac:dyDescent="0.3">
      <c r="A308" s="3" t="s">
        <v>644</v>
      </c>
      <c r="B308" s="3" t="s">
        <v>49</v>
      </c>
      <c r="C308" s="3" t="str">
        <f t="shared" si="4"/>
        <v>450014001130</v>
      </c>
      <c r="D308" s="3" t="s">
        <v>785</v>
      </c>
    </row>
    <row r="309" spans="1:4" x14ac:dyDescent="0.3">
      <c r="A309" s="3" t="s">
        <v>644</v>
      </c>
      <c r="B309" s="3" t="s">
        <v>38</v>
      </c>
      <c r="C309" s="3" t="str">
        <f t="shared" si="4"/>
        <v>450014001140</v>
      </c>
      <c r="D309" s="3" t="s">
        <v>785</v>
      </c>
    </row>
    <row r="310" spans="1:4" x14ac:dyDescent="0.3">
      <c r="A310" s="3" t="s">
        <v>644</v>
      </c>
      <c r="B310" s="3" t="s">
        <v>47</v>
      </c>
      <c r="C310" s="3" t="str">
        <f t="shared" si="4"/>
        <v>450014001150</v>
      </c>
      <c r="D310" s="3" t="s">
        <v>785</v>
      </c>
    </row>
    <row r="311" spans="1:4" x14ac:dyDescent="0.3">
      <c r="A311" s="3" t="s">
        <v>644</v>
      </c>
      <c r="B311" s="3" t="s">
        <v>95</v>
      </c>
      <c r="C311" s="3" t="str">
        <f t="shared" si="4"/>
        <v>450014001160</v>
      </c>
      <c r="D311" s="3" t="s">
        <v>785</v>
      </c>
    </row>
    <row r="312" spans="1:4" x14ac:dyDescent="0.3">
      <c r="A312" s="3" t="s">
        <v>140</v>
      </c>
      <c r="B312" s="3" t="s">
        <v>141</v>
      </c>
      <c r="C312" s="3" t="str">
        <f t="shared" si="4"/>
        <v>450013988670</v>
      </c>
      <c r="D312" s="3" t="s">
        <v>785</v>
      </c>
    </row>
    <row r="313" spans="1:4" x14ac:dyDescent="0.3">
      <c r="A313" s="3" t="s">
        <v>606</v>
      </c>
      <c r="B313" s="3" t="s">
        <v>351</v>
      </c>
      <c r="C313" s="3" t="str">
        <f t="shared" si="4"/>
        <v>450013987880</v>
      </c>
      <c r="D313" s="3" t="s">
        <v>785</v>
      </c>
    </row>
    <row r="314" spans="1:4" x14ac:dyDescent="0.3">
      <c r="A314" s="3" t="s">
        <v>606</v>
      </c>
      <c r="B314" s="3" t="s">
        <v>158</v>
      </c>
      <c r="C314" s="3" t="str">
        <f t="shared" si="4"/>
        <v>450013987890</v>
      </c>
      <c r="D314" s="3" t="s">
        <v>785</v>
      </c>
    </row>
    <row r="315" spans="1:4" x14ac:dyDescent="0.3">
      <c r="A315" s="3" t="s">
        <v>633</v>
      </c>
      <c r="B315" s="3" t="s">
        <v>156</v>
      </c>
      <c r="C315" s="3" t="str">
        <f t="shared" si="4"/>
        <v>4500140013100</v>
      </c>
      <c r="D315" s="3" t="s">
        <v>785</v>
      </c>
    </row>
    <row r="316" spans="1:4" x14ac:dyDescent="0.3">
      <c r="A316" s="3" t="s">
        <v>633</v>
      </c>
      <c r="B316" s="3" t="s">
        <v>148</v>
      </c>
      <c r="C316" s="3" t="str">
        <f t="shared" si="4"/>
        <v>4500140013110</v>
      </c>
      <c r="D316" s="3" t="s">
        <v>785</v>
      </c>
    </row>
    <row r="317" spans="1:4" x14ac:dyDescent="0.3">
      <c r="A317" s="3" t="s">
        <v>644</v>
      </c>
      <c r="B317" s="3" t="s">
        <v>466</v>
      </c>
      <c r="C317" s="3" t="str">
        <f t="shared" si="4"/>
        <v>4500140011140</v>
      </c>
      <c r="D317" s="3" t="s">
        <v>785</v>
      </c>
    </row>
    <row r="318" spans="1:4" x14ac:dyDescent="0.3">
      <c r="A318" s="3" t="s">
        <v>630</v>
      </c>
      <c r="B318" s="3" t="s">
        <v>23</v>
      </c>
      <c r="C318" s="3" t="str">
        <f t="shared" si="4"/>
        <v>450013981610</v>
      </c>
      <c r="D318" s="3" t="s">
        <v>780</v>
      </c>
    </row>
    <row r="319" spans="1:4" x14ac:dyDescent="0.3">
      <c r="A319" s="3" t="s">
        <v>637</v>
      </c>
      <c r="B319" s="3" t="s">
        <v>23</v>
      </c>
      <c r="C319" s="3" t="str">
        <f t="shared" si="4"/>
        <v>450014013010</v>
      </c>
      <c r="D319" s="3" t="s">
        <v>785</v>
      </c>
    </row>
    <row r="320" spans="1:4" x14ac:dyDescent="0.3">
      <c r="A320" s="3" t="s">
        <v>637</v>
      </c>
      <c r="B320" s="3" t="s">
        <v>62</v>
      </c>
      <c r="C320" s="3" t="str">
        <f t="shared" si="4"/>
        <v>450014013020</v>
      </c>
      <c r="D320" s="3" t="s">
        <v>785</v>
      </c>
    </row>
    <row r="321" spans="1:4" x14ac:dyDescent="0.3">
      <c r="A321" s="3" t="s">
        <v>267</v>
      </c>
      <c r="B321" s="3" t="s">
        <v>23</v>
      </c>
      <c r="C321" s="3" t="str">
        <f t="shared" si="4"/>
        <v>450013180710</v>
      </c>
      <c r="D321" s="3" t="s">
        <v>785</v>
      </c>
    </row>
    <row r="322" spans="1:4" x14ac:dyDescent="0.3">
      <c r="A322" s="3" t="s">
        <v>536</v>
      </c>
      <c r="B322" s="3" t="s">
        <v>23</v>
      </c>
      <c r="C322" s="3" t="str">
        <f t="shared" si="4"/>
        <v>450013928110</v>
      </c>
      <c r="D322" s="3" t="s">
        <v>785</v>
      </c>
    </row>
    <row r="323" spans="1:4" x14ac:dyDescent="0.3">
      <c r="A323" s="3" t="s">
        <v>539</v>
      </c>
      <c r="B323" s="3" t="s">
        <v>23</v>
      </c>
      <c r="C323" s="3" t="str">
        <f t="shared" ref="C323:C334" si="5">_xlfn.CONCAT(A323:B323)</f>
        <v>450013928210</v>
      </c>
      <c r="D323" s="3" t="s">
        <v>785</v>
      </c>
    </row>
    <row r="324" spans="1:4" x14ac:dyDescent="0.3">
      <c r="A324" s="3" t="s">
        <v>525</v>
      </c>
      <c r="B324" s="3" t="s">
        <v>23</v>
      </c>
      <c r="C324" s="3" t="str">
        <f t="shared" si="5"/>
        <v>450013921510</v>
      </c>
      <c r="D324" s="3" t="s">
        <v>785</v>
      </c>
    </row>
    <row r="325" spans="1:4" x14ac:dyDescent="0.3">
      <c r="A325" s="3" t="s">
        <v>531</v>
      </c>
      <c r="B325" s="3" t="s">
        <v>23</v>
      </c>
      <c r="C325" s="3" t="str">
        <f t="shared" si="5"/>
        <v>450013926110</v>
      </c>
      <c r="D325" s="3" t="s">
        <v>785</v>
      </c>
    </row>
    <row r="326" spans="1:4" x14ac:dyDescent="0.3">
      <c r="A326" s="3" t="s">
        <v>598</v>
      </c>
      <c r="B326" s="3" t="s">
        <v>23</v>
      </c>
      <c r="C326" s="3" t="str">
        <f t="shared" si="5"/>
        <v>450013985310</v>
      </c>
      <c r="D326" s="3" t="s">
        <v>785</v>
      </c>
    </row>
    <row r="327" spans="1:4" x14ac:dyDescent="0.3">
      <c r="A327" s="3" t="s">
        <v>289</v>
      </c>
      <c r="B327" s="3" t="s">
        <v>23</v>
      </c>
      <c r="C327" s="3" t="str">
        <f t="shared" si="5"/>
        <v>450013402210</v>
      </c>
      <c r="D327" s="3" t="s">
        <v>790</v>
      </c>
    </row>
    <row r="328" spans="1:4" x14ac:dyDescent="0.3">
      <c r="A328" s="3" t="s">
        <v>289</v>
      </c>
      <c r="B328" s="3" t="s">
        <v>23</v>
      </c>
      <c r="C328" s="3" t="str">
        <f t="shared" si="5"/>
        <v>450013402210</v>
      </c>
      <c r="D328" s="3" t="s">
        <v>790</v>
      </c>
    </row>
    <row r="329" spans="1:4" x14ac:dyDescent="0.3">
      <c r="A329" s="3" t="s">
        <v>289</v>
      </c>
      <c r="B329" s="3" t="s">
        <v>62</v>
      </c>
      <c r="C329" s="3" t="str">
        <f t="shared" si="5"/>
        <v>450013402220</v>
      </c>
      <c r="D329" s="3" t="s">
        <v>790</v>
      </c>
    </row>
    <row r="330" spans="1:4" x14ac:dyDescent="0.3">
      <c r="A330" s="3" t="s">
        <v>289</v>
      </c>
      <c r="B330" s="3" t="s">
        <v>62</v>
      </c>
      <c r="C330" s="3" t="str">
        <f t="shared" si="5"/>
        <v>450013402220</v>
      </c>
      <c r="D330" s="3" t="s">
        <v>790</v>
      </c>
    </row>
    <row r="331" spans="1:4" x14ac:dyDescent="0.3">
      <c r="A331" s="3" t="s">
        <v>289</v>
      </c>
      <c r="B331" s="3" t="s">
        <v>49</v>
      </c>
      <c r="C331" s="3" t="str">
        <f t="shared" si="5"/>
        <v>450013402230</v>
      </c>
      <c r="D331" s="3" t="s">
        <v>790</v>
      </c>
    </row>
    <row r="332" spans="1:4" x14ac:dyDescent="0.3">
      <c r="A332" s="3" t="s">
        <v>289</v>
      </c>
      <c r="B332" s="3" t="s">
        <v>49</v>
      </c>
      <c r="C332" s="3" t="str">
        <f t="shared" si="5"/>
        <v>450013402230</v>
      </c>
      <c r="D332" s="3" t="s">
        <v>790</v>
      </c>
    </row>
    <row r="333" spans="1:4" x14ac:dyDescent="0.3">
      <c r="A333" s="3" t="s">
        <v>289</v>
      </c>
      <c r="B333" s="3" t="s">
        <v>38</v>
      </c>
      <c r="C333" s="3" t="str">
        <f t="shared" si="5"/>
        <v>450013402240</v>
      </c>
      <c r="D333" s="3" t="s">
        <v>790</v>
      </c>
    </row>
    <row r="334" spans="1:4" x14ac:dyDescent="0.3">
      <c r="A334" s="3" t="s">
        <v>289</v>
      </c>
      <c r="B334" s="3" t="s">
        <v>38</v>
      </c>
      <c r="C334" s="3" t="str">
        <f t="shared" si="5"/>
        <v>450013402240</v>
      </c>
      <c r="D334" s="3" t="s">
        <v>790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C997F-087A-4FFB-B840-B712D44303F5}">
  <dimension ref="A1:F332"/>
  <sheetViews>
    <sheetView workbookViewId="0">
      <selection activeCell="E7" sqref="E7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0" customWidth="1"/>
    <col min="4" max="5" width="17" bestFit="1" customWidth="1"/>
    <col min="6" max="6" width="54.77734375" customWidth="1"/>
  </cols>
  <sheetData>
    <row r="1" spans="1:6" x14ac:dyDescent="0.3">
      <c r="A1" s="1" t="s">
        <v>13</v>
      </c>
      <c r="B1" s="1" t="s">
        <v>14</v>
      </c>
      <c r="C1" s="1"/>
      <c r="D1" s="1" t="s">
        <v>672</v>
      </c>
      <c r="E1" s="1" t="s">
        <v>673</v>
      </c>
      <c r="F1" s="1" t="s">
        <v>674</v>
      </c>
    </row>
    <row r="2" spans="1:6" x14ac:dyDescent="0.3">
      <c r="A2" s="3" t="s">
        <v>233</v>
      </c>
      <c r="B2" s="3" t="s">
        <v>49</v>
      </c>
      <c r="C2" s="3" t="str">
        <f>_xlfn.CONCAT(A2:B2)</f>
        <v>450011416830</v>
      </c>
      <c r="D2" s="4">
        <v>46387</v>
      </c>
      <c r="E2" s="3" t="s">
        <v>675</v>
      </c>
      <c r="F2" s="3" t="s">
        <v>676</v>
      </c>
    </row>
    <row r="3" spans="1:6" x14ac:dyDescent="0.3">
      <c r="A3" s="3" t="s">
        <v>624</v>
      </c>
      <c r="B3" s="3" t="s">
        <v>23</v>
      </c>
      <c r="C3" s="3" t="str">
        <f t="shared" ref="C3:C66" si="0">_xlfn.CONCAT(A3:B3)</f>
        <v>450012018410</v>
      </c>
      <c r="D3" s="4">
        <v>46321</v>
      </c>
      <c r="E3" s="3" t="s">
        <v>675</v>
      </c>
      <c r="F3" s="3" t="s">
        <v>677</v>
      </c>
    </row>
    <row r="4" spans="1:6" x14ac:dyDescent="0.3">
      <c r="A4" s="3" t="s">
        <v>233</v>
      </c>
      <c r="B4" s="3" t="s">
        <v>38</v>
      </c>
      <c r="C4" s="3" t="str">
        <f t="shared" si="0"/>
        <v>450011416840</v>
      </c>
      <c r="D4" s="4">
        <v>46387</v>
      </c>
      <c r="E4" s="3" t="s">
        <v>675</v>
      </c>
      <c r="F4" s="3" t="s">
        <v>676</v>
      </c>
    </row>
    <row r="5" spans="1:6" x14ac:dyDescent="0.3">
      <c r="A5" s="3" t="s">
        <v>663</v>
      </c>
      <c r="B5" s="3" t="s">
        <v>23</v>
      </c>
      <c r="C5" s="3" t="str">
        <f t="shared" si="0"/>
        <v>450013929810</v>
      </c>
      <c r="D5" s="4">
        <v>46325</v>
      </c>
      <c r="E5" s="3" t="s">
        <v>678</v>
      </c>
      <c r="F5" s="3" t="s">
        <v>679</v>
      </c>
    </row>
    <row r="6" spans="1:6" x14ac:dyDescent="0.3">
      <c r="A6" s="3" t="s">
        <v>212</v>
      </c>
      <c r="B6" s="3" t="s">
        <v>23</v>
      </c>
      <c r="C6" s="3" t="str">
        <f t="shared" si="0"/>
        <v>450010970910</v>
      </c>
      <c r="D6" s="4">
        <v>46308</v>
      </c>
      <c r="E6" s="3" t="s">
        <v>678</v>
      </c>
      <c r="F6" s="3" t="s">
        <v>680</v>
      </c>
    </row>
    <row r="7" spans="1:6" x14ac:dyDescent="0.3">
      <c r="A7" s="3" t="s">
        <v>320</v>
      </c>
      <c r="B7" s="3" t="s">
        <v>23</v>
      </c>
      <c r="C7" s="3" t="str">
        <f t="shared" si="0"/>
        <v>450013425610</v>
      </c>
      <c r="D7" s="4">
        <v>46322</v>
      </c>
      <c r="E7" s="3" t="s">
        <v>681</v>
      </c>
      <c r="F7" s="3" t="s">
        <v>682</v>
      </c>
    </row>
    <row r="8" spans="1:6" x14ac:dyDescent="0.3">
      <c r="A8" s="3" t="s">
        <v>241</v>
      </c>
      <c r="B8" s="3" t="s">
        <v>23</v>
      </c>
      <c r="C8" s="3" t="str">
        <f t="shared" si="0"/>
        <v>450011392010</v>
      </c>
      <c r="D8" s="4">
        <v>46325</v>
      </c>
      <c r="E8" s="3" t="s">
        <v>678</v>
      </c>
      <c r="F8" s="3" t="s">
        <v>683</v>
      </c>
    </row>
    <row r="9" spans="1:6" x14ac:dyDescent="0.3">
      <c r="A9" s="3" t="s">
        <v>657</v>
      </c>
      <c r="B9" s="3" t="s">
        <v>23</v>
      </c>
      <c r="C9" s="3" t="str">
        <f t="shared" si="0"/>
        <v>450013482410</v>
      </c>
      <c r="D9" s="4">
        <v>46325</v>
      </c>
      <c r="E9" s="3" t="s">
        <v>678</v>
      </c>
      <c r="F9" s="3" t="s">
        <v>684</v>
      </c>
    </row>
    <row r="10" spans="1:6" x14ac:dyDescent="0.3">
      <c r="A10" s="3" t="s">
        <v>29</v>
      </c>
      <c r="B10" s="3" t="s">
        <v>685</v>
      </c>
      <c r="C10" s="3" t="str">
        <f t="shared" si="0"/>
        <v>4500114743390</v>
      </c>
      <c r="D10" s="4">
        <v>46301</v>
      </c>
      <c r="E10" s="3" t="s">
        <v>686</v>
      </c>
      <c r="F10" s="3" t="s">
        <v>687</v>
      </c>
    </row>
    <row r="11" spans="1:6" x14ac:dyDescent="0.3">
      <c r="A11" s="3" t="s">
        <v>307</v>
      </c>
      <c r="B11" s="3" t="s">
        <v>62</v>
      </c>
      <c r="C11" s="3" t="str">
        <f t="shared" si="0"/>
        <v>450012853320</v>
      </c>
      <c r="D11" s="4">
        <v>46326</v>
      </c>
      <c r="E11" s="3" t="s">
        <v>678</v>
      </c>
      <c r="F11" s="3" t="s">
        <v>684</v>
      </c>
    </row>
    <row r="12" spans="1:6" x14ac:dyDescent="0.3">
      <c r="A12" s="3" t="s">
        <v>663</v>
      </c>
      <c r="B12" s="3" t="s">
        <v>62</v>
      </c>
      <c r="C12" s="3" t="str">
        <f t="shared" si="0"/>
        <v>450013929820</v>
      </c>
      <c r="D12" s="4">
        <v>46325</v>
      </c>
      <c r="E12" s="3" t="s">
        <v>678</v>
      </c>
      <c r="F12" s="3" t="s">
        <v>679</v>
      </c>
    </row>
    <row r="13" spans="1:6" x14ac:dyDescent="0.3">
      <c r="A13" s="3" t="s">
        <v>653</v>
      </c>
      <c r="B13" s="3" t="s">
        <v>38</v>
      </c>
      <c r="C13" s="3" t="str">
        <f t="shared" si="0"/>
        <v>450013742240</v>
      </c>
      <c r="D13" s="4">
        <v>46328</v>
      </c>
      <c r="E13" s="3" t="s">
        <v>688</v>
      </c>
      <c r="F13" s="3" t="s">
        <v>689</v>
      </c>
    </row>
    <row r="14" spans="1:6" x14ac:dyDescent="0.3">
      <c r="A14" s="3" t="s">
        <v>653</v>
      </c>
      <c r="B14" s="3" t="s">
        <v>49</v>
      </c>
      <c r="C14" s="3" t="str">
        <f t="shared" si="0"/>
        <v>450013742230</v>
      </c>
      <c r="D14" s="4">
        <v>46328</v>
      </c>
      <c r="E14" s="3" t="s">
        <v>688</v>
      </c>
      <c r="F14" s="3" t="s">
        <v>689</v>
      </c>
    </row>
    <row r="15" spans="1:6" x14ac:dyDescent="0.3">
      <c r="A15" s="3" t="s">
        <v>307</v>
      </c>
      <c r="B15" s="3" t="s">
        <v>23</v>
      </c>
      <c r="C15" s="3" t="str">
        <f t="shared" si="0"/>
        <v>450012853310</v>
      </c>
      <c r="D15" s="4">
        <v>46326</v>
      </c>
      <c r="E15" s="3" t="s">
        <v>678</v>
      </c>
      <c r="F15" s="3" t="s">
        <v>684</v>
      </c>
    </row>
    <row r="16" spans="1:6" x14ac:dyDescent="0.3">
      <c r="A16" s="3" t="s">
        <v>653</v>
      </c>
      <c r="B16" s="3" t="s">
        <v>62</v>
      </c>
      <c r="C16" s="3" t="str">
        <f t="shared" si="0"/>
        <v>450013742220</v>
      </c>
      <c r="D16" s="4">
        <v>46328</v>
      </c>
      <c r="E16" s="3" t="s">
        <v>688</v>
      </c>
      <c r="F16" s="3" t="s">
        <v>689</v>
      </c>
    </row>
    <row r="17" spans="1:6" x14ac:dyDescent="0.3">
      <c r="A17" s="3" t="s">
        <v>663</v>
      </c>
      <c r="B17" s="3" t="s">
        <v>49</v>
      </c>
      <c r="C17" s="3" t="str">
        <f t="shared" si="0"/>
        <v>450013929830</v>
      </c>
      <c r="D17" s="4">
        <v>46325</v>
      </c>
      <c r="E17" s="3" t="s">
        <v>678</v>
      </c>
      <c r="F17" s="3" t="s">
        <v>679</v>
      </c>
    </row>
    <row r="18" spans="1:6" x14ac:dyDescent="0.3">
      <c r="A18" s="3" t="s">
        <v>618</v>
      </c>
      <c r="B18" s="3" t="s">
        <v>23</v>
      </c>
      <c r="C18" s="3" t="str">
        <f t="shared" si="0"/>
        <v>450013980910</v>
      </c>
      <c r="D18" s="4">
        <v>46354</v>
      </c>
      <c r="E18" s="3" t="s">
        <v>688</v>
      </c>
      <c r="F18" s="3" t="s">
        <v>690</v>
      </c>
    </row>
    <row r="19" spans="1:6" x14ac:dyDescent="0.3">
      <c r="A19" s="3" t="s">
        <v>29</v>
      </c>
      <c r="B19" s="3" t="s">
        <v>691</v>
      </c>
      <c r="C19" s="3" t="str">
        <f t="shared" si="0"/>
        <v>4500114743370</v>
      </c>
      <c r="D19" s="4">
        <v>46301</v>
      </c>
      <c r="E19" s="3" t="s">
        <v>686</v>
      </c>
      <c r="F19" s="3" t="s">
        <v>687</v>
      </c>
    </row>
    <row r="20" spans="1:6" x14ac:dyDescent="0.3">
      <c r="A20" s="3" t="s">
        <v>576</v>
      </c>
      <c r="B20" s="3" t="s">
        <v>23</v>
      </c>
      <c r="C20" s="3" t="str">
        <f t="shared" si="0"/>
        <v>450013901910</v>
      </c>
      <c r="D20" s="4">
        <v>46319</v>
      </c>
      <c r="E20" s="3" t="s">
        <v>675</v>
      </c>
      <c r="F20" s="3" t="s">
        <v>692</v>
      </c>
    </row>
    <row r="21" spans="1:6" x14ac:dyDescent="0.3">
      <c r="A21" s="3" t="s">
        <v>29</v>
      </c>
      <c r="B21" s="3" t="s">
        <v>32</v>
      </c>
      <c r="C21" s="3" t="str">
        <f t="shared" si="0"/>
        <v>4500114743330</v>
      </c>
      <c r="D21" s="4">
        <v>46301</v>
      </c>
      <c r="E21" s="3" t="s">
        <v>686</v>
      </c>
      <c r="F21" s="3" t="s">
        <v>687</v>
      </c>
    </row>
    <row r="22" spans="1:6" x14ac:dyDescent="0.3">
      <c r="A22" s="3" t="s">
        <v>653</v>
      </c>
      <c r="B22" s="3" t="s">
        <v>23</v>
      </c>
      <c r="C22" s="3" t="str">
        <f t="shared" si="0"/>
        <v>450013742210</v>
      </c>
      <c r="D22" s="4">
        <v>46328</v>
      </c>
      <c r="E22" s="3" t="s">
        <v>688</v>
      </c>
      <c r="F22" s="3" t="s">
        <v>689</v>
      </c>
    </row>
    <row r="23" spans="1:6" x14ac:dyDescent="0.3">
      <c r="A23" s="3" t="s">
        <v>627</v>
      </c>
      <c r="B23" s="3" t="s">
        <v>23</v>
      </c>
      <c r="C23" s="3" t="str">
        <f t="shared" si="0"/>
        <v>450013952410</v>
      </c>
      <c r="D23" s="4">
        <v>46325</v>
      </c>
      <c r="E23" s="3" t="s">
        <v>675</v>
      </c>
      <c r="F23" s="3" t="s">
        <v>693</v>
      </c>
    </row>
    <row r="24" spans="1:6" x14ac:dyDescent="0.3">
      <c r="A24" s="3" t="s">
        <v>29</v>
      </c>
      <c r="B24" s="3" t="s">
        <v>694</v>
      </c>
      <c r="C24" s="3" t="str">
        <f t="shared" si="0"/>
        <v>4500114743380</v>
      </c>
      <c r="D24" s="4">
        <v>46301</v>
      </c>
      <c r="E24" s="3" t="s">
        <v>686</v>
      </c>
      <c r="F24" s="3" t="s">
        <v>687</v>
      </c>
    </row>
    <row r="25" spans="1:6" x14ac:dyDescent="0.3">
      <c r="A25" s="3" t="s">
        <v>22</v>
      </c>
      <c r="B25" s="3" t="s">
        <v>23</v>
      </c>
      <c r="C25" s="3" t="str">
        <f t="shared" si="0"/>
        <v>450012636310</v>
      </c>
      <c r="D25" s="4">
        <v>46301</v>
      </c>
      <c r="E25" s="3" t="s">
        <v>695</v>
      </c>
      <c r="F25" s="3" t="s">
        <v>687</v>
      </c>
    </row>
    <row r="26" spans="1:6" x14ac:dyDescent="0.3">
      <c r="A26" s="3" t="s">
        <v>61</v>
      </c>
      <c r="B26" s="3" t="s">
        <v>62</v>
      </c>
      <c r="C26" s="3" t="str">
        <f t="shared" si="0"/>
        <v>450012729520</v>
      </c>
      <c r="D26" s="4">
        <v>46301</v>
      </c>
      <c r="E26" s="3" t="s">
        <v>686</v>
      </c>
      <c r="F26" s="3" t="s">
        <v>687</v>
      </c>
    </row>
    <row r="27" spans="1:6" x14ac:dyDescent="0.3">
      <c r="A27" s="3" t="s">
        <v>79</v>
      </c>
      <c r="B27" s="3" t="s">
        <v>62</v>
      </c>
      <c r="C27" s="3" t="str">
        <f t="shared" si="0"/>
        <v>450013722720</v>
      </c>
      <c r="D27" s="4">
        <v>46325</v>
      </c>
      <c r="E27" s="3" t="s">
        <v>678</v>
      </c>
      <c r="F27" s="3" t="s">
        <v>679</v>
      </c>
    </row>
    <row r="28" spans="1:6" x14ac:dyDescent="0.3">
      <c r="A28" s="3" t="s">
        <v>621</v>
      </c>
      <c r="B28" s="3" t="s">
        <v>23</v>
      </c>
      <c r="C28" s="3" t="str">
        <f t="shared" si="0"/>
        <v>450013924510</v>
      </c>
      <c r="D28" s="4">
        <v>46356</v>
      </c>
      <c r="E28" s="3" t="s">
        <v>678</v>
      </c>
      <c r="F28" s="3" t="s">
        <v>696</v>
      </c>
    </row>
    <row r="29" spans="1:6" x14ac:dyDescent="0.3">
      <c r="A29" s="3" t="s">
        <v>637</v>
      </c>
      <c r="B29" s="3" t="s">
        <v>23</v>
      </c>
      <c r="C29" s="3" t="str">
        <f t="shared" si="0"/>
        <v>450014013010</v>
      </c>
      <c r="D29" s="4">
        <v>46311</v>
      </c>
      <c r="E29" s="3" t="s">
        <v>681</v>
      </c>
      <c r="F29" s="3" t="s">
        <v>697</v>
      </c>
    </row>
    <row r="30" spans="1:6" x14ac:dyDescent="0.3">
      <c r="A30" s="3" t="s">
        <v>637</v>
      </c>
      <c r="B30" s="3" t="s">
        <v>62</v>
      </c>
      <c r="C30" s="3" t="str">
        <f t="shared" si="0"/>
        <v>450014013020</v>
      </c>
      <c r="D30" s="4">
        <v>46311</v>
      </c>
      <c r="E30" s="3" t="s">
        <v>681</v>
      </c>
      <c r="F30" s="3" t="s">
        <v>697</v>
      </c>
    </row>
    <row r="31" spans="1:6" x14ac:dyDescent="0.3">
      <c r="A31" s="3" t="s">
        <v>84</v>
      </c>
      <c r="B31" s="3" t="s">
        <v>62</v>
      </c>
      <c r="C31" s="3" t="str">
        <f t="shared" si="0"/>
        <v>450013710720</v>
      </c>
      <c r="D31" s="4">
        <v>46307</v>
      </c>
      <c r="E31" s="3" t="s">
        <v>681</v>
      </c>
      <c r="F31" s="3" t="s">
        <v>698</v>
      </c>
    </row>
    <row r="32" spans="1:6" x14ac:dyDescent="0.3">
      <c r="A32" s="3" t="s">
        <v>644</v>
      </c>
      <c r="B32" s="3" t="s">
        <v>62</v>
      </c>
      <c r="C32" s="3" t="str">
        <f t="shared" si="0"/>
        <v>450014001120</v>
      </c>
      <c r="D32" s="4">
        <v>46300</v>
      </c>
      <c r="E32" s="3" t="s">
        <v>681</v>
      </c>
      <c r="F32" s="3" t="s">
        <v>699</v>
      </c>
    </row>
    <row r="33" spans="1:6" x14ac:dyDescent="0.3">
      <c r="A33" s="3" t="s">
        <v>58</v>
      </c>
      <c r="B33" s="3" t="s">
        <v>23</v>
      </c>
      <c r="C33" s="3" t="str">
        <f t="shared" si="0"/>
        <v>450010951410</v>
      </c>
      <c r="D33" s="4">
        <v>46162</v>
      </c>
      <c r="E33" s="3" t="s">
        <v>681</v>
      </c>
      <c r="F33" s="3" t="s">
        <v>682</v>
      </c>
    </row>
    <row r="34" spans="1:6" x14ac:dyDescent="0.3">
      <c r="A34" s="3" t="s">
        <v>207</v>
      </c>
      <c r="B34" s="3" t="s">
        <v>23</v>
      </c>
      <c r="C34" s="3" t="str">
        <f t="shared" si="0"/>
        <v>450010984110</v>
      </c>
      <c r="D34" s="4">
        <v>45940</v>
      </c>
      <c r="E34" s="3" t="s">
        <v>700</v>
      </c>
      <c r="F34" s="3" t="s">
        <v>701</v>
      </c>
    </row>
    <row r="35" spans="1:6" x14ac:dyDescent="0.3">
      <c r="A35" s="3" t="s">
        <v>207</v>
      </c>
      <c r="B35" s="3" t="s">
        <v>62</v>
      </c>
      <c r="C35" s="3" t="str">
        <f t="shared" si="0"/>
        <v>450010984120</v>
      </c>
      <c r="D35" s="4">
        <v>45940</v>
      </c>
      <c r="E35" s="3" t="s">
        <v>700</v>
      </c>
      <c r="F35" s="3" t="s">
        <v>701</v>
      </c>
    </row>
    <row r="36" spans="1:6" x14ac:dyDescent="0.3">
      <c r="A36" s="3" t="s">
        <v>207</v>
      </c>
      <c r="B36" s="3" t="s">
        <v>49</v>
      </c>
      <c r="C36" s="3" t="str">
        <f t="shared" si="0"/>
        <v>450010984130</v>
      </c>
      <c r="D36" s="4">
        <v>45940</v>
      </c>
      <c r="E36" s="3" t="s">
        <v>700</v>
      </c>
      <c r="F36" s="3" t="s">
        <v>701</v>
      </c>
    </row>
    <row r="37" spans="1:6" x14ac:dyDescent="0.3">
      <c r="A37" s="3" t="s">
        <v>226</v>
      </c>
      <c r="B37" s="3" t="s">
        <v>62</v>
      </c>
      <c r="C37" s="3" t="str">
        <f t="shared" si="0"/>
        <v>450011022620</v>
      </c>
      <c r="D37" s="4">
        <v>46097</v>
      </c>
      <c r="E37" s="3" t="s">
        <v>702</v>
      </c>
      <c r="F37" s="3" t="s">
        <v>703</v>
      </c>
    </row>
    <row r="38" spans="1:6" x14ac:dyDescent="0.3">
      <c r="A38" s="3" t="s">
        <v>199</v>
      </c>
      <c r="B38" s="3" t="s">
        <v>23</v>
      </c>
      <c r="C38" s="3" t="str">
        <f t="shared" si="0"/>
        <v>450011207910</v>
      </c>
      <c r="D38" s="4">
        <v>45968</v>
      </c>
      <c r="E38" s="3" t="s">
        <v>704</v>
      </c>
      <c r="F38" s="3" t="s">
        <v>705</v>
      </c>
    </row>
    <row r="39" spans="1:6" x14ac:dyDescent="0.3">
      <c r="A39" s="3" t="s">
        <v>199</v>
      </c>
      <c r="B39" s="3" t="s">
        <v>62</v>
      </c>
      <c r="C39" s="3" t="str">
        <f t="shared" si="0"/>
        <v>450011207920</v>
      </c>
      <c r="D39" s="4">
        <v>45968</v>
      </c>
      <c r="E39" s="3" t="s">
        <v>704</v>
      </c>
      <c r="F39" s="3" t="s">
        <v>705</v>
      </c>
    </row>
    <row r="40" spans="1:6" x14ac:dyDescent="0.3">
      <c r="A40" s="3" t="s">
        <v>199</v>
      </c>
      <c r="B40" s="3" t="s">
        <v>49</v>
      </c>
      <c r="C40" s="3" t="str">
        <f t="shared" si="0"/>
        <v>450011207930</v>
      </c>
      <c r="D40" s="4">
        <v>45968</v>
      </c>
      <c r="E40" s="3" t="s">
        <v>704</v>
      </c>
      <c r="F40" s="3" t="s">
        <v>705</v>
      </c>
    </row>
    <row r="41" spans="1:6" x14ac:dyDescent="0.3">
      <c r="A41" s="3" t="s">
        <v>202</v>
      </c>
      <c r="B41" s="3" t="s">
        <v>23</v>
      </c>
      <c r="C41" s="3" t="str">
        <f t="shared" si="0"/>
        <v>450011380010</v>
      </c>
      <c r="D41" s="4">
        <v>46001</v>
      </c>
      <c r="E41" s="3" t="s">
        <v>681</v>
      </c>
      <c r="F41" s="3" t="s">
        <v>706</v>
      </c>
    </row>
    <row r="42" spans="1:6" x14ac:dyDescent="0.3">
      <c r="A42" s="3" t="s">
        <v>202</v>
      </c>
      <c r="B42" s="3" t="s">
        <v>62</v>
      </c>
      <c r="C42" s="3" t="str">
        <f t="shared" si="0"/>
        <v>450011380020</v>
      </c>
      <c r="D42" s="4">
        <v>46001</v>
      </c>
      <c r="E42" s="3" t="s">
        <v>681</v>
      </c>
      <c r="F42" s="3" t="s">
        <v>706</v>
      </c>
    </row>
    <row r="43" spans="1:6" x14ac:dyDescent="0.3">
      <c r="A43" s="3" t="s">
        <v>202</v>
      </c>
      <c r="B43" s="3" t="s">
        <v>49</v>
      </c>
      <c r="C43" s="3" t="str">
        <f t="shared" si="0"/>
        <v>450011380030</v>
      </c>
      <c r="D43" s="4">
        <v>46001</v>
      </c>
      <c r="E43" s="3" t="s">
        <v>681</v>
      </c>
      <c r="F43" s="3" t="s">
        <v>706</v>
      </c>
    </row>
    <row r="44" spans="1:6" x14ac:dyDescent="0.3">
      <c r="A44" s="3" t="s">
        <v>29</v>
      </c>
      <c r="B44" s="3" t="s">
        <v>23</v>
      </c>
      <c r="C44" s="3" t="str">
        <f t="shared" si="0"/>
        <v>450011474310</v>
      </c>
      <c r="D44" s="4">
        <v>46290</v>
      </c>
      <c r="E44" s="3" t="s">
        <v>686</v>
      </c>
      <c r="F44" s="3" t="s">
        <v>687</v>
      </c>
    </row>
    <row r="45" spans="1:6" x14ac:dyDescent="0.3">
      <c r="A45" s="3" t="s">
        <v>29</v>
      </c>
      <c r="B45" s="3" t="s">
        <v>62</v>
      </c>
      <c r="C45" s="3" t="str">
        <f t="shared" si="0"/>
        <v>450011474320</v>
      </c>
      <c r="D45" s="4">
        <v>46290</v>
      </c>
      <c r="E45" s="3" t="s">
        <v>686</v>
      </c>
      <c r="F45" s="3" t="s">
        <v>687</v>
      </c>
    </row>
    <row r="46" spans="1:6" x14ac:dyDescent="0.3">
      <c r="A46" s="3" t="s">
        <v>29</v>
      </c>
      <c r="B46" s="3" t="s">
        <v>49</v>
      </c>
      <c r="C46" s="3" t="str">
        <f t="shared" si="0"/>
        <v>450011474330</v>
      </c>
      <c r="D46" s="4">
        <v>46290</v>
      </c>
      <c r="E46" s="3" t="s">
        <v>686</v>
      </c>
      <c r="F46" s="3" t="s">
        <v>687</v>
      </c>
    </row>
    <row r="47" spans="1:6" x14ac:dyDescent="0.3">
      <c r="A47" s="3" t="s">
        <v>29</v>
      </c>
      <c r="B47" s="3" t="s">
        <v>38</v>
      </c>
      <c r="C47" s="3" t="str">
        <f t="shared" si="0"/>
        <v>450011474340</v>
      </c>
      <c r="D47" s="4">
        <v>46290</v>
      </c>
      <c r="E47" s="3" t="s">
        <v>686</v>
      </c>
      <c r="F47" s="3" t="s">
        <v>687</v>
      </c>
    </row>
    <row r="48" spans="1:6" x14ac:dyDescent="0.3">
      <c r="A48" s="3" t="s">
        <v>29</v>
      </c>
      <c r="B48" s="3" t="s">
        <v>47</v>
      </c>
      <c r="C48" s="3" t="str">
        <f t="shared" si="0"/>
        <v>450011474350</v>
      </c>
      <c r="D48" s="4">
        <v>46290</v>
      </c>
      <c r="E48" s="3" t="s">
        <v>686</v>
      </c>
      <c r="F48" s="3" t="s">
        <v>687</v>
      </c>
    </row>
    <row r="49" spans="1:6" x14ac:dyDescent="0.3">
      <c r="A49" s="3" t="s">
        <v>29</v>
      </c>
      <c r="B49" s="3" t="s">
        <v>95</v>
      </c>
      <c r="C49" s="3" t="str">
        <f t="shared" si="0"/>
        <v>450011474360</v>
      </c>
      <c r="D49" s="4">
        <v>46290</v>
      </c>
      <c r="E49" s="3" t="s">
        <v>686</v>
      </c>
      <c r="F49" s="3" t="s">
        <v>687</v>
      </c>
    </row>
    <row r="50" spans="1:6" x14ac:dyDescent="0.3">
      <c r="A50" s="3" t="s">
        <v>29</v>
      </c>
      <c r="B50" s="3" t="s">
        <v>141</v>
      </c>
      <c r="C50" s="3" t="str">
        <f t="shared" si="0"/>
        <v>450011474370</v>
      </c>
      <c r="D50" s="4">
        <v>46290</v>
      </c>
      <c r="E50" s="3" t="s">
        <v>686</v>
      </c>
      <c r="F50" s="3" t="s">
        <v>687</v>
      </c>
    </row>
    <row r="51" spans="1:6" x14ac:dyDescent="0.3">
      <c r="A51" s="3" t="s">
        <v>29</v>
      </c>
      <c r="B51" s="3" t="s">
        <v>351</v>
      </c>
      <c r="C51" s="3" t="str">
        <f t="shared" si="0"/>
        <v>450011474380</v>
      </c>
      <c r="D51" s="4">
        <v>46290</v>
      </c>
      <c r="E51" s="3" t="s">
        <v>686</v>
      </c>
      <c r="F51" s="3" t="s">
        <v>687</v>
      </c>
    </row>
    <row r="52" spans="1:6" x14ac:dyDescent="0.3">
      <c r="A52" s="3" t="s">
        <v>29</v>
      </c>
      <c r="B52" s="3" t="s">
        <v>158</v>
      </c>
      <c r="C52" s="3" t="str">
        <f t="shared" si="0"/>
        <v>450011474390</v>
      </c>
      <c r="D52" s="4">
        <v>46290</v>
      </c>
      <c r="E52" s="3" t="s">
        <v>686</v>
      </c>
      <c r="F52" s="3" t="s">
        <v>687</v>
      </c>
    </row>
    <row r="53" spans="1:6" x14ac:dyDescent="0.3">
      <c r="A53" s="3" t="s">
        <v>29</v>
      </c>
      <c r="B53" s="3" t="s">
        <v>156</v>
      </c>
      <c r="C53" s="3" t="str">
        <f t="shared" si="0"/>
        <v>4500114743100</v>
      </c>
      <c r="D53" s="4">
        <v>46290</v>
      </c>
      <c r="E53" s="3" t="s">
        <v>686</v>
      </c>
      <c r="F53" s="3" t="s">
        <v>687</v>
      </c>
    </row>
    <row r="54" spans="1:6" x14ac:dyDescent="0.3">
      <c r="A54" s="3" t="s">
        <v>29</v>
      </c>
      <c r="B54" s="3" t="s">
        <v>148</v>
      </c>
      <c r="C54" s="3" t="str">
        <f t="shared" si="0"/>
        <v>4500114743110</v>
      </c>
      <c r="D54" s="4">
        <v>46290</v>
      </c>
      <c r="E54" s="3" t="s">
        <v>686</v>
      </c>
      <c r="F54" s="3" t="s">
        <v>687</v>
      </c>
    </row>
    <row r="55" spans="1:6" x14ac:dyDescent="0.3">
      <c r="A55" s="3" t="s">
        <v>29</v>
      </c>
      <c r="B55" s="3" t="s">
        <v>151</v>
      </c>
      <c r="C55" s="3" t="str">
        <f t="shared" si="0"/>
        <v>4500114743120</v>
      </c>
      <c r="D55" s="4">
        <v>46290</v>
      </c>
      <c r="E55" s="3" t="s">
        <v>686</v>
      </c>
      <c r="F55" s="3" t="s">
        <v>687</v>
      </c>
    </row>
    <row r="56" spans="1:6" x14ac:dyDescent="0.3">
      <c r="A56" s="3" t="s">
        <v>29</v>
      </c>
      <c r="B56" s="3" t="s">
        <v>464</v>
      </c>
      <c r="C56" s="3" t="str">
        <f t="shared" si="0"/>
        <v>4500114743130</v>
      </c>
      <c r="D56" s="4">
        <v>46290</v>
      </c>
      <c r="E56" s="3" t="s">
        <v>686</v>
      </c>
      <c r="F56" s="3" t="s">
        <v>687</v>
      </c>
    </row>
    <row r="57" spans="1:6" x14ac:dyDescent="0.3">
      <c r="A57" s="3" t="s">
        <v>29</v>
      </c>
      <c r="B57" s="3" t="s">
        <v>466</v>
      </c>
      <c r="C57" s="3" t="str">
        <f t="shared" si="0"/>
        <v>4500114743140</v>
      </c>
      <c r="D57" s="4">
        <v>46290</v>
      </c>
      <c r="E57" s="3" t="s">
        <v>686</v>
      </c>
      <c r="F57" s="3" t="s">
        <v>687</v>
      </c>
    </row>
    <row r="58" spans="1:6" x14ac:dyDescent="0.3">
      <c r="A58" s="3" t="s">
        <v>29</v>
      </c>
      <c r="B58" s="3" t="s">
        <v>468</v>
      </c>
      <c r="C58" s="3" t="str">
        <f t="shared" si="0"/>
        <v>4500114743150</v>
      </c>
      <c r="D58" s="4">
        <v>46290</v>
      </c>
      <c r="E58" s="3" t="s">
        <v>686</v>
      </c>
      <c r="F58" s="3" t="s">
        <v>687</v>
      </c>
    </row>
    <row r="59" spans="1:6" x14ac:dyDescent="0.3">
      <c r="A59" s="3" t="s">
        <v>29</v>
      </c>
      <c r="B59" s="3" t="s">
        <v>498</v>
      </c>
      <c r="C59" s="3" t="str">
        <f t="shared" si="0"/>
        <v>4500114743160</v>
      </c>
      <c r="D59" s="4">
        <v>46290</v>
      </c>
      <c r="E59" s="3" t="s">
        <v>686</v>
      </c>
      <c r="F59" s="3" t="s">
        <v>687</v>
      </c>
    </row>
    <row r="60" spans="1:6" x14ac:dyDescent="0.3">
      <c r="A60" s="3" t="s">
        <v>29</v>
      </c>
      <c r="B60" s="3" t="s">
        <v>51</v>
      </c>
      <c r="C60" s="3" t="str">
        <f t="shared" si="0"/>
        <v>4500114743170</v>
      </c>
      <c r="D60" s="4">
        <v>46290</v>
      </c>
      <c r="E60" s="3" t="s">
        <v>686</v>
      </c>
      <c r="F60" s="3" t="s">
        <v>687</v>
      </c>
    </row>
    <row r="61" spans="1:6" x14ac:dyDescent="0.3">
      <c r="A61" s="3" t="s">
        <v>29</v>
      </c>
      <c r="B61" s="3" t="s">
        <v>707</v>
      </c>
      <c r="C61" s="3" t="str">
        <f t="shared" si="0"/>
        <v>4500114743180</v>
      </c>
      <c r="D61" s="4">
        <v>46290</v>
      </c>
      <c r="E61" s="3" t="s">
        <v>686</v>
      </c>
      <c r="F61" s="3" t="s">
        <v>687</v>
      </c>
    </row>
    <row r="62" spans="1:6" x14ac:dyDescent="0.3">
      <c r="A62" s="3" t="s">
        <v>29</v>
      </c>
      <c r="B62" s="3" t="s">
        <v>708</v>
      </c>
      <c r="C62" s="3" t="str">
        <f t="shared" si="0"/>
        <v>4500114743190</v>
      </c>
      <c r="D62" s="4">
        <v>46290</v>
      </c>
      <c r="E62" s="3" t="s">
        <v>686</v>
      </c>
      <c r="F62" s="3" t="s">
        <v>687</v>
      </c>
    </row>
    <row r="63" spans="1:6" x14ac:dyDescent="0.3">
      <c r="A63" s="3" t="s">
        <v>29</v>
      </c>
      <c r="B63" s="3" t="s">
        <v>709</v>
      </c>
      <c r="C63" s="3" t="str">
        <f t="shared" si="0"/>
        <v>4500114743200</v>
      </c>
      <c r="D63" s="4">
        <v>46290</v>
      </c>
      <c r="E63" s="3" t="s">
        <v>686</v>
      </c>
      <c r="F63" s="3" t="s">
        <v>687</v>
      </c>
    </row>
    <row r="64" spans="1:6" x14ac:dyDescent="0.3">
      <c r="A64" s="3" t="s">
        <v>29</v>
      </c>
      <c r="B64" s="3" t="s">
        <v>710</v>
      </c>
      <c r="C64" s="3" t="str">
        <f t="shared" si="0"/>
        <v>4500114743210</v>
      </c>
      <c r="D64" s="4">
        <v>46290</v>
      </c>
      <c r="E64" s="3" t="s">
        <v>686</v>
      </c>
      <c r="F64" s="3" t="s">
        <v>687</v>
      </c>
    </row>
    <row r="65" spans="1:6" x14ac:dyDescent="0.3">
      <c r="A65" s="3" t="s">
        <v>29</v>
      </c>
      <c r="B65" s="3" t="s">
        <v>40</v>
      </c>
      <c r="C65" s="3" t="str">
        <f t="shared" si="0"/>
        <v>4500114743270</v>
      </c>
      <c r="D65" s="4">
        <v>46290</v>
      </c>
      <c r="E65" s="3" t="s">
        <v>686</v>
      </c>
      <c r="F65" s="3" t="s">
        <v>687</v>
      </c>
    </row>
    <row r="66" spans="1:6" x14ac:dyDescent="0.3">
      <c r="A66" s="3" t="s">
        <v>29</v>
      </c>
      <c r="B66" s="3" t="s">
        <v>711</v>
      </c>
      <c r="C66" s="3" t="str">
        <f t="shared" si="0"/>
        <v>4500114743290</v>
      </c>
      <c r="D66" s="4">
        <v>46290</v>
      </c>
      <c r="E66" s="3" t="s">
        <v>686</v>
      </c>
      <c r="F66" s="3" t="s">
        <v>687</v>
      </c>
    </row>
    <row r="67" spans="1:6" x14ac:dyDescent="0.3">
      <c r="A67" s="3" t="s">
        <v>29</v>
      </c>
      <c r="B67" s="3" t="s">
        <v>712</v>
      </c>
      <c r="C67" s="3" t="str">
        <f t="shared" ref="C67:C130" si="1">_xlfn.CONCAT(A67:B67)</f>
        <v>4500114743300</v>
      </c>
      <c r="D67" s="4">
        <v>46290</v>
      </c>
      <c r="E67" s="3" t="s">
        <v>686</v>
      </c>
      <c r="F67" s="3" t="s">
        <v>687</v>
      </c>
    </row>
    <row r="68" spans="1:6" x14ac:dyDescent="0.3">
      <c r="A68" s="3" t="s">
        <v>29</v>
      </c>
      <c r="B68" s="3" t="s">
        <v>713</v>
      </c>
      <c r="C68" s="3" t="str">
        <f t="shared" si="1"/>
        <v>4500114743310</v>
      </c>
      <c r="D68" s="4">
        <v>46290</v>
      </c>
      <c r="E68" s="3" t="s">
        <v>686</v>
      </c>
      <c r="F68" s="3" t="s">
        <v>687</v>
      </c>
    </row>
    <row r="69" spans="1:6" x14ac:dyDescent="0.3">
      <c r="A69" s="3" t="s">
        <v>29</v>
      </c>
      <c r="B69" s="3" t="s">
        <v>30</v>
      </c>
      <c r="C69" s="3" t="str">
        <f t="shared" si="1"/>
        <v>4500114743320</v>
      </c>
      <c r="D69" s="4">
        <v>46290</v>
      </c>
      <c r="E69" s="3" t="s">
        <v>686</v>
      </c>
      <c r="F69" s="3" t="s">
        <v>687</v>
      </c>
    </row>
    <row r="70" spans="1:6" x14ac:dyDescent="0.3">
      <c r="A70" s="3" t="s">
        <v>29</v>
      </c>
      <c r="B70" s="3" t="s">
        <v>714</v>
      </c>
      <c r="C70" s="3" t="str">
        <f t="shared" si="1"/>
        <v>4500114743340</v>
      </c>
      <c r="D70" s="4">
        <v>46290</v>
      </c>
      <c r="E70" s="3" t="s">
        <v>686</v>
      </c>
      <c r="F70" s="3" t="s">
        <v>687</v>
      </c>
    </row>
    <row r="71" spans="1:6" x14ac:dyDescent="0.3">
      <c r="A71" s="3" t="s">
        <v>29</v>
      </c>
      <c r="B71" s="3" t="s">
        <v>715</v>
      </c>
      <c r="C71" s="3" t="str">
        <f t="shared" si="1"/>
        <v>4500114743350</v>
      </c>
      <c r="D71" s="4">
        <v>46290</v>
      </c>
      <c r="E71" s="3" t="s">
        <v>686</v>
      </c>
      <c r="F71" s="3" t="s">
        <v>687</v>
      </c>
    </row>
    <row r="72" spans="1:6" x14ac:dyDescent="0.3">
      <c r="A72" s="3" t="s">
        <v>29</v>
      </c>
      <c r="B72" s="3" t="s">
        <v>716</v>
      </c>
      <c r="C72" s="3" t="str">
        <f t="shared" si="1"/>
        <v>4500114743360</v>
      </c>
      <c r="D72" s="4">
        <v>46290</v>
      </c>
      <c r="E72" s="3" t="s">
        <v>686</v>
      </c>
      <c r="F72" s="3" t="s">
        <v>687</v>
      </c>
    </row>
    <row r="73" spans="1:6" x14ac:dyDescent="0.3">
      <c r="A73" s="3" t="s">
        <v>29</v>
      </c>
      <c r="B73" s="3" t="s">
        <v>717</v>
      </c>
      <c r="C73" s="3" t="str">
        <f t="shared" si="1"/>
        <v>4500114743400</v>
      </c>
      <c r="D73" s="4">
        <v>46290</v>
      </c>
      <c r="E73" s="3" t="s">
        <v>686</v>
      </c>
      <c r="F73" s="3" t="s">
        <v>687</v>
      </c>
    </row>
    <row r="74" spans="1:6" x14ac:dyDescent="0.3">
      <c r="A74" s="3" t="s">
        <v>29</v>
      </c>
      <c r="B74" s="3" t="s">
        <v>718</v>
      </c>
      <c r="C74" s="3" t="str">
        <f t="shared" si="1"/>
        <v>4500114743410</v>
      </c>
      <c r="D74" s="4">
        <v>46290</v>
      </c>
      <c r="E74" s="3" t="s">
        <v>686</v>
      </c>
      <c r="F74" s="3" t="s">
        <v>687</v>
      </c>
    </row>
    <row r="75" spans="1:6" x14ac:dyDescent="0.3">
      <c r="A75" s="3" t="s">
        <v>29</v>
      </c>
      <c r="B75" s="3" t="s">
        <v>719</v>
      </c>
      <c r="C75" s="3" t="str">
        <f t="shared" si="1"/>
        <v>4500114743420</v>
      </c>
      <c r="D75" s="4">
        <v>46290</v>
      </c>
      <c r="E75" s="3" t="s">
        <v>686</v>
      </c>
      <c r="F75" s="3" t="s">
        <v>687</v>
      </c>
    </row>
    <row r="76" spans="1:6" x14ac:dyDescent="0.3">
      <c r="A76" s="3" t="s">
        <v>29</v>
      </c>
      <c r="B76" s="3" t="s">
        <v>720</v>
      </c>
      <c r="C76" s="3" t="str">
        <f t="shared" si="1"/>
        <v>4500114743430</v>
      </c>
      <c r="D76" s="4">
        <v>46290</v>
      </c>
      <c r="E76" s="3" t="s">
        <v>686</v>
      </c>
      <c r="F76" s="3" t="s">
        <v>687</v>
      </c>
    </row>
    <row r="77" spans="1:6" x14ac:dyDescent="0.3">
      <c r="A77" s="3" t="s">
        <v>29</v>
      </c>
      <c r="B77" s="3" t="s">
        <v>721</v>
      </c>
      <c r="C77" s="3" t="str">
        <f t="shared" si="1"/>
        <v>4500114743440</v>
      </c>
      <c r="D77" s="4">
        <v>46290</v>
      </c>
      <c r="E77" s="3" t="s">
        <v>686</v>
      </c>
      <c r="F77" s="3" t="s">
        <v>687</v>
      </c>
    </row>
    <row r="78" spans="1:6" x14ac:dyDescent="0.3">
      <c r="A78" s="3" t="s">
        <v>29</v>
      </c>
      <c r="B78" s="3" t="s">
        <v>722</v>
      </c>
      <c r="C78" s="3" t="str">
        <f t="shared" si="1"/>
        <v>4500114743450</v>
      </c>
      <c r="D78" s="4">
        <v>46290</v>
      </c>
      <c r="E78" s="3" t="s">
        <v>686</v>
      </c>
      <c r="F78" s="3" t="s">
        <v>687</v>
      </c>
    </row>
    <row r="79" spans="1:6" x14ac:dyDescent="0.3">
      <c r="A79" s="3" t="s">
        <v>29</v>
      </c>
      <c r="B79" s="3" t="s">
        <v>723</v>
      </c>
      <c r="C79" s="3" t="str">
        <f t="shared" si="1"/>
        <v>4500114743460</v>
      </c>
      <c r="D79" s="4">
        <v>46290</v>
      </c>
      <c r="E79" s="3" t="s">
        <v>686</v>
      </c>
      <c r="F79" s="3" t="s">
        <v>687</v>
      </c>
    </row>
    <row r="80" spans="1:6" x14ac:dyDescent="0.3">
      <c r="A80" s="3" t="s">
        <v>29</v>
      </c>
      <c r="B80" s="3" t="s">
        <v>724</v>
      </c>
      <c r="C80" s="3" t="str">
        <f t="shared" si="1"/>
        <v>4500114743470</v>
      </c>
      <c r="D80" s="4">
        <v>46290</v>
      </c>
      <c r="E80" s="3" t="s">
        <v>686</v>
      </c>
      <c r="F80" s="3" t="s">
        <v>687</v>
      </c>
    </row>
    <row r="81" spans="1:6" x14ac:dyDescent="0.3">
      <c r="A81" s="3" t="s">
        <v>29</v>
      </c>
      <c r="B81" s="3" t="s">
        <v>53</v>
      </c>
      <c r="C81" s="3" t="str">
        <f t="shared" si="1"/>
        <v>4500114743480</v>
      </c>
      <c r="D81" s="4">
        <v>46290</v>
      </c>
      <c r="E81" s="3" t="s">
        <v>686</v>
      </c>
      <c r="F81" s="3" t="s">
        <v>687</v>
      </c>
    </row>
    <row r="82" spans="1:6" x14ac:dyDescent="0.3">
      <c r="A82" s="3" t="s">
        <v>29</v>
      </c>
      <c r="B82" s="3" t="s">
        <v>725</v>
      </c>
      <c r="C82" s="3" t="str">
        <f t="shared" si="1"/>
        <v>4500114743550</v>
      </c>
      <c r="D82" s="4">
        <v>46290</v>
      </c>
      <c r="E82" s="3" t="s">
        <v>686</v>
      </c>
      <c r="F82" s="3" t="s">
        <v>687</v>
      </c>
    </row>
    <row r="83" spans="1:6" x14ac:dyDescent="0.3">
      <c r="A83" s="3" t="s">
        <v>29</v>
      </c>
      <c r="B83" s="3" t="s">
        <v>726</v>
      </c>
      <c r="C83" s="3" t="str">
        <f t="shared" si="1"/>
        <v>4500114743560</v>
      </c>
      <c r="D83" s="4">
        <v>46290</v>
      </c>
      <c r="E83" s="3" t="s">
        <v>686</v>
      </c>
      <c r="F83" s="3" t="s">
        <v>687</v>
      </c>
    </row>
    <row r="84" spans="1:6" x14ac:dyDescent="0.3">
      <c r="A84" s="3" t="s">
        <v>29</v>
      </c>
      <c r="B84" s="3" t="s">
        <v>727</v>
      </c>
      <c r="C84" s="3" t="str">
        <f t="shared" si="1"/>
        <v>4500114743570</v>
      </c>
      <c r="D84" s="4">
        <v>46290</v>
      </c>
      <c r="E84" s="3" t="s">
        <v>686</v>
      </c>
      <c r="F84" s="3" t="s">
        <v>687</v>
      </c>
    </row>
    <row r="85" spans="1:6" x14ac:dyDescent="0.3">
      <c r="A85" s="3" t="s">
        <v>43</v>
      </c>
      <c r="B85" s="3" t="s">
        <v>23</v>
      </c>
      <c r="C85" s="3" t="str">
        <f t="shared" si="1"/>
        <v>450011783110</v>
      </c>
      <c r="D85" s="4">
        <v>46056</v>
      </c>
      <c r="E85" s="3" t="s">
        <v>700</v>
      </c>
      <c r="F85" s="3" t="s">
        <v>705</v>
      </c>
    </row>
    <row r="86" spans="1:6" x14ac:dyDescent="0.3">
      <c r="A86" s="3" t="s">
        <v>43</v>
      </c>
      <c r="B86" s="3" t="s">
        <v>62</v>
      </c>
      <c r="C86" s="3" t="str">
        <f t="shared" si="1"/>
        <v>450011783120</v>
      </c>
      <c r="D86" s="4">
        <v>46056</v>
      </c>
      <c r="E86" s="3" t="s">
        <v>700</v>
      </c>
      <c r="F86" s="3" t="s">
        <v>705</v>
      </c>
    </row>
    <row r="87" spans="1:6" x14ac:dyDescent="0.3">
      <c r="A87" s="3" t="s">
        <v>221</v>
      </c>
      <c r="B87" s="3" t="s">
        <v>23</v>
      </c>
      <c r="C87" s="3" t="str">
        <f t="shared" si="1"/>
        <v>450012180010</v>
      </c>
      <c r="D87" s="4">
        <v>46105</v>
      </c>
      <c r="E87" s="3" t="s">
        <v>681</v>
      </c>
      <c r="F87" s="3" t="s">
        <v>728</v>
      </c>
    </row>
    <row r="88" spans="1:6" x14ac:dyDescent="0.3">
      <c r="A88" s="3" t="s">
        <v>73</v>
      </c>
      <c r="B88" s="3" t="s">
        <v>23</v>
      </c>
      <c r="C88" s="3" t="str">
        <f t="shared" si="1"/>
        <v>450012303610</v>
      </c>
      <c r="D88" s="4">
        <v>46282</v>
      </c>
      <c r="E88" s="3" t="s">
        <v>681</v>
      </c>
      <c r="F88" s="3" t="s">
        <v>682</v>
      </c>
    </row>
    <row r="89" spans="1:6" x14ac:dyDescent="0.3">
      <c r="A89" s="3" t="s">
        <v>70</v>
      </c>
      <c r="B89" s="3" t="s">
        <v>23</v>
      </c>
      <c r="C89" s="3" t="str">
        <f t="shared" si="1"/>
        <v>450012326210</v>
      </c>
      <c r="D89" s="4">
        <v>46233</v>
      </c>
      <c r="E89" s="3" t="s">
        <v>678</v>
      </c>
      <c r="F89" s="3" t="s">
        <v>684</v>
      </c>
    </row>
    <row r="90" spans="1:6" x14ac:dyDescent="0.3">
      <c r="A90" s="3" t="s">
        <v>238</v>
      </c>
      <c r="B90" s="3" t="s">
        <v>23</v>
      </c>
      <c r="C90" s="3" t="str">
        <f t="shared" si="1"/>
        <v>450012687210</v>
      </c>
      <c r="D90" s="4">
        <v>46167</v>
      </c>
      <c r="E90" s="3" t="s">
        <v>702</v>
      </c>
      <c r="F90" s="3" t="s">
        <v>729</v>
      </c>
    </row>
    <row r="91" spans="1:6" x14ac:dyDescent="0.3">
      <c r="A91" s="3" t="s">
        <v>238</v>
      </c>
      <c r="B91" s="3" t="s">
        <v>62</v>
      </c>
      <c r="C91" s="3" t="str">
        <f t="shared" si="1"/>
        <v>450012687220</v>
      </c>
      <c r="D91" s="4">
        <v>46178</v>
      </c>
      <c r="E91" s="3" t="s">
        <v>702</v>
      </c>
      <c r="F91" s="3" t="s">
        <v>729</v>
      </c>
    </row>
    <row r="92" spans="1:6" x14ac:dyDescent="0.3">
      <c r="A92" s="3" t="s">
        <v>238</v>
      </c>
      <c r="B92" s="3" t="s">
        <v>49</v>
      </c>
      <c r="C92" s="3" t="str">
        <f t="shared" si="1"/>
        <v>450012687230</v>
      </c>
      <c r="D92" s="4">
        <v>46167</v>
      </c>
      <c r="E92" s="3" t="s">
        <v>702</v>
      </c>
      <c r="F92" s="3" t="s">
        <v>729</v>
      </c>
    </row>
    <row r="93" spans="1:6" x14ac:dyDescent="0.3">
      <c r="A93" s="3" t="s">
        <v>66</v>
      </c>
      <c r="B93" s="3" t="s">
        <v>23</v>
      </c>
      <c r="C93" s="3" t="str">
        <f t="shared" si="1"/>
        <v>450012695410</v>
      </c>
      <c r="D93" s="4">
        <v>46169</v>
      </c>
      <c r="E93" s="3" t="s">
        <v>681</v>
      </c>
      <c r="F93" s="3" t="s">
        <v>730</v>
      </c>
    </row>
    <row r="94" spans="1:6" x14ac:dyDescent="0.3">
      <c r="A94" s="3" t="s">
        <v>66</v>
      </c>
      <c r="B94" s="3" t="s">
        <v>62</v>
      </c>
      <c r="C94" s="3" t="str">
        <f t="shared" si="1"/>
        <v>450012695420</v>
      </c>
      <c r="D94" s="4">
        <v>46169</v>
      </c>
      <c r="E94" s="3" t="s">
        <v>681</v>
      </c>
      <c r="F94" s="3" t="s">
        <v>730</v>
      </c>
    </row>
    <row r="95" spans="1:6" x14ac:dyDescent="0.3">
      <c r="A95" s="3" t="s">
        <v>27</v>
      </c>
      <c r="B95" s="3" t="s">
        <v>23</v>
      </c>
      <c r="C95" s="3" t="str">
        <f t="shared" si="1"/>
        <v>450012711610</v>
      </c>
      <c r="D95" s="4">
        <v>46210</v>
      </c>
      <c r="E95" s="3" t="s">
        <v>686</v>
      </c>
      <c r="F95" s="3" t="s">
        <v>687</v>
      </c>
    </row>
    <row r="96" spans="1:6" x14ac:dyDescent="0.3">
      <c r="A96" s="3" t="s">
        <v>27</v>
      </c>
      <c r="B96" s="3" t="s">
        <v>62</v>
      </c>
      <c r="C96" s="3" t="str">
        <f t="shared" si="1"/>
        <v>450012711620</v>
      </c>
      <c r="D96" s="4">
        <v>46210</v>
      </c>
      <c r="E96" s="3" t="s">
        <v>686</v>
      </c>
      <c r="F96" s="3" t="s">
        <v>687</v>
      </c>
    </row>
    <row r="97" spans="1:6" x14ac:dyDescent="0.3">
      <c r="A97" s="3" t="s">
        <v>27</v>
      </c>
      <c r="B97" s="3" t="s">
        <v>49</v>
      </c>
      <c r="C97" s="3" t="str">
        <f t="shared" si="1"/>
        <v>450012711630</v>
      </c>
      <c r="D97" s="4">
        <v>46234</v>
      </c>
      <c r="E97" s="3" t="s">
        <v>686</v>
      </c>
      <c r="F97" s="3" t="s">
        <v>687</v>
      </c>
    </row>
    <row r="98" spans="1:6" x14ac:dyDescent="0.3">
      <c r="A98" s="3" t="s">
        <v>61</v>
      </c>
      <c r="B98" s="3" t="s">
        <v>23</v>
      </c>
      <c r="C98" s="3" t="str">
        <f t="shared" si="1"/>
        <v>450012729510</v>
      </c>
      <c r="D98" s="4">
        <v>46188</v>
      </c>
      <c r="E98" s="3" t="s">
        <v>686</v>
      </c>
      <c r="F98" s="3" t="s">
        <v>687</v>
      </c>
    </row>
    <row r="99" spans="1:6" x14ac:dyDescent="0.3">
      <c r="A99" s="3" t="s">
        <v>76</v>
      </c>
      <c r="B99" s="3" t="s">
        <v>23</v>
      </c>
      <c r="C99" s="3" t="str">
        <f t="shared" si="1"/>
        <v>450012854310</v>
      </c>
      <c r="D99" s="4">
        <v>46236</v>
      </c>
      <c r="E99" s="3" t="s">
        <v>678</v>
      </c>
      <c r="F99" s="3" t="s">
        <v>679</v>
      </c>
    </row>
    <row r="100" spans="1:6" x14ac:dyDescent="0.3">
      <c r="A100" s="3" t="s">
        <v>87</v>
      </c>
      <c r="B100" s="3" t="s">
        <v>23</v>
      </c>
      <c r="C100" s="3" t="str">
        <f t="shared" si="1"/>
        <v>450012906110</v>
      </c>
      <c r="D100" s="4">
        <v>46183</v>
      </c>
      <c r="E100" s="3" t="s">
        <v>731</v>
      </c>
      <c r="F100" s="3" t="s">
        <v>697</v>
      </c>
    </row>
    <row r="101" spans="1:6" x14ac:dyDescent="0.3">
      <c r="A101" s="3" t="s">
        <v>87</v>
      </c>
      <c r="B101" s="3" t="s">
        <v>62</v>
      </c>
      <c r="C101" s="3" t="str">
        <f t="shared" si="1"/>
        <v>450012906120</v>
      </c>
      <c r="D101" s="4">
        <v>46224</v>
      </c>
      <c r="E101" s="3" t="s">
        <v>731</v>
      </c>
      <c r="F101" s="3" t="s">
        <v>697</v>
      </c>
    </row>
    <row r="102" spans="1:6" x14ac:dyDescent="0.3">
      <c r="A102" s="3" t="s">
        <v>87</v>
      </c>
      <c r="B102" s="3" t="s">
        <v>49</v>
      </c>
      <c r="C102" s="3" t="str">
        <f t="shared" si="1"/>
        <v>450012906130</v>
      </c>
      <c r="D102" s="4">
        <v>46183</v>
      </c>
      <c r="E102" s="3" t="s">
        <v>731</v>
      </c>
      <c r="F102" s="3" t="s">
        <v>697</v>
      </c>
    </row>
    <row r="103" spans="1:6" x14ac:dyDescent="0.3">
      <c r="A103" s="3" t="s">
        <v>87</v>
      </c>
      <c r="B103" s="3" t="s">
        <v>38</v>
      </c>
      <c r="C103" s="3" t="str">
        <f t="shared" si="1"/>
        <v>450012906140</v>
      </c>
      <c r="D103" s="4">
        <v>46183</v>
      </c>
      <c r="E103" s="3" t="s">
        <v>731</v>
      </c>
      <c r="F103" s="3" t="s">
        <v>697</v>
      </c>
    </row>
    <row r="104" spans="1:6" x14ac:dyDescent="0.3">
      <c r="A104" s="3" t="s">
        <v>87</v>
      </c>
      <c r="B104" s="3" t="s">
        <v>47</v>
      </c>
      <c r="C104" s="3" t="str">
        <f t="shared" si="1"/>
        <v>450012906150</v>
      </c>
      <c r="D104" s="4">
        <v>46183</v>
      </c>
      <c r="E104" s="3" t="s">
        <v>731</v>
      </c>
      <c r="F104" s="3" t="s">
        <v>697</v>
      </c>
    </row>
    <row r="105" spans="1:6" x14ac:dyDescent="0.3">
      <c r="A105" s="3" t="s">
        <v>87</v>
      </c>
      <c r="B105" s="3" t="s">
        <v>95</v>
      </c>
      <c r="C105" s="3" t="str">
        <f t="shared" si="1"/>
        <v>450012906160</v>
      </c>
      <c r="D105" s="4">
        <v>46183</v>
      </c>
      <c r="E105" s="3" t="s">
        <v>731</v>
      </c>
      <c r="F105" s="3" t="s">
        <v>697</v>
      </c>
    </row>
    <row r="106" spans="1:6" x14ac:dyDescent="0.3">
      <c r="A106" s="3" t="s">
        <v>259</v>
      </c>
      <c r="B106" s="3" t="s">
        <v>23</v>
      </c>
      <c r="C106" s="3" t="str">
        <f t="shared" si="1"/>
        <v>450012967410</v>
      </c>
      <c r="D106" s="4">
        <v>46198</v>
      </c>
      <c r="E106" s="3" t="s">
        <v>681</v>
      </c>
      <c r="F106" s="3" t="s">
        <v>732</v>
      </c>
    </row>
    <row r="107" spans="1:6" x14ac:dyDescent="0.3">
      <c r="A107" s="3" t="s">
        <v>262</v>
      </c>
      <c r="B107" s="3" t="s">
        <v>23</v>
      </c>
      <c r="C107" s="3" t="str">
        <f t="shared" si="1"/>
        <v>450012975410</v>
      </c>
      <c r="D107" s="4">
        <v>46264</v>
      </c>
      <c r="E107" s="3" t="s">
        <v>681</v>
      </c>
      <c r="F107" s="3" t="s">
        <v>733</v>
      </c>
    </row>
    <row r="108" spans="1:6" x14ac:dyDescent="0.3">
      <c r="A108" s="3" t="s">
        <v>300</v>
      </c>
      <c r="B108" s="3" t="s">
        <v>23</v>
      </c>
      <c r="C108" s="3" t="str">
        <f t="shared" si="1"/>
        <v>450012989010</v>
      </c>
      <c r="D108" s="4">
        <v>46252</v>
      </c>
      <c r="E108" s="3" t="s">
        <v>681</v>
      </c>
      <c r="F108" s="3" t="s">
        <v>734</v>
      </c>
    </row>
    <row r="109" spans="1:6" x14ac:dyDescent="0.3">
      <c r="A109" s="3" t="s">
        <v>329</v>
      </c>
      <c r="B109" s="3" t="s">
        <v>23</v>
      </c>
      <c r="C109" s="3" t="str">
        <f t="shared" si="1"/>
        <v>450013075010</v>
      </c>
      <c r="D109" s="4">
        <v>46197</v>
      </c>
      <c r="E109" s="3" t="s">
        <v>681</v>
      </c>
      <c r="F109" s="3" t="s">
        <v>705</v>
      </c>
    </row>
    <row r="110" spans="1:6" x14ac:dyDescent="0.3">
      <c r="A110" s="3" t="s">
        <v>329</v>
      </c>
      <c r="B110" s="3" t="s">
        <v>62</v>
      </c>
      <c r="C110" s="3" t="str">
        <f t="shared" si="1"/>
        <v>450013075020</v>
      </c>
      <c r="D110" s="4">
        <v>46197</v>
      </c>
      <c r="E110" s="3" t="s">
        <v>681</v>
      </c>
      <c r="F110" s="3" t="s">
        <v>705</v>
      </c>
    </row>
    <row r="111" spans="1:6" x14ac:dyDescent="0.3">
      <c r="A111" s="3" t="s">
        <v>329</v>
      </c>
      <c r="B111" s="3" t="s">
        <v>49</v>
      </c>
      <c r="C111" s="3" t="str">
        <f t="shared" si="1"/>
        <v>450013075030</v>
      </c>
      <c r="D111" s="4">
        <v>46197</v>
      </c>
      <c r="E111" s="3" t="s">
        <v>681</v>
      </c>
      <c r="F111" s="3" t="s">
        <v>705</v>
      </c>
    </row>
    <row r="112" spans="1:6" x14ac:dyDescent="0.3">
      <c r="A112" s="3" t="s">
        <v>329</v>
      </c>
      <c r="B112" s="3" t="s">
        <v>38</v>
      </c>
      <c r="C112" s="3" t="str">
        <f t="shared" si="1"/>
        <v>450013075040</v>
      </c>
      <c r="D112" s="4">
        <v>46197</v>
      </c>
      <c r="E112" s="3" t="s">
        <v>681</v>
      </c>
      <c r="F112" s="3" t="s">
        <v>705</v>
      </c>
    </row>
    <row r="113" spans="1:6" x14ac:dyDescent="0.3">
      <c r="A113" s="3" t="s">
        <v>329</v>
      </c>
      <c r="B113" s="3" t="s">
        <v>47</v>
      </c>
      <c r="C113" s="3" t="str">
        <f t="shared" si="1"/>
        <v>450013075050</v>
      </c>
      <c r="D113" s="4">
        <v>46197</v>
      </c>
      <c r="E113" s="3" t="s">
        <v>681</v>
      </c>
      <c r="F113" s="3" t="s">
        <v>705</v>
      </c>
    </row>
    <row r="114" spans="1:6" x14ac:dyDescent="0.3">
      <c r="A114" s="3" t="s">
        <v>329</v>
      </c>
      <c r="B114" s="3" t="s">
        <v>95</v>
      </c>
      <c r="C114" s="3" t="str">
        <f t="shared" si="1"/>
        <v>450013075060</v>
      </c>
      <c r="D114" s="4">
        <v>46258</v>
      </c>
      <c r="E114" s="3" t="s">
        <v>681</v>
      </c>
      <c r="F114" s="3" t="s">
        <v>705</v>
      </c>
    </row>
    <row r="115" spans="1:6" x14ac:dyDescent="0.3">
      <c r="A115" s="3" t="s">
        <v>329</v>
      </c>
      <c r="B115" s="3" t="s">
        <v>141</v>
      </c>
      <c r="C115" s="3" t="str">
        <f t="shared" si="1"/>
        <v>450013075070</v>
      </c>
      <c r="D115" s="4">
        <v>46197</v>
      </c>
      <c r="E115" s="3" t="s">
        <v>681</v>
      </c>
      <c r="F115" s="3" t="s">
        <v>705</v>
      </c>
    </row>
    <row r="116" spans="1:6" x14ac:dyDescent="0.3">
      <c r="A116" s="3" t="s">
        <v>329</v>
      </c>
      <c r="B116" s="3" t="s">
        <v>351</v>
      </c>
      <c r="C116" s="3" t="str">
        <f t="shared" si="1"/>
        <v>450013075080</v>
      </c>
      <c r="D116" s="4">
        <v>46197</v>
      </c>
      <c r="E116" s="3" t="s">
        <v>681</v>
      </c>
      <c r="F116" s="3" t="s">
        <v>705</v>
      </c>
    </row>
    <row r="117" spans="1:6" x14ac:dyDescent="0.3">
      <c r="A117" s="3" t="s">
        <v>329</v>
      </c>
      <c r="B117" s="3" t="s">
        <v>158</v>
      </c>
      <c r="C117" s="3" t="str">
        <f t="shared" si="1"/>
        <v>450013075090</v>
      </c>
      <c r="D117" s="4">
        <v>46197</v>
      </c>
      <c r="E117" s="3" t="s">
        <v>681</v>
      </c>
      <c r="F117" s="3" t="s">
        <v>705</v>
      </c>
    </row>
    <row r="118" spans="1:6" x14ac:dyDescent="0.3">
      <c r="A118" s="3" t="s">
        <v>277</v>
      </c>
      <c r="B118" s="3" t="s">
        <v>23</v>
      </c>
      <c r="C118" s="3" t="str">
        <f t="shared" si="1"/>
        <v>450013076210</v>
      </c>
      <c r="D118" s="4">
        <v>46205</v>
      </c>
      <c r="E118" s="3" t="s">
        <v>735</v>
      </c>
      <c r="F118" s="3" t="s">
        <v>736</v>
      </c>
    </row>
    <row r="119" spans="1:6" x14ac:dyDescent="0.3">
      <c r="A119" s="3" t="s">
        <v>274</v>
      </c>
      <c r="B119" s="3" t="s">
        <v>23</v>
      </c>
      <c r="C119" s="3" t="str">
        <f t="shared" si="1"/>
        <v>450013137810</v>
      </c>
      <c r="D119" s="4">
        <v>46228</v>
      </c>
      <c r="E119" s="3" t="s">
        <v>737</v>
      </c>
      <c r="F119" s="3" t="s">
        <v>736</v>
      </c>
    </row>
    <row r="120" spans="1:6" x14ac:dyDescent="0.3">
      <c r="A120" s="3" t="s">
        <v>267</v>
      </c>
      <c r="B120" s="3" t="s">
        <v>23</v>
      </c>
      <c r="C120" s="3" t="str">
        <f t="shared" si="1"/>
        <v>450013180710</v>
      </c>
      <c r="D120" s="4">
        <v>46224</v>
      </c>
      <c r="E120" s="3" t="s">
        <v>681</v>
      </c>
      <c r="F120" s="3" t="s">
        <v>738</v>
      </c>
    </row>
    <row r="121" spans="1:6" x14ac:dyDescent="0.3">
      <c r="A121" s="3" t="s">
        <v>280</v>
      </c>
      <c r="B121" s="3" t="s">
        <v>23</v>
      </c>
      <c r="C121" s="3" t="str">
        <f t="shared" si="1"/>
        <v>450013213810</v>
      </c>
      <c r="D121" s="4">
        <v>46244</v>
      </c>
      <c r="E121" s="3" t="s">
        <v>737</v>
      </c>
      <c r="F121" s="3" t="s">
        <v>739</v>
      </c>
    </row>
    <row r="122" spans="1:6" x14ac:dyDescent="0.3">
      <c r="A122" s="3" t="s">
        <v>303</v>
      </c>
      <c r="B122" s="3" t="s">
        <v>23</v>
      </c>
      <c r="C122" s="3" t="str">
        <f t="shared" si="1"/>
        <v>450013370910</v>
      </c>
      <c r="D122" s="4">
        <v>46247</v>
      </c>
      <c r="E122" s="3" t="s">
        <v>681</v>
      </c>
      <c r="F122" s="3" t="s">
        <v>740</v>
      </c>
    </row>
    <row r="123" spans="1:6" x14ac:dyDescent="0.3">
      <c r="A123" s="3" t="s">
        <v>303</v>
      </c>
      <c r="B123" s="3" t="s">
        <v>62</v>
      </c>
      <c r="C123" s="3" t="str">
        <f t="shared" si="1"/>
        <v>450013370920</v>
      </c>
      <c r="D123" s="4">
        <v>46247</v>
      </c>
      <c r="E123" s="3" t="s">
        <v>681</v>
      </c>
      <c r="F123" s="3" t="s">
        <v>740</v>
      </c>
    </row>
    <row r="124" spans="1:6" x14ac:dyDescent="0.3">
      <c r="A124" s="3" t="s">
        <v>285</v>
      </c>
      <c r="B124" s="3" t="s">
        <v>49</v>
      </c>
      <c r="C124" s="3" t="str">
        <f t="shared" si="1"/>
        <v>450013381430</v>
      </c>
      <c r="D124" s="4">
        <v>46237</v>
      </c>
      <c r="E124" s="3" t="s">
        <v>681</v>
      </c>
      <c r="F124" s="3" t="s">
        <v>705</v>
      </c>
    </row>
    <row r="125" spans="1:6" x14ac:dyDescent="0.3">
      <c r="A125" s="3" t="s">
        <v>285</v>
      </c>
      <c r="B125" s="3" t="s">
        <v>38</v>
      </c>
      <c r="C125" s="3" t="str">
        <f t="shared" si="1"/>
        <v>450013381440</v>
      </c>
      <c r="D125" s="4">
        <v>46237</v>
      </c>
      <c r="E125" s="3" t="s">
        <v>681</v>
      </c>
      <c r="F125" s="3" t="s">
        <v>705</v>
      </c>
    </row>
    <row r="126" spans="1:6" x14ac:dyDescent="0.3">
      <c r="A126" s="3" t="s">
        <v>289</v>
      </c>
      <c r="B126" s="3" t="s">
        <v>23</v>
      </c>
      <c r="C126" s="3" t="str">
        <f t="shared" si="1"/>
        <v>450013402210</v>
      </c>
      <c r="D126" s="4">
        <v>46325</v>
      </c>
      <c r="E126" s="3" t="s">
        <v>678</v>
      </c>
      <c r="F126" s="3" t="s">
        <v>683</v>
      </c>
    </row>
    <row r="127" spans="1:6" x14ac:dyDescent="0.3">
      <c r="A127" s="3" t="s">
        <v>289</v>
      </c>
      <c r="B127" s="3" t="s">
        <v>62</v>
      </c>
      <c r="C127" s="3" t="str">
        <f t="shared" si="1"/>
        <v>450013402220</v>
      </c>
      <c r="D127" s="4">
        <v>46325</v>
      </c>
      <c r="E127" s="3" t="s">
        <v>678</v>
      </c>
      <c r="F127" s="3" t="s">
        <v>683</v>
      </c>
    </row>
    <row r="128" spans="1:6" x14ac:dyDescent="0.3">
      <c r="A128" s="3" t="s">
        <v>289</v>
      </c>
      <c r="B128" s="3" t="s">
        <v>49</v>
      </c>
      <c r="C128" s="3" t="str">
        <f t="shared" si="1"/>
        <v>450013402230</v>
      </c>
      <c r="D128" s="4">
        <v>46325</v>
      </c>
      <c r="E128" s="3" t="s">
        <v>678</v>
      </c>
      <c r="F128" s="3" t="s">
        <v>683</v>
      </c>
    </row>
    <row r="129" spans="1:6" x14ac:dyDescent="0.3">
      <c r="A129" s="3" t="s">
        <v>289</v>
      </c>
      <c r="B129" s="3" t="s">
        <v>38</v>
      </c>
      <c r="C129" s="3" t="str">
        <f t="shared" si="1"/>
        <v>450013402240</v>
      </c>
      <c r="D129" s="4">
        <v>46325</v>
      </c>
      <c r="E129" s="3" t="s">
        <v>678</v>
      </c>
      <c r="F129" s="3" t="s">
        <v>683</v>
      </c>
    </row>
    <row r="130" spans="1:6" x14ac:dyDescent="0.3">
      <c r="A130" s="3" t="s">
        <v>312</v>
      </c>
      <c r="B130" s="3" t="s">
        <v>95</v>
      </c>
      <c r="C130" s="3" t="str">
        <f t="shared" si="1"/>
        <v>450013463160</v>
      </c>
      <c r="D130" s="4">
        <v>46251</v>
      </c>
      <c r="E130" s="3" t="s">
        <v>681</v>
      </c>
      <c r="F130" s="3" t="s">
        <v>741</v>
      </c>
    </row>
    <row r="131" spans="1:6" x14ac:dyDescent="0.3">
      <c r="A131" s="3" t="s">
        <v>178</v>
      </c>
      <c r="B131" s="3" t="s">
        <v>23</v>
      </c>
      <c r="C131" s="3" t="str">
        <f t="shared" ref="C131:C194" si="2">_xlfn.CONCAT(A131:B131)</f>
        <v>450013506710</v>
      </c>
      <c r="D131" s="4">
        <v>46254</v>
      </c>
      <c r="E131" s="3" t="s">
        <v>681</v>
      </c>
      <c r="F131" s="3" t="s">
        <v>742</v>
      </c>
    </row>
    <row r="132" spans="1:6" x14ac:dyDescent="0.3">
      <c r="A132" s="3" t="s">
        <v>178</v>
      </c>
      <c r="B132" s="3" t="s">
        <v>62</v>
      </c>
      <c r="C132" s="3" t="str">
        <f t="shared" si="2"/>
        <v>450013506720</v>
      </c>
      <c r="D132" s="4">
        <v>46254</v>
      </c>
      <c r="E132" s="3" t="s">
        <v>681</v>
      </c>
      <c r="F132" s="3" t="s">
        <v>742</v>
      </c>
    </row>
    <row r="133" spans="1:6" x14ac:dyDescent="0.3">
      <c r="A133" s="3" t="s">
        <v>332</v>
      </c>
      <c r="B133" s="3" t="s">
        <v>47</v>
      </c>
      <c r="C133" s="3" t="str">
        <f t="shared" si="2"/>
        <v>450013511950</v>
      </c>
      <c r="D133" s="4">
        <v>46258</v>
      </c>
      <c r="E133" s="3" t="s">
        <v>700</v>
      </c>
      <c r="F133" s="3" t="s">
        <v>701</v>
      </c>
    </row>
    <row r="134" spans="1:6" x14ac:dyDescent="0.3">
      <c r="A134" s="3" t="s">
        <v>332</v>
      </c>
      <c r="B134" s="3" t="s">
        <v>351</v>
      </c>
      <c r="C134" s="3" t="str">
        <f t="shared" si="2"/>
        <v>450013511980</v>
      </c>
      <c r="D134" s="4">
        <v>46263</v>
      </c>
      <c r="E134" s="3" t="s">
        <v>700</v>
      </c>
      <c r="F134" s="3" t="s">
        <v>701</v>
      </c>
    </row>
    <row r="135" spans="1:6" x14ac:dyDescent="0.3">
      <c r="A135" s="3" t="s">
        <v>332</v>
      </c>
      <c r="B135" s="3" t="s">
        <v>158</v>
      </c>
      <c r="C135" s="3" t="str">
        <f t="shared" si="2"/>
        <v>450013511990</v>
      </c>
      <c r="D135" s="4">
        <v>46258</v>
      </c>
      <c r="E135" s="3" t="s">
        <v>700</v>
      </c>
      <c r="F135" s="3" t="s">
        <v>701</v>
      </c>
    </row>
    <row r="136" spans="1:6" x14ac:dyDescent="0.3">
      <c r="A136" s="3" t="s">
        <v>420</v>
      </c>
      <c r="B136" s="3" t="s">
        <v>23</v>
      </c>
      <c r="C136" s="3" t="str">
        <f t="shared" si="2"/>
        <v>450013534510</v>
      </c>
      <c r="D136" s="4">
        <v>46256</v>
      </c>
      <c r="E136" s="3" t="s">
        <v>743</v>
      </c>
      <c r="F136" s="3" t="s">
        <v>739</v>
      </c>
    </row>
    <row r="137" spans="1:6" x14ac:dyDescent="0.3">
      <c r="A137" s="3" t="s">
        <v>420</v>
      </c>
      <c r="B137" s="3" t="s">
        <v>62</v>
      </c>
      <c r="C137" s="3" t="str">
        <f t="shared" si="2"/>
        <v>450013534520</v>
      </c>
      <c r="D137" s="4">
        <v>46310</v>
      </c>
      <c r="E137" s="3" t="s">
        <v>743</v>
      </c>
      <c r="F137" s="3" t="s">
        <v>739</v>
      </c>
    </row>
    <row r="138" spans="1:6" x14ac:dyDescent="0.3">
      <c r="A138" s="3" t="s">
        <v>420</v>
      </c>
      <c r="B138" s="3" t="s">
        <v>49</v>
      </c>
      <c r="C138" s="3" t="str">
        <f t="shared" si="2"/>
        <v>450013534530</v>
      </c>
      <c r="D138" s="4">
        <v>46310</v>
      </c>
      <c r="E138" s="3" t="s">
        <v>743</v>
      </c>
      <c r="F138" s="3" t="s">
        <v>739</v>
      </c>
    </row>
    <row r="139" spans="1:6" x14ac:dyDescent="0.3">
      <c r="A139" s="3" t="s">
        <v>420</v>
      </c>
      <c r="B139" s="3" t="s">
        <v>38</v>
      </c>
      <c r="C139" s="3" t="str">
        <f t="shared" si="2"/>
        <v>450013534540</v>
      </c>
      <c r="D139" s="4">
        <v>46310</v>
      </c>
      <c r="E139" s="3" t="s">
        <v>743</v>
      </c>
      <c r="F139" s="3" t="s">
        <v>739</v>
      </c>
    </row>
    <row r="140" spans="1:6" x14ac:dyDescent="0.3">
      <c r="A140" s="3" t="s">
        <v>387</v>
      </c>
      <c r="B140" s="3" t="s">
        <v>23</v>
      </c>
      <c r="C140" s="3" t="str">
        <f t="shared" si="2"/>
        <v>450013549510</v>
      </c>
      <c r="D140" s="4">
        <v>46287</v>
      </c>
      <c r="E140" s="3" t="s">
        <v>735</v>
      </c>
      <c r="F140" s="3" t="s">
        <v>736</v>
      </c>
    </row>
    <row r="141" spans="1:6" x14ac:dyDescent="0.3">
      <c r="A141" s="3" t="s">
        <v>98</v>
      </c>
      <c r="B141" s="3" t="s">
        <v>23</v>
      </c>
      <c r="C141" s="3" t="str">
        <f t="shared" si="2"/>
        <v>450013558710</v>
      </c>
      <c r="D141" s="4">
        <v>46287</v>
      </c>
      <c r="E141" s="3" t="s">
        <v>737</v>
      </c>
      <c r="F141" s="3" t="s">
        <v>697</v>
      </c>
    </row>
    <row r="142" spans="1:6" x14ac:dyDescent="0.3">
      <c r="A142" s="3" t="s">
        <v>336</v>
      </c>
      <c r="B142" s="3" t="s">
        <v>23</v>
      </c>
      <c r="C142" s="3" t="str">
        <f t="shared" si="2"/>
        <v>450013566910</v>
      </c>
      <c r="D142" s="4">
        <v>46280</v>
      </c>
      <c r="E142" s="3" t="s">
        <v>744</v>
      </c>
      <c r="F142" s="3" t="s">
        <v>742</v>
      </c>
    </row>
    <row r="143" spans="1:6" x14ac:dyDescent="0.3">
      <c r="A143" s="3" t="s">
        <v>336</v>
      </c>
      <c r="B143" s="3" t="s">
        <v>62</v>
      </c>
      <c r="C143" s="3" t="str">
        <f t="shared" si="2"/>
        <v>450013566920</v>
      </c>
      <c r="D143" s="4">
        <v>46270</v>
      </c>
      <c r="E143" s="3" t="s">
        <v>744</v>
      </c>
      <c r="F143" s="3" t="s">
        <v>742</v>
      </c>
    </row>
    <row r="144" spans="1:6" x14ac:dyDescent="0.3">
      <c r="A144" s="3" t="s">
        <v>111</v>
      </c>
      <c r="B144" s="3" t="s">
        <v>23</v>
      </c>
      <c r="C144" s="3" t="str">
        <f t="shared" si="2"/>
        <v>450013635310</v>
      </c>
      <c r="D144" s="4">
        <v>46289</v>
      </c>
      <c r="E144" s="3" t="s">
        <v>745</v>
      </c>
      <c r="F144" s="3" t="s">
        <v>746</v>
      </c>
    </row>
    <row r="145" spans="1:6" x14ac:dyDescent="0.3">
      <c r="A145" s="3" t="s">
        <v>339</v>
      </c>
      <c r="B145" s="3" t="s">
        <v>23</v>
      </c>
      <c r="C145" s="3" t="str">
        <f t="shared" si="2"/>
        <v>450013642610</v>
      </c>
      <c r="D145" s="4">
        <v>46276</v>
      </c>
      <c r="E145" s="3" t="s">
        <v>681</v>
      </c>
      <c r="F145" s="3" t="s">
        <v>747</v>
      </c>
    </row>
    <row r="146" spans="1:6" x14ac:dyDescent="0.3">
      <c r="A146" s="3" t="s">
        <v>339</v>
      </c>
      <c r="B146" s="3" t="s">
        <v>49</v>
      </c>
      <c r="C146" s="3" t="str">
        <f t="shared" si="2"/>
        <v>450013642630</v>
      </c>
      <c r="D146" s="4">
        <v>46276</v>
      </c>
      <c r="E146" s="3" t="s">
        <v>681</v>
      </c>
      <c r="F146" s="3" t="s">
        <v>747</v>
      </c>
    </row>
    <row r="147" spans="1:6" x14ac:dyDescent="0.3">
      <c r="A147" s="3" t="s">
        <v>339</v>
      </c>
      <c r="B147" s="3" t="s">
        <v>38</v>
      </c>
      <c r="C147" s="3" t="str">
        <f t="shared" si="2"/>
        <v>450013642640</v>
      </c>
      <c r="D147" s="4">
        <v>46276</v>
      </c>
      <c r="E147" s="3" t="s">
        <v>681</v>
      </c>
      <c r="F147" s="3" t="s">
        <v>747</v>
      </c>
    </row>
    <row r="148" spans="1:6" x14ac:dyDescent="0.3">
      <c r="A148" s="3" t="s">
        <v>339</v>
      </c>
      <c r="B148" s="3" t="s">
        <v>47</v>
      </c>
      <c r="C148" s="3" t="str">
        <f t="shared" si="2"/>
        <v>450013642650</v>
      </c>
      <c r="D148" s="4">
        <v>46276</v>
      </c>
      <c r="E148" s="3" t="s">
        <v>681</v>
      </c>
      <c r="F148" s="3" t="s">
        <v>747</v>
      </c>
    </row>
    <row r="149" spans="1:6" x14ac:dyDescent="0.3">
      <c r="A149" s="3" t="s">
        <v>114</v>
      </c>
      <c r="B149" s="3" t="s">
        <v>23</v>
      </c>
      <c r="C149" s="3" t="str">
        <f t="shared" si="2"/>
        <v>450013645510</v>
      </c>
      <c r="D149" s="4">
        <v>46269</v>
      </c>
      <c r="E149" s="3" t="s">
        <v>704</v>
      </c>
      <c r="F149" s="3" t="s">
        <v>699</v>
      </c>
    </row>
    <row r="150" spans="1:6" x14ac:dyDescent="0.3">
      <c r="A150" s="3" t="s">
        <v>114</v>
      </c>
      <c r="B150" s="3" t="s">
        <v>62</v>
      </c>
      <c r="C150" s="3" t="str">
        <f t="shared" si="2"/>
        <v>450013645520</v>
      </c>
      <c r="D150" s="4">
        <v>46269</v>
      </c>
      <c r="E150" s="3" t="s">
        <v>704</v>
      </c>
      <c r="F150" s="3" t="s">
        <v>699</v>
      </c>
    </row>
    <row r="151" spans="1:6" x14ac:dyDescent="0.3">
      <c r="A151" s="3" t="s">
        <v>114</v>
      </c>
      <c r="B151" s="3" t="s">
        <v>49</v>
      </c>
      <c r="C151" s="3" t="str">
        <f t="shared" si="2"/>
        <v>450013645530</v>
      </c>
      <c r="D151" s="4">
        <v>46269</v>
      </c>
      <c r="E151" s="3" t="s">
        <v>704</v>
      </c>
      <c r="F151" s="3" t="s">
        <v>699</v>
      </c>
    </row>
    <row r="152" spans="1:6" x14ac:dyDescent="0.3">
      <c r="A152" s="3" t="s">
        <v>114</v>
      </c>
      <c r="B152" s="3" t="s">
        <v>38</v>
      </c>
      <c r="C152" s="3" t="str">
        <f t="shared" si="2"/>
        <v>450013645540</v>
      </c>
      <c r="D152" s="4">
        <v>46269</v>
      </c>
      <c r="E152" s="3" t="s">
        <v>704</v>
      </c>
      <c r="F152" s="3" t="s">
        <v>699</v>
      </c>
    </row>
    <row r="153" spans="1:6" x14ac:dyDescent="0.3">
      <c r="A153" s="3" t="s">
        <v>114</v>
      </c>
      <c r="B153" s="3" t="s">
        <v>47</v>
      </c>
      <c r="C153" s="3" t="str">
        <f t="shared" si="2"/>
        <v>450013645550</v>
      </c>
      <c r="D153" s="4">
        <v>46269</v>
      </c>
      <c r="E153" s="3" t="s">
        <v>704</v>
      </c>
      <c r="F153" s="3" t="s">
        <v>699</v>
      </c>
    </row>
    <row r="154" spans="1:6" x14ac:dyDescent="0.3">
      <c r="A154" s="3" t="s">
        <v>114</v>
      </c>
      <c r="B154" s="3" t="s">
        <v>95</v>
      </c>
      <c r="C154" s="3" t="str">
        <f t="shared" si="2"/>
        <v>450013645560</v>
      </c>
      <c r="D154" s="4">
        <v>46269</v>
      </c>
      <c r="E154" s="3" t="s">
        <v>704</v>
      </c>
      <c r="F154" s="3" t="s">
        <v>699</v>
      </c>
    </row>
    <row r="155" spans="1:6" x14ac:dyDescent="0.3">
      <c r="A155" s="3" t="s">
        <v>114</v>
      </c>
      <c r="B155" s="3" t="s">
        <v>141</v>
      </c>
      <c r="C155" s="3" t="str">
        <f t="shared" si="2"/>
        <v>450013645570</v>
      </c>
      <c r="D155" s="4">
        <v>46269</v>
      </c>
      <c r="E155" s="3" t="s">
        <v>704</v>
      </c>
      <c r="F155" s="3" t="s">
        <v>699</v>
      </c>
    </row>
    <row r="156" spans="1:6" x14ac:dyDescent="0.3">
      <c r="A156" s="3" t="s">
        <v>114</v>
      </c>
      <c r="B156" s="3" t="s">
        <v>351</v>
      </c>
      <c r="C156" s="3" t="str">
        <f t="shared" si="2"/>
        <v>450013645580</v>
      </c>
      <c r="D156" s="4">
        <v>46269</v>
      </c>
      <c r="E156" s="3" t="s">
        <v>704</v>
      </c>
      <c r="F156" s="3" t="s">
        <v>699</v>
      </c>
    </row>
    <row r="157" spans="1:6" x14ac:dyDescent="0.3">
      <c r="A157" s="3" t="s">
        <v>114</v>
      </c>
      <c r="B157" s="3" t="s">
        <v>158</v>
      </c>
      <c r="C157" s="3" t="str">
        <f t="shared" si="2"/>
        <v>450013645590</v>
      </c>
      <c r="D157" s="4">
        <v>46269</v>
      </c>
      <c r="E157" s="3" t="s">
        <v>704</v>
      </c>
      <c r="F157" s="3" t="s">
        <v>699</v>
      </c>
    </row>
    <row r="158" spans="1:6" x14ac:dyDescent="0.3">
      <c r="A158" s="3" t="s">
        <v>114</v>
      </c>
      <c r="B158" s="3" t="s">
        <v>156</v>
      </c>
      <c r="C158" s="3" t="str">
        <f t="shared" si="2"/>
        <v>4500136455100</v>
      </c>
      <c r="D158" s="4">
        <v>46269</v>
      </c>
      <c r="E158" s="3" t="s">
        <v>704</v>
      </c>
      <c r="F158" s="3" t="s">
        <v>699</v>
      </c>
    </row>
    <row r="159" spans="1:6" x14ac:dyDescent="0.3">
      <c r="A159" s="3" t="s">
        <v>114</v>
      </c>
      <c r="B159" s="3" t="s">
        <v>148</v>
      </c>
      <c r="C159" s="3" t="str">
        <f t="shared" si="2"/>
        <v>4500136455110</v>
      </c>
      <c r="D159" s="4">
        <v>46269</v>
      </c>
      <c r="E159" s="3" t="s">
        <v>704</v>
      </c>
      <c r="F159" s="3" t="s">
        <v>699</v>
      </c>
    </row>
    <row r="160" spans="1:6" x14ac:dyDescent="0.3">
      <c r="A160" s="3" t="s">
        <v>114</v>
      </c>
      <c r="B160" s="3" t="s">
        <v>151</v>
      </c>
      <c r="C160" s="3" t="str">
        <f t="shared" si="2"/>
        <v>4500136455120</v>
      </c>
      <c r="D160" s="4">
        <v>46269</v>
      </c>
      <c r="E160" s="3" t="s">
        <v>704</v>
      </c>
      <c r="F160" s="3" t="s">
        <v>699</v>
      </c>
    </row>
    <row r="161" spans="1:6" x14ac:dyDescent="0.3">
      <c r="A161" s="3" t="s">
        <v>114</v>
      </c>
      <c r="B161" s="3" t="s">
        <v>464</v>
      </c>
      <c r="C161" s="3" t="str">
        <f t="shared" si="2"/>
        <v>4500136455130</v>
      </c>
      <c r="D161" s="4">
        <v>46269</v>
      </c>
      <c r="E161" s="3" t="s">
        <v>704</v>
      </c>
      <c r="F161" s="3" t="s">
        <v>699</v>
      </c>
    </row>
    <row r="162" spans="1:6" x14ac:dyDescent="0.3">
      <c r="A162" s="3" t="s">
        <v>114</v>
      </c>
      <c r="B162" s="3" t="s">
        <v>466</v>
      </c>
      <c r="C162" s="3" t="str">
        <f t="shared" si="2"/>
        <v>4500136455140</v>
      </c>
      <c r="D162" s="4">
        <v>46269</v>
      </c>
      <c r="E162" s="3" t="s">
        <v>704</v>
      </c>
      <c r="F162" s="3" t="s">
        <v>699</v>
      </c>
    </row>
    <row r="163" spans="1:6" x14ac:dyDescent="0.3">
      <c r="A163" s="3" t="s">
        <v>114</v>
      </c>
      <c r="B163" s="3" t="s">
        <v>468</v>
      </c>
      <c r="C163" s="3" t="str">
        <f t="shared" si="2"/>
        <v>4500136455150</v>
      </c>
      <c r="D163" s="4">
        <v>46269</v>
      </c>
      <c r="E163" s="3" t="s">
        <v>704</v>
      </c>
      <c r="F163" s="3" t="s">
        <v>699</v>
      </c>
    </row>
    <row r="164" spans="1:6" x14ac:dyDescent="0.3">
      <c r="A164" s="3" t="s">
        <v>114</v>
      </c>
      <c r="B164" s="3" t="s">
        <v>498</v>
      </c>
      <c r="C164" s="3" t="str">
        <f t="shared" si="2"/>
        <v>4500136455160</v>
      </c>
      <c r="D164" s="4">
        <v>46269</v>
      </c>
      <c r="E164" s="3" t="s">
        <v>704</v>
      </c>
      <c r="F164" s="3" t="s">
        <v>699</v>
      </c>
    </row>
    <row r="165" spans="1:6" x14ac:dyDescent="0.3">
      <c r="A165" s="3" t="s">
        <v>114</v>
      </c>
      <c r="B165" s="3" t="s">
        <v>51</v>
      </c>
      <c r="C165" s="3" t="str">
        <f t="shared" si="2"/>
        <v>4500136455170</v>
      </c>
      <c r="D165" s="4">
        <v>46269</v>
      </c>
      <c r="E165" s="3" t="s">
        <v>704</v>
      </c>
      <c r="F165" s="3" t="s">
        <v>699</v>
      </c>
    </row>
    <row r="166" spans="1:6" x14ac:dyDescent="0.3">
      <c r="A166" s="3" t="s">
        <v>114</v>
      </c>
      <c r="B166" s="3" t="s">
        <v>707</v>
      </c>
      <c r="C166" s="3" t="str">
        <f t="shared" si="2"/>
        <v>4500136455180</v>
      </c>
      <c r="D166" s="4">
        <v>46269</v>
      </c>
      <c r="E166" s="3" t="s">
        <v>704</v>
      </c>
      <c r="F166" s="3" t="s">
        <v>699</v>
      </c>
    </row>
    <row r="167" spans="1:6" x14ac:dyDescent="0.3">
      <c r="A167" s="3" t="s">
        <v>114</v>
      </c>
      <c r="B167" s="3" t="s">
        <v>708</v>
      </c>
      <c r="C167" s="3" t="str">
        <f t="shared" si="2"/>
        <v>4500136455190</v>
      </c>
      <c r="D167" s="4">
        <v>46269</v>
      </c>
      <c r="E167" s="3" t="s">
        <v>704</v>
      </c>
      <c r="F167" s="3" t="s">
        <v>699</v>
      </c>
    </row>
    <row r="168" spans="1:6" x14ac:dyDescent="0.3">
      <c r="A168" s="3" t="s">
        <v>114</v>
      </c>
      <c r="B168" s="3" t="s">
        <v>709</v>
      </c>
      <c r="C168" s="3" t="str">
        <f t="shared" si="2"/>
        <v>4500136455200</v>
      </c>
      <c r="D168" s="4">
        <v>46269</v>
      </c>
      <c r="E168" s="3" t="s">
        <v>704</v>
      </c>
      <c r="F168" s="3" t="s">
        <v>699</v>
      </c>
    </row>
    <row r="169" spans="1:6" x14ac:dyDescent="0.3">
      <c r="A169" s="3" t="s">
        <v>114</v>
      </c>
      <c r="B169" s="3" t="s">
        <v>710</v>
      </c>
      <c r="C169" s="3" t="str">
        <f t="shared" si="2"/>
        <v>4500136455210</v>
      </c>
      <c r="D169" s="4">
        <v>46269</v>
      </c>
      <c r="E169" s="3" t="s">
        <v>704</v>
      </c>
      <c r="F169" s="3" t="s">
        <v>699</v>
      </c>
    </row>
    <row r="170" spans="1:6" x14ac:dyDescent="0.3">
      <c r="A170" s="3" t="s">
        <v>114</v>
      </c>
      <c r="B170" s="3" t="s">
        <v>748</v>
      </c>
      <c r="C170" s="3" t="str">
        <f t="shared" si="2"/>
        <v>4500136455220</v>
      </c>
      <c r="D170" s="4">
        <v>46269</v>
      </c>
      <c r="E170" s="3" t="s">
        <v>704</v>
      </c>
      <c r="F170" s="3" t="s">
        <v>699</v>
      </c>
    </row>
    <row r="171" spans="1:6" x14ac:dyDescent="0.3">
      <c r="A171" s="3" t="s">
        <v>114</v>
      </c>
      <c r="B171" s="3" t="s">
        <v>115</v>
      </c>
      <c r="C171" s="3" t="str">
        <f t="shared" si="2"/>
        <v>4500136455230</v>
      </c>
      <c r="D171" s="4">
        <v>46269</v>
      </c>
      <c r="E171" s="3" t="s">
        <v>704</v>
      </c>
      <c r="F171" s="3" t="s">
        <v>699</v>
      </c>
    </row>
    <row r="172" spans="1:6" x14ac:dyDescent="0.3">
      <c r="A172" s="3" t="s">
        <v>114</v>
      </c>
      <c r="B172" s="3" t="s">
        <v>749</v>
      </c>
      <c r="C172" s="3" t="str">
        <f t="shared" si="2"/>
        <v>4500136455240</v>
      </c>
      <c r="D172" s="4">
        <v>46269</v>
      </c>
      <c r="E172" s="3" t="s">
        <v>704</v>
      </c>
      <c r="F172" s="3" t="s">
        <v>699</v>
      </c>
    </row>
    <row r="173" spans="1:6" x14ac:dyDescent="0.3">
      <c r="A173" s="3" t="s">
        <v>381</v>
      </c>
      <c r="B173" s="3" t="s">
        <v>23</v>
      </c>
      <c r="C173" s="3" t="str">
        <f t="shared" si="2"/>
        <v>450013654210</v>
      </c>
      <c r="D173" s="4">
        <v>46275</v>
      </c>
      <c r="E173" s="3" t="s">
        <v>702</v>
      </c>
      <c r="F173" s="3" t="s">
        <v>703</v>
      </c>
    </row>
    <row r="174" spans="1:6" x14ac:dyDescent="0.3">
      <c r="A174" s="3" t="s">
        <v>381</v>
      </c>
      <c r="B174" s="3" t="s">
        <v>62</v>
      </c>
      <c r="C174" s="3" t="str">
        <f t="shared" si="2"/>
        <v>450013654220</v>
      </c>
      <c r="D174" s="4">
        <v>46275</v>
      </c>
      <c r="E174" s="3" t="s">
        <v>702</v>
      </c>
      <c r="F174" s="3" t="s">
        <v>703</v>
      </c>
    </row>
    <row r="175" spans="1:6" x14ac:dyDescent="0.3">
      <c r="A175" s="3" t="s">
        <v>381</v>
      </c>
      <c r="B175" s="3" t="s">
        <v>49</v>
      </c>
      <c r="C175" s="3" t="str">
        <f t="shared" si="2"/>
        <v>450013654230</v>
      </c>
      <c r="D175" s="4">
        <v>46275</v>
      </c>
      <c r="E175" s="3" t="s">
        <v>702</v>
      </c>
      <c r="F175" s="3" t="s">
        <v>703</v>
      </c>
    </row>
    <row r="176" spans="1:6" x14ac:dyDescent="0.3">
      <c r="A176" s="3" t="s">
        <v>381</v>
      </c>
      <c r="B176" s="3" t="s">
        <v>38</v>
      </c>
      <c r="C176" s="3" t="str">
        <f t="shared" si="2"/>
        <v>450013654240</v>
      </c>
      <c r="D176" s="4">
        <v>46275</v>
      </c>
      <c r="E176" s="3" t="s">
        <v>702</v>
      </c>
      <c r="F176" s="3" t="s">
        <v>703</v>
      </c>
    </row>
    <row r="177" spans="1:6" x14ac:dyDescent="0.3">
      <c r="A177" s="3" t="s">
        <v>344</v>
      </c>
      <c r="B177" s="3" t="s">
        <v>23</v>
      </c>
      <c r="C177" s="3" t="str">
        <f t="shared" si="2"/>
        <v>450013654410</v>
      </c>
      <c r="D177" s="4">
        <v>46277</v>
      </c>
      <c r="E177" s="3" t="s">
        <v>681</v>
      </c>
      <c r="F177" s="3" t="s">
        <v>699</v>
      </c>
    </row>
    <row r="178" spans="1:6" x14ac:dyDescent="0.3">
      <c r="A178" s="3" t="s">
        <v>344</v>
      </c>
      <c r="B178" s="3" t="s">
        <v>62</v>
      </c>
      <c r="C178" s="3" t="str">
        <f t="shared" si="2"/>
        <v>450013654420</v>
      </c>
      <c r="D178" s="4">
        <v>46277</v>
      </c>
      <c r="E178" s="3" t="s">
        <v>681</v>
      </c>
      <c r="F178" s="3" t="s">
        <v>699</v>
      </c>
    </row>
    <row r="179" spans="1:6" x14ac:dyDescent="0.3">
      <c r="A179" s="3" t="s">
        <v>344</v>
      </c>
      <c r="B179" s="3" t="s">
        <v>49</v>
      </c>
      <c r="C179" s="3" t="str">
        <f t="shared" si="2"/>
        <v>450013654430</v>
      </c>
      <c r="D179" s="4">
        <v>46277</v>
      </c>
      <c r="E179" s="3" t="s">
        <v>681</v>
      </c>
      <c r="F179" s="3" t="s">
        <v>699</v>
      </c>
    </row>
    <row r="180" spans="1:6" x14ac:dyDescent="0.3">
      <c r="A180" s="3" t="s">
        <v>344</v>
      </c>
      <c r="B180" s="3" t="s">
        <v>38</v>
      </c>
      <c r="C180" s="3" t="str">
        <f t="shared" si="2"/>
        <v>450013654440</v>
      </c>
      <c r="D180" s="4">
        <v>46277</v>
      </c>
      <c r="E180" s="3" t="s">
        <v>681</v>
      </c>
      <c r="F180" s="3" t="s">
        <v>699</v>
      </c>
    </row>
    <row r="181" spans="1:6" x14ac:dyDescent="0.3">
      <c r="A181" s="3" t="s">
        <v>344</v>
      </c>
      <c r="B181" s="3" t="s">
        <v>47</v>
      </c>
      <c r="C181" s="3" t="str">
        <f t="shared" si="2"/>
        <v>450013654450</v>
      </c>
      <c r="D181" s="4">
        <v>46277</v>
      </c>
      <c r="E181" s="3" t="s">
        <v>681</v>
      </c>
      <c r="F181" s="3" t="s">
        <v>699</v>
      </c>
    </row>
    <row r="182" spans="1:6" x14ac:dyDescent="0.3">
      <c r="A182" s="3" t="s">
        <v>344</v>
      </c>
      <c r="B182" s="3" t="s">
        <v>95</v>
      </c>
      <c r="C182" s="3" t="str">
        <f t="shared" si="2"/>
        <v>450013654460</v>
      </c>
      <c r="D182" s="4">
        <v>46277</v>
      </c>
      <c r="E182" s="3" t="s">
        <v>681</v>
      </c>
      <c r="F182" s="3" t="s">
        <v>699</v>
      </c>
    </row>
    <row r="183" spans="1:6" x14ac:dyDescent="0.3">
      <c r="A183" s="3" t="s">
        <v>344</v>
      </c>
      <c r="B183" s="3" t="s">
        <v>351</v>
      </c>
      <c r="C183" s="3" t="str">
        <f t="shared" si="2"/>
        <v>450013654480</v>
      </c>
      <c r="D183" s="4">
        <v>46277</v>
      </c>
      <c r="E183" s="3" t="s">
        <v>681</v>
      </c>
      <c r="F183" s="3" t="s">
        <v>699</v>
      </c>
    </row>
    <row r="184" spans="1:6" x14ac:dyDescent="0.3">
      <c r="A184" s="3" t="s">
        <v>344</v>
      </c>
      <c r="B184" s="3" t="s">
        <v>148</v>
      </c>
      <c r="C184" s="3" t="str">
        <f t="shared" si="2"/>
        <v>4500136544110</v>
      </c>
      <c r="D184" s="4">
        <v>46277</v>
      </c>
      <c r="E184" s="3" t="s">
        <v>681</v>
      </c>
      <c r="F184" s="3" t="s">
        <v>699</v>
      </c>
    </row>
    <row r="185" spans="1:6" x14ac:dyDescent="0.3">
      <c r="A185" s="3" t="s">
        <v>344</v>
      </c>
      <c r="B185" s="3" t="s">
        <v>51</v>
      </c>
      <c r="C185" s="3" t="str">
        <f t="shared" si="2"/>
        <v>4500136544170</v>
      </c>
      <c r="D185" s="4">
        <v>46277</v>
      </c>
      <c r="E185" s="3" t="s">
        <v>681</v>
      </c>
      <c r="F185" s="3" t="s">
        <v>699</v>
      </c>
    </row>
    <row r="186" spans="1:6" x14ac:dyDescent="0.3">
      <c r="A186" s="3" t="s">
        <v>369</v>
      </c>
      <c r="B186" s="3" t="s">
        <v>23</v>
      </c>
      <c r="C186" s="3" t="str">
        <f t="shared" si="2"/>
        <v>450013662510</v>
      </c>
      <c r="D186" s="4">
        <v>46269</v>
      </c>
      <c r="E186" s="3" t="s">
        <v>704</v>
      </c>
      <c r="F186" s="3" t="s">
        <v>750</v>
      </c>
    </row>
    <row r="187" spans="1:6" x14ac:dyDescent="0.3">
      <c r="A187" s="3" t="s">
        <v>369</v>
      </c>
      <c r="B187" s="3" t="s">
        <v>62</v>
      </c>
      <c r="C187" s="3" t="str">
        <f t="shared" si="2"/>
        <v>450013662520</v>
      </c>
      <c r="D187" s="4">
        <v>46269</v>
      </c>
      <c r="E187" s="3" t="s">
        <v>704</v>
      </c>
      <c r="F187" s="3" t="s">
        <v>750</v>
      </c>
    </row>
    <row r="188" spans="1:6" x14ac:dyDescent="0.3">
      <c r="A188" s="3" t="s">
        <v>369</v>
      </c>
      <c r="B188" s="3" t="s">
        <v>49</v>
      </c>
      <c r="C188" s="3" t="str">
        <f t="shared" si="2"/>
        <v>450013662530</v>
      </c>
      <c r="D188" s="4">
        <v>46269</v>
      </c>
      <c r="E188" s="3" t="s">
        <v>704</v>
      </c>
      <c r="F188" s="3" t="s">
        <v>750</v>
      </c>
    </row>
    <row r="189" spans="1:6" x14ac:dyDescent="0.3">
      <c r="A189" s="3" t="s">
        <v>369</v>
      </c>
      <c r="B189" s="3" t="s">
        <v>38</v>
      </c>
      <c r="C189" s="3" t="str">
        <f t="shared" si="2"/>
        <v>450013662540</v>
      </c>
      <c r="D189" s="4">
        <v>46269</v>
      </c>
      <c r="E189" s="3" t="s">
        <v>704</v>
      </c>
      <c r="F189" s="3" t="s">
        <v>750</v>
      </c>
    </row>
    <row r="190" spans="1:6" x14ac:dyDescent="0.3">
      <c r="A190" s="3" t="s">
        <v>366</v>
      </c>
      <c r="B190" s="3" t="s">
        <v>95</v>
      </c>
      <c r="C190" s="3" t="str">
        <f t="shared" si="2"/>
        <v>450013689660</v>
      </c>
      <c r="D190" s="4">
        <v>46281</v>
      </c>
      <c r="E190" s="3" t="s">
        <v>681</v>
      </c>
      <c r="F190" s="3" t="s">
        <v>699</v>
      </c>
    </row>
    <row r="191" spans="1:6" x14ac:dyDescent="0.3">
      <c r="A191" s="3" t="s">
        <v>166</v>
      </c>
      <c r="B191" s="3" t="s">
        <v>23</v>
      </c>
      <c r="C191" s="3" t="str">
        <f t="shared" si="2"/>
        <v>450013694310</v>
      </c>
      <c r="D191" s="4">
        <v>46290</v>
      </c>
      <c r="E191" s="3" t="s">
        <v>702</v>
      </c>
      <c r="F191" s="3" t="s">
        <v>751</v>
      </c>
    </row>
    <row r="192" spans="1:6" x14ac:dyDescent="0.3">
      <c r="A192" s="3" t="s">
        <v>359</v>
      </c>
      <c r="B192" s="3" t="s">
        <v>23</v>
      </c>
      <c r="C192" s="3" t="str">
        <f t="shared" si="2"/>
        <v>450013704610</v>
      </c>
      <c r="D192" s="4">
        <v>46281</v>
      </c>
      <c r="E192" s="3" t="s">
        <v>681</v>
      </c>
      <c r="F192" s="3" t="s">
        <v>701</v>
      </c>
    </row>
    <row r="193" spans="1:6" x14ac:dyDescent="0.3">
      <c r="A193" s="3" t="s">
        <v>359</v>
      </c>
      <c r="B193" s="3" t="s">
        <v>62</v>
      </c>
      <c r="C193" s="3" t="str">
        <f t="shared" si="2"/>
        <v>450013704620</v>
      </c>
      <c r="D193" s="4">
        <v>46281</v>
      </c>
      <c r="E193" s="3" t="s">
        <v>681</v>
      </c>
      <c r="F193" s="3" t="s">
        <v>701</v>
      </c>
    </row>
    <row r="194" spans="1:6" x14ac:dyDescent="0.3">
      <c r="A194" s="3" t="s">
        <v>359</v>
      </c>
      <c r="B194" s="3" t="s">
        <v>49</v>
      </c>
      <c r="C194" s="3" t="str">
        <f t="shared" si="2"/>
        <v>450013704630</v>
      </c>
      <c r="D194" s="4">
        <v>46281</v>
      </c>
      <c r="E194" s="3" t="s">
        <v>681</v>
      </c>
      <c r="F194" s="3" t="s">
        <v>701</v>
      </c>
    </row>
    <row r="195" spans="1:6" x14ac:dyDescent="0.3">
      <c r="A195" s="3" t="s">
        <v>359</v>
      </c>
      <c r="B195" s="3" t="s">
        <v>38</v>
      </c>
      <c r="C195" s="3" t="str">
        <f t="shared" ref="C195:C258" si="3">_xlfn.CONCAT(A195:B195)</f>
        <v>450013704640</v>
      </c>
      <c r="D195" s="4">
        <v>46281</v>
      </c>
      <c r="E195" s="3" t="s">
        <v>681</v>
      </c>
      <c r="F195" s="3" t="s">
        <v>701</v>
      </c>
    </row>
    <row r="196" spans="1:6" x14ac:dyDescent="0.3">
      <c r="A196" s="3" t="s">
        <v>359</v>
      </c>
      <c r="B196" s="3" t="s">
        <v>95</v>
      </c>
      <c r="C196" s="3" t="str">
        <f t="shared" si="3"/>
        <v>450013704660</v>
      </c>
      <c r="D196" s="4">
        <v>46280</v>
      </c>
      <c r="E196" s="3" t="s">
        <v>681</v>
      </c>
      <c r="F196" s="3" t="s">
        <v>701</v>
      </c>
    </row>
    <row r="197" spans="1:6" x14ac:dyDescent="0.3">
      <c r="A197" s="3" t="s">
        <v>84</v>
      </c>
      <c r="B197" s="3" t="s">
        <v>23</v>
      </c>
      <c r="C197" s="3" t="str">
        <f t="shared" si="3"/>
        <v>450013710710</v>
      </c>
      <c r="D197" s="4">
        <v>46282</v>
      </c>
      <c r="E197" s="3" t="s">
        <v>681</v>
      </c>
      <c r="F197" s="3" t="s">
        <v>698</v>
      </c>
    </row>
    <row r="198" spans="1:6" x14ac:dyDescent="0.3">
      <c r="A198" s="3" t="s">
        <v>169</v>
      </c>
      <c r="B198" s="3" t="s">
        <v>23</v>
      </c>
      <c r="C198" s="3" t="str">
        <f t="shared" si="3"/>
        <v>450013713010</v>
      </c>
      <c r="D198" s="4">
        <v>46287</v>
      </c>
      <c r="E198" s="3" t="s">
        <v>702</v>
      </c>
      <c r="F198" s="3" t="s">
        <v>751</v>
      </c>
    </row>
    <row r="199" spans="1:6" x14ac:dyDescent="0.3">
      <c r="A199" s="3" t="s">
        <v>169</v>
      </c>
      <c r="B199" s="3" t="s">
        <v>62</v>
      </c>
      <c r="C199" s="3" t="str">
        <f t="shared" si="3"/>
        <v>450013713020</v>
      </c>
      <c r="D199" s="4">
        <v>46287</v>
      </c>
      <c r="E199" s="3" t="s">
        <v>702</v>
      </c>
      <c r="F199" s="3" t="s">
        <v>751</v>
      </c>
    </row>
    <row r="200" spans="1:6" x14ac:dyDescent="0.3">
      <c r="A200" s="3" t="s">
        <v>411</v>
      </c>
      <c r="B200" s="3" t="s">
        <v>23</v>
      </c>
      <c r="C200" s="3" t="str">
        <f t="shared" si="3"/>
        <v>450013714610</v>
      </c>
      <c r="D200" s="4">
        <v>46280</v>
      </c>
      <c r="E200" s="3" t="s">
        <v>752</v>
      </c>
      <c r="F200" s="3" t="s">
        <v>753</v>
      </c>
    </row>
    <row r="201" spans="1:6" x14ac:dyDescent="0.3">
      <c r="A201" s="3" t="s">
        <v>79</v>
      </c>
      <c r="B201" s="3" t="s">
        <v>23</v>
      </c>
      <c r="C201" s="3" t="str">
        <f t="shared" si="3"/>
        <v>450013722710</v>
      </c>
      <c r="D201" s="4">
        <v>46325</v>
      </c>
      <c r="E201" s="3" t="s">
        <v>678</v>
      </c>
      <c r="F201" s="3" t="s">
        <v>679</v>
      </c>
    </row>
    <row r="202" spans="1:6" x14ac:dyDescent="0.3">
      <c r="A202" s="3" t="s">
        <v>552</v>
      </c>
      <c r="B202" s="3" t="s">
        <v>23</v>
      </c>
      <c r="C202" s="3" t="str">
        <f t="shared" si="3"/>
        <v>450013730110</v>
      </c>
      <c r="D202" s="4">
        <v>46289</v>
      </c>
      <c r="E202" s="3" t="s">
        <v>702</v>
      </c>
      <c r="F202" s="3" t="s">
        <v>729</v>
      </c>
    </row>
    <row r="203" spans="1:6" x14ac:dyDescent="0.3">
      <c r="A203" s="3" t="s">
        <v>552</v>
      </c>
      <c r="B203" s="3" t="s">
        <v>62</v>
      </c>
      <c r="C203" s="3" t="str">
        <f t="shared" si="3"/>
        <v>450013730120</v>
      </c>
      <c r="D203" s="4">
        <v>46289</v>
      </c>
      <c r="E203" s="3" t="s">
        <v>702</v>
      </c>
      <c r="F203" s="3" t="s">
        <v>729</v>
      </c>
    </row>
    <row r="204" spans="1:6" x14ac:dyDescent="0.3">
      <c r="A204" s="3" t="s">
        <v>552</v>
      </c>
      <c r="B204" s="3" t="s">
        <v>49</v>
      </c>
      <c r="C204" s="3" t="str">
        <f t="shared" si="3"/>
        <v>450013730130</v>
      </c>
      <c r="D204" s="4">
        <v>46297</v>
      </c>
      <c r="E204" s="3" t="s">
        <v>702</v>
      </c>
      <c r="F204" s="3" t="s">
        <v>729</v>
      </c>
    </row>
    <row r="205" spans="1:6" x14ac:dyDescent="0.3">
      <c r="A205" s="3" t="s">
        <v>552</v>
      </c>
      <c r="B205" s="3" t="s">
        <v>38</v>
      </c>
      <c r="C205" s="3" t="str">
        <f t="shared" si="3"/>
        <v>450013730140</v>
      </c>
      <c r="D205" s="4">
        <v>46289</v>
      </c>
      <c r="E205" s="3" t="s">
        <v>702</v>
      </c>
      <c r="F205" s="3" t="s">
        <v>729</v>
      </c>
    </row>
    <row r="206" spans="1:6" x14ac:dyDescent="0.3">
      <c r="A206" s="3" t="s">
        <v>187</v>
      </c>
      <c r="B206" s="3" t="s">
        <v>23</v>
      </c>
      <c r="C206" s="3" t="str">
        <f t="shared" si="3"/>
        <v>450013735310</v>
      </c>
      <c r="D206" s="4">
        <v>46269</v>
      </c>
      <c r="E206" s="3" t="s">
        <v>700</v>
      </c>
      <c r="F206" s="3" t="s">
        <v>754</v>
      </c>
    </row>
    <row r="207" spans="1:6" x14ac:dyDescent="0.3">
      <c r="A207" s="3" t="s">
        <v>118</v>
      </c>
      <c r="B207" s="3" t="s">
        <v>23</v>
      </c>
      <c r="C207" s="3" t="str">
        <f t="shared" si="3"/>
        <v>450013779910</v>
      </c>
      <c r="D207" s="4">
        <v>46286</v>
      </c>
      <c r="E207" s="3" t="s">
        <v>755</v>
      </c>
      <c r="F207" s="3" t="s">
        <v>756</v>
      </c>
    </row>
    <row r="208" spans="1:6" x14ac:dyDescent="0.3">
      <c r="A208" s="3" t="s">
        <v>118</v>
      </c>
      <c r="B208" s="3" t="s">
        <v>62</v>
      </c>
      <c r="C208" s="3" t="str">
        <f t="shared" si="3"/>
        <v>450013779920</v>
      </c>
      <c r="D208" s="4">
        <v>46286</v>
      </c>
      <c r="E208" s="3" t="s">
        <v>755</v>
      </c>
      <c r="F208" s="3" t="s">
        <v>756</v>
      </c>
    </row>
    <row r="209" spans="1:6" x14ac:dyDescent="0.3">
      <c r="A209" s="3" t="s">
        <v>118</v>
      </c>
      <c r="B209" s="3" t="s">
        <v>49</v>
      </c>
      <c r="C209" s="3" t="str">
        <f t="shared" si="3"/>
        <v>450013779930</v>
      </c>
      <c r="D209" s="4">
        <v>46286</v>
      </c>
      <c r="E209" s="3" t="s">
        <v>755</v>
      </c>
      <c r="F209" s="3" t="s">
        <v>756</v>
      </c>
    </row>
    <row r="210" spans="1:6" x14ac:dyDescent="0.3">
      <c r="A210" s="3" t="s">
        <v>182</v>
      </c>
      <c r="B210" s="3" t="s">
        <v>23</v>
      </c>
      <c r="C210" s="3" t="str">
        <f t="shared" si="3"/>
        <v>450013787810</v>
      </c>
      <c r="D210" s="4">
        <v>46284</v>
      </c>
      <c r="E210" s="3" t="s">
        <v>681</v>
      </c>
      <c r="F210" s="3" t="s">
        <v>742</v>
      </c>
    </row>
    <row r="211" spans="1:6" x14ac:dyDescent="0.3">
      <c r="A211" s="3" t="s">
        <v>182</v>
      </c>
      <c r="B211" s="3" t="s">
        <v>62</v>
      </c>
      <c r="C211" s="3" t="str">
        <f t="shared" si="3"/>
        <v>450013787820</v>
      </c>
      <c r="D211" s="4">
        <v>46283</v>
      </c>
      <c r="E211" s="3" t="s">
        <v>681</v>
      </c>
      <c r="F211" s="3" t="s">
        <v>742</v>
      </c>
    </row>
    <row r="212" spans="1:6" x14ac:dyDescent="0.3">
      <c r="A212" s="3" t="s">
        <v>182</v>
      </c>
      <c r="B212" s="3" t="s">
        <v>49</v>
      </c>
      <c r="C212" s="3" t="str">
        <f t="shared" si="3"/>
        <v>450013787830</v>
      </c>
      <c r="D212" s="4">
        <v>46283</v>
      </c>
      <c r="E212" s="3" t="s">
        <v>681</v>
      </c>
      <c r="F212" s="3" t="s">
        <v>742</v>
      </c>
    </row>
    <row r="213" spans="1:6" x14ac:dyDescent="0.3">
      <c r="A213" s="3" t="s">
        <v>399</v>
      </c>
      <c r="B213" s="3" t="s">
        <v>49</v>
      </c>
      <c r="C213" s="3" t="str">
        <f t="shared" si="3"/>
        <v>450013788630</v>
      </c>
      <c r="D213" s="4">
        <v>46283</v>
      </c>
      <c r="E213" s="3" t="s">
        <v>681</v>
      </c>
      <c r="F213" s="3" t="s">
        <v>699</v>
      </c>
    </row>
    <row r="214" spans="1:6" x14ac:dyDescent="0.3">
      <c r="A214" s="3" t="s">
        <v>399</v>
      </c>
      <c r="B214" s="3" t="s">
        <v>38</v>
      </c>
      <c r="C214" s="3" t="str">
        <f t="shared" si="3"/>
        <v>450013788640</v>
      </c>
      <c r="D214" s="4">
        <v>46299</v>
      </c>
      <c r="E214" s="3" t="s">
        <v>681</v>
      </c>
      <c r="F214" s="3" t="s">
        <v>699</v>
      </c>
    </row>
    <row r="215" spans="1:6" x14ac:dyDescent="0.3">
      <c r="A215" s="3" t="s">
        <v>399</v>
      </c>
      <c r="B215" s="3" t="s">
        <v>47</v>
      </c>
      <c r="C215" s="3" t="str">
        <f t="shared" si="3"/>
        <v>450013788650</v>
      </c>
      <c r="D215" s="4">
        <v>46283</v>
      </c>
      <c r="E215" s="3" t="s">
        <v>681</v>
      </c>
      <c r="F215" s="3" t="s">
        <v>699</v>
      </c>
    </row>
    <row r="216" spans="1:6" x14ac:dyDescent="0.3">
      <c r="A216" s="3" t="s">
        <v>399</v>
      </c>
      <c r="B216" s="3" t="s">
        <v>95</v>
      </c>
      <c r="C216" s="3" t="str">
        <f t="shared" si="3"/>
        <v>450013788660</v>
      </c>
      <c r="D216" s="4">
        <v>46283</v>
      </c>
      <c r="E216" s="3" t="s">
        <v>681</v>
      </c>
      <c r="F216" s="3" t="s">
        <v>699</v>
      </c>
    </row>
    <row r="217" spans="1:6" x14ac:dyDescent="0.3">
      <c r="A217" s="3" t="s">
        <v>392</v>
      </c>
      <c r="B217" s="3" t="s">
        <v>62</v>
      </c>
      <c r="C217" s="3" t="str">
        <f t="shared" si="3"/>
        <v>450013788820</v>
      </c>
      <c r="D217" s="4">
        <v>46283</v>
      </c>
      <c r="E217" s="3" t="s">
        <v>681</v>
      </c>
      <c r="F217" s="3" t="s">
        <v>757</v>
      </c>
    </row>
    <row r="218" spans="1:6" x14ac:dyDescent="0.3">
      <c r="A218" s="3" t="s">
        <v>163</v>
      </c>
      <c r="B218" s="3" t="s">
        <v>23</v>
      </c>
      <c r="C218" s="3" t="str">
        <f t="shared" si="3"/>
        <v>450013792210</v>
      </c>
      <c r="D218" s="4">
        <v>46287</v>
      </c>
      <c r="E218" s="3" t="s">
        <v>702</v>
      </c>
      <c r="F218" s="3" t="s">
        <v>758</v>
      </c>
    </row>
    <row r="219" spans="1:6" x14ac:dyDescent="0.3">
      <c r="A219" s="3" t="s">
        <v>134</v>
      </c>
      <c r="B219" s="3" t="s">
        <v>23</v>
      </c>
      <c r="C219" s="3" t="str">
        <f t="shared" si="3"/>
        <v>450013814710</v>
      </c>
      <c r="D219" s="4">
        <v>46283</v>
      </c>
      <c r="E219" s="3" t="s">
        <v>681</v>
      </c>
      <c r="F219" s="3" t="s">
        <v>757</v>
      </c>
    </row>
    <row r="220" spans="1:6" x14ac:dyDescent="0.3">
      <c r="A220" s="3" t="s">
        <v>416</v>
      </c>
      <c r="B220" s="3" t="s">
        <v>23</v>
      </c>
      <c r="C220" s="3" t="str">
        <f t="shared" si="3"/>
        <v>450013818210</v>
      </c>
      <c r="D220" s="4">
        <v>46295</v>
      </c>
      <c r="E220" s="3" t="s">
        <v>681</v>
      </c>
      <c r="F220" s="3" t="s">
        <v>699</v>
      </c>
    </row>
    <row r="221" spans="1:6" x14ac:dyDescent="0.3">
      <c r="A221" s="3" t="s">
        <v>416</v>
      </c>
      <c r="B221" s="3" t="s">
        <v>62</v>
      </c>
      <c r="C221" s="3" t="str">
        <f t="shared" si="3"/>
        <v>450013818220</v>
      </c>
      <c r="D221" s="4">
        <v>46295</v>
      </c>
      <c r="E221" s="3" t="s">
        <v>681</v>
      </c>
      <c r="F221" s="3" t="s">
        <v>699</v>
      </c>
    </row>
    <row r="222" spans="1:6" x14ac:dyDescent="0.3">
      <c r="A222" s="3" t="s">
        <v>423</v>
      </c>
      <c r="B222" s="3" t="s">
        <v>23</v>
      </c>
      <c r="C222" s="3" t="str">
        <f t="shared" si="3"/>
        <v>450013833910</v>
      </c>
      <c r="D222" s="4">
        <v>46288</v>
      </c>
      <c r="E222" s="3" t="s">
        <v>681</v>
      </c>
      <c r="F222" s="3" t="s">
        <v>756</v>
      </c>
    </row>
    <row r="223" spans="1:6" x14ac:dyDescent="0.3">
      <c r="A223" s="3" t="s">
        <v>423</v>
      </c>
      <c r="B223" s="3" t="s">
        <v>49</v>
      </c>
      <c r="C223" s="3" t="str">
        <f t="shared" si="3"/>
        <v>450013833930</v>
      </c>
      <c r="D223" s="4">
        <v>46286</v>
      </c>
      <c r="E223" s="3" t="s">
        <v>681</v>
      </c>
      <c r="F223" s="3" t="s">
        <v>756</v>
      </c>
    </row>
    <row r="224" spans="1:6" x14ac:dyDescent="0.3">
      <c r="A224" s="3" t="s">
        <v>507</v>
      </c>
      <c r="B224" s="3" t="s">
        <v>23</v>
      </c>
      <c r="C224" s="3" t="str">
        <f t="shared" si="3"/>
        <v>450013835810</v>
      </c>
      <c r="D224" s="4">
        <v>46283</v>
      </c>
      <c r="E224" s="3" t="s">
        <v>759</v>
      </c>
      <c r="F224" s="3" t="s">
        <v>760</v>
      </c>
    </row>
    <row r="225" spans="1:6" x14ac:dyDescent="0.3">
      <c r="A225" s="3" t="s">
        <v>108</v>
      </c>
      <c r="B225" s="3" t="s">
        <v>23</v>
      </c>
      <c r="C225" s="3" t="str">
        <f t="shared" si="3"/>
        <v>450013846410</v>
      </c>
      <c r="D225" s="4">
        <v>46285</v>
      </c>
      <c r="E225" s="3" t="s">
        <v>704</v>
      </c>
      <c r="F225" s="3" t="s">
        <v>699</v>
      </c>
    </row>
    <row r="226" spans="1:6" x14ac:dyDescent="0.3">
      <c r="A226" s="3" t="s">
        <v>144</v>
      </c>
      <c r="B226" s="3" t="s">
        <v>23</v>
      </c>
      <c r="C226" s="3" t="str">
        <f t="shared" si="3"/>
        <v>450013869110</v>
      </c>
      <c r="D226" s="4">
        <v>46290</v>
      </c>
      <c r="E226" s="3" t="s">
        <v>761</v>
      </c>
      <c r="F226" s="3" t="s">
        <v>762</v>
      </c>
    </row>
    <row r="227" spans="1:6" x14ac:dyDescent="0.3">
      <c r="A227" s="3" t="s">
        <v>144</v>
      </c>
      <c r="B227" s="3" t="s">
        <v>62</v>
      </c>
      <c r="C227" s="3" t="str">
        <f t="shared" si="3"/>
        <v>450013869120</v>
      </c>
      <c r="D227" s="4">
        <v>46290</v>
      </c>
      <c r="E227" s="3" t="s">
        <v>761</v>
      </c>
      <c r="F227" s="3" t="s">
        <v>762</v>
      </c>
    </row>
    <row r="228" spans="1:6" x14ac:dyDescent="0.3">
      <c r="A228" s="3" t="s">
        <v>144</v>
      </c>
      <c r="B228" s="3" t="s">
        <v>49</v>
      </c>
      <c r="C228" s="3" t="str">
        <f t="shared" si="3"/>
        <v>450013869130</v>
      </c>
      <c r="D228" s="4">
        <v>46290</v>
      </c>
      <c r="E228" s="3" t="s">
        <v>761</v>
      </c>
      <c r="F228" s="3" t="s">
        <v>762</v>
      </c>
    </row>
    <row r="229" spans="1:6" x14ac:dyDescent="0.3">
      <c r="A229" s="3" t="s">
        <v>144</v>
      </c>
      <c r="B229" s="3" t="s">
        <v>38</v>
      </c>
      <c r="C229" s="3" t="str">
        <f t="shared" si="3"/>
        <v>450013869140</v>
      </c>
      <c r="D229" s="4">
        <v>46290</v>
      </c>
      <c r="E229" s="3" t="s">
        <v>761</v>
      </c>
      <c r="F229" s="3" t="s">
        <v>762</v>
      </c>
    </row>
    <row r="230" spans="1:6" x14ac:dyDescent="0.3">
      <c r="A230" s="3" t="s">
        <v>144</v>
      </c>
      <c r="B230" s="3" t="s">
        <v>47</v>
      </c>
      <c r="C230" s="3" t="str">
        <f t="shared" si="3"/>
        <v>450013869150</v>
      </c>
      <c r="D230" s="4">
        <v>46290</v>
      </c>
      <c r="E230" s="3" t="s">
        <v>761</v>
      </c>
      <c r="F230" s="3" t="s">
        <v>762</v>
      </c>
    </row>
    <row r="231" spans="1:6" x14ac:dyDescent="0.3">
      <c r="A231" s="3" t="s">
        <v>144</v>
      </c>
      <c r="B231" s="3" t="s">
        <v>95</v>
      </c>
      <c r="C231" s="3" t="str">
        <f t="shared" si="3"/>
        <v>450013869160</v>
      </c>
      <c r="D231" s="4">
        <v>46290</v>
      </c>
      <c r="E231" s="3" t="s">
        <v>761</v>
      </c>
      <c r="F231" s="3" t="s">
        <v>762</v>
      </c>
    </row>
    <row r="232" spans="1:6" x14ac:dyDescent="0.3">
      <c r="A232" s="3" t="s">
        <v>144</v>
      </c>
      <c r="B232" s="3" t="s">
        <v>141</v>
      </c>
      <c r="C232" s="3" t="str">
        <f t="shared" si="3"/>
        <v>450013869170</v>
      </c>
      <c r="D232" s="4">
        <v>46290</v>
      </c>
      <c r="E232" s="3" t="s">
        <v>761</v>
      </c>
      <c r="F232" s="3" t="s">
        <v>762</v>
      </c>
    </row>
    <row r="233" spans="1:6" x14ac:dyDescent="0.3">
      <c r="A233" s="3" t="s">
        <v>144</v>
      </c>
      <c r="B233" s="3" t="s">
        <v>158</v>
      </c>
      <c r="C233" s="3" t="str">
        <f t="shared" si="3"/>
        <v>450013869190</v>
      </c>
      <c r="D233" s="4">
        <v>46290</v>
      </c>
      <c r="E233" s="3" t="s">
        <v>761</v>
      </c>
      <c r="F233" s="3" t="s">
        <v>762</v>
      </c>
    </row>
    <row r="234" spans="1:6" x14ac:dyDescent="0.3">
      <c r="A234" s="3" t="s">
        <v>144</v>
      </c>
      <c r="B234" s="3" t="s">
        <v>156</v>
      </c>
      <c r="C234" s="3" t="str">
        <f t="shared" si="3"/>
        <v>4500138691100</v>
      </c>
      <c r="D234" s="4">
        <v>46290</v>
      </c>
      <c r="E234" s="3" t="s">
        <v>761</v>
      </c>
      <c r="F234" s="3" t="s">
        <v>762</v>
      </c>
    </row>
    <row r="235" spans="1:6" x14ac:dyDescent="0.3">
      <c r="A235" s="3" t="s">
        <v>144</v>
      </c>
      <c r="B235" s="3" t="s">
        <v>148</v>
      </c>
      <c r="C235" s="3" t="str">
        <f t="shared" si="3"/>
        <v>4500138691110</v>
      </c>
      <c r="D235" s="4">
        <v>46290</v>
      </c>
      <c r="E235" s="3" t="s">
        <v>761</v>
      </c>
      <c r="F235" s="3" t="s">
        <v>762</v>
      </c>
    </row>
    <row r="236" spans="1:6" x14ac:dyDescent="0.3">
      <c r="A236" s="3" t="s">
        <v>144</v>
      </c>
      <c r="B236" s="3" t="s">
        <v>151</v>
      </c>
      <c r="C236" s="3" t="str">
        <f t="shared" si="3"/>
        <v>4500138691120</v>
      </c>
      <c r="D236" s="4">
        <v>46290</v>
      </c>
      <c r="E236" s="3" t="s">
        <v>761</v>
      </c>
      <c r="F236" s="3" t="s">
        <v>762</v>
      </c>
    </row>
    <row r="237" spans="1:6" x14ac:dyDescent="0.3">
      <c r="A237" s="3" t="s">
        <v>448</v>
      </c>
      <c r="B237" s="3" t="s">
        <v>23</v>
      </c>
      <c r="C237" s="3" t="str">
        <f t="shared" si="3"/>
        <v>450013885810</v>
      </c>
      <c r="D237" s="4">
        <v>46290</v>
      </c>
      <c r="E237" s="3" t="s">
        <v>681</v>
      </c>
      <c r="F237" s="3" t="s">
        <v>699</v>
      </c>
    </row>
    <row r="238" spans="1:6" x14ac:dyDescent="0.3">
      <c r="A238" s="3" t="s">
        <v>471</v>
      </c>
      <c r="B238" s="3" t="s">
        <v>23</v>
      </c>
      <c r="C238" s="3" t="str">
        <f t="shared" si="3"/>
        <v>450013886510</v>
      </c>
      <c r="D238" s="4">
        <v>46291</v>
      </c>
      <c r="E238" s="3" t="s">
        <v>681</v>
      </c>
      <c r="F238" s="3" t="s">
        <v>699</v>
      </c>
    </row>
    <row r="239" spans="1:6" x14ac:dyDescent="0.3">
      <c r="A239" s="3" t="s">
        <v>471</v>
      </c>
      <c r="B239" s="3" t="s">
        <v>62</v>
      </c>
      <c r="C239" s="3" t="str">
        <f t="shared" si="3"/>
        <v>450013886520</v>
      </c>
      <c r="D239" s="4">
        <v>46291</v>
      </c>
      <c r="E239" s="3" t="s">
        <v>681</v>
      </c>
      <c r="F239" s="3" t="s">
        <v>699</v>
      </c>
    </row>
    <row r="240" spans="1:6" x14ac:dyDescent="0.3">
      <c r="A240" s="3" t="s">
        <v>471</v>
      </c>
      <c r="B240" s="3" t="s">
        <v>49</v>
      </c>
      <c r="C240" s="3" t="str">
        <f t="shared" si="3"/>
        <v>450013886530</v>
      </c>
      <c r="D240" s="4">
        <v>46291</v>
      </c>
      <c r="E240" s="3" t="s">
        <v>681</v>
      </c>
      <c r="F240" s="3" t="s">
        <v>699</v>
      </c>
    </row>
    <row r="241" spans="1:6" x14ac:dyDescent="0.3">
      <c r="A241" s="3" t="s">
        <v>471</v>
      </c>
      <c r="B241" s="3" t="s">
        <v>38</v>
      </c>
      <c r="C241" s="3" t="str">
        <f t="shared" si="3"/>
        <v>450013886540</v>
      </c>
      <c r="D241" s="4">
        <v>46291</v>
      </c>
      <c r="E241" s="3" t="s">
        <v>681</v>
      </c>
      <c r="F241" s="3" t="s">
        <v>699</v>
      </c>
    </row>
    <row r="242" spans="1:6" x14ac:dyDescent="0.3">
      <c r="A242" s="3" t="s">
        <v>471</v>
      </c>
      <c r="B242" s="3" t="s">
        <v>47</v>
      </c>
      <c r="C242" s="3" t="str">
        <f t="shared" si="3"/>
        <v>450013886550</v>
      </c>
      <c r="D242" s="4">
        <v>46291</v>
      </c>
      <c r="E242" s="3" t="s">
        <v>681</v>
      </c>
      <c r="F242" s="3" t="s">
        <v>699</v>
      </c>
    </row>
    <row r="243" spans="1:6" x14ac:dyDescent="0.3">
      <c r="A243" s="3" t="s">
        <v>471</v>
      </c>
      <c r="B243" s="3" t="s">
        <v>95</v>
      </c>
      <c r="C243" s="3" t="str">
        <f t="shared" si="3"/>
        <v>450013886560</v>
      </c>
      <c r="D243" s="4">
        <v>46291</v>
      </c>
      <c r="E243" s="3" t="s">
        <v>681</v>
      </c>
      <c r="F243" s="3" t="s">
        <v>699</v>
      </c>
    </row>
    <row r="244" spans="1:6" x14ac:dyDescent="0.3">
      <c r="A244" s="3" t="s">
        <v>471</v>
      </c>
      <c r="B244" s="3" t="s">
        <v>141</v>
      </c>
      <c r="C244" s="3" t="str">
        <f t="shared" si="3"/>
        <v>450013886570</v>
      </c>
      <c r="D244" s="4">
        <v>46291</v>
      </c>
      <c r="E244" s="3" t="s">
        <v>681</v>
      </c>
      <c r="F244" s="3" t="s">
        <v>699</v>
      </c>
    </row>
    <row r="245" spans="1:6" x14ac:dyDescent="0.3">
      <c r="A245" s="3" t="s">
        <v>471</v>
      </c>
      <c r="B245" s="3" t="s">
        <v>351</v>
      </c>
      <c r="C245" s="3" t="str">
        <f t="shared" si="3"/>
        <v>450013886580</v>
      </c>
      <c r="D245" s="4">
        <v>46291</v>
      </c>
      <c r="E245" s="3" t="s">
        <v>681</v>
      </c>
      <c r="F245" s="3" t="s">
        <v>699</v>
      </c>
    </row>
    <row r="246" spans="1:6" x14ac:dyDescent="0.3">
      <c r="A246" s="3" t="s">
        <v>471</v>
      </c>
      <c r="B246" s="3" t="s">
        <v>158</v>
      </c>
      <c r="C246" s="3" t="str">
        <f t="shared" si="3"/>
        <v>450013886590</v>
      </c>
      <c r="D246" s="4">
        <v>46291</v>
      </c>
      <c r="E246" s="3" t="s">
        <v>681</v>
      </c>
      <c r="F246" s="3" t="s">
        <v>699</v>
      </c>
    </row>
    <row r="247" spans="1:6" x14ac:dyDescent="0.3">
      <c r="A247" s="3" t="s">
        <v>565</v>
      </c>
      <c r="B247" s="3" t="s">
        <v>23</v>
      </c>
      <c r="C247" s="3" t="str">
        <f t="shared" si="3"/>
        <v>450013886710</v>
      </c>
      <c r="D247" s="4">
        <v>46289</v>
      </c>
      <c r="E247" s="3" t="s">
        <v>700</v>
      </c>
      <c r="F247" s="3" t="s">
        <v>763</v>
      </c>
    </row>
    <row r="248" spans="1:6" x14ac:dyDescent="0.3">
      <c r="A248" s="3" t="s">
        <v>482</v>
      </c>
      <c r="B248" s="3" t="s">
        <v>23</v>
      </c>
      <c r="C248" s="3" t="str">
        <f t="shared" si="3"/>
        <v>450013886910</v>
      </c>
      <c r="D248" s="4">
        <v>46291</v>
      </c>
      <c r="E248" s="3" t="s">
        <v>681</v>
      </c>
      <c r="F248" s="3" t="s">
        <v>699</v>
      </c>
    </row>
    <row r="249" spans="1:6" x14ac:dyDescent="0.3">
      <c r="A249" s="3" t="s">
        <v>482</v>
      </c>
      <c r="B249" s="3" t="s">
        <v>62</v>
      </c>
      <c r="C249" s="3" t="str">
        <f t="shared" si="3"/>
        <v>450013886920</v>
      </c>
      <c r="D249" s="4">
        <v>46291</v>
      </c>
      <c r="E249" s="3" t="s">
        <v>681</v>
      </c>
      <c r="F249" s="3" t="s">
        <v>699</v>
      </c>
    </row>
    <row r="250" spans="1:6" x14ac:dyDescent="0.3">
      <c r="A250" s="3" t="s">
        <v>482</v>
      </c>
      <c r="B250" s="3" t="s">
        <v>49</v>
      </c>
      <c r="C250" s="3" t="str">
        <f t="shared" si="3"/>
        <v>450013886930</v>
      </c>
      <c r="D250" s="4">
        <v>46291</v>
      </c>
      <c r="E250" s="3" t="s">
        <v>681</v>
      </c>
      <c r="F250" s="3" t="s">
        <v>699</v>
      </c>
    </row>
    <row r="251" spans="1:6" x14ac:dyDescent="0.3">
      <c r="A251" s="3" t="s">
        <v>482</v>
      </c>
      <c r="B251" s="3" t="s">
        <v>38</v>
      </c>
      <c r="C251" s="3" t="str">
        <f t="shared" si="3"/>
        <v>450013886940</v>
      </c>
      <c r="D251" s="4">
        <v>46291</v>
      </c>
      <c r="E251" s="3" t="s">
        <v>681</v>
      </c>
      <c r="F251" s="3" t="s">
        <v>699</v>
      </c>
    </row>
    <row r="252" spans="1:6" x14ac:dyDescent="0.3">
      <c r="A252" s="3" t="s">
        <v>482</v>
      </c>
      <c r="B252" s="3" t="s">
        <v>47</v>
      </c>
      <c r="C252" s="3" t="str">
        <f t="shared" si="3"/>
        <v>450013886950</v>
      </c>
      <c r="D252" s="4">
        <v>46291</v>
      </c>
      <c r="E252" s="3" t="s">
        <v>681</v>
      </c>
      <c r="F252" s="3" t="s">
        <v>699</v>
      </c>
    </row>
    <row r="253" spans="1:6" x14ac:dyDescent="0.3">
      <c r="A253" s="3" t="s">
        <v>482</v>
      </c>
      <c r="B253" s="3" t="s">
        <v>95</v>
      </c>
      <c r="C253" s="3" t="str">
        <f t="shared" si="3"/>
        <v>450013886960</v>
      </c>
      <c r="D253" s="4">
        <v>46291</v>
      </c>
      <c r="E253" s="3" t="s">
        <v>681</v>
      </c>
      <c r="F253" s="3" t="s">
        <v>699</v>
      </c>
    </row>
    <row r="254" spans="1:6" x14ac:dyDescent="0.3">
      <c r="A254" s="3" t="s">
        <v>482</v>
      </c>
      <c r="B254" s="3" t="s">
        <v>141</v>
      </c>
      <c r="C254" s="3" t="str">
        <f t="shared" si="3"/>
        <v>450013886970</v>
      </c>
      <c r="D254" s="4">
        <v>46291</v>
      </c>
      <c r="E254" s="3" t="s">
        <v>681</v>
      </c>
      <c r="F254" s="3" t="s">
        <v>699</v>
      </c>
    </row>
    <row r="255" spans="1:6" x14ac:dyDescent="0.3">
      <c r="A255" s="3" t="s">
        <v>482</v>
      </c>
      <c r="B255" s="3" t="s">
        <v>351</v>
      </c>
      <c r="C255" s="3" t="str">
        <f t="shared" si="3"/>
        <v>450013886980</v>
      </c>
      <c r="D255" s="4">
        <v>46291</v>
      </c>
      <c r="E255" s="3" t="s">
        <v>681</v>
      </c>
      <c r="F255" s="3" t="s">
        <v>699</v>
      </c>
    </row>
    <row r="256" spans="1:6" x14ac:dyDescent="0.3">
      <c r="A256" s="3" t="s">
        <v>482</v>
      </c>
      <c r="B256" s="3" t="s">
        <v>158</v>
      </c>
      <c r="C256" s="3" t="str">
        <f t="shared" si="3"/>
        <v>450013886990</v>
      </c>
      <c r="D256" s="4">
        <v>46291</v>
      </c>
      <c r="E256" s="3" t="s">
        <v>681</v>
      </c>
      <c r="F256" s="3" t="s">
        <v>699</v>
      </c>
    </row>
    <row r="257" spans="1:6" x14ac:dyDescent="0.3">
      <c r="A257" s="3" t="s">
        <v>482</v>
      </c>
      <c r="B257" s="3" t="s">
        <v>156</v>
      </c>
      <c r="C257" s="3" t="str">
        <f t="shared" si="3"/>
        <v>4500138869100</v>
      </c>
      <c r="D257" s="4">
        <v>46291</v>
      </c>
      <c r="E257" s="3" t="s">
        <v>681</v>
      </c>
      <c r="F257" s="3" t="s">
        <v>699</v>
      </c>
    </row>
    <row r="258" spans="1:6" x14ac:dyDescent="0.3">
      <c r="A258" s="3" t="s">
        <v>482</v>
      </c>
      <c r="B258" s="3" t="s">
        <v>148</v>
      </c>
      <c r="C258" s="3" t="str">
        <f t="shared" si="3"/>
        <v>4500138869110</v>
      </c>
      <c r="D258" s="4">
        <v>46291</v>
      </c>
      <c r="E258" s="3" t="s">
        <v>681</v>
      </c>
      <c r="F258" s="3" t="s">
        <v>699</v>
      </c>
    </row>
    <row r="259" spans="1:6" x14ac:dyDescent="0.3">
      <c r="A259" s="3" t="s">
        <v>482</v>
      </c>
      <c r="B259" s="3" t="s">
        <v>151</v>
      </c>
      <c r="C259" s="3" t="str">
        <f t="shared" ref="C259:C322" si="4">_xlfn.CONCAT(A259:B259)</f>
        <v>4500138869120</v>
      </c>
      <c r="D259" s="4">
        <v>46291</v>
      </c>
      <c r="E259" s="3" t="s">
        <v>681</v>
      </c>
      <c r="F259" s="3" t="s">
        <v>699</v>
      </c>
    </row>
    <row r="260" spans="1:6" x14ac:dyDescent="0.3">
      <c r="A260" s="3" t="s">
        <v>482</v>
      </c>
      <c r="B260" s="3" t="s">
        <v>464</v>
      </c>
      <c r="C260" s="3" t="str">
        <f t="shared" si="4"/>
        <v>4500138869130</v>
      </c>
      <c r="D260" s="4">
        <v>46291</v>
      </c>
      <c r="E260" s="3" t="s">
        <v>681</v>
      </c>
      <c r="F260" s="3" t="s">
        <v>699</v>
      </c>
    </row>
    <row r="261" spans="1:6" x14ac:dyDescent="0.3">
      <c r="A261" s="3" t="s">
        <v>482</v>
      </c>
      <c r="B261" s="3" t="s">
        <v>466</v>
      </c>
      <c r="C261" s="3" t="str">
        <f t="shared" si="4"/>
        <v>4500138869140</v>
      </c>
      <c r="D261" s="4">
        <v>46291</v>
      </c>
      <c r="E261" s="3" t="s">
        <v>681</v>
      </c>
      <c r="F261" s="3" t="s">
        <v>699</v>
      </c>
    </row>
    <row r="262" spans="1:6" x14ac:dyDescent="0.3">
      <c r="A262" s="3" t="s">
        <v>482</v>
      </c>
      <c r="B262" s="3" t="s">
        <v>468</v>
      </c>
      <c r="C262" s="3" t="str">
        <f t="shared" si="4"/>
        <v>4500138869150</v>
      </c>
      <c r="D262" s="4">
        <v>46291</v>
      </c>
      <c r="E262" s="3" t="s">
        <v>681</v>
      </c>
      <c r="F262" s="3" t="s">
        <v>699</v>
      </c>
    </row>
    <row r="263" spans="1:6" x14ac:dyDescent="0.3">
      <c r="A263" s="3" t="s">
        <v>482</v>
      </c>
      <c r="B263" s="3" t="s">
        <v>498</v>
      </c>
      <c r="C263" s="3" t="str">
        <f t="shared" si="4"/>
        <v>4500138869160</v>
      </c>
      <c r="D263" s="4">
        <v>46291</v>
      </c>
      <c r="E263" s="3" t="s">
        <v>681</v>
      </c>
      <c r="F263" s="3" t="s">
        <v>699</v>
      </c>
    </row>
    <row r="264" spans="1:6" x14ac:dyDescent="0.3">
      <c r="A264" s="3" t="s">
        <v>451</v>
      </c>
      <c r="B264" s="3" t="s">
        <v>23</v>
      </c>
      <c r="C264" s="3" t="str">
        <f t="shared" si="4"/>
        <v>450013887510</v>
      </c>
      <c r="D264" s="4">
        <v>46291</v>
      </c>
      <c r="E264" s="3" t="s">
        <v>681</v>
      </c>
      <c r="F264" s="3" t="s">
        <v>699</v>
      </c>
    </row>
    <row r="265" spans="1:6" x14ac:dyDescent="0.3">
      <c r="A265" s="3" t="s">
        <v>451</v>
      </c>
      <c r="B265" s="3" t="s">
        <v>62</v>
      </c>
      <c r="C265" s="3" t="str">
        <f t="shared" si="4"/>
        <v>450013887520</v>
      </c>
      <c r="D265" s="4">
        <v>46291</v>
      </c>
      <c r="E265" s="3" t="s">
        <v>681</v>
      </c>
      <c r="F265" s="3" t="s">
        <v>699</v>
      </c>
    </row>
    <row r="266" spans="1:6" x14ac:dyDescent="0.3">
      <c r="A266" s="3" t="s">
        <v>451</v>
      </c>
      <c r="B266" s="3" t="s">
        <v>49</v>
      </c>
      <c r="C266" s="3" t="str">
        <f t="shared" si="4"/>
        <v>450013887530</v>
      </c>
      <c r="D266" s="4">
        <v>46291</v>
      </c>
      <c r="E266" s="3" t="s">
        <v>681</v>
      </c>
      <c r="F266" s="3" t="s">
        <v>699</v>
      </c>
    </row>
    <row r="267" spans="1:6" x14ac:dyDescent="0.3">
      <c r="A267" s="3" t="s">
        <v>451</v>
      </c>
      <c r="B267" s="3" t="s">
        <v>38</v>
      </c>
      <c r="C267" s="3" t="str">
        <f t="shared" si="4"/>
        <v>450013887540</v>
      </c>
      <c r="D267" s="4">
        <v>46291</v>
      </c>
      <c r="E267" s="3" t="s">
        <v>681</v>
      </c>
      <c r="F267" s="3" t="s">
        <v>699</v>
      </c>
    </row>
    <row r="268" spans="1:6" x14ac:dyDescent="0.3">
      <c r="A268" s="3" t="s">
        <v>451</v>
      </c>
      <c r="B268" s="3" t="s">
        <v>47</v>
      </c>
      <c r="C268" s="3" t="str">
        <f t="shared" si="4"/>
        <v>450013887550</v>
      </c>
      <c r="D268" s="4">
        <v>46291</v>
      </c>
      <c r="E268" s="3" t="s">
        <v>681</v>
      </c>
      <c r="F268" s="3" t="s">
        <v>699</v>
      </c>
    </row>
    <row r="269" spans="1:6" x14ac:dyDescent="0.3">
      <c r="A269" s="3" t="s">
        <v>451</v>
      </c>
      <c r="B269" s="3" t="s">
        <v>95</v>
      </c>
      <c r="C269" s="3" t="str">
        <f t="shared" si="4"/>
        <v>450013887560</v>
      </c>
      <c r="D269" s="4">
        <v>46291</v>
      </c>
      <c r="E269" s="3" t="s">
        <v>681</v>
      </c>
      <c r="F269" s="3" t="s">
        <v>699</v>
      </c>
    </row>
    <row r="270" spans="1:6" x14ac:dyDescent="0.3">
      <c r="A270" s="3" t="s">
        <v>451</v>
      </c>
      <c r="B270" s="3" t="s">
        <v>141</v>
      </c>
      <c r="C270" s="3" t="str">
        <f t="shared" si="4"/>
        <v>450013887570</v>
      </c>
      <c r="D270" s="4">
        <v>46291</v>
      </c>
      <c r="E270" s="3" t="s">
        <v>681</v>
      </c>
      <c r="F270" s="3" t="s">
        <v>699</v>
      </c>
    </row>
    <row r="271" spans="1:6" x14ac:dyDescent="0.3">
      <c r="A271" s="3" t="s">
        <v>451</v>
      </c>
      <c r="B271" s="3" t="s">
        <v>351</v>
      </c>
      <c r="C271" s="3" t="str">
        <f t="shared" si="4"/>
        <v>450013887580</v>
      </c>
      <c r="D271" s="4">
        <v>46291</v>
      </c>
      <c r="E271" s="3" t="s">
        <v>681</v>
      </c>
      <c r="F271" s="3" t="s">
        <v>699</v>
      </c>
    </row>
    <row r="272" spans="1:6" x14ac:dyDescent="0.3">
      <c r="A272" s="3" t="s">
        <v>451</v>
      </c>
      <c r="B272" s="3" t="s">
        <v>158</v>
      </c>
      <c r="C272" s="3" t="str">
        <f t="shared" si="4"/>
        <v>450013887590</v>
      </c>
      <c r="D272" s="4">
        <v>46291</v>
      </c>
      <c r="E272" s="3" t="s">
        <v>681</v>
      </c>
      <c r="F272" s="3" t="s">
        <v>699</v>
      </c>
    </row>
    <row r="273" spans="1:6" x14ac:dyDescent="0.3">
      <c r="A273" s="3" t="s">
        <v>451</v>
      </c>
      <c r="B273" s="3" t="s">
        <v>156</v>
      </c>
      <c r="C273" s="3" t="str">
        <f t="shared" si="4"/>
        <v>4500138875100</v>
      </c>
      <c r="D273" s="4">
        <v>46291</v>
      </c>
      <c r="E273" s="3" t="s">
        <v>681</v>
      </c>
      <c r="F273" s="3" t="s">
        <v>699</v>
      </c>
    </row>
    <row r="274" spans="1:6" x14ac:dyDescent="0.3">
      <c r="A274" s="3" t="s">
        <v>451</v>
      </c>
      <c r="B274" s="3" t="s">
        <v>148</v>
      </c>
      <c r="C274" s="3" t="str">
        <f t="shared" si="4"/>
        <v>4500138875110</v>
      </c>
      <c r="D274" s="4">
        <v>46291</v>
      </c>
      <c r="E274" s="3" t="s">
        <v>681</v>
      </c>
      <c r="F274" s="3" t="s">
        <v>699</v>
      </c>
    </row>
    <row r="275" spans="1:6" x14ac:dyDescent="0.3">
      <c r="A275" s="3" t="s">
        <v>451</v>
      </c>
      <c r="B275" s="3" t="s">
        <v>151</v>
      </c>
      <c r="C275" s="3" t="str">
        <f t="shared" si="4"/>
        <v>4500138875120</v>
      </c>
      <c r="D275" s="4">
        <v>46291</v>
      </c>
      <c r="E275" s="3" t="s">
        <v>681</v>
      </c>
      <c r="F275" s="3" t="s">
        <v>699</v>
      </c>
    </row>
    <row r="276" spans="1:6" x14ac:dyDescent="0.3">
      <c r="A276" s="3" t="s">
        <v>451</v>
      </c>
      <c r="B276" s="3" t="s">
        <v>464</v>
      </c>
      <c r="C276" s="3" t="str">
        <f t="shared" si="4"/>
        <v>4500138875130</v>
      </c>
      <c r="D276" s="4">
        <v>46291</v>
      </c>
      <c r="E276" s="3" t="s">
        <v>681</v>
      </c>
      <c r="F276" s="3" t="s">
        <v>699</v>
      </c>
    </row>
    <row r="277" spans="1:6" x14ac:dyDescent="0.3">
      <c r="A277" s="3" t="s">
        <v>451</v>
      </c>
      <c r="B277" s="3" t="s">
        <v>466</v>
      </c>
      <c r="C277" s="3" t="str">
        <f t="shared" si="4"/>
        <v>4500138875140</v>
      </c>
      <c r="D277" s="4">
        <v>46291</v>
      </c>
      <c r="E277" s="3" t="s">
        <v>681</v>
      </c>
      <c r="F277" s="3" t="s">
        <v>699</v>
      </c>
    </row>
    <row r="278" spans="1:6" x14ac:dyDescent="0.3">
      <c r="A278" s="3" t="s">
        <v>451</v>
      </c>
      <c r="B278" s="3" t="s">
        <v>468</v>
      </c>
      <c r="C278" s="3" t="str">
        <f t="shared" si="4"/>
        <v>4500138875150</v>
      </c>
      <c r="D278" s="4">
        <v>46291</v>
      </c>
      <c r="E278" s="3" t="s">
        <v>681</v>
      </c>
      <c r="F278" s="3" t="s">
        <v>699</v>
      </c>
    </row>
    <row r="279" spans="1:6" x14ac:dyDescent="0.3">
      <c r="A279" s="3" t="s">
        <v>519</v>
      </c>
      <c r="B279" s="3" t="s">
        <v>62</v>
      </c>
      <c r="C279" s="3" t="str">
        <f t="shared" si="4"/>
        <v>450013897620</v>
      </c>
      <c r="D279" s="4">
        <v>46293</v>
      </c>
      <c r="E279" s="3" t="s">
        <v>681</v>
      </c>
      <c r="F279" s="3" t="s">
        <v>764</v>
      </c>
    </row>
    <row r="280" spans="1:6" x14ac:dyDescent="0.3">
      <c r="A280" s="3" t="s">
        <v>173</v>
      </c>
      <c r="B280" s="3" t="s">
        <v>23</v>
      </c>
      <c r="C280" s="3" t="str">
        <f t="shared" si="4"/>
        <v>450013900410</v>
      </c>
      <c r="D280" s="4">
        <v>46289</v>
      </c>
      <c r="E280" s="3" t="s">
        <v>678</v>
      </c>
      <c r="F280" s="3" t="s">
        <v>765</v>
      </c>
    </row>
    <row r="281" spans="1:6" x14ac:dyDescent="0.3">
      <c r="A281" s="3" t="s">
        <v>173</v>
      </c>
      <c r="B281" s="3" t="s">
        <v>62</v>
      </c>
      <c r="C281" s="3" t="str">
        <f t="shared" si="4"/>
        <v>450013900420</v>
      </c>
      <c r="D281" s="4">
        <v>46289</v>
      </c>
      <c r="E281" s="3" t="s">
        <v>678</v>
      </c>
      <c r="F281" s="3" t="s">
        <v>765</v>
      </c>
    </row>
    <row r="282" spans="1:6" x14ac:dyDescent="0.3">
      <c r="A282" s="3" t="s">
        <v>173</v>
      </c>
      <c r="B282" s="3" t="s">
        <v>49</v>
      </c>
      <c r="C282" s="3" t="str">
        <f t="shared" si="4"/>
        <v>450013900430</v>
      </c>
      <c r="D282" s="4">
        <v>46289</v>
      </c>
      <c r="E282" s="3" t="s">
        <v>678</v>
      </c>
      <c r="F282" s="3" t="s">
        <v>765</v>
      </c>
    </row>
    <row r="283" spans="1:6" x14ac:dyDescent="0.3">
      <c r="A283" s="3" t="s">
        <v>137</v>
      </c>
      <c r="B283" s="3" t="s">
        <v>23</v>
      </c>
      <c r="C283" s="3" t="str">
        <f t="shared" si="4"/>
        <v>450013901110</v>
      </c>
      <c r="D283" s="4">
        <v>46303</v>
      </c>
      <c r="E283" s="3" t="s">
        <v>681</v>
      </c>
      <c r="F283" s="3" t="s">
        <v>766</v>
      </c>
    </row>
    <row r="284" spans="1:6" x14ac:dyDescent="0.3">
      <c r="A284" s="3" t="s">
        <v>510</v>
      </c>
      <c r="B284" s="3" t="s">
        <v>23</v>
      </c>
      <c r="C284" s="3" t="str">
        <f t="shared" si="4"/>
        <v>450013906210</v>
      </c>
      <c r="D284" s="4">
        <v>46294</v>
      </c>
      <c r="E284" s="3" t="s">
        <v>743</v>
      </c>
      <c r="F284" s="3" t="s">
        <v>767</v>
      </c>
    </row>
    <row r="285" spans="1:6" x14ac:dyDescent="0.3">
      <c r="A285" s="3" t="s">
        <v>510</v>
      </c>
      <c r="B285" s="3" t="s">
        <v>62</v>
      </c>
      <c r="C285" s="3" t="str">
        <f t="shared" si="4"/>
        <v>450013906220</v>
      </c>
      <c r="D285" s="4">
        <v>46294</v>
      </c>
      <c r="E285" s="3" t="s">
        <v>743</v>
      </c>
      <c r="F285" s="3" t="s">
        <v>767</v>
      </c>
    </row>
    <row r="286" spans="1:6" x14ac:dyDescent="0.3">
      <c r="A286" s="3" t="s">
        <v>510</v>
      </c>
      <c r="B286" s="3" t="s">
        <v>49</v>
      </c>
      <c r="C286" s="3" t="str">
        <f t="shared" si="4"/>
        <v>450013906230</v>
      </c>
      <c r="D286" s="4">
        <v>46294</v>
      </c>
      <c r="E286" s="3" t="s">
        <v>743</v>
      </c>
      <c r="F286" s="3" t="s">
        <v>767</v>
      </c>
    </row>
    <row r="287" spans="1:6" x14ac:dyDescent="0.3">
      <c r="A287" s="3" t="s">
        <v>510</v>
      </c>
      <c r="B287" s="3" t="s">
        <v>38</v>
      </c>
      <c r="C287" s="3" t="str">
        <f t="shared" si="4"/>
        <v>450013906240</v>
      </c>
      <c r="D287" s="4">
        <v>46294</v>
      </c>
      <c r="E287" s="3" t="s">
        <v>743</v>
      </c>
      <c r="F287" s="3" t="s">
        <v>767</v>
      </c>
    </row>
    <row r="288" spans="1:6" x14ac:dyDescent="0.3">
      <c r="A288" s="3" t="s">
        <v>516</v>
      </c>
      <c r="B288" s="3" t="s">
        <v>23</v>
      </c>
      <c r="C288" s="3" t="str">
        <f t="shared" si="4"/>
        <v>450013915110</v>
      </c>
      <c r="D288" s="4">
        <v>46293</v>
      </c>
      <c r="E288" s="3" t="s">
        <v>681</v>
      </c>
      <c r="F288" s="3" t="s">
        <v>756</v>
      </c>
    </row>
    <row r="289" spans="1:6" x14ac:dyDescent="0.3">
      <c r="A289" s="3" t="s">
        <v>542</v>
      </c>
      <c r="B289" s="3" t="s">
        <v>23</v>
      </c>
      <c r="C289" s="3" t="str">
        <f t="shared" si="4"/>
        <v>450013916410</v>
      </c>
      <c r="D289" s="4">
        <v>46298</v>
      </c>
      <c r="E289" s="3" t="s">
        <v>743</v>
      </c>
      <c r="F289" s="3" t="s">
        <v>739</v>
      </c>
    </row>
    <row r="290" spans="1:6" x14ac:dyDescent="0.3">
      <c r="A290" s="3" t="s">
        <v>542</v>
      </c>
      <c r="B290" s="3" t="s">
        <v>62</v>
      </c>
      <c r="C290" s="3" t="str">
        <f t="shared" si="4"/>
        <v>450013916420</v>
      </c>
      <c r="D290" s="4">
        <v>46298</v>
      </c>
      <c r="E290" s="3" t="s">
        <v>743</v>
      </c>
      <c r="F290" s="3" t="s">
        <v>739</v>
      </c>
    </row>
    <row r="291" spans="1:6" x14ac:dyDescent="0.3">
      <c r="A291" s="3" t="s">
        <v>101</v>
      </c>
      <c r="B291" s="3" t="s">
        <v>23</v>
      </c>
      <c r="C291" s="3" t="str">
        <f t="shared" si="4"/>
        <v>450013917510</v>
      </c>
      <c r="D291" s="4">
        <v>46290</v>
      </c>
      <c r="E291" s="3" t="s">
        <v>678</v>
      </c>
      <c r="F291" s="3" t="s">
        <v>680</v>
      </c>
    </row>
    <row r="292" spans="1:6" x14ac:dyDescent="0.3">
      <c r="A292" s="3" t="s">
        <v>528</v>
      </c>
      <c r="B292" s="3" t="s">
        <v>351</v>
      </c>
      <c r="C292" s="3" t="str">
        <f t="shared" si="4"/>
        <v>450013919880</v>
      </c>
      <c r="D292" s="4">
        <v>46298</v>
      </c>
      <c r="E292" s="3" t="s">
        <v>681</v>
      </c>
      <c r="F292" s="3" t="s">
        <v>742</v>
      </c>
    </row>
    <row r="293" spans="1:6" x14ac:dyDescent="0.3">
      <c r="A293" s="3" t="s">
        <v>525</v>
      </c>
      <c r="B293" s="3" t="s">
        <v>23</v>
      </c>
      <c r="C293" s="3" t="str">
        <f t="shared" si="4"/>
        <v>450013921510</v>
      </c>
      <c r="D293" s="4">
        <v>46295</v>
      </c>
      <c r="E293" s="3" t="s">
        <v>681</v>
      </c>
      <c r="F293" s="3" t="s">
        <v>768</v>
      </c>
    </row>
    <row r="294" spans="1:6" x14ac:dyDescent="0.3">
      <c r="A294" s="3" t="s">
        <v>586</v>
      </c>
      <c r="B294" s="3" t="s">
        <v>23</v>
      </c>
      <c r="C294" s="3" t="str">
        <f t="shared" si="4"/>
        <v>450013923110</v>
      </c>
      <c r="D294" s="4">
        <v>46307</v>
      </c>
      <c r="E294" s="3" t="s">
        <v>731</v>
      </c>
      <c r="F294" s="3" t="s">
        <v>729</v>
      </c>
    </row>
    <row r="295" spans="1:6" x14ac:dyDescent="0.3">
      <c r="A295" s="3" t="s">
        <v>586</v>
      </c>
      <c r="B295" s="3" t="s">
        <v>62</v>
      </c>
      <c r="C295" s="3" t="str">
        <f t="shared" si="4"/>
        <v>450013923120</v>
      </c>
      <c r="D295" s="4">
        <v>46307</v>
      </c>
      <c r="E295" s="3" t="s">
        <v>731</v>
      </c>
      <c r="F295" s="3" t="s">
        <v>729</v>
      </c>
    </row>
    <row r="296" spans="1:6" x14ac:dyDescent="0.3">
      <c r="A296" s="3" t="s">
        <v>531</v>
      </c>
      <c r="B296" s="3" t="s">
        <v>23</v>
      </c>
      <c r="C296" s="3" t="str">
        <f t="shared" si="4"/>
        <v>450013926110</v>
      </c>
      <c r="D296" s="4">
        <v>46295</v>
      </c>
      <c r="E296" s="3" t="s">
        <v>681</v>
      </c>
      <c r="F296" s="3" t="s">
        <v>768</v>
      </c>
    </row>
    <row r="297" spans="1:6" x14ac:dyDescent="0.3">
      <c r="A297" s="3" t="s">
        <v>536</v>
      </c>
      <c r="B297" s="3" t="s">
        <v>23</v>
      </c>
      <c r="C297" s="3" t="str">
        <f t="shared" si="4"/>
        <v>450013928110</v>
      </c>
      <c r="D297" s="4">
        <v>46285</v>
      </c>
      <c r="E297" s="3" t="s">
        <v>681</v>
      </c>
      <c r="F297" s="3" t="s">
        <v>768</v>
      </c>
    </row>
    <row r="298" spans="1:6" x14ac:dyDescent="0.3">
      <c r="A298" s="3" t="s">
        <v>539</v>
      </c>
      <c r="B298" s="3" t="s">
        <v>23</v>
      </c>
      <c r="C298" s="3" t="str">
        <f t="shared" si="4"/>
        <v>450013928210</v>
      </c>
      <c r="D298" s="4">
        <v>46285</v>
      </c>
      <c r="E298" s="3" t="s">
        <v>681</v>
      </c>
      <c r="F298" s="3" t="s">
        <v>768</v>
      </c>
    </row>
    <row r="299" spans="1:6" x14ac:dyDescent="0.3">
      <c r="A299" s="3" t="s">
        <v>557</v>
      </c>
      <c r="B299" s="3" t="s">
        <v>23</v>
      </c>
      <c r="C299" s="3" t="str">
        <f t="shared" si="4"/>
        <v>450013928510</v>
      </c>
      <c r="D299" s="4">
        <v>46293</v>
      </c>
      <c r="E299" s="3" t="s">
        <v>681</v>
      </c>
      <c r="F299" s="3" t="s">
        <v>701</v>
      </c>
    </row>
    <row r="300" spans="1:6" x14ac:dyDescent="0.3">
      <c r="A300" s="3" t="s">
        <v>557</v>
      </c>
      <c r="B300" s="3" t="s">
        <v>141</v>
      </c>
      <c r="C300" s="3" t="str">
        <f t="shared" si="4"/>
        <v>450013928570</v>
      </c>
      <c r="D300" s="4">
        <v>46290</v>
      </c>
      <c r="E300" s="3" t="s">
        <v>681</v>
      </c>
      <c r="F300" s="3" t="s">
        <v>701</v>
      </c>
    </row>
    <row r="301" spans="1:6" x14ac:dyDescent="0.3">
      <c r="A301" s="3" t="s">
        <v>641</v>
      </c>
      <c r="B301" s="3" t="s">
        <v>23</v>
      </c>
      <c r="C301" s="3" t="str">
        <f t="shared" si="4"/>
        <v>450013929310</v>
      </c>
      <c r="D301" s="4">
        <v>46295</v>
      </c>
      <c r="E301" s="3" t="s">
        <v>700</v>
      </c>
      <c r="F301" s="3" t="s">
        <v>699</v>
      </c>
    </row>
    <row r="302" spans="1:6" x14ac:dyDescent="0.3">
      <c r="A302" s="3" t="s">
        <v>546</v>
      </c>
      <c r="B302" s="3" t="s">
        <v>62</v>
      </c>
      <c r="C302" s="3" t="str">
        <f t="shared" si="4"/>
        <v>450013930220</v>
      </c>
      <c r="D302" s="4">
        <v>46295</v>
      </c>
      <c r="E302" s="3" t="s">
        <v>681</v>
      </c>
      <c r="F302" s="3" t="s">
        <v>699</v>
      </c>
    </row>
    <row r="303" spans="1:6" x14ac:dyDescent="0.3">
      <c r="A303" s="3" t="s">
        <v>546</v>
      </c>
      <c r="B303" s="3" t="s">
        <v>156</v>
      </c>
      <c r="C303" s="3" t="str">
        <f t="shared" si="4"/>
        <v>4500139302100</v>
      </c>
      <c r="D303" s="4">
        <v>46307</v>
      </c>
      <c r="E303" s="3" t="s">
        <v>681</v>
      </c>
      <c r="F303" s="3" t="s">
        <v>699</v>
      </c>
    </row>
    <row r="304" spans="1:6" x14ac:dyDescent="0.3">
      <c r="A304" s="3" t="s">
        <v>546</v>
      </c>
      <c r="B304" s="3" t="s">
        <v>148</v>
      </c>
      <c r="C304" s="3" t="str">
        <f t="shared" si="4"/>
        <v>4500139302110</v>
      </c>
      <c r="D304" s="4">
        <v>46304</v>
      </c>
      <c r="E304" s="3" t="s">
        <v>681</v>
      </c>
      <c r="F304" s="3" t="s">
        <v>699</v>
      </c>
    </row>
    <row r="305" spans="1:6" x14ac:dyDescent="0.3">
      <c r="A305" s="3" t="s">
        <v>546</v>
      </c>
      <c r="B305" s="3" t="s">
        <v>151</v>
      </c>
      <c r="C305" s="3" t="str">
        <f t="shared" si="4"/>
        <v>4500139302120</v>
      </c>
      <c r="D305" s="4">
        <v>46304</v>
      </c>
      <c r="E305" s="3" t="s">
        <v>681</v>
      </c>
      <c r="F305" s="3" t="s">
        <v>699</v>
      </c>
    </row>
    <row r="306" spans="1:6" x14ac:dyDescent="0.3">
      <c r="A306" s="3" t="s">
        <v>123</v>
      </c>
      <c r="B306" s="3" t="s">
        <v>23</v>
      </c>
      <c r="C306" s="3" t="str">
        <f t="shared" si="4"/>
        <v>450013932510</v>
      </c>
      <c r="D306" s="4">
        <v>46304</v>
      </c>
      <c r="E306" s="3" t="s">
        <v>755</v>
      </c>
      <c r="F306" s="3" t="s">
        <v>756</v>
      </c>
    </row>
    <row r="307" spans="1:6" x14ac:dyDescent="0.3">
      <c r="A307" s="3" t="s">
        <v>123</v>
      </c>
      <c r="B307" s="3" t="s">
        <v>62</v>
      </c>
      <c r="C307" s="3" t="str">
        <f t="shared" si="4"/>
        <v>450013932520</v>
      </c>
      <c r="D307" s="4">
        <v>46304</v>
      </c>
      <c r="E307" s="3" t="s">
        <v>755</v>
      </c>
      <c r="F307" s="3" t="s">
        <v>756</v>
      </c>
    </row>
    <row r="308" spans="1:6" x14ac:dyDescent="0.3">
      <c r="A308" s="3" t="s">
        <v>123</v>
      </c>
      <c r="B308" s="3" t="s">
        <v>49</v>
      </c>
      <c r="C308" s="3" t="str">
        <f t="shared" si="4"/>
        <v>450013932530</v>
      </c>
      <c r="D308" s="4">
        <v>46304</v>
      </c>
      <c r="E308" s="3" t="s">
        <v>755</v>
      </c>
      <c r="F308" s="3" t="s">
        <v>756</v>
      </c>
    </row>
    <row r="309" spans="1:6" x14ac:dyDescent="0.3">
      <c r="A309" s="3" t="s">
        <v>123</v>
      </c>
      <c r="B309" s="3" t="s">
        <v>38</v>
      </c>
      <c r="C309" s="3" t="str">
        <f t="shared" si="4"/>
        <v>450013932540</v>
      </c>
      <c r="D309" s="4">
        <v>46304</v>
      </c>
      <c r="E309" s="3" t="s">
        <v>755</v>
      </c>
      <c r="F309" s="3" t="s">
        <v>756</v>
      </c>
    </row>
    <row r="310" spans="1:6" x14ac:dyDescent="0.3">
      <c r="A310" s="3" t="s">
        <v>123</v>
      </c>
      <c r="B310" s="3" t="s">
        <v>47</v>
      </c>
      <c r="C310" s="3" t="str">
        <f t="shared" si="4"/>
        <v>450013932550</v>
      </c>
      <c r="D310" s="4">
        <v>46304</v>
      </c>
      <c r="E310" s="3" t="s">
        <v>755</v>
      </c>
      <c r="F310" s="3" t="s">
        <v>756</v>
      </c>
    </row>
    <row r="311" spans="1:6" x14ac:dyDescent="0.3">
      <c r="A311" s="3" t="s">
        <v>192</v>
      </c>
      <c r="B311" s="3" t="s">
        <v>23</v>
      </c>
      <c r="C311" s="3" t="str">
        <f t="shared" si="4"/>
        <v>450013933810</v>
      </c>
      <c r="D311" s="4">
        <v>46304</v>
      </c>
      <c r="E311" s="3" t="s">
        <v>769</v>
      </c>
      <c r="F311" s="3" t="s">
        <v>770</v>
      </c>
    </row>
    <row r="312" spans="1:6" x14ac:dyDescent="0.3">
      <c r="A312" s="3" t="s">
        <v>595</v>
      </c>
      <c r="B312" s="3" t="s">
        <v>23</v>
      </c>
      <c r="C312" s="3" t="str">
        <f t="shared" si="4"/>
        <v>450013937910</v>
      </c>
      <c r="D312" s="4">
        <v>46296</v>
      </c>
      <c r="E312" s="3" t="s">
        <v>681</v>
      </c>
      <c r="F312" s="3" t="s">
        <v>741</v>
      </c>
    </row>
    <row r="313" spans="1:6" x14ac:dyDescent="0.3">
      <c r="A313" s="3" t="s">
        <v>592</v>
      </c>
      <c r="B313" s="3" t="s">
        <v>23</v>
      </c>
      <c r="C313" s="3" t="str">
        <f t="shared" si="4"/>
        <v>450013943710</v>
      </c>
      <c r="D313" s="4">
        <v>46304</v>
      </c>
      <c r="E313" s="3" t="s">
        <v>695</v>
      </c>
      <c r="F313" s="3" t="s">
        <v>703</v>
      </c>
    </row>
    <row r="314" spans="1:6" x14ac:dyDescent="0.3">
      <c r="A314" s="3" t="s">
        <v>105</v>
      </c>
      <c r="B314" s="3" t="s">
        <v>23</v>
      </c>
      <c r="C314" s="3" t="str">
        <f t="shared" si="4"/>
        <v>450013959810</v>
      </c>
      <c r="D314" s="4">
        <v>46294</v>
      </c>
      <c r="E314" s="3" t="s">
        <v>688</v>
      </c>
      <c r="F314" s="3" t="s">
        <v>690</v>
      </c>
    </row>
    <row r="315" spans="1:6" x14ac:dyDescent="0.3">
      <c r="A315" s="3" t="s">
        <v>581</v>
      </c>
      <c r="B315" s="3" t="s">
        <v>23</v>
      </c>
      <c r="C315" s="3" t="str">
        <f t="shared" si="4"/>
        <v>450013962010</v>
      </c>
      <c r="D315" s="4">
        <v>46297</v>
      </c>
      <c r="E315" s="3" t="s">
        <v>681</v>
      </c>
      <c r="F315" s="3" t="s">
        <v>766</v>
      </c>
    </row>
    <row r="316" spans="1:6" x14ac:dyDescent="0.3">
      <c r="A316" s="3" t="s">
        <v>130</v>
      </c>
      <c r="B316" s="3" t="s">
        <v>23</v>
      </c>
      <c r="C316" s="3" t="str">
        <f t="shared" si="4"/>
        <v>450013967010</v>
      </c>
      <c r="D316" s="4">
        <v>46304</v>
      </c>
      <c r="E316" s="3" t="s">
        <v>704</v>
      </c>
      <c r="F316" s="3" t="s">
        <v>750</v>
      </c>
    </row>
    <row r="317" spans="1:6" x14ac:dyDescent="0.3">
      <c r="A317" s="3" t="s">
        <v>130</v>
      </c>
      <c r="B317" s="3" t="s">
        <v>62</v>
      </c>
      <c r="C317" s="3" t="str">
        <f t="shared" si="4"/>
        <v>450013967020</v>
      </c>
      <c r="D317" s="4">
        <v>46304</v>
      </c>
      <c r="E317" s="3" t="s">
        <v>704</v>
      </c>
      <c r="F317" s="3" t="s">
        <v>750</v>
      </c>
    </row>
    <row r="318" spans="1:6" x14ac:dyDescent="0.3">
      <c r="A318" s="3" t="s">
        <v>195</v>
      </c>
      <c r="B318" s="3" t="s">
        <v>23</v>
      </c>
      <c r="C318" s="3" t="str">
        <f t="shared" si="4"/>
        <v>450013973110</v>
      </c>
      <c r="D318" s="4">
        <v>46304</v>
      </c>
      <c r="E318" s="3" t="s">
        <v>704</v>
      </c>
      <c r="F318" s="3" t="s">
        <v>699</v>
      </c>
    </row>
    <row r="319" spans="1:6" x14ac:dyDescent="0.3">
      <c r="A319" s="3" t="s">
        <v>630</v>
      </c>
      <c r="B319" s="3" t="s">
        <v>23</v>
      </c>
      <c r="C319" s="3" t="str">
        <f t="shared" si="4"/>
        <v>450013981610</v>
      </c>
      <c r="D319" s="4">
        <v>46318</v>
      </c>
      <c r="E319" s="3" t="s">
        <v>704</v>
      </c>
      <c r="F319" s="3" t="s">
        <v>699</v>
      </c>
    </row>
    <row r="320" spans="1:6" x14ac:dyDescent="0.3">
      <c r="A320" s="3" t="s">
        <v>670</v>
      </c>
      <c r="B320" s="3" t="s">
        <v>23</v>
      </c>
      <c r="C320" s="3" t="str">
        <f t="shared" si="4"/>
        <v>450013984510</v>
      </c>
      <c r="D320" s="4">
        <v>46304</v>
      </c>
      <c r="E320" s="3" t="s">
        <v>681</v>
      </c>
      <c r="F320" s="3" t="s">
        <v>771</v>
      </c>
    </row>
    <row r="321" spans="1:6" x14ac:dyDescent="0.3">
      <c r="A321" s="3" t="s">
        <v>598</v>
      </c>
      <c r="B321" s="3" t="s">
        <v>23</v>
      </c>
      <c r="C321" s="3" t="str">
        <f t="shared" si="4"/>
        <v>450013985310</v>
      </c>
      <c r="D321" s="4">
        <v>46295</v>
      </c>
      <c r="E321" s="3" t="s">
        <v>681</v>
      </c>
      <c r="F321" s="3" t="s">
        <v>738</v>
      </c>
    </row>
    <row r="322" spans="1:6" x14ac:dyDescent="0.3">
      <c r="A322" s="3" t="s">
        <v>606</v>
      </c>
      <c r="B322" s="3" t="s">
        <v>351</v>
      </c>
      <c r="C322" s="3" t="str">
        <f t="shared" si="4"/>
        <v>450013987880</v>
      </c>
      <c r="D322" s="4">
        <v>46300</v>
      </c>
      <c r="E322" s="3" t="s">
        <v>681</v>
      </c>
      <c r="F322" s="3" t="s">
        <v>756</v>
      </c>
    </row>
    <row r="323" spans="1:6" x14ac:dyDescent="0.3">
      <c r="A323" s="3" t="s">
        <v>606</v>
      </c>
      <c r="B323" s="3" t="s">
        <v>158</v>
      </c>
      <c r="C323" s="3" t="str">
        <f t="shared" ref="C323:C332" si="5">_xlfn.CONCAT(A323:B323)</f>
        <v>450013987890</v>
      </c>
      <c r="D323" s="4">
        <v>46300</v>
      </c>
      <c r="E323" s="3" t="s">
        <v>681</v>
      </c>
      <c r="F323" s="3" t="s">
        <v>756</v>
      </c>
    </row>
    <row r="324" spans="1:6" x14ac:dyDescent="0.3">
      <c r="A324" s="3" t="s">
        <v>140</v>
      </c>
      <c r="B324" s="3" t="s">
        <v>141</v>
      </c>
      <c r="C324" s="3" t="str">
        <f t="shared" si="5"/>
        <v>450013988670</v>
      </c>
      <c r="D324" s="4">
        <v>46300</v>
      </c>
      <c r="E324" s="3" t="s">
        <v>681</v>
      </c>
      <c r="F324" s="3" t="s">
        <v>764</v>
      </c>
    </row>
    <row r="325" spans="1:6" x14ac:dyDescent="0.3">
      <c r="A325" s="3" t="s">
        <v>644</v>
      </c>
      <c r="B325" s="3" t="s">
        <v>23</v>
      </c>
      <c r="C325" s="3" t="str">
        <f t="shared" si="5"/>
        <v>450014001110</v>
      </c>
      <c r="D325" s="4">
        <v>46300</v>
      </c>
      <c r="E325" s="3" t="s">
        <v>681</v>
      </c>
      <c r="F325" s="3" t="s">
        <v>699</v>
      </c>
    </row>
    <row r="326" spans="1:6" x14ac:dyDescent="0.3">
      <c r="A326" s="3" t="s">
        <v>644</v>
      </c>
      <c r="B326" s="3" t="s">
        <v>49</v>
      </c>
      <c r="C326" s="3" t="str">
        <f t="shared" si="5"/>
        <v>450014001130</v>
      </c>
      <c r="D326" s="4">
        <v>46300</v>
      </c>
      <c r="E326" s="3" t="s">
        <v>681</v>
      </c>
      <c r="F326" s="3" t="s">
        <v>699</v>
      </c>
    </row>
    <row r="327" spans="1:6" x14ac:dyDescent="0.3">
      <c r="A327" s="3" t="s">
        <v>644</v>
      </c>
      <c r="B327" s="3" t="s">
        <v>38</v>
      </c>
      <c r="C327" s="3" t="str">
        <f t="shared" si="5"/>
        <v>450014001140</v>
      </c>
      <c r="D327" s="4">
        <v>46300</v>
      </c>
      <c r="E327" s="3" t="s">
        <v>681</v>
      </c>
      <c r="F327" s="3" t="s">
        <v>699</v>
      </c>
    </row>
    <row r="328" spans="1:6" x14ac:dyDescent="0.3">
      <c r="A328" s="3" t="s">
        <v>644</v>
      </c>
      <c r="B328" s="3" t="s">
        <v>47</v>
      </c>
      <c r="C328" s="3" t="str">
        <f t="shared" si="5"/>
        <v>450014001150</v>
      </c>
      <c r="D328" s="4">
        <v>46300</v>
      </c>
      <c r="E328" s="3" t="s">
        <v>681</v>
      </c>
      <c r="F328" s="3" t="s">
        <v>699</v>
      </c>
    </row>
    <row r="329" spans="1:6" x14ac:dyDescent="0.3">
      <c r="A329" s="3" t="s">
        <v>644</v>
      </c>
      <c r="B329" s="3" t="s">
        <v>95</v>
      </c>
      <c r="C329" s="3" t="str">
        <f t="shared" si="5"/>
        <v>450014001160</v>
      </c>
      <c r="D329" s="4">
        <v>46300</v>
      </c>
      <c r="E329" s="3" t="s">
        <v>681</v>
      </c>
      <c r="F329" s="3" t="s">
        <v>699</v>
      </c>
    </row>
    <row r="330" spans="1:6" x14ac:dyDescent="0.3">
      <c r="A330" s="3" t="s">
        <v>644</v>
      </c>
      <c r="B330" s="3" t="s">
        <v>466</v>
      </c>
      <c r="C330" s="3" t="str">
        <f t="shared" si="5"/>
        <v>4500140011140</v>
      </c>
      <c r="D330" s="4">
        <v>46300</v>
      </c>
      <c r="E330" s="3" t="s">
        <v>681</v>
      </c>
      <c r="F330" s="3" t="s">
        <v>699</v>
      </c>
    </row>
    <row r="331" spans="1:6" x14ac:dyDescent="0.3">
      <c r="A331" s="3" t="s">
        <v>633</v>
      </c>
      <c r="B331" s="3" t="s">
        <v>156</v>
      </c>
      <c r="C331" s="3" t="str">
        <f t="shared" si="5"/>
        <v>4500140013100</v>
      </c>
      <c r="D331" s="4">
        <v>46300</v>
      </c>
      <c r="E331" s="3" t="s">
        <v>681</v>
      </c>
      <c r="F331" s="3" t="s">
        <v>772</v>
      </c>
    </row>
    <row r="332" spans="1:6" x14ac:dyDescent="0.3">
      <c r="A332" s="3" t="s">
        <v>633</v>
      </c>
      <c r="B332" s="3" t="s">
        <v>148</v>
      </c>
      <c r="C332" s="3" t="str">
        <f t="shared" si="5"/>
        <v>4500140013110</v>
      </c>
      <c r="D332" s="4">
        <v>46300</v>
      </c>
      <c r="E332" s="3" t="s">
        <v>681</v>
      </c>
      <c r="F332" s="3" t="s">
        <v>772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2026-10-05T19:02:33Z</dcterms:created>
  <dcterms:modified xsi:type="dcterms:W3CDTF">2026-10-05T19:30:51Z</dcterms:modified>
  <cp:category/>
</cp:coreProperties>
</file>