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.benitez\Desktop\PARTIDAS ABIERTAS\"/>
    </mc:Choice>
  </mc:AlternateContent>
  <xr:revisionPtr revIDLastSave="0" documentId="13_ncr:1_{805B18BB-A9B9-476C-800F-EC02883833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Hoja2" sheetId="3" r:id="rId2"/>
    <sheet name="Hoja1" sheetId="2" r:id="rId3"/>
  </sheets>
  <definedNames>
    <definedName name="_xlnm._FilterDatabase" localSheetId="0" hidden="1">Data!$A$1:$T$745</definedName>
    <definedName name="_xlnm._FilterDatabase" localSheetId="1" hidden="1">Hoja2!$A$1:$D$899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0" i="3" l="1"/>
  <c r="C901" i="3"/>
  <c r="C902" i="3"/>
  <c r="C903" i="3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P563" i="1"/>
  <c r="Q563" i="1" s="1" a="1"/>
  <c r="P564" i="1"/>
  <c r="Q564" i="1" s="1" a="1"/>
  <c r="P565" i="1"/>
  <c r="Q565" i="1" s="1" a="1"/>
  <c r="P566" i="1"/>
  <c r="Q566" i="1" s="1" a="1"/>
  <c r="P567" i="1"/>
  <c r="Q567" i="1" s="1" a="1"/>
  <c r="P568" i="1"/>
  <c r="Q568" i="1" s="1" a="1"/>
  <c r="P569" i="1"/>
  <c r="Q569" i="1" s="1" a="1"/>
  <c r="P570" i="1"/>
  <c r="Q570" i="1" s="1" a="1"/>
  <c r="P571" i="1"/>
  <c r="Q571" i="1" s="1" a="1"/>
  <c r="P572" i="1"/>
  <c r="Q572" i="1" s="1" a="1"/>
  <c r="P573" i="1"/>
  <c r="Q573" i="1" s="1" a="1"/>
  <c r="P574" i="1"/>
  <c r="Q574" i="1" s="1" a="1"/>
  <c r="P575" i="1"/>
  <c r="Q575" i="1" s="1" a="1"/>
  <c r="P576" i="1"/>
  <c r="Q576" i="1" s="1" a="1"/>
  <c r="P577" i="1"/>
  <c r="Q577" i="1" s="1" a="1"/>
  <c r="P578" i="1"/>
  <c r="Q578" i="1" s="1" a="1"/>
  <c r="P579" i="1"/>
  <c r="Q579" i="1" s="1" a="1"/>
  <c r="P580" i="1"/>
  <c r="Q580" i="1" s="1" a="1"/>
  <c r="P581" i="1"/>
  <c r="Q581" i="1" s="1" a="1"/>
  <c r="P582" i="1"/>
  <c r="Q582" i="1" s="1" a="1"/>
  <c r="P583" i="1"/>
  <c r="Q583" i="1" s="1" a="1"/>
  <c r="P584" i="1"/>
  <c r="Q584" i="1" s="1" a="1"/>
  <c r="P585" i="1"/>
  <c r="Q585" i="1" s="1" a="1"/>
  <c r="P586" i="1"/>
  <c r="Q586" i="1" s="1" a="1"/>
  <c r="P587" i="1"/>
  <c r="Q587" i="1" s="1" a="1"/>
  <c r="P588" i="1"/>
  <c r="Q588" i="1" s="1" a="1"/>
  <c r="P589" i="1"/>
  <c r="Q589" i="1" s="1" a="1"/>
  <c r="P590" i="1"/>
  <c r="Q590" i="1" s="1" a="1"/>
  <c r="P591" i="1"/>
  <c r="Q591" i="1" s="1" a="1"/>
  <c r="P592" i="1"/>
  <c r="Q592" i="1" s="1" a="1"/>
  <c r="P593" i="1"/>
  <c r="Q593" i="1" s="1" a="1"/>
  <c r="P594" i="1"/>
  <c r="Q594" i="1" s="1" a="1"/>
  <c r="P595" i="1"/>
  <c r="Q595" i="1" s="1" a="1"/>
  <c r="P596" i="1"/>
  <c r="Q596" i="1" s="1" a="1"/>
  <c r="P597" i="1"/>
  <c r="Q597" i="1" s="1" a="1"/>
  <c r="P598" i="1"/>
  <c r="Q598" i="1" s="1" a="1"/>
  <c r="P599" i="1"/>
  <c r="Q599" i="1" s="1" a="1"/>
  <c r="P600" i="1"/>
  <c r="Q600" i="1" s="1" a="1"/>
  <c r="P601" i="1"/>
  <c r="Q601" i="1" s="1" a="1"/>
  <c r="P602" i="1"/>
  <c r="Q602" i="1" s="1" a="1"/>
  <c r="P603" i="1"/>
  <c r="Q603" i="1" s="1" a="1"/>
  <c r="P604" i="1"/>
  <c r="Q604" i="1" s="1" a="1"/>
  <c r="P605" i="1"/>
  <c r="Q605" i="1" s="1" a="1"/>
  <c r="P606" i="1"/>
  <c r="Q606" i="1" s="1" a="1"/>
  <c r="P607" i="1"/>
  <c r="Q607" i="1" s="1" a="1"/>
  <c r="P608" i="1"/>
  <c r="Q608" i="1" s="1" a="1"/>
  <c r="P609" i="1"/>
  <c r="Q609" i="1" s="1" a="1"/>
  <c r="P610" i="1"/>
  <c r="Q610" i="1" s="1" a="1"/>
  <c r="P611" i="1"/>
  <c r="Q611" i="1" s="1" a="1"/>
  <c r="P612" i="1"/>
  <c r="Q612" i="1" s="1" a="1"/>
  <c r="P613" i="1"/>
  <c r="Q613" i="1" s="1" a="1"/>
  <c r="P614" i="1"/>
  <c r="Q614" i="1" s="1" a="1"/>
  <c r="P615" i="1"/>
  <c r="Q615" i="1" s="1" a="1"/>
  <c r="P616" i="1"/>
  <c r="Q616" i="1" s="1" a="1"/>
  <c r="P617" i="1"/>
  <c r="Q617" i="1" s="1" a="1"/>
  <c r="P618" i="1"/>
  <c r="Q618" i="1" s="1" a="1"/>
  <c r="P619" i="1"/>
  <c r="Q619" i="1" s="1" a="1"/>
  <c r="P620" i="1"/>
  <c r="Q620" i="1" s="1" a="1"/>
  <c r="P621" i="1"/>
  <c r="Q621" i="1" s="1" a="1"/>
  <c r="P622" i="1"/>
  <c r="Q622" i="1" s="1" a="1"/>
  <c r="P623" i="1"/>
  <c r="Q623" i="1" s="1" a="1"/>
  <c r="P624" i="1"/>
  <c r="Q624" i="1" s="1" a="1"/>
  <c r="P625" i="1"/>
  <c r="Q625" i="1" s="1" a="1"/>
  <c r="P626" i="1"/>
  <c r="Q626" i="1" s="1" a="1"/>
  <c r="P627" i="1"/>
  <c r="Q627" i="1" s="1" a="1"/>
  <c r="P628" i="1"/>
  <c r="Q628" i="1" s="1" a="1"/>
  <c r="P629" i="1"/>
  <c r="Q629" i="1" s="1" a="1"/>
  <c r="P630" i="1"/>
  <c r="Q630" i="1" s="1" a="1"/>
  <c r="P631" i="1"/>
  <c r="Q631" i="1" s="1" a="1"/>
  <c r="P632" i="1"/>
  <c r="Q632" i="1" s="1" a="1"/>
  <c r="P633" i="1"/>
  <c r="Q633" i="1" s="1" a="1"/>
  <c r="P634" i="1"/>
  <c r="Q634" i="1" s="1" a="1"/>
  <c r="P635" i="1"/>
  <c r="Q635" i="1" s="1" a="1"/>
  <c r="P636" i="1"/>
  <c r="Q636" i="1" s="1" a="1"/>
  <c r="P637" i="1"/>
  <c r="Q637" i="1" s="1" a="1"/>
  <c r="P638" i="1"/>
  <c r="Q638" i="1" s="1" a="1"/>
  <c r="P639" i="1"/>
  <c r="Q639" i="1" s="1" a="1"/>
  <c r="P640" i="1"/>
  <c r="Q640" i="1" s="1" a="1"/>
  <c r="P641" i="1"/>
  <c r="Q641" i="1" s="1" a="1"/>
  <c r="P642" i="1"/>
  <c r="Q642" i="1" s="1" a="1"/>
  <c r="P643" i="1"/>
  <c r="Q643" i="1" s="1" a="1"/>
  <c r="P644" i="1"/>
  <c r="Q644" i="1" s="1" a="1"/>
  <c r="P645" i="1"/>
  <c r="Q645" i="1" s="1" a="1"/>
  <c r="P646" i="1"/>
  <c r="Q646" i="1" s="1" a="1"/>
  <c r="P647" i="1"/>
  <c r="Q647" i="1" s="1" a="1"/>
  <c r="P648" i="1"/>
  <c r="Q648" i="1" s="1" a="1"/>
  <c r="P649" i="1"/>
  <c r="Q649" i="1" s="1" a="1"/>
  <c r="P650" i="1"/>
  <c r="Q650" i="1" s="1" a="1"/>
  <c r="P651" i="1"/>
  <c r="Q651" i="1" s="1" a="1"/>
  <c r="P652" i="1"/>
  <c r="Q652" i="1" s="1" a="1"/>
  <c r="P653" i="1"/>
  <c r="Q653" i="1" s="1" a="1"/>
  <c r="P654" i="1"/>
  <c r="Q654" i="1" s="1" a="1"/>
  <c r="P655" i="1"/>
  <c r="Q655" i="1" s="1" a="1"/>
  <c r="P656" i="1"/>
  <c r="Q656" i="1" s="1" a="1"/>
  <c r="P657" i="1"/>
  <c r="Q657" i="1" s="1" a="1"/>
  <c r="P658" i="1"/>
  <c r="Q658" i="1" s="1" a="1"/>
  <c r="P659" i="1"/>
  <c r="Q659" i="1" s="1" a="1"/>
  <c r="P660" i="1"/>
  <c r="Q660" i="1" s="1" a="1"/>
  <c r="P661" i="1"/>
  <c r="Q661" i="1" s="1" a="1"/>
  <c r="P662" i="1"/>
  <c r="Q662" i="1" s="1" a="1"/>
  <c r="P663" i="1"/>
  <c r="Q663" i="1" s="1" a="1"/>
  <c r="P664" i="1"/>
  <c r="Q664" i="1" s="1" a="1"/>
  <c r="P665" i="1"/>
  <c r="Q665" i="1" s="1" a="1"/>
  <c r="P666" i="1"/>
  <c r="Q666" i="1" s="1" a="1"/>
  <c r="P667" i="1"/>
  <c r="Q667" i="1" s="1" a="1"/>
  <c r="P668" i="1"/>
  <c r="Q668" i="1" s="1" a="1"/>
  <c r="P669" i="1"/>
  <c r="Q669" i="1" s="1" a="1"/>
  <c r="P670" i="1"/>
  <c r="Q670" i="1" s="1" a="1"/>
  <c r="P671" i="1"/>
  <c r="Q671" i="1" s="1" a="1"/>
  <c r="P672" i="1"/>
  <c r="Q672" i="1" s="1" a="1"/>
  <c r="P673" i="1"/>
  <c r="Q673" i="1" s="1" a="1"/>
  <c r="P674" i="1"/>
  <c r="Q674" i="1" s="1" a="1"/>
  <c r="P675" i="1"/>
  <c r="Q675" i="1" s="1" a="1"/>
  <c r="P676" i="1"/>
  <c r="Q676" i="1" s="1" a="1"/>
  <c r="P677" i="1"/>
  <c r="Q677" i="1" s="1" a="1"/>
  <c r="P678" i="1"/>
  <c r="Q678" i="1" s="1" a="1"/>
  <c r="P679" i="1"/>
  <c r="Q679" i="1" s="1" a="1"/>
  <c r="P680" i="1"/>
  <c r="Q680" i="1" s="1" a="1"/>
  <c r="P681" i="1"/>
  <c r="Q681" i="1" s="1" a="1"/>
  <c r="P682" i="1"/>
  <c r="Q682" i="1" s="1" a="1"/>
  <c r="P683" i="1"/>
  <c r="Q683" i="1" s="1" a="1"/>
  <c r="P684" i="1"/>
  <c r="Q684" i="1" s="1" a="1"/>
  <c r="P685" i="1"/>
  <c r="Q685" i="1" s="1" a="1"/>
  <c r="P686" i="1"/>
  <c r="Q686" i="1" s="1" a="1"/>
  <c r="P687" i="1"/>
  <c r="Q687" i="1" s="1" a="1"/>
  <c r="P688" i="1"/>
  <c r="Q688" i="1" s="1" a="1"/>
  <c r="P689" i="1"/>
  <c r="Q689" i="1" s="1" a="1"/>
  <c r="P690" i="1"/>
  <c r="Q690" i="1" s="1" a="1"/>
  <c r="P691" i="1"/>
  <c r="Q691" i="1" s="1" a="1"/>
  <c r="P692" i="1"/>
  <c r="Q692" i="1" s="1" a="1"/>
  <c r="P693" i="1"/>
  <c r="Q693" i="1" s="1" a="1"/>
  <c r="P694" i="1"/>
  <c r="Q694" i="1" s="1" a="1"/>
  <c r="P695" i="1"/>
  <c r="Q695" i="1" s="1" a="1"/>
  <c r="P696" i="1"/>
  <c r="Q696" i="1" s="1" a="1"/>
  <c r="P697" i="1"/>
  <c r="Q697" i="1" s="1" a="1"/>
  <c r="P698" i="1"/>
  <c r="Q698" i="1" s="1" a="1"/>
  <c r="P699" i="1"/>
  <c r="Q699" i="1" s="1" a="1"/>
  <c r="P700" i="1"/>
  <c r="Q700" i="1" s="1" a="1"/>
  <c r="P701" i="1"/>
  <c r="Q701" i="1" s="1" a="1"/>
  <c r="P702" i="1"/>
  <c r="Q702" i="1" s="1" a="1"/>
  <c r="P703" i="1"/>
  <c r="Q703" i="1" s="1" a="1"/>
  <c r="P704" i="1"/>
  <c r="Q704" i="1" s="1" a="1"/>
  <c r="P705" i="1"/>
  <c r="Q705" i="1" s="1" a="1"/>
  <c r="P706" i="1"/>
  <c r="Q706" i="1" s="1" a="1"/>
  <c r="P707" i="1"/>
  <c r="Q707" i="1" s="1" a="1"/>
  <c r="P708" i="1"/>
  <c r="Q708" i="1" s="1" a="1"/>
  <c r="P709" i="1"/>
  <c r="Q709" i="1" s="1" a="1"/>
  <c r="P710" i="1"/>
  <c r="Q710" i="1" s="1" a="1"/>
  <c r="P711" i="1"/>
  <c r="Q711" i="1" s="1" a="1"/>
  <c r="P712" i="1"/>
  <c r="Q712" i="1" s="1" a="1"/>
  <c r="P713" i="1"/>
  <c r="Q713" i="1" s="1" a="1"/>
  <c r="P714" i="1"/>
  <c r="Q714" i="1" s="1" a="1"/>
  <c r="P715" i="1"/>
  <c r="Q715" i="1" s="1" a="1"/>
  <c r="P716" i="1"/>
  <c r="Q716" i="1" s="1" a="1"/>
  <c r="P717" i="1"/>
  <c r="Q717" i="1" s="1" a="1"/>
  <c r="P718" i="1"/>
  <c r="Q718" i="1" s="1" a="1"/>
  <c r="P719" i="1"/>
  <c r="Q719" i="1" s="1" a="1"/>
  <c r="P720" i="1"/>
  <c r="Q720" i="1" s="1" a="1"/>
  <c r="P721" i="1"/>
  <c r="Q721" i="1" s="1" a="1"/>
  <c r="P722" i="1"/>
  <c r="Q722" i="1" s="1" a="1"/>
  <c r="P723" i="1"/>
  <c r="Q723" i="1" s="1" a="1"/>
  <c r="P724" i="1"/>
  <c r="Q724" i="1" s="1" a="1"/>
  <c r="P725" i="1"/>
  <c r="Q725" i="1" s="1" a="1"/>
  <c r="P726" i="1"/>
  <c r="Q726" i="1" s="1" a="1"/>
  <c r="P727" i="1"/>
  <c r="Q727" i="1" s="1" a="1"/>
  <c r="P728" i="1"/>
  <c r="Q728" i="1" s="1" a="1"/>
  <c r="P729" i="1"/>
  <c r="Q729" i="1" s="1" a="1"/>
  <c r="P730" i="1"/>
  <c r="Q730" i="1" s="1" a="1"/>
  <c r="P731" i="1"/>
  <c r="Q731" i="1" s="1" a="1"/>
  <c r="P732" i="1"/>
  <c r="Q732" i="1" s="1" a="1"/>
  <c r="P733" i="1"/>
  <c r="Q733" i="1" s="1" a="1"/>
  <c r="P734" i="1"/>
  <c r="Q734" i="1" s="1" a="1"/>
  <c r="P735" i="1"/>
  <c r="Q735" i="1" s="1" a="1"/>
  <c r="P736" i="1"/>
  <c r="Q736" i="1" s="1" a="1"/>
  <c r="P737" i="1"/>
  <c r="Q737" i="1" s="1" a="1"/>
  <c r="P738" i="1"/>
  <c r="Q738" i="1" s="1" a="1"/>
  <c r="P739" i="1"/>
  <c r="Q739" i="1" s="1" a="1"/>
  <c r="P740" i="1"/>
  <c r="Q740" i="1" s="1" a="1"/>
  <c r="P741" i="1"/>
  <c r="Q741" i="1" s="1" a="1"/>
  <c r="P742" i="1"/>
  <c r="Q742" i="1" s="1" a="1"/>
  <c r="P743" i="1"/>
  <c r="Q743" i="1" s="1" a="1"/>
  <c r="P744" i="1"/>
  <c r="Q744" i="1" s="1" a="1"/>
  <c r="P745" i="1"/>
  <c r="Q745" i="1" s="1" a="1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2" i="3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2" i="1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T3" i="1" l="1"/>
  <c r="Q3" i="1" a="1"/>
  <c r="T4" i="1"/>
  <c r="Q4" i="1" a="1"/>
  <c r="T5" i="1"/>
  <c r="Q5" i="1" a="1"/>
  <c r="T6" i="1"/>
  <c r="Q6" i="1" a="1"/>
  <c r="T7" i="1"/>
  <c r="Q7" i="1" a="1"/>
  <c r="T8" i="1"/>
  <c r="Q8" i="1" a="1"/>
  <c r="T9" i="1"/>
  <c r="Q9" i="1" a="1"/>
  <c r="T10" i="1"/>
  <c r="Q10" i="1" a="1"/>
  <c r="T11" i="1"/>
  <c r="Q11" i="1" a="1"/>
  <c r="T12" i="1"/>
  <c r="Q12" i="1" a="1"/>
  <c r="T13" i="1"/>
  <c r="Q13" i="1" a="1"/>
  <c r="T14" i="1"/>
  <c r="Q14" i="1" a="1"/>
  <c r="T15" i="1"/>
  <c r="Q15" i="1" a="1"/>
  <c r="Q16" i="1" a="1"/>
  <c r="T16" i="1"/>
  <c r="T17" i="1"/>
  <c r="Q17" i="1" a="1"/>
  <c r="Q18" i="1" a="1"/>
  <c r="T18" i="1"/>
  <c r="Q19" i="1" a="1"/>
  <c r="T19" i="1"/>
  <c r="Q20" i="1" a="1"/>
  <c r="T20" i="1"/>
  <c r="Q21" i="1" a="1"/>
  <c r="T21" i="1"/>
  <c r="T22" i="1"/>
  <c r="Q22" i="1" a="1"/>
  <c r="T23" i="1"/>
  <c r="Q23" i="1" a="1"/>
  <c r="T24" i="1"/>
  <c r="Q24" i="1" a="1"/>
  <c r="T25" i="1"/>
  <c r="Q25" i="1" a="1"/>
  <c r="T26" i="1"/>
  <c r="Q26" i="1" a="1"/>
  <c r="T27" i="1"/>
  <c r="Q27" i="1" a="1"/>
  <c r="T28" i="1"/>
  <c r="Q28" i="1" a="1"/>
  <c r="Q29" i="1" a="1"/>
  <c r="T29" i="1"/>
  <c r="Q30" i="1" a="1"/>
  <c r="T30" i="1"/>
  <c r="Q31" i="1" a="1"/>
  <c r="T31" i="1"/>
  <c r="Q32" i="1" a="1"/>
  <c r="T32" i="1"/>
  <c r="T33" i="1"/>
  <c r="Q33" i="1" a="1"/>
  <c r="T34" i="1"/>
  <c r="Q34" i="1" a="1"/>
  <c r="T35" i="1"/>
  <c r="Q35" i="1" a="1"/>
  <c r="T36" i="1"/>
  <c r="Q36" i="1" a="1"/>
  <c r="Q37" i="1" a="1"/>
  <c r="T37" i="1"/>
  <c r="Q38" i="1" a="1"/>
  <c r="T38" i="1"/>
  <c r="Q39" i="1" a="1"/>
  <c r="T39" i="1"/>
  <c r="Q40" i="1" a="1"/>
  <c r="T40" i="1"/>
  <c r="T41" i="1"/>
  <c r="Q41" i="1" a="1"/>
  <c r="Q42" i="1" a="1"/>
  <c r="T42" i="1"/>
  <c r="Q43" i="1" a="1"/>
  <c r="T43" i="1"/>
  <c r="Q44" i="1" a="1"/>
  <c r="T44" i="1"/>
  <c r="T45" i="1"/>
  <c r="Q45" i="1" a="1"/>
  <c r="T46" i="1"/>
  <c r="Q46" i="1" a="1"/>
  <c r="T47" i="1"/>
  <c r="Q47" i="1" a="1"/>
  <c r="T48" i="1"/>
  <c r="Q48" i="1" a="1"/>
  <c r="T49" i="1"/>
  <c r="Q49" i="1" a="1"/>
  <c r="Q50" i="1" a="1"/>
  <c r="T50" i="1"/>
  <c r="Q51" i="1" a="1"/>
  <c r="T51" i="1"/>
  <c r="T52" i="1"/>
  <c r="Q52" i="1" a="1"/>
  <c r="T53" i="1"/>
  <c r="Q53" i="1" a="1"/>
  <c r="T54" i="1"/>
  <c r="Q54" i="1" a="1"/>
  <c r="T55" i="1"/>
  <c r="Q55" i="1" a="1"/>
  <c r="T56" i="1"/>
  <c r="Q56" i="1" a="1"/>
  <c r="T57" i="1"/>
  <c r="Q57" i="1" a="1"/>
  <c r="T58" i="1"/>
  <c r="Q58" i="1" a="1"/>
  <c r="T59" i="1"/>
  <c r="Q59" i="1" a="1"/>
  <c r="T60" i="1"/>
  <c r="Q60" i="1" a="1"/>
  <c r="T61" i="1"/>
  <c r="Q61" i="1" a="1"/>
  <c r="T62" i="1"/>
  <c r="Q62" i="1" a="1"/>
  <c r="T63" i="1"/>
  <c r="Q63" i="1" a="1"/>
  <c r="T64" i="1"/>
  <c r="Q64" i="1" a="1"/>
  <c r="T65" i="1"/>
  <c r="Q65" i="1" a="1"/>
  <c r="T66" i="1"/>
  <c r="Q66" i="1" a="1"/>
  <c r="Q67" i="1" a="1"/>
  <c r="T67" i="1"/>
  <c r="T68" i="1"/>
  <c r="Q68" i="1" a="1"/>
  <c r="Q69" i="1" a="1"/>
  <c r="T69" i="1"/>
  <c r="T70" i="1"/>
  <c r="Q70" i="1" a="1"/>
  <c r="Q71" i="1" a="1"/>
  <c r="T71" i="1"/>
  <c r="T72" i="1"/>
  <c r="Q72" i="1" a="1"/>
  <c r="Q73" i="1" a="1"/>
  <c r="T73" i="1"/>
  <c r="Q74" i="1" a="1"/>
  <c r="T74" i="1"/>
  <c r="T75" i="1"/>
  <c r="Q75" i="1" a="1"/>
  <c r="T76" i="1"/>
  <c r="Q76" i="1" a="1"/>
  <c r="T77" i="1"/>
  <c r="Q77" i="1" a="1"/>
  <c r="Q78" i="1" a="1"/>
  <c r="T78" i="1"/>
  <c r="Q79" i="1" a="1"/>
  <c r="T79" i="1"/>
  <c r="Q80" i="1" a="1"/>
  <c r="T80" i="1"/>
  <c r="Q81" i="1" a="1"/>
  <c r="T81" i="1"/>
  <c r="Q82" i="1" a="1"/>
  <c r="T82" i="1"/>
  <c r="Q83" i="1" a="1"/>
  <c r="T83" i="1"/>
  <c r="Q84" i="1" a="1"/>
  <c r="T84" i="1"/>
  <c r="Q85" i="1" a="1"/>
  <c r="T85" i="1"/>
  <c r="Q86" i="1" a="1"/>
  <c r="T86" i="1"/>
  <c r="Q87" i="1" a="1"/>
  <c r="T87" i="1"/>
  <c r="Q88" i="1" a="1"/>
  <c r="T88" i="1"/>
  <c r="T89" i="1"/>
  <c r="Q89" i="1" a="1"/>
  <c r="T90" i="1"/>
  <c r="Q90" i="1" a="1"/>
  <c r="Q91" i="1" a="1"/>
  <c r="T91" i="1"/>
  <c r="T92" i="1"/>
  <c r="Q92" i="1" a="1"/>
  <c r="T93" i="1"/>
  <c r="Q93" i="1" a="1"/>
  <c r="Q94" i="1" a="1"/>
  <c r="T94" i="1"/>
  <c r="Q95" i="1" a="1"/>
  <c r="T95" i="1"/>
  <c r="T96" i="1"/>
  <c r="Q96" i="1" a="1"/>
  <c r="T97" i="1"/>
  <c r="Q97" i="1" a="1"/>
  <c r="T98" i="1"/>
  <c r="Q98" i="1" a="1"/>
  <c r="T99" i="1"/>
  <c r="Q99" i="1" a="1"/>
  <c r="Q100" i="1" a="1"/>
  <c r="T100" i="1"/>
  <c r="T101" i="1"/>
  <c r="Q101" i="1" a="1"/>
  <c r="T102" i="1"/>
  <c r="Q102" i="1" a="1"/>
  <c r="T103" i="1"/>
  <c r="Q103" i="1" a="1"/>
  <c r="T104" i="1"/>
  <c r="Q104" i="1" a="1"/>
  <c r="T105" i="1"/>
  <c r="Q105" i="1" a="1"/>
  <c r="Q106" i="1" a="1"/>
  <c r="T106" i="1"/>
  <c r="T107" i="1"/>
  <c r="Q107" i="1" a="1"/>
  <c r="T108" i="1"/>
  <c r="Q108" i="1" a="1"/>
  <c r="T109" i="1"/>
  <c r="Q109" i="1" a="1"/>
  <c r="T110" i="1"/>
  <c r="Q110" i="1" a="1"/>
  <c r="T111" i="1"/>
  <c r="Q111" i="1" a="1"/>
  <c r="T112" i="1"/>
  <c r="Q112" i="1" a="1"/>
  <c r="T113" i="1"/>
  <c r="Q113" i="1" a="1"/>
  <c r="T114" i="1"/>
  <c r="Q114" i="1" a="1"/>
  <c r="T115" i="1"/>
  <c r="Q115" i="1" a="1"/>
  <c r="Q116" i="1" a="1"/>
  <c r="T116" i="1"/>
  <c r="Q117" i="1" a="1"/>
  <c r="T117" i="1"/>
  <c r="T118" i="1"/>
  <c r="Q118" i="1" a="1"/>
  <c r="Q119" i="1" a="1"/>
  <c r="T119" i="1"/>
  <c r="T120" i="1"/>
  <c r="Q120" i="1" a="1"/>
  <c r="Q121" i="1" a="1"/>
  <c r="T121" i="1"/>
  <c r="T122" i="1"/>
  <c r="Q122" i="1" a="1"/>
  <c r="T123" i="1"/>
  <c r="Q123" i="1" a="1"/>
  <c r="T124" i="1"/>
  <c r="Q124" i="1" a="1"/>
  <c r="T125" i="1"/>
  <c r="Q125" i="1" a="1"/>
  <c r="T126" i="1"/>
  <c r="Q126" i="1" a="1"/>
  <c r="Q127" i="1" a="1"/>
  <c r="T127" i="1"/>
  <c r="T128" i="1"/>
  <c r="Q128" i="1" a="1"/>
  <c r="Q129" i="1" a="1"/>
  <c r="T129" i="1"/>
  <c r="Q130" i="1" a="1"/>
  <c r="T130" i="1"/>
  <c r="Q131" i="1" a="1"/>
  <c r="T131" i="1"/>
  <c r="Q132" i="1" a="1"/>
  <c r="T132" i="1"/>
  <c r="Q133" i="1" a="1"/>
  <c r="T133" i="1"/>
  <c r="Q134" i="1" a="1"/>
  <c r="T134" i="1"/>
  <c r="Q135" i="1" a="1"/>
  <c r="T135" i="1"/>
  <c r="Q136" i="1" a="1"/>
  <c r="T136" i="1"/>
  <c r="Q137" i="1" a="1"/>
  <c r="T137" i="1"/>
  <c r="T138" i="1"/>
  <c r="Q138" i="1" a="1"/>
  <c r="Q139" i="1" a="1"/>
  <c r="T139" i="1"/>
  <c r="T140" i="1"/>
  <c r="Q140" i="1" a="1"/>
  <c r="Q141" i="1" a="1"/>
  <c r="T141" i="1"/>
  <c r="Q142" i="1" a="1"/>
  <c r="T142" i="1"/>
  <c r="Q143" i="1" a="1"/>
  <c r="T143" i="1"/>
  <c r="Q144" i="1" a="1"/>
  <c r="T144" i="1"/>
  <c r="Q145" i="1" a="1"/>
  <c r="T145" i="1"/>
  <c r="Q146" i="1" a="1"/>
  <c r="T146" i="1"/>
  <c r="Q147" i="1" a="1"/>
  <c r="T147" i="1"/>
  <c r="Q148" i="1" a="1"/>
  <c r="T148" i="1"/>
  <c r="Q149" i="1" a="1"/>
  <c r="T149" i="1"/>
  <c r="T150" i="1"/>
  <c r="Q150" i="1" a="1"/>
  <c r="T151" i="1"/>
  <c r="Q151" i="1" a="1"/>
  <c r="Q152" i="1" a="1"/>
  <c r="T152" i="1"/>
  <c r="T153" i="1"/>
  <c r="Q153" i="1" a="1"/>
  <c r="Q154" i="1" a="1"/>
  <c r="T154" i="1"/>
  <c r="T155" i="1"/>
  <c r="Q155" i="1" a="1"/>
  <c r="Q156" i="1" a="1"/>
  <c r="T156" i="1"/>
  <c r="T157" i="1"/>
  <c r="Q157" i="1" a="1"/>
  <c r="Q158" i="1" a="1"/>
  <c r="T158" i="1"/>
  <c r="T159" i="1"/>
  <c r="Q159" i="1" a="1"/>
  <c r="Q160" i="1" a="1"/>
  <c r="T160" i="1"/>
  <c r="T161" i="1"/>
  <c r="Q161" i="1" a="1"/>
  <c r="Q162" i="1" a="1"/>
  <c r="T162" i="1"/>
  <c r="Q163" i="1" a="1"/>
  <c r="T163" i="1"/>
  <c r="Q164" i="1" a="1"/>
  <c r="T164" i="1"/>
  <c r="T165" i="1"/>
  <c r="Q165" i="1" a="1"/>
  <c r="T166" i="1"/>
  <c r="Q166" i="1" a="1"/>
  <c r="T167" i="1"/>
  <c r="Q167" i="1" a="1"/>
  <c r="T168" i="1"/>
  <c r="Q168" i="1" a="1"/>
  <c r="Q169" i="1" a="1"/>
  <c r="T169" i="1"/>
  <c r="T170" i="1"/>
  <c r="Q170" i="1" a="1"/>
  <c r="T171" i="1"/>
  <c r="Q171" i="1" a="1"/>
  <c r="T172" i="1"/>
  <c r="Q172" i="1" a="1"/>
  <c r="Q173" i="1" a="1"/>
  <c r="T173" i="1"/>
  <c r="Q174" i="1" a="1"/>
  <c r="T174" i="1"/>
  <c r="Q175" i="1" a="1"/>
  <c r="T175" i="1"/>
  <c r="Q176" i="1" a="1"/>
  <c r="T176" i="1"/>
  <c r="T177" i="1"/>
  <c r="Q177" i="1" a="1"/>
  <c r="Q178" i="1" a="1"/>
  <c r="T178" i="1"/>
  <c r="Q179" i="1" a="1"/>
  <c r="T179" i="1"/>
  <c r="T180" i="1"/>
  <c r="Q180" i="1" a="1"/>
  <c r="T181" i="1"/>
  <c r="Q181" i="1" a="1"/>
  <c r="T182" i="1"/>
  <c r="Q182" i="1" a="1"/>
  <c r="T183" i="1"/>
  <c r="Q183" i="1" a="1"/>
  <c r="T184" i="1"/>
  <c r="Q184" i="1" a="1"/>
  <c r="Q185" i="1" a="1"/>
  <c r="T185" i="1"/>
  <c r="Q186" i="1" a="1"/>
  <c r="T186" i="1"/>
  <c r="T187" i="1"/>
  <c r="Q187" i="1" a="1"/>
  <c r="Q188" i="1" a="1"/>
  <c r="T188" i="1"/>
  <c r="T189" i="1"/>
  <c r="Q189" i="1" a="1"/>
  <c r="T190" i="1"/>
  <c r="Q190" i="1" a="1"/>
  <c r="T191" i="1"/>
  <c r="Q191" i="1" a="1"/>
  <c r="T192" i="1"/>
  <c r="Q192" i="1" a="1"/>
  <c r="T193" i="1"/>
  <c r="Q193" i="1" a="1"/>
  <c r="T194" i="1"/>
  <c r="Q194" i="1" a="1"/>
  <c r="Q195" i="1" a="1"/>
  <c r="T195" i="1"/>
  <c r="T196" i="1"/>
  <c r="Q196" i="1" a="1"/>
  <c r="T197" i="1"/>
  <c r="Q197" i="1" a="1"/>
  <c r="Q198" i="1" a="1"/>
  <c r="T198" i="1"/>
  <c r="Q199" i="1" a="1"/>
  <c r="T199" i="1"/>
  <c r="Q200" i="1" a="1"/>
  <c r="T200" i="1"/>
  <c r="T201" i="1"/>
  <c r="Q201" i="1" a="1"/>
  <c r="Q202" i="1" a="1"/>
  <c r="T202" i="1"/>
  <c r="Q203" i="1" a="1"/>
  <c r="T203" i="1"/>
  <c r="T204" i="1"/>
  <c r="Q204" i="1" a="1"/>
  <c r="Q205" i="1" a="1"/>
  <c r="T205" i="1"/>
  <c r="Q206" i="1" a="1"/>
  <c r="T206" i="1"/>
  <c r="T207" i="1"/>
  <c r="Q207" i="1" a="1"/>
  <c r="T208" i="1"/>
  <c r="Q208" i="1" a="1"/>
  <c r="T209" i="1"/>
  <c r="Q209" i="1" a="1"/>
  <c r="Q210" i="1" a="1"/>
  <c r="T210" i="1"/>
  <c r="Q211" i="1" a="1"/>
  <c r="T211" i="1"/>
  <c r="Q212" i="1" a="1"/>
  <c r="T212" i="1"/>
  <c r="Q213" i="1" a="1"/>
  <c r="T213" i="1"/>
  <c r="Q214" i="1" a="1"/>
  <c r="T214" i="1"/>
  <c r="Q215" i="1" a="1"/>
  <c r="T215" i="1"/>
  <c r="Q216" i="1" a="1"/>
  <c r="T216" i="1"/>
  <c r="Q217" i="1" a="1"/>
  <c r="T217" i="1"/>
  <c r="Q218" i="1" a="1"/>
  <c r="T218" i="1"/>
  <c r="T219" i="1"/>
  <c r="Q219" i="1" a="1"/>
  <c r="Q220" i="1" a="1"/>
  <c r="T220" i="1"/>
  <c r="Q221" i="1" a="1"/>
  <c r="T221" i="1"/>
  <c r="T222" i="1"/>
  <c r="Q222" i="1" a="1"/>
  <c r="T223" i="1"/>
  <c r="Q223" i="1" a="1"/>
  <c r="T224" i="1"/>
  <c r="Q224" i="1" a="1"/>
  <c r="Q225" i="1" a="1"/>
  <c r="T225" i="1"/>
  <c r="T226" i="1"/>
  <c r="Q226" i="1" a="1"/>
  <c r="T227" i="1"/>
  <c r="Q227" i="1" a="1"/>
  <c r="Q228" i="1" a="1"/>
  <c r="T228" i="1"/>
  <c r="Q229" i="1" a="1"/>
  <c r="T229" i="1"/>
  <c r="Q230" i="1" a="1"/>
  <c r="T230" i="1"/>
  <c r="T231" i="1"/>
  <c r="Q231" i="1" a="1"/>
  <c r="T232" i="1"/>
  <c r="Q232" i="1" a="1"/>
  <c r="T233" i="1"/>
  <c r="Q233" i="1" a="1"/>
  <c r="T234" i="1"/>
  <c r="Q234" i="1" a="1"/>
  <c r="T235" i="1"/>
  <c r="Q235" i="1" a="1"/>
  <c r="Q236" i="1" a="1"/>
  <c r="T236" i="1"/>
  <c r="T237" i="1"/>
  <c r="Q237" i="1" a="1"/>
  <c r="T238" i="1"/>
  <c r="Q238" i="1" a="1"/>
  <c r="T239" i="1"/>
  <c r="Q239" i="1" a="1"/>
  <c r="Q240" i="1" a="1"/>
  <c r="T240" i="1"/>
  <c r="Q241" i="1" a="1"/>
  <c r="T241" i="1"/>
  <c r="Q242" i="1" a="1"/>
  <c r="T242" i="1"/>
  <c r="T243" i="1"/>
  <c r="Q243" i="1" a="1"/>
  <c r="T244" i="1"/>
  <c r="Q244" i="1" a="1"/>
  <c r="T245" i="1"/>
  <c r="Q245" i="1" a="1"/>
  <c r="T246" i="1"/>
  <c r="Q246" i="1" a="1"/>
  <c r="T247" i="1"/>
  <c r="Q247" i="1" a="1"/>
  <c r="T248" i="1"/>
  <c r="Q248" i="1" a="1"/>
  <c r="Q249" i="1" a="1"/>
  <c r="T249" i="1"/>
  <c r="T250" i="1"/>
  <c r="Q250" i="1" a="1"/>
  <c r="T251" i="1"/>
  <c r="Q251" i="1" a="1"/>
  <c r="Q252" i="1" a="1"/>
  <c r="T252" i="1"/>
  <c r="Q253" i="1" a="1"/>
  <c r="T253" i="1"/>
  <c r="Q254" i="1" a="1"/>
  <c r="T254" i="1"/>
  <c r="Q255" i="1" a="1"/>
  <c r="T255" i="1"/>
  <c r="Q256" i="1" a="1"/>
  <c r="T256" i="1"/>
  <c r="Q257" i="1" a="1"/>
  <c r="T257" i="1"/>
  <c r="T258" i="1"/>
  <c r="Q258" i="1" a="1"/>
  <c r="T259" i="1"/>
  <c r="Q259" i="1" a="1"/>
  <c r="T260" i="1"/>
  <c r="Q260" i="1" a="1"/>
  <c r="T261" i="1"/>
  <c r="Q261" i="1" a="1"/>
  <c r="T262" i="1"/>
  <c r="Q262" i="1" a="1"/>
  <c r="T263" i="1"/>
  <c r="Q263" i="1" a="1"/>
  <c r="Q264" i="1" a="1"/>
  <c r="T264" i="1"/>
  <c r="T265" i="1"/>
  <c r="Q265" i="1" a="1"/>
  <c r="Q266" i="1" a="1"/>
  <c r="T266" i="1"/>
  <c r="Q267" i="1" a="1"/>
  <c r="T267" i="1"/>
  <c r="Q268" i="1" a="1"/>
  <c r="T268" i="1"/>
  <c r="Q269" i="1" a="1"/>
  <c r="T269" i="1"/>
  <c r="Q270" i="1" a="1"/>
  <c r="T270" i="1"/>
  <c r="T271" i="1"/>
  <c r="Q271" i="1" a="1"/>
  <c r="Q272" i="1" a="1"/>
  <c r="T272" i="1"/>
  <c r="T273" i="1"/>
  <c r="Q273" i="1" a="1"/>
  <c r="Q274" i="1" a="1"/>
  <c r="T274" i="1"/>
  <c r="T275" i="1"/>
  <c r="Q275" i="1" a="1"/>
  <c r="Q276" i="1" a="1"/>
  <c r="T276" i="1"/>
  <c r="T277" i="1"/>
  <c r="Q277" i="1" a="1"/>
  <c r="Q278" i="1" a="1"/>
  <c r="T278" i="1"/>
  <c r="Q279" i="1" a="1"/>
  <c r="T279" i="1"/>
  <c r="T280" i="1"/>
  <c r="Q280" i="1" a="1"/>
  <c r="T281" i="1"/>
  <c r="Q281" i="1" a="1"/>
  <c r="T282" i="1"/>
  <c r="Q282" i="1" a="1"/>
  <c r="T283" i="1"/>
  <c r="Q283" i="1" a="1"/>
  <c r="T284" i="1"/>
  <c r="Q284" i="1" a="1"/>
  <c r="T285" i="1"/>
  <c r="Q285" i="1" a="1"/>
  <c r="T286" i="1"/>
  <c r="Q286" i="1" a="1"/>
  <c r="T287" i="1"/>
  <c r="Q287" i="1" a="1"/>
  <c r="Q288" i="1" a="1"/>
  <c r="T288" i="1"/>
  <c r="Q289" i="1" a="1"/>
  <c r="T289" i="1"/>
  <c r="Q290" i="1" a="1"/>
  <c r="T290" i="1"/>
  <c r="Q291" i="1" a="1"/>
  <c r="T291" i="1"/>
  <c r="Q292" i="1" a="1"/>
  <c r="T292" i="1"/>
  <c r="Q293" i="1" a="1"/>
  <c r="T293" i="1"/>
  <c r="Q294" i="1" a="1"/>
  <c r="T294" i="1"/>
  <c r="Q295" i="1" a="1"/>
  <c r="T295" i="1"/>
  <c r="T296" i="1"/>
  <c r="Q296" i="1" a="1"/>
  <c r="Q297" i="1" a="1"/>
  <c r="T297" i="1"/>
  <c r="Q298" i="1" a="1"/>
  <c r="T298" i="1"/>
  <c r="Q299" i="1" a="1"/>
  <c r="T299" i="1"/>
  <c r="T300" i="1"/>
  <c r="Q300" i="1" a="1"/>
  <c r="Q301" i="1" a="1"/>
  <c r="T301" i="1"/>
  <c r="T302" i="1"/>
  <c r="Q302" i="1" a="1"/>
  <c r="T303" i="1"/>
  <c r="Q303" i="1" a="1"/>
  <c r="T304" i="1"/>
  <c r="Q304" i="1" a="1"/>
  <c r="T305" i="1"/>
  <c r="Q305" i="1" a="1"/>
  <c r="T306" i="1"/>
  <c r="Q306" i="1" a="1"/>
  <c r="T307" i="1"/>
  <c r="Q307" i="1" a="1"/>
  <c r="T308" i="1"/>
  <c r="Q308" i="1" a="1"/>
  <c r="T309" i="1"/>
  <c r="Q309" i="1" a="1"/>
  <c r="T310" i="1"/>
  <c r="Q310" i="1" a="1"/>
  <c r="T311" i="1"/>
  <c r="Q311" i="1" a="1"/>
  <c r="T312" i="1"/>
  <c r="Q312" i="1" a="1"/>
  <c r="T313" i="1"/>
  <c r="Q313" i="1" a="1"/>
  <c r="T314" i="1"/>
  <c r="Q314" i="1" a="1"/>
  <c r="T315" i="1"/>
  <c r="Q315" i="1" a="1"/>
  <c r="T316" i="1"/>
  <c r="Q316" i="1" a="1"/>
  <c r="T317" i="1"/>
  <c r="Q317" i="1" a="1"/>
  <c r="T318" i="1"/>
  <c r="Q318" i="1" a="1"/>
  <c r="T319" i="1"/>
  <c r="Q319" i="1" a="1"/>
  <c r="T320" i="1"/>
  <c r="Q320" i="1" a="1"/>
  <c r="T321" i="1"/>
  <c r="Q321" i="1" a="1"/>
  <c r="Q322" i="1" a="1"/>
  <c r="T322" i="1"/>
  <c r="Q323" i="1" a="1"/>
  <c r="T323" i="1"/>
  <c r="Q324" i="1" a="1"/>
  <c r="T324" i="1"/>
  <c r="Q325" i="1" a="1"/>
  <c r="T325" i="1"/>
  <c r="Q326" i="1" a="1"/>
  <c r="T326" i="1"/>
  <c r="T327" i="1"/>
  <c r="Q327" i="1" a="1"/>
  <c r="T328" i="1"/>
  <c r="Q328" i="1" a="1"/>
  <c r="T329" i="1"/>
  <c r="Q329" i="1" a="1"/>
  <c r="T330" i="1"/>
  <c r="Q330" i="1" a="1"/>
  <c r="T331" i="1"/>
  <c r="Q331" i="1" a="1"/>
  <c r="T332" i="1"/>
  <c r="Q332" i="1" a="1"/>
  <c r="T333" i="1"/>
  <c r="Q333" i="1" a="1"/>
  <c r="T334" i="1"/>
  <c r="Q334" i="1" a="1"/>
  <c r="T335" i="1"/>
  <c r="Q335" i="1" a="1"/>
  <c r="T336" i="1"/>
  <c r="Q336" i="1" a="1"/>
  <c r="T337" i="1"/>
  <c r="Q337" i="1" a="1"/>
  <c r="T338" i="1"/>
  <c r="Q338" i="1" a="1"/>
  <c r="T339" i="1"/>
  <c r="Q339" i="1" a="1"/>
  <c r="T340" i="1"/>
  <c r="Q340" i="1" a="1"/>
  <c r="T341" i="1"/>
  <c r="Q341" i="1" a="1"/>
  <c r="T342" i="1"/>
  <c r="Q342" i="1" a="1"/>
  <c r="T343" i="1"/>
  <c r="Q343" i="1" a="1"/>
  <c r="T344" i="1"/>
  <c r="Q344" i="1" a="1"/>
  <c r="Q345" i="1" a="1"/>
  <c r="T345" i="1"/>
  <c r="Q346" i="1" a="1"/>
  <c r="T346" i="1"/>
  <c r="Q347" i="1" a="1"/>
  <c r="T347" i="1"/>
  <c r="Q348" i="1" a="1"/>
  <c r="T348" i="1"/>
  <c r="Q349" i="1" a="1"/>
  <c r="T349" i="1"/>
  <c r="Q350" i="1" a="1"/>
  <c r="T350" i="1"/>
  <c r="T351" i="1"/>
  <c r="Q351" i="1" a="1"/>
  <c r="Q352" i="1" a="1"/>
  <c r="T352" i="1"/>
  <c r="Q353" i="1" a="1"/>
  <c r="T353" i="1"/>
  <c r="Q354" i="1" a="1"/>
  <c r="T354" i="1"/>
  <c r="Q355" i="1" a="1"/>
  <c r="T355" i="1"/>
  <c r="Q356" i="1" a="1"/>
  <c r="T356" i="1"/>
  <c r="Q357" i="1" a="1"/>
  <c r="T357" i="1"/>
  <c r="Q358" i="1" a="1"/>
  <c r="T358" i="1"/>
  <c r="T359" i="1"/>
  <c r="Q359" i="1" a="1"/>
  <c r="Q360" i="1" a="1"/>
  <c r="T360" i="1"/>
  <c r="Q361" i="1" a="1"/>
  <c r="T361" i="1"/>
  <c r="Q362" i="1" a="1"/>
  <c r="T362" i="1"/>
  <c r="T363" i="1"/>
  <c r="Q363" i="1" a="1"/>
  <c r="Q364" i="1" a="1"/>
  <c r="T364" i="1"/>
  <c r="Q365" i="1" a="1"/>
  <c r="T365" i="1"/>
  <c r="Q366" i="1" a="1"/>
  <c r="T366" i="1"/>
  <c r="Q367" i="1" a="1"/>
  <c r="T367" i="1"/>
  <c r="Q368" i="1" a="1"/>
  <c r="T368" i="1"/>
  <c r="T369" i="1"/>
  <c r="Q369" i="1" a="1"/>
  <c r="T370" i="1"/>
  <c r="Q370" i="1" a="1"/>
  <c r="T371" i="1"/>
  <c r="Q371" i="1" a="1"/>
  <c r="T372" i="1"/>
  <c r="Q372" i="1" a="1"/>
  <c r="T373" i="1"/>
  <c r="Q373" i="1" a="1"/>
  <c r="T374" i="1"/>
  <c r="Q374" i="1" a="1"/>
  <c r="T375" i="1"/>
  <c r="Q375" i="1" a="1"/>
  <c r="T376" i="1"/>
  <c r="Q376" i="1" a="1"/>
  <c r="T377" i="1"/>
  <c r="Q377" i="1" a="1"/>
  <c r="T378" i="1"/>
  <c r="Q378" i="1" a="1"/>
  <c r="T379" i="1"/>
  <c r="Q379" i="1" a="1"/>
  <c r="T380" i="1"/>
  <c r="Q380" i="1" a="1"/>
  <c r="T381" i="1"/>
  <c r="Q381" i="1" a="1"/>
  <c r="T382" i="1"/>
  <c r="Q382" i="1" a="1"/>
  <c r="T383" i="1"/>
  <c r="Q383" i="1" a="1"/>
  <c r="T384" i="1"/>
  <c r="Q384" i="1" a="1"/>
  <c r="T385" i="1"/>
  <c r="Q385" i="1" a="1"/>
  <c r="T386" i="1"/>
  <c r="Q386" i="1" a="1"/>
  <c r="Q387" i="1" a="1"/>
  <c r="T387" i="1"/>
  <c r="T388" i="1"/>
  <c r="Q388" i="1" a="1"/>
  <c r="T389" i="1"/>
  <c r="Q389" i="1" a="1"/>
  <c r="T390" i="1"/>
  <c r="Q390" i="1" a="1"/>
  <c r="T391" i="1"/>
  <c r="Q391" i="1" a="1"/>
  <c r="T392" i="1"/>
  <c r="Q392" i="1" a="1"/>
  <c r="T393" i="1"/>
  <c r="Q393" i="1" a="1"/>
  <c r="T394" i="1"/>
  <c r="Q394" i="1" a="1"/>
  <c r="T395" i="1"/>
  <c r="Q395" i="1" a="1"/>
  <c r="Q396" i="1" a="1"/>
  <c r="T396" i="1"/>
  <c r="Q397" i="1" a="1"/>
  <c r="T397" i="1"/>
  <c r="Q398" i="1" a="1"/>
  <c r="T398" i="1"/>
  <c r="Q399" i="1" a="1"/>
  <c r="T399" i="1"/>
  <c r="Q400" i="1" a="1"/>
  <c r="T400" i="1"/>
  <c r="Q401" i="1" a="1"/>
  <c r="T401" i="1"/>
  <c r="Q402" i="1" a="1"/>
  <c r="T402" i="1"/>
  <c r="T403" i="1"/>
  <c r="Q403" i="1" a="1"/>
  <c r="Q404" i="1" a="1"/>
  <c r="T404" i="1"/>
  <c r="Q405" i="1" a="1"/>
  <c r="T405" i="1"/>
  <c r="Q406" i="1" a="1"/>
  <c r="T406" i="1"/>
  <c r="Q407" i="1" a="1"/>
  <c r="T407" i="1"/>
  <c r="Q408" i="1" a="1"/>
  <c r="T408" i="1"/>
  <c r="Q409" i="1" a="1"/>
  <c r="T409" i="1"/>
  <c r="Q410" i="1" a="1"/>
  <c r="T410" i="1"/>
  <c r="Q411" i="1" a="1"/>
  <c r="T411" i="1"/>
  <c r="T412" i="1"/>
  <c r="Q412" i="1" a="1"/>
  <c r="T413" i="1"/>
  <c r="Q413" i="1" a="1"/>
  <c r="Q414" i="1" a="1"/>
  <c r="T414" i="1"/>
  <c r="T415" i="1"/>
  <c r="Q415" i="1" a="1"/>
  <c r="T416" i="1"/>
  <c r="Q416" i="1" a="1"/>
  <c r="Q417" i="1" a="1"/>
  <c r="T417" i="1"/>
  <c r="T418" i="1"/>
  <c r="Q418" i="1" a="1"/>
  <c r="T419" i="1"/>
  <c r="Q419" i="1" a="1"/>
  <c r="Q420" i="1" a="1"/>
  <c r="T420" i="1"/>
  <c r="Q421" i="1" a="1"/>
  <c r="T421" i="1"/>
  <c r="Q422" i="1" a="1"/>
  <c r="T422" i="1"/>
  <c r="T423" i="1"/>
  <c r="Q423" i="1" a="1"/>
  <c r="Q424" i="1" a="1"/>
  <c r="T424" i="1"/>
  <c r="Q425" i="1" a="1"/>
  <c r="T425" i="1"/>
  <c r="Q426" i="1" a="1"/>
  <c r="T426" i="1"/>
  <c r="T427" i="1"/>
  <c r="Q427" i="1" a="1"/>
  <c r="Q428" i="1" a="1"/>
  <c r="T428" i="1"/>
  <c r="Q429" i="1" a="1"/>
  <c r="T429" i="1"/>
  <c r="Q430" i="1" a="1"/>
  <c r="T430" i="1"/>
  <c r="Q431" i="1" a="1"/>
  <c r="T431" i="1"/>
  <c r="T432" i="1"/>
  <c r="Q432" i="1" a="1"/>
  <c r="Q433" i="1" a="1"/>
  <c r="T433" i="1"/>
  <c r="Q434" i="1" a="1"/>
  <c r="T434" i="1"/>
  <c r="T435" i="1"/>
  <c r="Q435" i="1" a="1"/>
  <c r="Q436" i="1" a="1"/>
  <c r="T436" i="1"/>
  <c r="Q437" i="1" a="1"/>
  <c r="T437" i="1"/>
  <c r="Q438" i="1" a="1"/>
  <c r="T438" i="1"/>
  <c r="Q439" i="1" a="1"/>
  <c r="T439" i="1"/>
  <c r="Q440" i="1" a="1"/>
  <c r="T440" i="1"/>
  <c r="Q441" i="1" a="1"/>
  <c r="T441" i="1"/>
  <c r="Q442" i="1" a="1"/>
  <c r="T442" i="1"/>
  <c r="T443" i="1"/>
  <c r="Q443" i="1" a="1"/>
  <c r="T444" i="1"/>
  <c r="Q444" i="1" a="1"/>
  <c r="T445" i="1"/>
  <c r="Q445" i="1" a="1"/>
  <c r="T446" i="1"/>
  <c r="Q446" i="1" a="1"/>
  <c r="T447" i="1"/>
  <c r="Q447" i="1" a="1"/>
  <c r="T448" i="1"/>
  <c r="Q448" i="1" a="1"/>
  <c r="T449" i="1"/>
  <c r="Q449" i="1" a="1"/>
  <c r="T450" i="1"/>
  <c r="Q450" i="1" a="1"/>
  <c r="T451" i="1"/>
  <c r="Q451" i="1" a="1"/>
  <c r="T452" i="1"/>
  <c r="Q452" i="1" a="1"/>
  <c r="T453" i="1"/>
  <c r="Q453" i="1" a="1"/>
  <c r="T454" i="1"/>
  <c r="Q454" i="1" a="1"/>
  <c r="Q455" i="1" a="1"/>
  <c r="T455" i="1"/>
  <c r="T456" i="1"/>
  <c r="Q456" i="1" a="1"/>
  <c r="T457" i="1"/>
  <c r="Q457" i="1" a="1"/>
  <c r="T458" i="1"/>
  <c r="Q458" i="1" a="1"/>
  <c r="Q459" i="1" a="1"/>
  <c r="T459" i="1"/>
  <c r="Q460" i="1" a="1"/>
  <c r="T460" i="1"/>
  <c r="Q461" i="1" a="1"/>
  <c r="T461" i="1"/>
  <c r="Q462" i="1" a="1"/>
  <c r="T462" i="1"/>
  <c r="Q463" i="1" a="1"/>
  <c r="T463" i="1"/>
  <c r="Q464" i="1" a="1"/>
  <c r="T464" i="1"/>
  <c r="Q465" i="1" a="1"/>
  <c r="T465" i="1"/>
  <c r="Q466" i="1" a="1"/>
  <c r="T466" i="1"/>
  <c r="Q467" i="1" a="1"/>
  <c r="T467" i="1"/>
  <c r="Q468" i="1" a="1"/>
  <c r="T468" i="1"/>
  <c r="Q469" i="1" a="1"/>
  <c r="T469" i="1"/>
  <c r="Q470" i="1" a="1"/>
  <c r="T470" i="1"/>
  <c r="T471" i="1"/>
  <c r="Q471" i="1" a="1"/>
  <c r="T472" i="1"/>
  <c r="Q472" i="1" a="1"/>
  <c r="T473" i="1"/>
  <c r="Q473" i="1" a="1"/>
  <c r="T474" i="1"/>
  <c r="Q474" i="1" a="1"/>
  <c r="T475" i="1"/>
  <c r="Q475" i="1" a="1"/>
  <c r="T476" i="1"/>
  <c r="Q476" i="1" a="1"/>
  <c r="T477" i="1"/>
  <c r="Q477" i="1" a="1"/>
  <c r="T478" i="1"/>
  <c r="Q478" i="1" a="1"/>
  <c r="T479" i="1"/>
  <c r="Q479" i="1" a="1"/>
  <c r="T480" i="1"/>
  <c r="Q480" i="1" a="1"/>
  <c r="T481" i="1"/>
  <c r="Q481" i="1" a="1"/>
  <c r="T482" i="1"/>
  <c r="Q482" i="1" a="1"/>
  <c r="T483" i="1"/>
  <c r="Q483" i="1" a="1"/>
  <c r="T484" i="1"/>
  <c r="Q484" i="1" a="1"/>
  <c r="Q485" i="1" a="1"/>
  <c r="T485" i="1"/>
  <c r="Q486" i="1" a="1"/>
  <c r="T486" i="1"/>
  <c r="T487" i="1"/>
  <c r="Q487" i="1" a="1"/>
  <c r="T488" i="1"/>
  <c r="Q488" i="1" a="1"/>
  <c r="T489" i="1"/>
  <c r="Q489" i="1" a="1"/>
  <c r="T490" i="1"/>
  <c r="Q490" i="1" a="1"/>
  <c r="T491" i="1"/>
  <c r="Q491" i="1" a="1"/>
  <c r="Q492" i="1" a="1"/>
  <c r="T492" i="1"/>
  <c r="T493" i="1"/>
  <c r="Q493" i="1" a="1"/>
  <c r="T494" i="1"/>
  <c r="Q494" i="1" a="1"/>
  <c r="Q495" i="1" a="1"/>
  <c r="T495" i="1"/>
  <c r="T496" i="1"/>
  <c r="Q496" i="1" a="1"/>
  <c r="T497" i="1"/>
  <c r="Q497" i="1" a="1"/>
  <c r="T498" i="1"/>
  <c r="Q498" i="1" a="1"/>
  <c r="T499" i="1"/>
  <c r="Q499" i="1" a="1"/>
  <c r="T500" i="1"/>
  <c r="Q500" i="1" a="1"/>
  <c r="T501" i="1"/>
  <c r="Q501" i="1" a="1"/>
  <c r="T502" i="1"/>
  <c r="Q502" i="1" a="1"/>
  <c r="T503" i="1"/>
  <c r="Q503" i="1" a="1"/>
  <c r="T504" i="1"/>
  <c r="Q504" i="1" a="1"/>
  <c r="Q505" i="1" a="1"/>
  <c r="T505" i="1"/>
  <c r="T506" i="1"/>
  <c r="Q506" i="1" a="1"/>
  <c r="T507" i="1"/>
  <c r="Q507" i="1" a="1"/>
  <c r="Q508" i="1" a="1"/>
  <c r="T508" i="1"/>
  <c r="Q509" i="1" a="1"/>
  <c r="T509" i="1"/>
  <c r="T510" i="1"/>
  <c r="Q510" i="1" a="1"/>
  <c r="Q511" i="1" a="1"/>
  <c r="T511" i="1"/>
  <c r="Q512" i="1" a="1"/>
  <c r="T512" i="1"/>
  <c r="Q513" i="1" a="1"/>
  <c r="T513" i="1"/>
  <c r="Q514" i="1" a="1"/>
  <c r="T514" i="1"/>
  <c r="Q515" i="1" a="1"/>
  <c r="T515" i="1"/>
  <c r="Q516" i="1" a="1"/>
  <c r="T516" i="1"/>
  <c r="Q517" i="1" a="1"/>
  <c r="T517" i="1"/>
  <c r="Q518" i="1" a="1"/>
  <c r="T518" i="1"/>
  <c r="Q519" i="1" a="1"/>
  <c r="T519" i="1"/>
  <c r="Q520" i="1" a="1"/>
  <c r="T520" i="1"/>
  <c r="Q521" i="1" a="1"/>
  <c r="T521" i="1"/>
  <c r="Q522" i="1" a="1"/>
  <c r="T522" i="1"/>
  <c r="Q523" i="1" a="1"/>
  <c r="T523" i="1"/>
  <c r="T524" i="1"/>
  <c r="Q524" i="1" a="1"/>
  <c r="Q525" i="1" a="1"/>
  <c r="T525" i="1"/>
  <c r="T526" i="1"/>
  <c r="Q526" i="1" a="1"/>
  <c r="T527" i="1"/>
  <c r="Q527" i="1" a="1"/>
  <c r="T528" i="1"/>
  <c r="Q528" i="1" a="1"/>
  <c r="T529" i="1"/>
  <c r="Q529" i="1" a="1"/>
  <c r="Q530" i="1" a="1"/>
  <c r="T530" i="1"/>
  <c r="T531" i="1"/>
  <c r="Q531" i="1" a="1"/>
  <c r="Q532" i="1" a="1"/>
  <c r="T532" i="1"/>
  <c r="Q533" i="1" a="1"/>
  <c r="T533" i="1"/>
  <c r="T534" i="1"/>
  <c r="Q534" i="1" a="1"/>
  <c r="Q535" i="1" a="1"/>
  <c r="T535" i="1"/>
  <c r="T536" i="1"/>
  <c r="Q536" i="1" a="1"/>
  <c r="T537" i="1"/>
  <c r="Q537" i="1" a="1"/>
  <c r="T538" i="1"/>
  <c r="Q538" i="1" a="1"/>
  <c r="Q539" i="1" a="1"/>
  <c r="T539" i="1"/>
  <c r="Q540" i="1" a="1"/>
  <c r="T540" i="1"/>
  <c r="T541" i="1"/>
  <c r="Q541" i="1" a="1"/>
  <c r="T542" i="1"/>
  <c r="Q542" i="1" a="1"/>
  <c r="T543" i="1"/>
  <c r="Q543" i="1" a="1"/>
  <c r="Q544" i="1" a="1"/>
  <c r="T544" i="1"/>
  <c r="Q545" i="1" a="1"/>
  <c r="T545" i="1"/>
  <c r="Q546" i="1" a="1"/>
  <c r="T546" i="1"/>
  <c r="T547" i="1"/>
  <c r="Q547" i="1" a="1"/>
  <c r="T548" i="1"/>
  <c r="Q548" i="1" a="1"/>
  <c r="Q549" i="1" a="1"/>
  <c r="T549" i="1"/>
  <c r="T550" i="1"/>
  <c r="Q550" i="1" a="1"/>
  <c r="T551" i="1"/>
  <c r="Q551" i="1" a="1"/>
  <c r="Q552" i="1" a="1"/>
  <c r="T552" i="1"/>
  <c r="T553" i="1"/>
  <c r="Q553" i="1" a="1"/>
  <c r="T554" i="1"/>
  <c r="Q554" i="1" a="1"/>
  <c r="Q555" i="1" a="1"/>
  <c r="T555" i="1"/>
  <c r="Q556" i="1" a="1"/>
  <c r="T556" i="1"/>
  <c r="T557" i="1"/>
  <c r="Q557" i="1" a="1"/>
  <c r="T558" i="1"/>
  <c r="Q558" i="1" a="1"/>
  <c r="T559" i="1"/>
  <c r="Q559" i="1" a="1"/>
  <c r="T560" i="1"/>
  <c r="Q560" i="1" a="1"/>
  <c r="Q561" i="1" a="1"/>
  <c r="T561" i="1"/>
  <c r="T562" i="1"/>
  <c r="Q562" i="1" a="1"/>
  <c r="T2" i="1"/>
  <c r="Q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<sst xmlns="http://schemas.openxmlformats.org/spreadsheetml/2006/main" count="15507" uniqueCount="970">
  <si>
    <t>Icono part.abiertas/comp.</t>
  </si>
  <si>
    <t>Asignación</t>
  </si>
  <si>
    <t>Nº documento</t>
  </si>
  <si>
    <t>División</t>
  </si>
  <si>
    <t>Clase de documento</t>
  </si>
  <si>
    <t>Fecha de documento</t>
  </si>
  <si>
    <t>Clave contabiliz.</t>
  </si>
  <si>
    <t>Importe en moneda local</t>
  </si>
  <si>
    <t>Moneda local</t>
  </si>
  <si>
    <t>Indicador impuestos</t>
  </si>
  <si>
    <t>Doc.compensación</t>
  </si>
  <si>
    <t>Nombre</t>
  </si>
  <si>
    <t>Fe.contabilización</t>
  </si>
  <si>
    <t>Documento compras</t>
  </si>
  <si>
    <t>Posición</t>
  </si>
  <si>
    <t/>
  </si>
  <si>
    <t>5100000043</t>
  </si>
  <si>
    <t>RE</t>
  </si>
  <si>
    <t>86</t>
  </si>
  <si>
    <t>ARS</t>
  </si>
  <si>
    <t>C1</t>
  </si>
  <si>
    <t>SERVICAM REPUESTOS S.R.L.</t>
  </si>
  <si>
    <t>4500110665</t>
  </si>
  <si>
    <t>40</t>
  </si>
  <si>
    <t>5100000936</t>
  </si>
  <si>
    <t>7000</t>
  </si>
  <si>
    <t>ORESTE ENRIQUE FIORI S.R.L.</t>
  </si>
  <si>
    <t>4500123072</t>
  </si>
  <si>
    <t>20</t>
  </si>
  <si>
    <t>5100001020</t>
  </si>
  <si>
    <t>SCANIA ARGENTINA S A</t>
  </si>
  <si>
    <t>4500104116</t>
  </si>
  <si>
    <t>10</t>
  </si>
  <si>
    <t>5100001118</t>
  </si>
  <si>
    <t>HAULOTTE ARGENTINA S.A.</t>
  </si>
  <si>
    <t>4500099476</t>
  </si>
  <si>
    <t>5100001195</t>
  </si>
  <si>
    <t>BRAMAQ SRL</t>
  </si>
  <si>
    <t>4500111062</t>
  </si>
  <si>
    <t>390</t>
  </si>
  <si>
    <t>470</t>
  </si>
  <si>
    <t>5100001199</t>
  </si>
  <si>
    <t>4500111070</t>
  </si>
  <si>
    <t>210</t>
  </si>
  <si>
    <t>220</t>
  </si>
  <si>
    <t>5100001208</t>
  </si>
  <si>
    <t>GRUAS SAN BLAS S.A</t>
  </si>
  <si>
    <t>4500108431</t>
  </si>
  <si>
    <t>490</t>
  </si>
  <si>
    <t>5100001221</t>
  </si>
  <si>
    <t>96</t>
  </si>
  <si>
    <t>TUKUY S.R.L.</t>
  </si>
  <si>
    <t>4500110135</t>
  </si>
  <si>
    <t>4500137564</t>
  </si>
  <si>
    <t>30</t>
  </si>
  <si>
    <t>50</t>
  </si>
  <si>
    <t>5100002759</t>
  </si>
  <si>
    <t>TECNICA Y SISTEMAS SRL</t>
  </si>
  <si>
    <t>4500127573</t>
  </si>
  <si>
    <t>5100002760</t>
  </si>
  <si>
    <t>5100002761</t>
  </si>
  <si>
    <t>5100002914</t>
  </si>
  <si>
    <t>AUTOLUX SA</t>
  </si>
  <si>
    <t>4500136304</t>
  </si>
  <si>
    <t>4500138211</t>
  </si>
  <si>
    <t>130</t>
  </si>
  <si>
    <t>140</t>
  </si>
  <si>
    <t>170</t>
  </si>
  <si>
    <t>ANTONIO B ATENOR E HIJOS S R L</t>
  </si>
  <si>
    <t>4500135480</t>
  </si>
  <si>
    <t>SALLAGO FEDERICO MIGUEL</t>
  </si>
  <si>
    <t>4500137372</t>
  </si>
  <si>
    <t>4500135717</t>
  </si>
  <si>
    <t>FLORES CARLOS FELIPE Y OTROS S H</t>
  </si>
  <si>
    <t>4500137655</t>
  </si>
  <si>
    <t>TSM EQUIPOS S. R. L.</t>
  </si>
  <si>
    <t>4500134413</t>
  </si>
  <si>
    <t>YUHMAK SEGURIDAD INDUSTRIAL S.R.L.</t>
  </si>
  <si>
    <t>4500137029</t>
  </si>
  <si>
    <t>4500139295</t>
  </si>
  <si>
    <t>60</t>
  </si>
  <si>
    <t>70</t>
  </si>
  <si>
    <t>80</t>
  </si>
  <si>
    <t>90</t>
  </si>
  <si>
    <t>100</t>
  </si>
  <si>
    <t>110</t>
  </si>
  <si>
    <t>120</t>
  </si>
  <si>
    <t>150</t>
  </si>
  <si>
    <t>160</t>
  </si>
  <si>
    <t>4500137101</t>
  </si>
  <si>
    <t>4500127757</t>
  </si>
  <si>
    <t>190</t>
  </si>
  <si>
    <t>200</t>
  </si>
  <si>
    <t>4500129278</t>
  </si>
  <si>
    <t>4500134468</t>
  </si>
  <si>
    <t>4500128555</t>
  </si>
  <si>
    <t>4500136221</t>
  </si>
  <si>
    <t>ARZE MIGUEL ANGEL</t>
  </si>
  <si>
    <t>4500139481</t>
  </si>
  <si>
    <t>GO CLEAN S.A.S.</t>
  </si>
  <si>
    <t>4500139326</t>
  </si>
  <si>
    <t>ESCANDINAVIA DEL PLATA SA</t>
  </si>
  <si>
    <t>4500137147</t>
  </si>
  <si>
    <t>4500137599</t>
  </si>
  <si>
    <t>4500137131</t>
  </si>
  <si>
    <t>4500135352</t>
  </si>
  <si>
    <t>TRAVEL FILTERS SRL</t>
  </si>
  <si>
    <t>4500138871</t>
  </si>
  <si>
    <t>4500139000</t>
  </si>
  <si>
    <t>LAROCCA SALTA NEUMATICOS S.A.</t>
  </si>
  <si>
    <t>4500139618</t>
  </si>
  <si>
    <t>4500138649</t>
  </si>
  <si>
    <t>RAMOS MARIO SEBASTIAN</t>
  </si>
  <si>
    <t>4500139621</t>
  </si>
  <si>
    <t>HERSAPEL SOCIEDAD DE RESPONSABILIDA</t>
  </si>
  <si>
    <t>4500139807</t>
  </si>
  <si>
    <t>4500138227</t>
  </si>
  <si>
    <t>5100002995</t>
  </si>
  <si>
    <t>SUDAMERICANA CAMIONES SA</t>
  </si>
  <si>
    <t>4500135021</t>
  </si>
  <si>
    <t>4500139460</t>
  </si>
  <si>
    <t>4500137188</t>
  </si>
  <si>
    <t>4500139284</t>
  </si>
  <si>
    <t>4500135867</t>
  </si>
  <si>
    <t>4500137568</t>
  </si>
  <si>
    <t>180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</si>
  <si>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</si>
  <si>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</si>
  <si>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</si>
  <si>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</si>
  <si>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</si>
  <si>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</si>
  <si>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</si>
  <si>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</si>
  <si>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</si>
  <si>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</si>
  <si>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5100003001</t>
  </si>
  <si>
    <t>SERGOMINT S.R.L.</t>
  </si>
  <si>
    <t>4500139884</t>
  </si>
  <si>
    <t>SUMIAGRO SANTA FE S.A.</t>
  </si>
  <si>
    <t>4500138135</t>
  </si>
  <si>
    <t>BOLLINI S.A</t>
  </si>
  <si>
    <t>4500136975</t>
  </si>
  <si>
    <t>4500139623</t>
  </si>
  <si>
    <t>4500140098</t>
  </si>
  <si>
    <t>4500136284</t>
  </si>
  <si>
    <t>4500139299</t>
  </si>
  <si>
    <t>5100003017</t>
  </si>
  <si>
    <t>5000000345</t>
  </si>
  <si>
    <t>WE</t>
  </si>
  <si>
    <t>DBT S.A.</t>
  </si>
  <si>
    <t>4500098864</t>
  </si>
  <si>
    <t>5000000415</t>
  </si>
  <si>
    <t>SERVICIOS VIALES DE STA. FE SA</t>
  </si>
  <si>
    <t>4500115337</t>
  </si>
  <si>
    <t>440</t>
  </si>
  <si>
    <t>560</t>
  </si>
  <si>
    <t>5000000440</t>
  </si>
  <si>
    <t>PUSSETTO SALTA S A</t>
  </si>
  <si>
    <t>4500100919</t>
  </si>
  <si>
    <t>5000000583</t>
  </si>
  <si>
    <t>GASES ROSARIO S.R.L.</t>
  </si>
  <si>
    <t>4500091749</t>
  </si>
  <si>
    <t>5000000764</t>
  </si>
  <si>
    <t>MA-TA SALTA S.A.</t>
  </si>
  <si>
    <t>4500104652</t>
  </si>
  <si>
    <t>5000000765</t>
  </si>
  <si>
    <t>BULONERIA LA TUERCA S.R.L.</t>
  </si>
  <si>
    <t>4500104656</t>
  </si>
  <si>
    <t>5000000810</t>
  </si>
  <si>
    <t>4500105977</t>
  </si>
  <si>
    <t>5000000921</t>
  </si>
  <si>
    <t>4500107383</t>
  </si>
  <si>
    <t>5000001014</t>
  </si>
  <si>
    <t>4500107126</t>
  </si>
  <si>
    <t>5000001054</t>
  </si>
  <si>
    <t>EXENI LUIS ENRIQUE</t>
  </si>
  <si>
    <t>4500122521</t>
  </si>
  <si>
    <t>5000001149</t>
  </si>
  <si>
    <t>5000001155</t>
  </si>
  <si>
    <t>5000001201</t>
  </si>
  <si>
    <t>4500108076</t>
  </si>
  <si>
    <t>5000001219</t>
  </si>
  <si>
    <t>4500109392</t>
  </si>
  <si>
    <t>5000001313</t>
  </si>
  <si>
    <t>4500125295</t>
  </si>
  <si>
    <t>5000001314</t>
  </si>
  <si>
    <t>4500125442</t>
  </si>
  <si>
    <t>5000001337</t>
  </si>
  <si>
    <t>GRUPO H Y S S.R.L.</t>
  </si>
  <si>
    <t>4500125441</t>
  </si>
  <si>
    <t>5000001345</t>
  </si>
  <si>
    <t>4500111964</t>
  </si>
  <si>
    <t>5000001424</t>
  </si>
  <si>
    <t>4500126174</t>
  </si>
  <si>
    <t>5000001436</t>
  </si>
  <si>
    <t>4500124426</t>
  </si>
  <si>
    <t>5000001509</t>
  </si>
  <si>
    <t>5000001652</t>
  </si>
  <si>
    <t>5000001653</t>
  </si>
  <si>
    <t>5000001741</t>
  </si>
  <si>
    <t>5000001742</t>
  </si>
  <si>
    <t>5000001825</t>
  </si>
  <si>
    <t>4500129492</t>
  </si>
  <si>
    <t>5000001939</t>
  </si>
  <si>
    <t>4500129742</t>
  </si>
  <si>
    <t>5000001991</t>
  </si>
  <si>
    <t>4500130304</t>
  </si>
  <si>
    <t>5000001992</t>
  </si>
  <si>
    <t>4500129741</t>
  </si>
  <si>
    <t>5000001998</t>
  </si>
  <si>
    <t>Sara Mabel Mendoza</t>
  </si>
  <si>
    <t>4500122766</t>
  </si>
  <si>
    <t>5000002012</t>
  </si>
  <si>
    <t>5000002054</t>
  </si>
  <si>
    <t>4500127057</t>
  </si>
  <si>
    <t>5000002069</t>
  </si>
  <si>
    <t>IGARRETA MAQUINAS S.A.</t>
  </si>
  <si>
    <t>4500130868</t>
  </si>
  <si>
    <t>5000002109</t>
  </si>
  <si>
    <t>4500131551</t>
  </si>
  <si>
    <t>5000002113</t>
  </si>
  <si>
    <t>4500130125</t>
  </si>
  <si>
    <t>5000002126</t>
  </si>
  <si>
    <t>TADEMAQ EQUIPOS PESADOS S.R.L.</t>
  </si>
  <si>
    <t>4500130879</t>
  </si>
  <si>
    <t>1060</t>
  </si>
  <si>
    <t>1260</t>
  </si>
  <si>
    <t>5000002147</t>
  </si>
  <si>
    <t>4500131440</t>
  </si>
  <si>
    <t>5000002197</t>
  </si>
  <si>
    <t>4500131280</t>
  </si>
  <si>
    <t>5000002231</t>
  </si>
  <si>
    <t>HILTI ARGENTINA SRL</t>
  </si>
  <si>
    <t>4500131371</t>
  </si>
  <si>
    <t>5000002238</t>
  </si>
  <si>
    <t>4500132453</t>
  </si>
  <si>
    <t>600</t>
  </si>
  <si>
    <t>810</t>
  </si>
  <si>
    <t>860</t>
  </si>
  <si>
    <t>880</t>
  </si>
  <si>
    <t>950</t>
  </si>
  <si>
    <t>980</t>
  </si>
  <si>
    <t>5000002271</t>
  </si>
  <si>
    <t>LOPEZ DIESEL S.A.</t>
  </si>
  <si>
    <t>4500132421</t>
  </si>
  <si>
    <t>5000002276</t>
  </si>
  <si>
    <t>IND. QUIMICAS KAISER S.R.L.</t>
  </si>
  <si>
    <t>4500132577</t>
  </si>
  <si>
    <t>5000002305</t>
  </si>
  <si>
    <t>5000002371</t>
  </si>
  <si>
    <t>4500133557</t>
  </si>
  <si>
    <t>5000002372</t>
  </si>
  <si>
    <t>4500133550</t>
  </si>
  <si>
    <t>5000002373</t>
  </si>
  <si>
    <t>4500133336</t>
  </si>
  <si>
    <t>5000002377</t>
  </si>
  <si>
    <t>FINNING ARGENTINA S.A.</t>
  </si>
  <si>
    <t>4500132608</t>
  </si>
  <si>
    <t>5000002381</t>
  </si>
  <si>
    <t>MELQUI PABLO</t>
  </si>
  <si>
    <t>4500133547</t>
  </si>
  <si>
    <t>5000002420</t>
  </si>
  <si>
    <t>4500133085</t>
  </si>
  <si>
    <t>720</t>
  </si>
  <si>
    <t>5000002479</t>
  </si>
  <si>
    <t>4500134133</t>
  </si>
  <si>
    <t>430</t>
  </si>
  <si>
    <t>450</t>
  </si>
  <si>
    <t>460</t>
  </si>
  <si>
    <t>4500134134</t>
  </si>
  <si>
    <t>4500134136</t>
  </si>
  <si>
    <t>930</t>
  </si>
  <si>
    <t>1030</t>
  </si>
  <si>
    <t>1050</t>
  </si>
  <si>
    <t>5000002529</t>
  </si>
  <si>
    <t>4500134528</t>
  </si>
  <si>
    <t>370</t>
  </si>
  <si>
    <t>5000002557</t>
  </si>
  <si>
    <t>FERNANDEZ INSUA S.A.</t>
  </si>
  <si>
    <t>4500134715</t>
  </si>
  <si>
    <t>1340</t>
  </si>
  <si>
    <t>1350</t>
  </si>
  <si>
    <t>5000002592</t>
  </si>
  <si>
    <t>AGROABESAN SRL</t>
  </si>
  <si>
    <t>4500135185</t>
  </si>
  <si>
    <t>5000002593</t>
  </si>
  <si>
    <t>4500135158</t>
  </si>
  <si>
    <t>5000002620</t>
  </si>
  <si>
    <t>4500135307</t>
  </si>
  <si>
    <t>5000002625</t>
  </si>
  <si>
    <t>4500135148</t>
  </si>
  <si>
    <t>1290</t>
  </si>
  <si>
    <t>1300</t>
  </si>
  <si>
    <t>4500135205</t>
  </si>
  <si>
    <t>4500133466</t>
  </si>
  <si>
    <t>5000002661</t>
  </si>
  <si>
    <t>4500135619</t>
  </si>
  <si>
    <t>4500135661</t>
  </si>
  <si>
    <t>5000002700</t>
  </si>
  <si>
    <t>4500135930</t>
  </si>
  <si>
    <t>4500136153</t>
  </si>
  <si>
    <t>5000002716</t>
  </si>
  <si>
    <t>BINTEC S. R. L.</t>
  </si>
  <si>
    <t>4500136133</t>
  </si>
  <si>
    <t>5000002732</t>
  </si>
  <si>
    <t>4500135535</t>
  </si>
  <si>
    <t>5000002739</t>
  </si>
  <si>
    <t>LENOR SRL</t>
  </si>
  <si>
    <t>4500136336</t>
  </si>
  <si>
    <t>4500135933</t>
  </si>
  <si>
    <t>5000002770</t>
  </si>
  <si>
    <t>LOGISTICA Y SERVICIOS AMBIENTALES S</t>
  </si>
  <si>
    <t>4500130193</t>
  </si>
  <si>
    <t>5000002772</t>
  </si>
  <si>
    <t>H G COMUNICACIONES S.R.L.</t>
  </si>
  <si>
    <t>4500136566</t>
  </si>
  <si>
    <t>5000002819</t>
  </si>
  <si>
    <t>FLORES JOSE MATIAS</t>
  </si>
  <si>
    <t>4500136830</t>
  </si>
  <si>
    <t>5000002829</t>
  </si>
  <si>
    <t>4500136878</t>
  </si>
  <si>
    <t>5000002832</t>
  </si>
  <si>
    <t>MARADONA PRADO ISABEL MARGARIT</t>
  </si>
  <si>
    <t>4500136786</t>
  </si>
  <si>
    <t>5000002849</t>
  </si>
  <si>
    <t>4500137119</t>
  </si>
  <si>
    <t>5000002863</t>
  </si>
  <si>
    <t>4500125822</t>
  </si>
  <si>
    <t>5000002865</t>
  </si>
  <si>
    <t>RUNCO S.A.</t>
  </si>
  <si>
    <t>4500134157</t>
  </si>
  <si>
    <t>5000002866</t>
  </si>
  <si>
    <t>NEUMATICOS VERONA S.R.L.</t>
  </si>
  <si>
    <t>4500132246</t>
  </si>
  <si>
    <t>5000002867</t>
  </si>
  <si>
    <t>4500135870</t>
  </si>
  <si>
    <t>4500137016</t>
  </si>
  <si>
    <t>4500137012</t>
  </si>
  <si>
    <t>5000002895</t>
  </si>
  <si>
    <t>5000002897</t>
  </si>
  <si>
    <t>MORON ARANSAY OSCAR ALFREDO</t>
  </si>
  <si>
    <t>4500132717</t>
  </si>
  <si>
    <t>4500136939</t>
  </si>
  <si>
    <t>5000002918</t>
  </si>
  <si>
    <t>INTEGRAL SERVICE SJ S. A. S.</t>
  </si>
  <si>
    <t>4500132251</t>
  </si>
  <si>
    <t>5000002920</t>
  </si>
  <si>
    <t>4500137827</t>
  </si>
  <si>
    <t>5000002926</t>
  </si>
  <si>
    <t>4500137860</t>
  </si>
  <si>
    <t>5000002928</t>
  </si>
  <si>
    <t>YPF S.A.</t>
  </si>
  <si>
    <t>4500136745</t>
  </si>
  <si>
    <t>5000002942</t>
  </si>
  <si>
    <t>4500138015</t>
  </si>
  <si>
    <t>5000002943</t>
  </si>
  <si>
    <t>4500137797</t>
  </si>
  <si>
    <t>5000002945</t>
  </si>
  <si>
    <t>5000002955</t>
  </si>
  <si>
    <t>4500138047</t>
  </si>
  <si>
    <t>5000002960</t>
  </si>
  <si>
    <t>4500138103</t>
  </si>
  <si>
    <t>5000002967</t>
  </si>
  <si>
    <t>4500130458</t>
  </si>
  <si>
    <t>5000002972</t>
  </si>
  <si>
    <t>4500138181</t>
  </si>
  <si>
    <t>5000002978</t>
  </si>
  <si>
    <t>4500137723</t>
  </si>
  <si>
    <t>5000002980</t>
  </si>
  <si>
    <t>4500137729</t>
  </si>
  <si>
    <t>5000002981</t>
  </si>
  <si>
    <t>ROMAGNOLI SILVANA LORENA</t>
  </si>
  <si>
    <t>4500134949</t>
  </si>
  <si>
    <t>5000002995</t>
  </si>
  <si>
    <t>4500137786</t>
  </si>
  <si>
    <t>5000002996</t>
  </si>
  <si>
    <t>BLEXA S. A.</t>
  </si>
  <si>
    <t>4500138281</t>
  </si>
  <si>
    <t>5000002997</t>
  </si>
  <si>
    <t>POBERAJ S.A.</t>
  </si>
  <si>
    <t>4500136240</t>
  </si>
  <si>
    <t>5000003006</t>
  </si>
  <si>
    <t>SYLWAN S.A. BOMBAS</t>
  </si>
  <si>
    <t>4500134570</t>
  </si>
  <si>
    <t>5000003007</t>
  </si>
  <si>
    <t>4500138165</t>
  </si>
  <si>
    <t>5000003008</t>
  </si>
  <si>
    <t>4500136603</t>
  </si>
  <si>
    <t>5000003015</t>
  </si>
  <si>
    <t>4500138239</t>
  </si>
  <si>
    <t>5000003021</t>
  </si>
  <si>
    <t>4500138473</t>
  </si>
  <si>
    <t>5000003027</t>
  </si>
  <si>
    <t>GUSTAVO CANO NEUMATICOS S.A.</t>
  </si>
  <si>
    <t>4500137901</t>
  </si>
  <si>
    <t>5000003028</t>
  </si>
  <si>
    <t>AGV FALCON DRILLING S.R.L</t>
  </si>
  <si>
    <t>4500137953</t>
  </si>
  <si>
    <t>5000003030</t>
  </si>
  <si>
    <t>SAKURA MOTORS S. A.</t>
  </si>
  <si>
    <t>4500134826</t>
  </si>
  <si>
    <t>5000003032</t>
  </si>
  <si>
    <t>OSVALDO L.SANTILLI E HIJOS S.A</t>
  </si>
  <si>
    <t>4500133514</t>
  </si>
  <si>
    <t>4500135634</t>
  </si>
  <si>
    <t>5000003033</t>
  </si>
  <si>
    <t>5000003034</t>
  </si>
  <si>
    <t>4500138183</t>
  </si>
  <si>
    <t>5000003038</t>
  </si>
  <si>
    <t>AM SERVICIOS GRAFICOS S. A. S.</t>
  </si>
  <si>
    <t>4500137461</t>
  </si>
  <si>
    <t>5000003040</t>
  </si>
  <si>
    <t>5000003041</t>
  </si>
  <si>
    <t>4500138205</t>
  </si>
  <si>
    <t>5000003042</t>
  </si>
  <si>
    <t>4500138708</t>
  </si>
  <si>
    <t>5000003044</t>
  </si>
  <si>
    <t>4500138016</t>
  </si>
  <si>
    <t>5000003048</t>
  </si>
  <si>
    <t>4500137045</t>
  </si>
  <si>
    <t>5000003051</t>
  </si>
  <si>
    <t>PIZARRO REFRIGERACION S.R.L.</t>
  </si>
  <si>
    <t>4500137823</t>
  </si>
  <si>
    <t>5000003059</t>
  </si>
  <si>
    <t>5000003068</t>
  </si>
  <si>
    <t>4500138212</t>
  </si>
  <si>
    <t>5000003069</t>
  </si>
  <si>
    <t>FELTRIN S.A</t>
  </si>
  <si>
    <t>4500137794</t>
  </si>
  <si>
    <t>330</t>
  </si>
  <si>
    <t>5000003072</t>
  </si>
  <si>
    <t>4500138897</t>
  </si>
  <si>
    <t>5000003075</t>
  </si>
  <si>
    <t>4500138943</t>
  </si>
  <si>
    <t>5000003076</t>
  </si>
  <si>
    <t>4500138900</t>
  </si>
  <si>
    <t>5000003079</t>
  </si>
  <si>
    <t>4500135060</t>
  </si>
  <si>
    <t>4500137999</t>
  </si>
  <si>
    <t>5000003097</t>
  </si>
  <si>
    <t>5000003098</t>
  </si>
  <si>
    <t>4500139025</t>
  </si>
  <si>
    <t>5000003103</t>
  </si>
  <si>
    <t>IMPLEMENTOS INDUSTRIALES S R L</t>
  </si>
  <si>
    <t>4500138920</t>
  </si>
  <si>
    <t>5000003105</t>
  </si>
  <si>
    <t>BEVACQUA CARLOS IVAN LEONARDO</t>
  </si>
  <si>
    <t>4500136822</t>
  </si>
  <si>
    <t>5000003121</t>
  </si>
  <si>
    <t>4500136650</t>
  </si>
  <si>
    <t>5000003136</t>
  </si>
  <si>
    <t>4500139036</t>
  </si>
  <si>
    <t>5000003137</t>
  </si>
  <si>
    <t>WURTH ARGENTINA S.A.</t>
  </si>
  <si>
    <t>4500138453</t>
  </si>
  <si>
    <t>5000003138</t>
  </si>
  <si>
    <t>4500139286</t>
  </si>
  <si>
    <t>5000003140</t>
  </si>
  <si>
    <t>4500139197</t>
  </si>
  <si>
    <t>5000003142</t>
  </si>
  <si>
    <t>4500139303</t>
  </si>
  <si>
    <t>5000003147</t>
  </si>
  <si>
    <t>SULLAIR ARGENTINA S.A</t>
  </si>
  <si>
    <t>4500138479</t>
  </si>
  <si>
    <t>5000003154</t>
  </si>
  <si>
    <t>4500139514</t>
  </si>
  <si>
    <t>5000003156</t>
  </si>
  <si>
    <t>ZAMBRANA SAMUEL</t>
  </si>
  <si>
    <t>4500137814</t>
  </si>
  <si>
    <t>5000003159</t>
  </si>
  <si>
    <t>PRODUCTORES DE ACERO PROAR SRL</t>
  </si>
  <si>
    <t>4500138812</t>
  </si>
  <si>
    <t>5000003165</t>
  </si>
  <si>
    <t>4500139122</t>
  </si>
  <si>
    <t>5000003167</t>
  </si>
  <si>
    <t>4500138443</t>
  </si>
  <si>
    <t>5000003171</t>
  </si>
  <si>
    <t>4500138750</t>
  </si>
  <si>
    <t>5000003174</t>
  </si>
  <si>
    <t>4500130111</t>
  </si>
  <si>
    <t>5000003175</t>
  </si>
  <si>
    <t>4500139518</t>
  </si>
  <si>
    <t>4500139513</t>
  </si>
  <si>
    <t>5000003176</t>
  </si>
  <si>
    <t>4500139185</t>
  </si>
  <si>
    <t>5000003177</t>
  </si>
  <si>
    <t>5000003178</t>
  </si>
  <si>
    <t>4500139417</t>
  </si>
  <si>
    <t>5000003179</t>
  </si>
  <si>
    <t>4500139140</t>
  </si>
  <si>
    <t>5000003180</t>
  </si>
  <si>
    <t>4500139769</t>
  </si>
  <si>
    <t>5000003182</t>
  </si>
  <si>
    <t>4500138748</t>
  </si>
  <si>
    <t>5000003184</t>
  </si>
  <si>
    <t>4500139770</t>
  </si>
  <si>
    <t>5000003186</t>
  </si>
  <si>
    <t>4500136530</t>
  </si>
  <si>
    <t>5000003187</t>
  </si>
  <si>
    <t>5000003188</t>
  </si>
  <si>
    <t>ROVI S.R.L.</t>
  </si>
  <si>
    <t>4500138738</t>
  </si>
  <si>
    <t>5000003190</t>
  </si>
  <si>
    <t>4500139756</t>
  </si>
  <si>
    <t>5000003192</t>
  </si>
  <si>
    <t>4500139786</t>
  </si>
  <si>
    <t>5000003193</t>
  </si>
  <si>
    <t>5000003195</t>
  </si>
  <si>
    <t>4500139775</t>
  </si>
  <si>
    <t>4500139791</t>
  </si>
  <si>
    <t>5000003198</t>
  </si>
  <si>
    <t>5000003200</t>
  </si>
  <si>
    <t>WORKLIFT SA</t>
  </si>
  <si>
    <t>4500139588</t>
  </si>
  <si>
    <t>5000003201</t>
  </si>
  <si>
    <t>4500139889</t>
  </si>
  <si>
    <t>5000003202</t>
  </si>
  <si>
    <t>JAWIT S.A.</t>
  </si>
  <si>
    <t>4500119083</t>
  </si>
  <si>
    <t>5000003203</t>
  </si>
  <si>
    <t>4500134811</t>
  </si>
  <si>
    <t>5000003204</t>
  </si>
  <si>
    <t>4500134673</t>
  </si>
  <si>
    <t>5000003205</t>
  </si>
  <si>
    <t>DELGADO JORGE ESTEBAN</t>
  </si>
  <si>
    <t>4500125106</t>
  </si>
  <si>
    <t>5000003206</t>
  </si>
  <si>
    <t>AREA PABLO</t>
  </si>
  <si>
    <t>4500131182</t>
  </si>
  <si>
    <t>5000003207</t>
  </si>
  <si>
    <t>4500139243</t>
  </si>
  <si>
    <t>5000003208</t>
  </si>
  <si>
    <t>4500140016</t>
  </si>
  <si>
    <t>5000003210</t>
  </si>
  <si>
    <t>4500139359</t>
  </si>
  <si>
    <t>5000003211</t>
  </si>
  <si>
    <t>4500139742</t>
  </si>
  <si>
    <t>5000003213</t>
  </si>
  <si>
    <t>4500139720</t>
  </si>
  <si>
    <t>5000003214</t>
  </si>
  <si>
    <t>4500139793</t>
  </si>
  <si>
    <t>5000003215</t>
  </si>
  <si>
    <t>4500140051</t>
  </si>
  <si>
    <t>5000003216</t>
  </si>
  <si>
    <t>MED LAB SALTA S.R.L.</t>
  </si>
  <si>
    <t>4500139246</t>
  </si>
  <si>
    <t>5000003218</t>
  </si>
  <si>
    <t>LABTEC S. R. L.</t>
  </si>
  <si>
    <t>4500140128</t>
  </si>
  <si>
    <t>5000003219</t>
  </si>
  <si>
    <t>4500140006</t>
  </si>
  <si>
    <t>5000003220</t>
  </si>
  <si>
    <t>5000003221</t>
  </si>
  <si>
    <t>4500140014</t>
  </si>
  <si>
    <t>5000003223</t>
  </si>
  <si>
    <t>4500139954</t>
  </si>
  <si>
    <t>5000003224</t>
  </si>
  <si>
    <t>4500139585</t>
  </si>
  <si>
    <t>5000003225</t>
  </si>
  <si>
    <t>SUAREZ BASALO RICARDO FEDERICO</t>
  </si>
  <si>
    <t>4500139586</t>
  </si>
  <si>
    <t>5000003226</t>
  </si>
  <si>
    <t>4500139677</t>
  </si>
  <si>
    <t>5000003227</t>
  </si>
  <si>
    <t>4500138772</t>
  </si>
  <si>
    <t>5000003228</t>
  </si>
  <si>
    <t>4500139825</t>
  </si>
  <si>
    <t>5000003229</t>
  </si>
  <si>
    <t>4500139961</t>
  </si>
  <si>
    <t>5000003231</t>
  </si>
  <si>
    <t>4500139748</t>
  </si>
  <si>
    <t>5000003232</t>
  </si>
  <si>
    <t>4500139144</t>
  </si>
  <si>
    <t>5000003233</t>
  </si>
  <si>
    <t>4500139290</t>
  </si>
  <si>
    <t>5000003234</t>
  </si>
  <si>
    <t>5000003235</t>
  </si>
  <si>
    <t>4500139822</t>
  </si>
  <si>
    <t>340</t>
  </si>
  <si>
    <t>5000003251</t>
  </si>
  <si>
    <t>4500139421</t>
  </si>
  <si>
    <t>CONCATENA</t>
  </si>
  <si>
    <t>Fecha de entrega</t>
  </si>
  <si>
    <t>Grupo de compras</t>
  </si>
  <si>
    <t>Proveedor/Centro suministrador</t>
  </si>
  <si>
    <t>C25</t>
  </si>
  <si>
    <t>1000002283 TECNICA Y SISTEMAS SRL</t>
  </si>
  <si>
    <t>1000000567 AREA PABLO</t>
  </si>
  <si>
    <t>C26</t>
  </si>
  <si>
    <t>1000013133 INGENIERIA MINERA S. A.</t>
  </si>
  <si>
    <t>1000012228 MED LAB SALTA S.R.L.</t>
  </si>
  <si>
    <t>C28</t>
  </si>
  <si>
    <t>1000007451 FLORES CARLOS FELIPE Y OTROS S H</t>
  </si>
  <si>
    <t>1000010170 ALEJO ROCIO JAZMIN</t>
  </si>
  <si>
    <t>C29</t>
  </si>
  <si>
    <t>1000000062 FINNING ARGENTINA S.A.</t>
  </si>
  <si>
    <t>C35</t>
  </si>
  <si>
    <t>1000010363 SERGOMINT S.R.L.</t>
  </si>
  <si>
    <t>C17</t>
  </si>
  <si>
    <t>1000012333 GO CLEAN S.A.S.</t>
  </si>
  <si>
    <t>1000007795 JAWIT S.A.</t>
  </si>
  <si>
    <t>C11</t>
  </si>
  <si>
    <t>1000009037 FELTRIN S.A</t>
  </si>
  <si>
    <t>AGV</t>
  </si>
  <si>
    <t>1000012141 BRAMAQ SRL</t>
  </si>
  <si>
    <t>1000012565 PRAXSYS SOLUCIONES S.R.L</t>
  </si>
  <si>
    <t>1000007668 TADEMAQ EQUIPOS PESADOS S.R.L.</t>
  </si>
  <si>
    <t>C04</t>
  </si>
  <si>
    <t>1000008821 TSM EQUIPOS S. R. L.</t>
  </si>
  <si>
    <t>EFO</t>
  </si>
  <si>
    <t>C03</t>
  </si>
  <si>
    <t>1000000012 IGARRETA MAQUINAS S.A.</t>
  </si>
  <si>
    <t>1000001154 TRAVEL FILTERS SRL</t>
  </si>
  <si>
    <t>1000007571 SERVICAM REPUESTOS S.R.L.</t>
  </si>
  <si>
    <t>C01</t>
  </si>
  <si>
    <t>1000011153 INTEGRAL SERVICE SJ S. A. S.</t>
  </si>
  <si>
    <t>1000008772 MORON ARANSAY OSCAR ALFREDO</t>
  </si>
  <si>
    <t>C27</t>
  </si>
  <si>
    <t>1000007610 IMPLEMENTOS INDUSTRIALES S R L</t>
  </si>
  <si>
    <t>1040</t>
  </si>
  <si>
    <t>1000000010 GASES ROSARIO S.R.L.</t>
  </si>
  <si>
    <t>1000002077 DBT S.A.</t>
  </si>
  <si>
    <t>1000001123 HAULOTTE ARGENTINA S.A.</t>
  </si>
  <si>
    <t>1000008375 PUSSETTO SALTA S A</t>
  </si>
  <si>
    <t>1000003545 SCANIA ARGENTINA S A</t>
  </si>
  <si>
    <t>1000008652 MA-TA SALTA S.A.</t>
  </si>
  <si>
    <t>1000008558 BULONERIA LA TUERCA S.R.L.</t>
  </si>
  <si>
    <t>1000000907 SERVICIOS VIALES DE STA. FE SA</t>
  </si>
  <si>
    <t>1000000572 GRUAS SAN BLAS S.A</t>
  </si>
  <si>
    <t>1000007607 TUKUY S.R.L.</t>
  </si>
  <si>
    <t>350</t>
  </si>
  <si>
    <t>360</t>
  </si>
  <si>
    <t>1000012165 EXENI LUIS ENRIQUE</t>
  </si>
  <si>
    <t>C23</t>
  </si>
  <si>
    <t>1000012779 Sara Mabel Mendoza</t>
  </si>
  <si>
    <t>1000007460 ORESTE ENRIQUE FIORI S.R.L.</t>
  </si>
  <si>
    <t>1000007691 DELGADO JORGE ESTEBAN</t>
  </si>
  <si>
    <t>1000007608 GRUPO H Y S S.R.L.</t>
  </si>
  <si>
    <t>C24</t>
  </si>
  <si>
    <t>1000009147 LOGISTICA Y SERVICIOS AMBIENTALES S</t>
  </si>
  <si>
    <t>1000000418 HILTI ARGENTINA SRL</t>
  </si>
  <si>
    <t>1000010025 RAMOS MARIO SEBASTIAN</t>
  </si>
  <si>
    <t>1000000279 NEUMATICOS VERONA S.R.L.</t>
  </si>
  <si>
    <t>1000003040 LOPEZ DIESEL S.A.</t>
  </si>
  <si>
    <t>1000000023 IND. QUIMICAS KAISER S.R.L.</t>
  </si>
  <si>
    <t>700</t>
  </si>
  <si>
    <t>1000000190 FERNANDEZ INSUA S.A.</t>
  </si>
  <si>
    <t>1000000016 OSVALDO L.SANTILLI E HIJOS S.A</t>
  </si>
  <si>
    <t>1000000940 MELQUI PABLO</t>
  </si>
  <si>
    <t>1000000056 RUNCO S.A.</t>
  </si>
  <si>
    <t>1000000125 SYLWAN S.A. BOMBAS</t>
  </si>
  <si>
    <t>1000008805 SAKURA MOTORS S. A.</t>
  </si>
  <si>
    <t>1000001871 ROMAGNOLI SILVANA LORENA</t>
  </si>
  <si>
    <t>1000001470 SUDAMERICANA CAMIONES SA</t>
  </si>
  <si>
    <t>1000012954 AGROABESAN SRL</t>
  </si>
  <si>
    <t>1000000077 HUGO SANCHEZ S.A.</t>
  </si>
  <si>
    <t>1000007611 ANTONIO B ATENOR E HIJOS S R L</t>
  </si>
  <si>
    <t>1000011072 NEUMATICOS GOODYEAR S R L</t>
  </si>
  <si>
    <t>1000010390 SANTILLI NEUMATICOS SOCIEDAD ANONIM</t>
  </si>
  <si>
    <t>1000010436 BINTEC S. R. L.</t>
  </si>
  <si>
    <t>1000010642 SALAS S.R.L</t>
  </si>
  <si>
    <t>1000000189 POBERAJ S.A.</t>
  </si>
  <si>
    <t>1000000566 AUTOLUX SA</t>
  </si>
  <si>
    <t>1000001691 LENOR SRL</t>
  </si>
  <si>
    <t>1000007501 H G COMUNICACIONES S.R.L.</t>
  </si>
  <si>
    <t>1000000038 YPF S.A.</t>
  </si>
  <si>
    <t>1000001560 MARADONA PRADO ISABEL MARGARIT</t>
  </si>
  <si>
    <t>C19</t>
  </si>
  <si>
    <t>1000011893 BEVACQUA CARLOS IVAN LEONARDO</t>
  </si>
  <si>
    <t>1000012217 FLORES JOSE MATIAS</t>
  </si>
  <si>
    <t>1000000295 BOLLINI S.A</t>
  </si>
  <si>
    <t>380</t>
  </si>
  <si>
    <t>1000009741 YUHMAK SEGURIDAD INDUSTRIAL S.R.L.</t>
  </si>
  <si>
    <t>1000001035 SYS IMPORT S.R.L.</t>
  </si>
  <si>
    <t>1000000561 ESCANDINAVIA DEL PLATA SA</t>
  </si>
  <si>
    <t>1000001129 AGRONORTE S.R.L.</t>
  </si>
  <si>
    <t>1000011519 SALLAGO FEDERICO MIGUEL</t>
  </si>
  <si>
    <t>1000011906 AM SERVICIOS GRAFICOS S. A. S.</t>
  </si>
  <si>
    <t>1000013563 CALISAYA FELIX MAXIMILIANO</t>
  </si>
  <si>
    <t>1000008202 SALVATIERRA DIEGO DOMINGO</t>
  </si>
  <si>
    <t>1000000374 DISTRIBUIDORA TRIGOMA DE BERTO</t>
  </si>
  <si>
    <t>1000012293 ZAMBRANA SAMUEL</t>
  </si>
  <si>
    <t>1000013211 PIZARRO REFRIGERACION S.R.L.</t>
  </si>
  <si>
    <t>1000006932 GUSTAVO CANO NEUMATICOS S.A.</t>
  </si>
  <si>
    <t>1000010820 AGV FALCON DRILLING S.R.L</t>
  </si>
  <si>
    <t>1000000086 SUMIAGRO SANTA FE S.A.</t>
  </si>
  <si>
    <t>1000007719 LAROCCA SALTA NEUMATICOS S.A.</t>
  </si>
  <si>
    <t>1000000022 GRUMAQ S.R.L.</t>
  </si>
  <si>
    <t>1000012974 BLEXA S. A.</t>
  </si>
  <si>
    <t>1000000388 WURTH ARGENTINA S.A.</t>
  </si>
  <si>
    <t>1000000286 SULLAIR ARGENTINA S.A</t>
  </si>
  <si>
    <t>1000008137 ROVI S.R.L.</t>
  </si>
  <si>
    <t>1000001292 PRODUCTORES DE ACERO PROAR SRL</t>
  </si>
  <si>
    <t>1000006352 SUAREZ BASALO RICARDO FEDERICO</t>
  </si>
  <si>
    <t>1000010215 ARZE MIGUEL ANGEL</t>
  </si>
  <si>
    <t>1000002751 WORKLIFT SA</t>
  </si>
  <si>
    <t>1000007766 HERSAPEL SOCIEDAD DE RESPONSABILIDA</t>
  </si>
  <si>
    <t>C38</t>
  </si>
  <si>
    <t>1000012469 CROSSDOX S. A. S.</t>
  </si>
  <si>
    <t>1000007510 LABTEC S. R. L.</t>
  </si>
  <si>
    <t>NRO. OC</t>
  </si>
  <si>
    <t>POS. OC</t>
  </si>
  <si>
    <t>OPERADOR OC</t>
  </si>
  <si>
    <t>HROLDAN</t>
  </si>
  <si>
    <t>EFUNES</t>
  </si>
  <si>
    <t>ILAHORGUE</t>
  </si>
  <si>
    <t>RPEREZ</t>
  </si>
  <si>
    <t>EREGALADO</t>
  </si>
  <si>
    <t>MREY</t>
  </si>
  <si>
    <t>JESPARZA</t>
  </si>
  <si>
    <t>MPITTIA</t>
  </si>
  <si>
    <t>CSOSA</t>
  </si>
  <si>
    <t>AGONZALEZ</t>
  </si>
  <si>
    <t>GROSES</t>
  </si>
  <si>
    <t>FSOTO</t>
  </si>
  <si>
    <t>PRODRIGUEZ</t>
  </si>
  <si>
    <t>MALVAREZ</t>
  </si>
  <si>
    <t>MFREIJOMIL</t>
  </si>
  <si>
    <t>ALOPEZ</t>
  </si>
  <si>
    <t>FBERARDO</t>
  </si>
  <si>
    <t>WVENTURINI</t>
  </si>
  <si>
    <t>GJULIANI</t>
  </si>
  <si>
    <t>JJCABRERA</t>
  </si>
  <si>
    <t>MGAUDELLI</t>
  </si>
  <si>
    <t>JPUPULIN</t>
  </si>
  <si>
    <t>YCOLMAN</t>
  </si>
  <si>
    <t>MFALERO</t>
  </si>
  <si>
    <t>5100003018</t>
  </si>
  <si>
    <t>5100003036</t>
  </si>
  <si>
    <t>4500136112</t>
  </si>
  <si>
    <t>5100003044</t>
  </si>
  <si>
    <t>5100003048</t>
  </si>
  <si>
    <t>5100003049</t>
  </si>
  <si>
    <t>ARROYITO MAQUINARIAS S.R.L.</t>
  </si>
  <si>
    <t>4500139337</t>
  </si>
  <si>
    <t>5100003050</t>
  </si>
  <si>
    <t>5100003051</t>
  </si>
  <si>
    <t>4500137954</t>
  </si>
  <si>
    <t>5100003052</t>
  </si>
  <si>
    <t>5100003055</t>
  </si>
  <si>
    <t>5000003253</t>
  </si>
  <si>
    <t>4500139781</t>
  </si>
  <si>
    <t>5000003254</t>
  </si>
  <si>
    <t>4500139870</t>
  </si>
  <si>
    <t>5000003255</t>
  </si>
  <si>
    <t>4500139406</t>
  </si>
  <si>
    <t>5000003256</t>
  </si>
  <si>
    <t>4500139102</t>
  </si>
  <si>
    <t>5000003257</t>
  </si>
  <si>
    <t>4500139109</t>
  </si>
  <si>
    <t>5000003258</t>
  </si>
  <si>
    <t>4500139939</t>
  </si>
  <si>
    <t>5000003259</t>
  </si>
  <si>
    <t>4500139810</t>
  </si>
  <si>
    <t>5000003260</t>
  </si>
  <si>
    <t>4500139582</t>
  </si>
  <si>
    <t>5000003261</t>
  </si>
  <si>
    <t>4500139681</t>
  </si>
  <si>
    <t>5000003262</t>
  </si>
  <si>
    <t>ALL SERVICE SRL</t>
  </si>
  <si>
    <t>4500140164</t>
  </si>
  <si>
    <t>5000003263</t>
  </si>
  <si>
    <t>4500140065</t>
  </si>
  <si>
    <t>5000003264</t>
  </si>
  <si>
    <t>5000003265</t>
  </si>
  <si>
    <t>4500139262</t>
  </si>
  <si>
    <t>5000003266</t>
  </si>
  <si>
    <t>4500137015</t>
  </si>
  <si>
    <t>5000003267</t>
  </si>
  <si>
    <t>5000003268</t>
  </si>
  <si>
    <t>HANNA SRL</t>
  </si>
  <si>
    <t>4500138570</t>
  </si>
  <si>
    <t>5000003269</t>
  </si>
  <si>
    <t>4500140228</t>
  </si>
  <si>
    <t>5000003270</t>
  </si>
  <si>
    <t>5000003271</t>
  </si>
  <si>
    <t>4500139789</t>
  </si>
  <si>
    <t>5000003272</t>
  </si>
  <si>
    <t>4500138828</t>
  </si>
  <si>
    <t>5000003273</t>
  </si>
  <si>
    <t>4500140003</t>
  </si>
  <si>
    <t>5000003274</t>
  </si>
  <si>
    <t>4500140211</t>
  </si>
  <si>
    <t>5000003275</t>
  </si>
  <si>
    <t>4500140009</t>
  </si>
  <si>
    <t>5000003276</t>
  </si>
  <si>
    <t>4500140174</t>
  </si>
  <si>
    <t>5000003277</t>
  </si>
  <si>
    <t>4500140087</t>
  </si>
  <si>
    <t>5000003278</t>
  </si>
  <si>
    <t>CASA BARABINO SA</t>
  </si>
  <si>
    <t>4500139863</t>
  </si>
  <si>
    <t>5000003279</t>
  </si>
  <si>
    <t>MELS S.R.L.</t>
  </si>
  <si>
    <t>4500129162</t>
  </si>
  <si>
    <t>5000003280</t>
  </si>
  <si>
    <t>5000003281</t>
  </si>
  <si>
    <t>4500139124</t>
  </si>
  <si>
    <t>5000003282</t>
  </si>
  <si>
    <t>5000003283</t>
  </si>
  <si>
    <t>4500139029</t>
  </si>
  <si>
    <t>5000003284</t>
  </si>
  <si>
    <t>4500139829</t>
  </si>
  <si>
    <t>5000003285</t>
  </si>
  <si>
    <t>RESTON MADERAS S.R.L.</t>
  </si>
  <si>
    <t>4500139764</t>
  </si>
  <si>
    <t>5000003286</t>
  </si>
  <si>
    <t>4500139768</t>
  </si>
  <si>
    <t>5000003287</t>
  </si>
  <si>
    <t>4500134947</t>
  </si>
  <si>
    <t>5000003288</t>
  </si>
  <si>
    <t>5000003289</t>
  </si>
  <si>
    <t>GHILARDOTTI DANIEL EDUARDO</t>
  </si>
  <si>
    <t>4500139459</t>
  </si>
  <si>
    <t>5000003290</t>
  </si>
  <si>
    <t>4500140158</t>
  </si>
  <si>
    <t>5000003291</t>
  </si>
  <si>
    <t>EXTINGNORT S.R.L.</t>
  </si>
  <si>
    <t>4500139472</t>
  </si>
  <si>
    <t>5000003292</t>
  </si>
  <si>
    <t>4500139975</t>
  </si>
  <si>
    <t>5000003293</t>
  </si>
  <si>
    <t>4500140129</t>
  </si>
  <si>
    <t>5000003294</t>
  </si>
  <si>
    <t>4500140089</t>
  </si>
  <si>
    <t>5000003295</t>
  </si>
  <si>
    <t>4500140072</t>
  </si>
  <si>
    <t>5000003296</t>
  </si>
  <si>
    <t>4500140403</t>
  </si>
  <si>
    <t>5000003297</t>
  </si>
  <si>
    <t>4500140007</t>
  </si>
  <si>
    <t>5000003298</t>
  </si>
  <si>
    <t>4500127030</t>
  </si>
  <si>
    <t>5000003299</t>
  </si>
  <si>
    <t>5000003300</t>
  </si>
  <si>
    <t>C22</t>
  </si>
  <si>
    <t>1000007645 RESTON MADERAS S.R.L.</t>
  </si>
  <si>
    <t>1000007643 MELS S.R.L.</t>
  </si>
  <si>
    <t>1000011285 HANNA SRL</t>
  </si>
  <si>
    <t>1000000003 ARROYITO MAQUINARIAS S.R.L.</t>
  </si>
  <si>
    <t>1000013164 GHILARDOTTI DANIEL EDUARDO</t>
  </si>
  <si>
    <t>1000007609 EXTINGNORT S.R.L.</t>
  </si>
  <si>
    <t>L02</t>
  </si>
  <si>
    <t>1000000901 CASA BARABINO SA</t>
  </si>
  <si>
    <t>1000001084 ALL SERVICE SRL</t>
  </si>
  <si>
    <t>GDIAZ</t>
  </si>
  <si>
    <t>LHANCEVICH</t>
  </si>
  <si>
    <t>5100003010</t>
  </si>
  <si>
    <t>5100003011</t>
  </si>
  <si>
    <t>5100003012</t>
  </si>
  <si>
    <t>5100003013</t>
  </si>
  <si>
    <t>5100003014</t>
  </si>
  <si>
    <t>5100003015</t>
  </si>
  <si>
    <t>5100003019</t>
  </si>
  <si>
    <t>5100003026</t>
  </si>
  <si>
    <t>5100003027</t>
  </si>
  <si>
    <t>5100003028</t>
  </si>
  <si>
    <t>5100003029</t>
  </si>
  <si>
    <t>5100003030</t>
  </si>
  <si>
    <t>5100003032</t>
  </si>
  <si>
    <t>5100003039</t>
  </si>
  <si>
    <t>5100003040</t>
  </si>
  <si>
    <t>5100003041</t>
  </si>
  <si>
    <t>5100003042</t>
  </si>
  <si>
    <t>5100003043</t>
  </si>
  <si>
    <t>5100003045</t>
  </si>
  <si>
    <t>5100003046</t>
  </si>
  <si>
    <t>5100003047</t>
  </si>
  <si>
    <t>5100003053</t>
  </si>
  <si>
    <t>5100003054</t>
  </si>
  <si>
    <t>5100003056</t>
  </si>
  <si>
    <t>5100003057</t>
  </si>
  <si>
    <t>5100003058</t>
  </si>
  <si>
    <t>5100003059</t>
  </si>
  <si>
    <t>5100003060</t>
  </si>
  <si>
    <t>5100003061</t>
  </si>
  <si>
    <t>5100003062</t>
  </si>
  <si>
    <t>5100003063</t>
  </si>
  <si>
    <t>5100003064</t>
  </si>
  <si>
    <t>5100003065</t>
  </si>
  <si>
    <t>5100003066</t>
  </si>
  <si>
    <t>5100003067</t>
  </si>
  <si>
    <t>5100003068</t>
  </si>
  <si>
    <t>5100003069</t>
  </si>
  <si>
    <t>C9</t>
  </si>
  <si>
    <t>AMAYA CRISTIAN IVAN</t>
  </si>
  <si>
    <t>4500140132</t>
  </si>
  <si>
    <t>5100003070</t>
  </si>
  <si>
    <t>4500136974</t>
  </si>
  <si>
    <t>5100003071</t>
  </si>
  <si>
    <t>5100003072</t>
  </si>
  <si>
    <t>5100003073</t>
  </si>
  <si>
    <t>5100003074</t>
  </si>
  <si>
    <t>5100003075</t>
  </si>
  <si>
    <t>5100003076</t>
  </si>
  <si>
    <t>5100003077</t>
  </si>
  <si>
    <t>5100003078</t>
  </si>
  <si>
    <t>5100003079</t>
  </si>
  <si>
    <t>5100003080</t>
  </si>
  <si>
    <t>5100003081</t>
  </si>
  <si>
    <t>5100003082</t>
  </si>
  <si>
    <t>5100003083</t>
  </si>
  <si>
    <t>5100003084</t>
  </si>
  <si>
    <t>5100003085</t>
  </si>
  <si>
    <t>5100003086</t>
  </si>
  <si>
    <t>C2</t>
  </si>
  <si>
    <t>5100003087</t>
  </si>
  <si>
    <t>5000003301</t>
  </si>
  <si>
    <t>4500140256</t>
  </si>
  <si>
    <t>5000003302</t>
  </si>
  <si>
    <t>5000003303</t>
  </si>
  <si>
    <t>4500140510</t>
  </si>
  <si>
    <t>5000003304</t>
  </si>
  <si>
    <t>5000003305</t>
  </si>
  <si>
    <t>4500139920</t>
  </si>
  <si>
    <t>5000003306</t>
  </si>
  <si>
    <t>4500140470</t>
  </si>
  <si>
    <t>5000003307</t>
  </si>
  <si>
    <t>4500140488</t>
  </si>
  <si>
    <t>5000003308</t>
  </si>
  <si>
    <t>5000003309</t>
  </si>
  <si>
    <t>4500140272</t>
  </si>
  <si>
    <t>5000003310</t>
  </si>
  <si>
    <t>5000003311</t>
  </si>
  <si>
    <t>5000003312</t>
  </si>
  <si>
    <t>4500139635</t>
  </si>
  <si>
    <t>5000003313</t>
  </si>
  <si>
    <t>DIESEL LANGE S.R.L</t>
  </si>
  <si>
    <t>4500139712</t>
  </si>
  <si>
    <t>5000003314</t>
  </si>
  <si>
    <t>4500140415</t>
  </si>
  <si>
    <t>5000003315</t>
  </si>
  <si>
    <t>DABER SERVICIOS INDUSTRIALES SRL</t>
  </si>
  <si>
    <t>4500140307</t>
  </si>
  <si>
    <t>5000003316</t>
  </si>
  <si>
    <t>AGV MAQUINAS S.R.L.</t>
  </si>
  <si>
    <t>4500134545</t>
  </si>
  <si>
    <t>5000003317</t>
  </si>
  <si>
    <t>5000003318</t>
  </si>
  <si>
    <t>4500137335</t>
  </si>
  <si>
    <t>5000003319</t>
  </si>
  <si>
    <t>4500140243</t>
  </si>
  <si>
    <t>5000003320</t>
  </si>
  <si>
    <t>4500139557</t>
  </si>
  <si>
    <t>5000003321</t>
  </si>
  <si>
    <t>4500140491</t>
  </si>
  <si>
    <t>5000003322</t>
  </si>
  <si>
    <t>4500140342</t>
  </si>
  <si>
    <t>5000003323</t>
  </si>
  <si>
    <t>4500140649</t>
  </si>
  <si>
    <t>5000003324</t>
  </si>
  <si>
    <t>CROSSDOX S. A. S.</t>
  </si>
  <si>
    <t>4500140651</t>
  </si>
  <si>
    <t>5000003325</t>
  </si>
  <si>
    <t>4500140507</t>
  </si>
  <si>
    <t>5000003326</t>
  </si>
  <si>
    <t>4500140661</t>
  </si>
  <si>
    <t>5000003327</t>
  </si>
  <si>
    <t>5000003328</t>
  </si>
  <si>
    <t>4500140538</t>
  </si>
  <si>
    <t>5000003329</t>
  </si>
  <si>
    <t>4500140431</t>
  </si>
  <si>
    <t>5000003330</t>
  </si>
  <si>
    <t>4500138781</t>
  </si>
  <si>
    <t>5000003331</t>
  </si>
  <si>
    <t>1000007814 AGV MAQUINAS S.R.L.</t>
  </si>
  <si>
    <t>1000002607 DIESEL LANGE S.R.L</t>
  </si>
  <si>
    <t>1000010762 AMAYA CRISTIAN IVAN</t>
  </si>
  <si>
    <t>1000013477 DABER SERVICIOS INDUSTRIALES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</si>
</sst>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 indent="2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14" fontId="0" fillId="0" borderId="0" xfId="0" applyNumberFormat="1" applyAlignment="1">
      <alignment vertical="top"/>
    </xf>
    <xf numFmtId="3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2" name="Picture@5C\QPendientes@" descr="@5C\QPendientes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3" name="Picture@5C\QPendientes@" descr="@5C\QPendientes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4" name="Picture@5C\QPendientes@" descr="@5C\QPendientes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5" name="Picture@5C\QPendientes@" descr="@5C\QPendientes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6" name="Picture@5C\QPendientes@" descr="@5C\QPendientes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7" name="Picture@5C\QPendientes@" descr="@5C\QPendientes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8" name="Picture@5C\QPendientes@" descr="@5C\QPendientes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9" name="Picture@5C\QPendientes@" descr="@5C\QPendientes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10" name="Picture@5C\QPendientes@" descr="@5C\QPendientes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11" name="Picture@5C\QPendientes@" descr="@5C\QPendientes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12" name="Picture@5C\QPendientes@" descr="@5C\QPendientes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13" name="Picture@5C\QPendientes@" descr="@5C\QPendientes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14" name="Picture@5C\QPendientes@" descr="@5C\QPendientes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15" name="Picture@5C\QPendientes@" descr="@5C\QPendientes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16" name="Picture@5C\QPendientes@" descr="@5C\QPendientes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17" name="Picture@5C\QPendientes@" descr="@5C\QPendientes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18" name="Picture@5C\QPendientes@" descr="@5C\QPendientes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19" name="Picture@5C\QPendientes@" descr="@5C\QPendientes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20" name="Picture@5C\QPendientes@" descr="@5C\QPendientes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21" name="Picture@5C\QPendientes@" descr="@5C\QPendientes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22" name="Picture@5C\QPendientes@" descr="@5C\QPendientes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23" name="Picture@5C\QPendientes@" descr="@5C\QPendientes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24" name="Picture@5C\QPendientes@" descr="@5C\QPendientes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25" name="Picture@5C\QPendientes@" descr="@5C\QPendientes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6" name="Picture@5C\QPendientes@" descr="@5C\QPendientes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7" name="Picture@5C\QPendientes@" descr="@5C\QPendientes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8" name="Picture@5C\QPendientes@" descr="@5C\QPendientes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9" name="Picture@5C\QPendientes@" descr="@5C\QPendientes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30" name="Picture@5C\QPendientes@" descr="@5C\QPendientes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31" name="Picture@5C\QPendientes@" descr="@5C\QPendientes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32" name="Picture@5C\QPendientes@" descr="@5C\QPendientes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33" name="Picture@5C\QPendientes@" descr="@5C\QPendientes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34" name="Picture@5C\QPendientes@" descr="@5C\QPendientes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35" name="Picture@5C\QPendientes@" descr="@5C\QPendientes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36" name="Picture@5C\QPendientes@" descr="@5C\QPendientes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37" name="Picture@5C\QPendientes@" descr="@5C\QPendientes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38" name="Picture@5C\QPendientes@" descr="@5C\QPendientes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39" name="Picture@5C\QPendientes@" descr="@5C\QPendientes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40" name="Picture@5C\QPendientes@" descr="@5C\QPendientes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41" name="Picture@5C\QPendientes@" descr="@5C\QPendientes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42" name="Picture@5C\QPendientes@" descr="@5C\QPendientes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43" name="Picture@5C\QPendientes@" descr="@5C\QPendientes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44" name="Picture@5C\QPendientes@" descr="@5C\QPendientes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45" name="Picture@5C\QPendientes@" descr="@5C\QPendientes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46" name="Picture@5C\QPendientes@" descr="@5C\QPendientes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47" name="Picture@5C\QPendientes@" descr="@5C\QPendientes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48" name="Picture@5C\QPendientes@" descr="@5C\QPendientes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49" name="Picture@5C\QPendientes@" descr="@5C\QPendientes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50" name="Picture@5C\QPendientes@" descr="@5C\QPendientes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51" name="Picture@5C\QPendientes@" descr="@5C\QPendientes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52" name="Picture@5C\QPendientes@" descr="@5C\QPendientes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53" name="Picture@5C\QPendientes@" descr="@5C\QPendientes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54" name="Picture@5C\QPendientes@" descr="@5C\QPendientes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55" name="Picture@5C\QPendientes@" descr="@5C\QPendientes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56" name="Picture@5C\QPendientes@" descr="@5C\QPendientes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57" name="Picture@5C\QPendientes@" descr="@5C\QPendientes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58" name="Picture@5C\QPendientes@" descr="@5C\QPendientes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59" name="Picture@5C\QPendientes@" descr="@5C\QPendientes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60" name="Picture@5C\QPendientes@" descr="@5C\QPendientes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61" name="Picture@5C\QPendientes@" descr="@5C\QPendientes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62" name="Picture@5C\QPendientes@" descr="@5C\QPendientes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63" name="Picture@5C\QPendientes@" descr="@5C\QPendientes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64" name="Picture@5C\QPendientes@" descr="@5C\QPendientes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65" name="Picture@5C\QPendientes@" descr="@5C\QPendientes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66" name="Picture@5C\QPendientes@" descr="@5C\QPendientes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67" name="Picture@5C\QPendientes@" descr="@5C\QPendientes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68" name="Picture@5C\QPendientes@" descr="@5C\QPendientes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69" name="Picture@5C\QPendientes@" descr="@5C\QPendientes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70" name="Picture@5C\QPendientes@" descr="@5C\QPendientes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71" name="Picture@5C\QPendientes@" descr="@5C\QPendientes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72" name="Picture@5C\QPendientes@" descr="@5C\QPendientes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73" name="Picture@5C\QPendientes@" descr="@5C\QPendientes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74" name="Picture@5C\QPendientes@" descr="@5C\QPendientes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75" name="Picture@5C\QPendientes@" descr="@5C\QPendientes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76" name="Picture@5C\QPendientes@" descr="@5C\QPendientes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77" name="Picture@5C\QPendientes@" descr="@5C\QPendientes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78" name="Picture@5C\QPendientes@" descr="@5C\QPendientes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79" name="Picture@5C\QPendientes@" descr="@5C\QPendientes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80" name="Picture@5C\QPendientes@" descr="@5C\QPendientes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81" name="Picture@5C\QPendientes@" descr="@5C\QPendientes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82" name="Picture@5C\QPendientes@" descr="@5C\QPendientes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83" name="Picture@5C\QPendientes@" descr="@5C\QPendientes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84" name="Picture@5C\QPendientes@" descr="@5C\QPendientes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85" name="Picture@5C\QPendientes@" descr="@5C\QPendientes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86" name="Picture@5C\QPendientes@" descr="@5C\QPendientes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87" name="Picture@5C\QPendientes@" descr="@5C\QPendientes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88" name="Picture@5C\QPendientes@" descr="@5C\QPendientes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89" name="Picture@5C\QPendientes@" descr="@5C\QPendientes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90" name="Picture@5C\QPendientes@" descr="@5C\QPendientes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91" name="Picture@5C\QPendientes@" descr="@5C\QPendientes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92" name="Picture@5C\QPendientes@" descr="@5C\QPendientes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93" name="Picture@5C\QPendientes@" descr="@5C\QPendientes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94" name="Picture@5C\QPendientes@" descr="@5C\QPendientes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95" name="Picture@5C\QPendientes@" descr="@5C\QPendientes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96" name="Picture@5C\QPendientes@" descr="@5C\QPendientes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97" name="Picture@5C\QPendientes@" descr="@5C\QPendientes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98" name="Picture@5C\QPendientes@" descr="@5C\QPendientes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99" name="Picture@5C\QPendientes@" descr="@5C\QPendientes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100" name="Picture@5C\QPendientes@" descr="@5C\QPendientes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101" name="Picture@5C\QPendientes@" descr="@5C\QPendientes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102" name="Picture@5C\QPendientes@" descr="@5C\QPendientes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103" name="Picture@5C\QPendientes@" descr="@5C\QPendientes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104" name="Picture@5C\QPendientes@" descr="@5C\QPendientes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105" name="Picture@5C\QPendientes@" descr="@5C\QPendientes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106" name="Picture@5C\QPendientes@" descr="@5C\QPendientes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107" name="Picture@5C\QPendientes@" descr="@5C\QPendientes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108" name="Picture@5C\QPendientes@" descr="@5C\QPendientes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109" name="Picture@5C\QPendientes@" descr="@5C\QPendientes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110" name="Picture@5C\QPendientes@" descr="@5C\QPendientes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111" name="Picture@5C\QPendientes@" descr="@5C\QPendientes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112" name="Picture@5C\QPendientes@" descr="@5C\QPendientes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113" name="Picture@5C\QPendientes@" descr="@5C\QPendientes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114" name="Picture@5C\QPendientes@" descr="@5C\QPendientes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115" name="Picture@5C\QPendientes@" descr="@5C\QPendientes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116" name="Picture@5C\QPendientes@" descr="@5C\QPendientes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117" name="Picture@5C\QPendientes@" descr="@5C\QPendientes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118" name="Picture@5C\QPendientes@" descr="@5C\QPendientes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119" name="Picture@5C\QPendientes@" descr="@5C\QPendientes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120" name="Picture@5C\QPendientes@" descr="@5C\QPendientes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121" name="Picture@5C\QPendientes@" descr="@5C\QPendientes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122" name="Picture@5C\QPendientes@" descr="@5C\QPendientes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123" name="Picture@5C\QPendientes@" descr="@5C\QPendientes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124" name="Picture@5C\QPendientes@" descr="@5C\QPendientes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125" name="Picture@5C\QPendientes@" descr="@5C\QPendientes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126" name="Picture@5C\QPendientes@" descr="@5C\QPendientes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127" name="Picture@5C\QPendientes@" descr="@5C\QPendientes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28" name="Picture@5C\QPendientes@" descr="@5C\QPendientes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29" name="Picture@5C\QPendientes@" descr="@5C\QPendientes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30" name="Picture@5C\QPendientes@" descr="@5C\QPendientes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131" name="Picture@5C\QPendientes@" descr="@5C\QPendientes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132" name="Picture@5C\QPendientes@" descr="@5C\QPendientes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33" name="Picture@5C\QPendientes@" descr="@5C\QPendientes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34" name="Picture@5C\QPendientes@" descr="@5C\QPendientes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135" name="Picture@5C\QPendientes@" descr="@5C\QPendientes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136" name="Picture@5C\QPendientes@" descr="@5C\QPendientes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37" name="Picture@5C\QPendientes@" descr="@5C\QPendientes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38" name="Picture@5C\QPendientes@" descr="@5C\QPendientes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39" name="Picture@5C\QPendientes@" descr="@5C\QPendientes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40" name="Picture@5C\QPendientes@" descr="@5C\QPendientes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141" name="Picture@5C\QPendientes@" descr="@5C\QPendientes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142" name="Picture@5C\QPendientes@" descr="@5C\QPendientes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43" name="Picture@5C\QPendientes@" descr="@5C\QPendientes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44" name="Picture@5C\QPendientes@" descr="@5C\QPendientes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45" name="Picture@5C\QPendientes@" descr="@5C\QPendientes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46" name="Picture@5C\QPendientes@" descr="@5C\QPendientes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147" name="Picture@5C\QPendientes@" descr="@5C\QPendientes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48" name="Picture@5C\QPendientes@" descr="@5C\QPendientes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49" name="Picture@5C\QPendientes@" descr="@5C\QPendientes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50" name="Picture@5C\QPendientes@" descr="@5C\QPendientes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51" name="Picture@5C\QPendientes@" descr="@5C\QPendientes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52" name="Picture@5C\QPendientes@" descr="@5C\QPendientes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53" name="Picture@5C\QPendientes@" descr="@5C\QPendientes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54" name="Picture@5C\QPendientes@" descr="@5C\QPendientes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55" name="Picture@5C\QPendientes@" descr="@5C\QPendientes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156" name="Picture@5C\QPendientes@" descr="@5C\QPendientes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57" name="Picture@5C\QPendientes@" descr="@5C\QPendientes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58" name="Picture@5C\QPendientes@" descr="@5C\QPendientes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159" name="Picture@5C\QPendientes@" descr="@5C\QPendientes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60" name="Picture@5C\QPendientes@" descr="@5C\QPendientes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61" name="Picture@5C\QPendientes@" descr="@5C\QPendientes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162" name="Picture@5C\QPendientes@" descr="@5C\QPendientes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63" name="Picture@5C\QPendientes@" descr="@5C\QPendientes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64" name="Picture@5C\QPendientes@" descr="@5C\QPendientes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165" name="Picture@5C\QPendientes@" descr="@5C\QPendientes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66" name="Picture@5C\QPendientes@" descr="@5C\QPendientes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67" name="Picture@5C\QPendientes@" descr="@5C\QPendientes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168" name="Picture@5C\QPendientes@" descr="@5C\QPendientes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169" name="Picture@5C\QPendientes@" descr="@5C\QPendientes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170" name="Picture@5C\QPendientes@" descr="@5C\QPendientes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171" name="Picture@5C\QPendientes@" descr="@5C\QPendientes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172" name="Picture@5C\QPendientes@" descr="@5C\QPendientes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73" name="Picture@5C\QPendientes@" descr="@5C\QPendientes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74" name="Picture@5C\QPendientes@" descr="@5C\QPendientes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175" name="Picture@5C\QPendientes@" descr="@5C\QPendientes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176" name="Picture@5C\QPendientes@" descr="@5C\QPendientes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177" name="Picture@5C\QPendientes@" descr="@5C\QPendientes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178" name="Picture@5C\QPendientes@" descr="@5C\QPendientes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179" name="Picture@5C\QPendientes@" descr="@5C\QPendientes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180" name="Picture@5C\QPendientes@" descr="@5C\QPendientes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181" name="Picture@5C\QPendientes@" descr="@5C\QPendientes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182" name="Picture@5C\QPendientes@" descr="@5C\QPendientes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183" name="Picture@5C\QPendientes@" descr="@5C\QPendientes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184" name="Picture@5C\QPendientes@" descr="@5C\QPendientes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185" name="Picture@5C\QPendientes@" descr="@5C\QPendientes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186" name="Picture@5C\QPendientes@" descr="@5C\QPendientes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187" name="Picture@5C\QPendientes@" descr="@5C\QPendientes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188" name="Picture@5C\QPendientes@" descr="@5C\QPendientes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189" name="Picture@5C\QPendientes@" descr="@5C\QPendientes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190" name="Picture@5C\QPendientes@" descr="@5C\QPendientes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91" name="Picture@5C\QPendientes@" descr="@5C\QPendientes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192" name="Picture@5C\QPendientes@" descr="@5C\QPendientes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93" name="Picture@5C\QPendientes@" descr="@5C\QPendientes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194" name="Picture@5C\QPendientes@" descr="@5C\QPendientes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95" name="Picture@5C\QPendientes@" descr="@5C\QPendientes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96" name="Picture@5C\QPendientes@" descr="@5C\QPendientes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97" name="Picture@5C\QPendientes@" descr="@5C\QPendientes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98" name="Picture@5C\QPendientes@" descr="@5C\QPendientes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99" name="Picture@5C\QPendientes@" descr="@5C\QPendientes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200" name="Picture@5C\QPendientes@" descr="@5C\QPendientes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201" name="Picture@5C\QPendientes@" descr="@5C\QPendientes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202" name="Picture@5C\QPendientes@" descr="@5C\QPendientes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203" name="Picture@5C\QPendientes@" descr="@5C\QPendientes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204" name="Picture@5C\QPendientes@" descr="@5C\QPendientes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205" name="Picture@5C\QPendientes@" descr="@5C\QPendientes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206" name="Picture@5C\QPendientes@" descr="@5C\QPendientes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207" name="Picture@5C\QPendientes@" descr="@5C\QPendientes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208" name="Picture@5C\QPendientes@" descr="@5C\QPendientes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209" name="Picture@5C\QPendientes@" descr="@5C\QPendientes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210" name="Picture@5C\QPendientes@" descr="@5C\QPendientes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211" name="Picture@5C\QPendientes@" descr="@5C\QPendientes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212" name="Picture@5C\QPendientes@" descr="@5C\QPendientes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213" name="Picture@5C\QPendientes@" descr="@5C\QPendientes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214" name="Picture@5C\QPendientes@" descr="@5C\QPendientes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215" name="Picture@5C\QPendientes@" descr="@5C\QPendientes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216" name="Picture@5C\QPendientes@" descr="@5C\QPendientes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217" name="Picture@5C\QPendientes@" descr="@5C\QPendientes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218" name="Picture@5C\QPendientes@" descr="@5C\QPendientes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219" name="Picture@5C\QPendientes@" descr="@5C\QPendientes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220" name="Picture@5C\QPendientes@" descr="@5C\QPendientes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221" name="Picture@5C\QPendientes@" descr="@5C\QPendientes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222" name="Picture@5C\QPendientes@" descr="@5C\QPendientes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223" name="Picture@5C\QPendientes@" descr="@5C\QPendientes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224" name="Picture@5C\QPendientes@" descr="@5C\QPendientes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225" name="Picture@5C\QPendientes@" descr="@5C\QPendientes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226" name="Picture@5C\QPendientes@" descr="@5C\QPendientes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227" name="Picture@5C\QPendientes@" descr="@5C\QPendientes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228" name="Picture@5C\QPendientes@" descr="@5C\QPendientes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229" name="Picture@5C\QPendientes@" descr="@5C\QPendientes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230" name="Picture@5C\QPendientes@" descr="@5C\QPendientes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231" name="Picture@5C\QPendientes@" descr="@5C\QPendientes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232" name="Picture@5C\QPendientes@" descr="@5C\QPendientes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233" name="Picture@5C\QPendientes@" descr="@5C\QPendientes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234" name="Picture@5C\QPendientes@" descr="@5C\QPendientes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235" name="Picture@5C\QPendientes@" descr="@5C\QPendientes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236" name="Picture@5C\QPendientes@" descr="@5C\QPendientes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237" name="Picture@5C\QPendientes@" descr="@5C\QPendientes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238" name="Picture@5C\QPendientes@" descr="@5C\QPendientes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239" name="Picture@5C\QPendientes@" descr="@5C\QPendientes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240" name="Picture@5C\QPendientes@" descr="@5C\QPendientes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241" name="Picture@5C\QPendientes@" descr="@5C\QPendientes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242" name="Picture@5C\QPendientes@" descr="@5C\QPendientes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243" name="Picture@5C\QPendientes@" descr="@5C\QPendientes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244" name="Picture@5C\QPendientes@" descr="@5C\QPendientes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245" name="Picture@5C\QPendientes@" descr="@5C\QPendientes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246" name="Picture@5C\QPendientes@" descr="@5C\QPendientes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247" name="Picture@5C\QPendientes@" descr="@5C\QPendientes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248" name="Picture@5C\QPendientes@" descr="@5C\QPendientes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249" name="Picture@5C\QPendientes@" descr="@5C\QPendientes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250" name="Picture@5C\QPendientes@" descr="@5C\QPendientes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251" name="Picture@5C\QPendientes@" descr="@5C\QPendientes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252" name="Picture@5C\QPendientes@" descr="@5C\QPendientes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253" name="Picture@5C\QPendientes@" descr="@5C\QPendientes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254" name="Picture@5C\QPendientes@" descr="@5C\QPendientes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255" name="Picture@5C\QPendientes@" descr="@5C\QPendientes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256" name="Picture@5C\QPendientes@" descr="@5C\QPendientes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257" name="Picture@5C\QPendientes@" descr="@5C\QPendientes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258" name="Picture@5C\QPendientes@" descr="@5C\QPendientes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259" name="Picture@5C\QPendientes@" descr="@5C\QPendientes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260" name="Picture@5C\QPendientes@" descr="@5C\QPendientes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261" name="Picture@5C\QPendientes@" descr="@5C\QPendientes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262" name="Picture@5C\QPendientes@" descr="@5C\QPendientes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263" name="Picture@5C\QPendientes@" descr="@5C\QPendientes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264" name="Picture@5C\QPendientes@" descr="@5C\QPendientes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265" name="Picture@5C\QPendientes@" descr="@5C\QPendientes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266" name="Picture@5C\QPendientes@" descr="@5C\QPendientes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267" name="Picture@5C\QPendientes@" descr="@5C\QPendientes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268" name="Picture@5C\QPendientes@" descr="@5C\QPendientes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269" name="Picture@5C\QPendientes@" descr="@5C\QPendientes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270" name="Picture@5C\QPendientes@" descr="@5C\QPendientes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271" name="Picture@5C\QPendientes@" descr="@5C\QPendientes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272" name="Picture@5C\QPendientes@" descr="@5C\QPendientes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273" name="Picture@5C\QPendientes@" descr="@5C\QPendientes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274" name="Picture@5C\QPendientes@" descr="@5C\QPendientes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275" name="Picture@5C\QPendientes@" descr="@5C\QPendientes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276" name="Picture@5C\QPendientes@" descr="@5C\QPendientes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277" name="Picture@5C\QPendientes@" descr="@5C\QPendientes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278" name="Picture@5C\QPendientes@" descr="@5C\QPendientes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279" name="Picture@5C\QPendientes@" descr="@5C\QPendientes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280" name="Picture@5C\QPendientes@" descr="@5C\QPendientes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281" name="Picture@5C\QPendientes@" descr="@5C\QPendientes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282" name="Picture@5C\QPendientes@" descr="@5C\QPendientes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283" name="Picture@5C\QPendientes@" descr="@5C\QPendientes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284" name="Picture@5C\QPendientes@" descr="@5C\QPendientes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285" name="Picture@5C\QPendientes@" descr="@5C\QPendientes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286" name="Picture@5C\QPendientes@" descr="@5C\QPendientes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287" name="Picture@5C\QPendientes@" descr="@5C\QPendientes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288" name="Picture@5C\QPendientes@" descr="@5C\QPendientes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289" name="Picture@5C\QPendientes@" descr="@5C\QPendientes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290" name="Picture@5C\QPendientes@" descr="@5C\QPendientes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291" name="Picture@5C\QPendientes@" descr="@5C\QPendientes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292" name="Picture@5C\QPendientes@" descr="@5C\QPendientes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293" name="Picture@5C\QPendientes@" descr="@5C\QPendientes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294" name="Picture@5C\QPendientes@" descr="@5C\QPendientes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295" name="Picture@5C\QPendientes@" descr="@5C\QPendientes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296" name="Picture@5C\QPendientes@" descr="@5C\QPendientes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297" name="Picture@5C\QPendientes@" descr="@5C\QPendientes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298" name="Picture@5C\QPendientes@" descr="@5C\QPendientes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299" name="Picture@5C\QPendientes@" descr="@5C\QPendientes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300" name="Picture@5C\QPendientes@" descr="@5C\QPendientes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301" name="Picture@5C\QPendientes@" descr="@5C\QPendientes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302" name="Picture@5C\QPendientes@" descr="@5C\QPendientes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303" name="Picture@5C\QPendientes@" descr="@5C\QPendientes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304" name="Picture@5C\QPendientes@" descr="@5C\QPendientes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305" name="Picture@5C\QPendientes@" descr="@5C\QPendientes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306" name="Picture@5C\QPendientes@" descr="@5C\QPendientes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307" name="Picture@5C\QPendientes@" descr="@5C\QPendientes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308" name="Picture@5C\QPendientes@" descr="@5C\QPendientes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309" name="Picture@5C\QPendientes@" descr="@5C\QPendientes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310" name="Picture@5C\QPendientes@" descr="@5C\QPendientes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311" name="Picture@5C\QPendientes@" descr="@5C\QPendientes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312" name="Picture@5C\QPendientes@" descr="@5C\QPendientes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313" name="Picture@5C\QPendientes@" descr="@5C\QPendientes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314" name="Picture@5C\QPendientes@" descr="@5C\QPendientes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315" name="Picture@5C\QPendientes@" descr="@5C\QPendientes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316" name="Picture@5C\QPendientes@" descr="@5C\QPendientes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317" name="Picture@5C\QPendientes@" descr="@5C\QPendientes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318" name="Picture@5C\QPendientes@" descr="@5C\QPendientes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319" name="Picture@5C\QPendientes@" descr="@5C\QPendientes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320" name="Picture@5C\QPendientes@" descr="@5C\QPendientes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321" name="Picture@5C\QPendientes@" descr="@5C\QPendientes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322" name="Picture@5C\QPendientes@" descr="@5C\QPendientes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323" name="Picture@5C\QPendientes@" descr="@5C\QPendientes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324" name="Picture@5C\QPendientes@" descr="@5C\QPendientes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325" name="Picture@5C\QPendientes@" descr="@5C\QPendientes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326" name="Picture@5C\QPendientes@" descr="@5C\QPendientes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327" name="Picture@5C\QPendientes@" descr="@5C\QPendientes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328" name="Picture@5C\QPendientes@" descr="@5C\QPendientes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329" name="Picture@5C\QPendientes@" descr="@5C\QPendientes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330" name="Picture@5C\QPendientes@" descr="@5C\QPendientes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331" name="Picture@5C\QPendientes@" descr="@5C\QPendientes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332" name="Picture@5C\QPendientes@" descr="@5C\QPendientes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333" name="Picture@5C\QPendientes@" descr="@5C\QPendientes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334" name="Picture@5C\QPendientes@" descr="@5C\QPendientes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335" name="Picture@5C\QPendientes@" descr="@5C\QPendientes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336" name="Picture@5C\QPendientes@" descr="@5C\QPendientes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337" name="Picture@5C\QPendientes@" descr="@5C\QPendientes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338" name="Picture@5C\QPendientes@" descr="@5C\QPendientes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339" name="Picture@5C\QPendientes@" descr="@5C\QPendientes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340" name="Picture@5C\QPendientes@" descr="@5C\QPendientes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341" name="Picture@5C\QPendientes@" descr="@5C\QPendientes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342" name="Picture@5C\QPendientes@" descr="@5C\QPendientes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343" name="Picture@5C\QPendientes@" descr="@5C\QPendientes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344" name="Picture@5C\QPendientes@" descr="@5C\QPendientes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345" name="Picture@5C\QPendientes@" descr="@5C\QPendientes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346" name="Picture@5C\QPendientes@" descr="@5C\QPendientes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347" name="Picture@5C\QPendientes@" descr="@5C\QPendientes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348" name="Picture@5C\QPendientes@" descr="@5C\QPendientes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349" name="Picture@5C\QPendientes@" descr="@5C\QPendientes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350" name="Picture@5C\QPendientes@" descr="@5C\QPendientes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351" name="Picture@5C\QPendientes@" descr="@5C\QPendientes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352" name="Picture@5C\QPendientes@" descr="@5C\QPendientes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353" name="Picture@5C\QPendientes@" descr="@5C\QPendientes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354" name="Picture@5C\QPendientes@" descr="@5C\QPendientes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355" name="Picture@5C\QPendientes@" descr="@5C\QPendientes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356" name="Picture@5C\QPendientes@" descr="@5C\QPendientes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357" name="Picture@5C\QPendientes@" descr="@5C\QPendientes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358" name="Picture@5C\QPendientes@" descr="@5C\QPendientes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359" name="Picture@5C\QPendientes@" descr="@5C\QPendientes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360" name="Picture@5C\QPendientes@" descr="@5C\QPendientes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361" name="Picture@5C\QPendientes@" descr="@5C\QPendientes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362" name="Picture@5C\QPendientes@" descr="@5C\QPendientes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363" name="Picture@5C\QPendientes@" descr="@5C\QPendientes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364" name="Picture@5C\QPendientes@" descr="@5C\QPendientes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365" name="Picture@5C\QPendientes@" descr="@5C\QPendientes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366" name="Picture@5C\QPendientes@" descr="@5C\QPendientes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367" name="Picture@5C\QPendientes@" descr="@5C\QPendientes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368" name="Picture@5C\QPendientes@" descr="@5C\QPendientes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369" name="Picture@5C\QPendientes@" descr="@5C\QPendientes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370" name="Picture@5C\QPendientes@" descr="@5C\QPendientes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371" name="Picture@5C\QPendientes@" descr="@5C\QPendientes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372" name="Picture@5C\QPendientes@" descr="@5C\QPendientes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373" name="Picture@5C\QPendientes@" descr="@5C\QPendientes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374" name="Picture@5C\QPendientes@" descr="@5C\QPendientes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375" name="Picture@5C\QPendientes@" descr="@5C\QPendientes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376" name="Picture@5C\QPendientes@" descr="@5C\QPendientes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377" name="Picture@5C\QPendientes@" descr="@5C\QPendientes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378" name="Picture@5C\QPendientes@" descr="@5C\QPendientes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379" name="Picture@5C\QPendientes@" descr="@5C\QPendientes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380" name="Picture@5C\QPendientes@" descr="@5C\QPendientes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381" name="Picture@5C\QPendientes@" descr="@5C\QPendientes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382" name="Picture@5C\QPendientes@" descr="@5C\QPendientes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383" name="Picture@5C\QPendientes@" descr="@5C\QPendientes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384" name="Picture@5C\QPendientes@" descr="@5C\QPendientes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385" name="Picture@5C\QPendientes@" descr="@5C\QPendientes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386" name="Picture@5C\QPendientes@" descr="@5C\QPendientes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387" name="Picture@5C\QPendientes@" descr="@5C\QPendientes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388" name="Picture@5C\QPendientes@" descr="@5C\QPendientes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389" name="Picture@5C\QPendientes@" descr="@5C\QPendientes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390" name="Picture@5C\QPendientes@" descr="@5C\QPendientes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391" name="Picture@5C\QPendientes@" descr="@5C\QPendientes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392" name="Picture@5C\QPendientes@" descr="@5C\QPendientes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393" name="Picture@5C\QPendientes@" descr="@5C\QPendientes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394" name="Picture@5C\QPendientes@" descr="@5C\QPendientes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395" name="Picture@5C\QPendientes@" descr="@5C\QPendientes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396" name="Picture@5C\QPendientes@" descr="@5C\QPendientes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397" name="Picture@5C\QPendientes@" descr="@5C\QPendientes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398" name="Picture@5C\QPendientes@" descr="@5C\QPendientes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399" name="Picture@5C\QPendientes@" descr="@5C\QPendientes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400" name="Picture@5C\QPendientes@" descr="@5C\QPendientes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401" name="Picture@5C\QPendientes@" descr="@5C\QPendientes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402" name="Picture@5C\QPendientes@" descr="@5C\QPendientes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403" name="Picture@5C\QPendientes@" descr="@5C\QPendientes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404" name="Picture@5C\QPendientes@" descr="@5C\QPendientes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405" name="Picture@5C\QPendientes@" descr="@5C\QPendientes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406" name="Picture@5C\QPendientes@" descr="@5C\QPendientes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407" name="Picture@5C\QPendientes@" descr="@5C\QPendientes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408" name="Picture@5C\QPendientes@" descr="@5C\QPendientes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409" name="Picture@5C\QPendientes@" descr="@5C\QPendientes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410" name="Picture@5C\QPendientes@" descr="@5C\QPendientes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411" name="Picture@5C\QPendientes@" descr="@5C\QPendientes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412" name="Picture@5C\QPendientes@" descr="@5C\QPendientes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413" name="Picture@5C\QPendientes@" descr="@5C\QPendientes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414" name="Picture@5C\QPendientes@" descr="@5C\QPendientes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415" name="Picture@5C\QPendientes@" descr="@5C\QPendientes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416" name="Picture@5C\QPendientes@" descr="@5C\QPendientes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417" name="Picture@5C\QPendientes@" descr="@5C\QPendientes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418" name="Picture@5C\QPendientes@" descr="@5C\QPendientes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419" name="Picture@5C\QPendientes@" descr="@5C\QPendientes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420" name="Picture@5C\QPendientes@" descr="@5C\QPendientes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421" name="Picture@5C\QPendientes@" descr="@5C\QPendientes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422" name="Picture@5C\QPendientes@" descr="@5C\QPendientes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423" name="Picture@5C\QPendientes@" descr="@5C\QPendientes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424" name="Picture@5C\QPendientes@" descr="@5C\QPendientes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425" name="Picture@5C\QPendientes@" descr="@5C\QPendientes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426" name="Picture@5C\QPendientes@" descr="@5C\QPendientes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427" name="Picture@5C\QPendientes@" descr="@5C\QPendientes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428" name="Picture@5C\QPendientes@" descr="@5C\QPendientes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429" name="Picture@5C\QPendientes@" descr="@5C\QPendientes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430" name="Picture@5C\QPendientes@" descr="@5C\QPendientes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431" name="Picture@5C\QPendientes@" descr="@5C\QPendientes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432" name="Picture@5C\QPendientes@" descr="@5C\QPendientes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433" name="Picture@5C\QPendientes@" descr="@5C\QPendientes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434" name="Picture@5C\QPendientes@" descr="@5C\QPendientes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435" name="Picture@5C\QPendientes@" descr="@5C\QPendientes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436" name="Picture@5C\QPendientes@" descr="@5C\QPendientes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437" name="Picture@5C\QPendientes@" descr="@5C\QPendientes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438" name="Picture@5C\QPendientes@" descr="@5C\QPendientes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439" name="Picture@5C\QPendientes@" descr="@5C\QPendientes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440" name="Picture@5C\QPendientes@" descr="@5C\QPendientes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441" name="Picture@5C\QPendientes@" descr="@5C\QPendientes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442" name="Picture@5C\QPendientes@" descr="@5C\QPendientes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443" name="Picture@5C\QPendientes@" descr="@5C\QPendientes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444" name="Picture@5C\QPendientes@" descr="@5C\QPendientes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445" name="Picture@5C\QPendientes@" descr="@5C\QPendientes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446" name="Picture@5C\QPendientes@" descr="@5C\QPendientes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447" name="Picture@5C\QPendientes@" descr="@5C\QPendientes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448" name="Picture@5C\QPendientes@" descr="@5C\QPendientes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449" name="Picture@5C\QPendientes@" descr="@5C\QPendientes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450" name="Picture@5C\QPendientes@" descr="@5C\QPendientes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451" name="Picture@5C\QPendientes@" descr="@5C\QPendientes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452" name="Picture@5C\QPendientes@" descr="@5C\QPendientes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453" name="Picture@5C\QPendientes@" descr="@5C\QPendientes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454" name="Picture@5C\QPendientes@" descr="@5C\QPendientes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455" name="Picture@5C\QPendientes@" descr="@5C\QPendientes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456" name="Picture@5C\QPendientes@" descr="@5C\QPendientes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457" name="Picture@5C\QPendientes@" descr="@5C\QPendientes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458" name="Picture@5C\QPendientes@" descr="@5C\QPendientes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459" name="Picture@5C\QPendientes@" descr="@5C\QPendientes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460" name="Picture@5C\QPendientes@" descr="@5C\QPendientes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461" name="Picture@5C\QPendientes@" descr="@5C\QPendientes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462" name="Picture@5C\QPendientes@" descr="@5C\QPendientes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463" name="Picture@5C\QPendientes@" descr="@5C\QPendientes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464" name="Picture@5C\QPendientes@" descr="@5C\QPendientes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465" name="Picture@5C\QPendientes@" descr="@5C\QPendientes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466" name="Picture@5C\QPendientes@" descr="@5C\QPendientes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467" name="Picture@5C\QPendientes@" descr="@5C\QPendientes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468" name="Picture@5C\QPendientes@" descr="@5C\QPendientes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469" name="Picture@5C\QPendientes@" descr="@5C\QPendientes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470" name="Picture@5C\QPendientes@" descr="@5C\QPendientes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471" name="Picture@5C\QPendientes@" descr="@5C\QPendientes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472" name="Picture@5C\QPendientes@" descr="@5C\QPendientes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473" name="Picture@5C\QPendientes@" descr="@5C\QPendientes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474" name="Picture@5C\QPendientes@" descr="@5C\QPendientes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475" name="Picture@5C\QPendientes@" descr="@5C\QPendientes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476" name="Picture@5C\QPendientes@" descr="@5C\QPendientes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477" name="Picture@5C\QPendientes@" descr="@5C\QPendientes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478" name="Picture@5C\QPendientes@" descr="@5C\QPendientes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479" name="Picture@5C\QPendientes@" descr="@5C\QPendientes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480" name="Picture@5C\QPendientes@" descr="@5C\QPendientes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481" name="Picture@5C\QPendientes@" descr="@5C\QPendientes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482" name="Picture@5C\QPendientes@" descr="@5C\QPendientes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483" name="Picture@5C\QPendientes@" descr="@5C\QPendientes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484" name="Picture@5C\QPendientes@" descr="@5C\QPendientes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485" name="Picture@5C\QPendientes@" descr="@5C\QPendientes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486" name="Picture@5C\QPendientes@" descr="@5C\QPendientes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487" name="Picture@5C\QPendientes@" descr="@5C\QPendientes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488" name="Picture@5C\QPendientes@" descr="@5C\QPendientes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489" name="Picture@5C\QPendientes@" descr="@5C\QPendientes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490" name="Picture@5C\QPendientes@" descr="@5C\QPendientes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491" name="Picture@5C\QPendientes@" descr="@5C\QPendientes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492" name="Picture@5C\QPendientes@" descr="@5C\QPendientes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493" name="Picture@5C\QPendientes@" descr="@5C\QPendientes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494" name="Picture@5C\QPendientes@" descr="@5C\QPendientes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495" name="Picture@5C\QPendientes@" descr="@5C\QPendientes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496" name="Picture@5C\QPendientes@" descr="@5C\QPendientes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497" name="Picture@5C\QPendientes@" descr="@5C\QPendientes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498" name="Picture@5C\QPendientes@" descr="@5C\QPendientes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499" name="Picture@5C\QPendientes@" descr="@5C\QPendientes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500" name="Picture@5C\QPendientes@" descr="@5C\QPendientes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501" name="Picture@5C\QPendientes@" descr="@5C\QPendientes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502" name="Picture@5C\QPendientes@" descr="@5C\QPendientes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503" name="Picture@5C\QPendientes@" descr="@5C\QPendientes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504" name="Picture@5C\QPendientes@" descr="@5C\QPendientes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505" name="Picture@5C\QPendientes@" descr="@5C\QPendientes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506" name="Picture@5C\QPendientes@" descr="@5C\QPendientes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507" name="Picture@5C\QPendientes@" descr="@5C\QPendientes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508" name="Picture@5C\QPendientes@" descr="@5C\QPendientes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509" name="Picture@5C\QPendientes@" descr="@5C\QPendientes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510" name="Picture@5C\QPendientes@" descr="@5C\QPendientes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511" name="Picture@5C\QPendientes@" descr="@5C\QPendientes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512" name="Picture@5C\QPendientes@" descr="@5C\QPendientes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513" name="Picture@5C\QPendientes@" descr="@5C\QPendientes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514" name="Picture@5C\QPendientes@" descr="@5C\QPendientes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515" name="Picture@5C\QPendientes@" descr="@5C\QPendientes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516" name="Picture@5C\QPendientes@" descr="@5C\QPendientes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517" name="Picture@5C\QPendientes@" descr="@5C\QPendientes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518" name="Picture@5C\QPendientes@" descr="@5C\QPendientes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519" name="Picture@5C\QPendientes@" descr="@5C\QPendientes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520" name="Picture@5C\QPendientes@" descr="@5C\QPendientes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521" name="Picture@5C\QPendientes@" descr="@5C\QPendientes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522" name="Picture@5C\QPendientes@" descr="@5C\QPendientes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523" name="Picture@5C\QPendientes@" descr="@5C\QPendientes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524" name="Picture@5C\QPendientes@" descr="@5C\QPendientes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525" name="Picture@5C\QPendientes@" descr="@5C\QPendientes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526" name="Picture@5C\QPendientes@" descr="@5C\QPendientes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527" name="Picture@5C\QPendientes@" descr="@5C\QPendientes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528" name="Picture@5C\QPendientes@" descr="@5C\QPendientes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529" name="Picture@5C\QPendientes@" descr="@5C\QPendientes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530" name="Picture@5C\QPendientes@" descr="@5C\QPendientes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531" name="Picture@5C\QPendientes@" descr="@5C\QPendientes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532" name="Picture@5C\QPendientes@" descr="@5C\QPendientes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533" name="Picture@5C\QPendientes@" descr="@5C\QPendientes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534" name="Picture@5C\QPendientes@" descr="@5C\QPendientes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535" name="Picture@5C\QPendientes@" descr="@5C\QPendientes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536" name="Picture@5C\QPendientes@" descr="@5C\QPendientes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537" name="Picture@5C\QPendientes@" descr="@5C\QPendientes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538" name="Picture@5C\QPendientes@" descr="@5C\QPendientes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539" name="Picture@5C\QPendientes@" descr="@5C\QPendientes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540" name="Picture@5C\QPendientes@" descr="@5C\QPendientes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541" name="Picture@5C\QPendientes@" descr="@5C\QPendientes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542" name="Picture@5C\QPendientes@" descr="@5C\QPendientes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543" name="Picture@5C\QPendientes@" descr="@5C\QPendientes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544" name="Picture@5C\QPendientes@" descr="@5C\QPendientes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545" name="Picture@5C\QPendientes@" descr="@5C\QPendientes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546" name="Picture@5C\QPendientes@" descr="@5C\QPendientes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547" name="Picture@5C\QPendientes@" descr="@5C\QPendientes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548" name="Picture@5C\QPendientes@" descr="@5C\QPendientes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549" name="Picture@5C\QPendientes@" descr="@5C\QPendientes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550" name="Picture@5C\QPendientes@" descr="@5C\QPendientes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551" name="Picture@5C\QPendientes@" descr="@5C\QPendientes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552" name="Picture@5C\QPendientes@" descr="@5C\QPendientes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553" name="Picture@5C\QPendientes@" descr="@5C\QPendientes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554" name="Picture@5C\QPendientes@" descr="@5C\QPendientes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555" name="Picture@5C\QPendientes@" descr="@5C\QPendientes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556" name="Picture@5C\QPendientes@" descr="@5C\QPendientes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557" name="Picture@5C\QPendientes@" descr="@5C\QPendientes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558" name="Picture@5C\QPendientes@" descr="@5C\QPendientes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559" name="Picture@5C\QPendientes@" descr="@5C\QPendientes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560" name="Picture@5C\QPendientes@" descr="@5C\QPendientes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561" name="Picture@5C\QPendientes@" descr="@5C\QPendientes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562" name="Picture@5C\QPendientes@" descr="@5C\QPendientes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809" name="Picture@5C\QPendientes@" descr="@5C\QPendientes@">
          <a:extLst>
            <a:ext uri="{FF2B5EF4-FFF2-40B4-BE49-F238E27FC236}">
              <a16:creationId xmlns:a16="http://schemas.microsoft.com/office/drawing/2014/main" id="{BE6E0C4A-F0D1-4E70-AF93-86D0CEDB72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810" name="Picture@5C\QPendientes@" descr="@5C\QPendientes@">
          <a:extLst>
            <a:ext uri="{FF2B5EF4-FFF2-40B4-BE49-F238E27FC236}">
              <a16:creationId xmlns:a16="http://schemas.microsoft.com/office/drawing/2014/main" id="{F0D57CD5-1817-4FFC-9FE5-090DFF3F03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811" name="Picture@5C\QPendientes@" descr="@5C\QPendientes@">
          <a:extLst>
            <a:ext uri="{FF2B5EF4-FFF2-40B4-BE49-F238E27FC236}">
              <a16:creationId xmlns:a16="http://schemas.microsoft.com/office/drawing/2014/main" id="{875A15F8-0159-49C7-8F4C-E902FED2BC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812" name="Picture@5C\QPendientes@" descr="@5C\QPendientes@">
          <a:extLst>
            <a:ext uri="{FF2B5EF4-FFF2-40B4-BE49-F238E27FC236}">
              <a16:creationId xmlns:a16="http://schemas.microsoft.com/office/drawing/2014/main" id="{620F1127-D054-47B7-B83D-4C1D584884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813" name="Picture@5C\QPendientes@" descr="@5C\QPendientes@">
          <a:extLst>
            <a:ext uri="{FF2B5EF4-FFF2-40B4-BE49-F238E27FC236}">
              <a16:creationId xmlns:a16="http://schemas.microsoft.com/office/drawing/2014/main" id="{DC90B881-EDCA-41CF-85D9-1F1773D7BA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814" name="Picture@5C\QPendientes@" descr="@5C\QPendientes@">
          <a:extLst>
            <a:ext uri="{FF2B5EF4-FFF2-40B4-BE49-F238E27FC236}">
              <a16:creationId xmlns:a16="http://schemas.microsoft.com/office/drawing/2014/main" id="{DE316547-6AC4-4B05-9E1C-7F2CF391F0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815" name="Picture@5C\QPendientes@" descr="@5C\QPendientes@">
          <a:extLst>
            <a:ext uri="{FF2B5EF4-FFF2-40B4-BE49-F238E27FC236}">
              <a16:creationId xmlns:a16="http://schemas.microsoft.com/office/drawing/2014/main" id="{53A8DC79-E6F1-45F8-B257-CFD06B7DAB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816" name="Picture@5C\QPendientes@" descr="@5C\QPendientes@">
          <a:extLst>
            <a:ext uri="{FF2B5EF4-FFF2-40B4-BE49-F238E27FC236}">
              <a16:creationId xmlns:a16="http://schemas.microsoft.com/office/drawing/2014/main" id="{1B2DD470-42C9-4EB4-8FA4-AF1FEBE6BB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817" name="Picture@5C\QPendientes@" descr="@5C\QPendientes@">
          <a:extLst>
            <a:ext uri="{FF2B5EF4-FFF2-40B4-BE49-F238E27FC236}">
              <a16:creationId xmlns:a16="http://schemas.microsoft.com/office/drawing/2014/main" id="{78D73DBD-9F96-4862-800A-E95A779625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818" name="Picture@5C\QPendientes@" descr="@5C\QPendientes@">
          <a:extLst>
            <a:ext uri="{FF2B5EF4-FFF2-40B4-BE49-F238E27FC236}">
              <a16:creationId xmlns:a16="http://schemas.microsoft.com/office/drawing/2014/main" id="{70B32289-AD1D-41E7-AEA3-F98AEE5492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819" name="Picture@5C\QPendientes@" descr="@5C\QPendientes@">
          <a:extLst>
            <a:ext uri="{FF2B5EF4-FFF2-40B4-BE49-F238E27FC236}">
              <a16:creationId xmlns:a16="http://schemas.microsoft.com/office/drawing/2014/main" id="{449EF7AD-78BC-4BFA-BDA0-0321478E54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820" name="Picture@5C\QPendientes@" descr="@5C\QPendientes@">
          <a:extLst>
            <a:ext uri="{FF2B5EF4-FFF2-40B4-BE49-F238E27FC236}">
              <a16:creationId xmlns:a16="http://schemas.microsoft.com/office/drawing/2014/main" id="{6FF9CBFD-A0EC-4725-BC23-2009FEB425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821" name="Picture@5C\QPendientes@" descr="@5C\QPendientes@">
          <a:extLst>
            <a:ext uri="{FF2B5EF4-FFF2-40B4-BE49-F238E27FC236}">
              <a16:creationId xmlns:a16="http://schemas.microsoft.com/office/drawing/2014/main" id="{33E5BE0F-3702-40E7-87A6-4C5B11A563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822" name="Picture@5C\QPendientes@" descr="@5C\QPendientes@">
          <a:extLst>
            <a:ext uri="{FF2B5EF4-FFF2-40B4-BE49-F238E27FC236}">
              <a16:creationId xmlns:a16="http://schemas.microsoft.com/office/drawing/2014/main" id="{9ABB2891-2088-40A5-A72E-636431D158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823" name="Picture@5C\QPendientes@" descr="@5C\QPendientes@">
          <a:extLst>
            <a:ext uri="{FF2B5EF4-FFF2-40B4-BE49-F238E27FC236}">
              <a16:creationId xmlns:a16="http://schemas.microsoft.com/office/drawing/2014/main" id="{30A42DF8-310F-4016-9186-EE7D7BA4FD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824" name="Picture@5C\QPendientes@" descr="@5C\QPendientes@">
          <a:extLst>
            <a:ext uri="{FF2B5EF4-FFF2-40B4-BE49-F238E27FC236}">
              <a16:creationId xmlns:a16="http://schemas.microsoft.com/office/drawing/2014/main" id="{1B732AB7-4459-48C0-B4D8-000CC84A27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825" name="Picture@5C\QPendientes@" descr="@5C\QPendientes@">
          <a:extLst>
            <a:ext uri="{FF2B5EF4-FFF2-40B4-BE49-F238E27FC236}">
              <a16:creationId xmlns:a16="http://schemas.microsoft.com/office/drawing/2014/main" id="{6D1AEB8E-01D4-489C-AD27-A5AFC4F23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826" name="Picture@5C\QPendientes@" descr="@5C\QPendientes@">
          <a:extLst>
            <a:ext uri="{FF2B5EF4-FFF2-40B4-BE49-F238E27FC236}">
              <a16:creationId xmlns:a16="http://schemas.microsoft.com/office/drawing/2014/main" id="{FC2BF8EC-1D9B-4325-A03F-6B0998DF15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827" name="Picture@5C\QPendientes@" descr="@5C\QPendientes@">
          <a:extLst>
            <a:ext uri="{FF2B5EF4-FFF2-40B4-BE49-F238E27FC236}">
              <a16:creationId xmlns:a16="http://schemas.microsoft.com/office/drawing/2014/main" id="{FD16F9BB-3FFB-4A24-A1E6-693F74CC10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828" name="Picture@5C\QPendientes@" descr="@5C\QPendientes@">
          <a:extLst>
            <a:ext uri="{FF2B5EF4-FFF2-40B4-BE49-F238E27FC236}">
              <a16:creationId xmlns:a16="http://schemas.microsoft.com/office/drawing/2014/main" id="{64FD9A39-3BAF-4102-8E86-6C1220DF9D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829" name="Picture@5C\QPendientes@" descr="@5C\QPendientes@">
          <a:extLst>
            <a:ext uri="{FF2B5EF4-FFF2-40B4-BE49-F238E27FC236}">
              <a16:creationId xmlns:a16="http://schemas.microsoft.com/office/drawing/2014/main" id="{6697EA45-4589-4871-BC69-52F4573327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830" name="Picture@5C\QPendientes@" descr="@5C\QPendientes@">
          <a:extLst>
            <a:ext uri="{FF2B5EF4-FFF2-40B4-BE49-F238E27FC236}">
              <a16:creationId xmlns:a16="http://schemas.microsoft.com/office/drawing/2014/main" id="{1EFB37EE-293B-45FB-B042-1F5620F975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831" name="Picture@5C\QPendientes@" descr="@5C\QPendientes@">
          <a:extLst>
            <a:ext uri="{FF2B5EF4-FFF2-40B4-BE49-F238E27FC236}">
              <a16:creationId xmlns:a16="http://schemas.microsoft.com/office/drawing/2014/main" id="{60F1CE09-C413-489D-93E5-92FCAF1B48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832" name="Picture@5C\QPendientes@" descr="@5C\QPendientes@">
          <a:extLst>
            <a:ext uri="{FF2B5EF4-FFF2-40B4-BE49-F238E27FC236}">
              <a16:creationId xmlns:a16="http://schemas.microsoft.com/office/drawing/2014/main" id="{C69885B9-4C3A-4CD2-A1F0-AF8317B28E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833" name="Picture@5C\QPendientes@" descr="@5C\QPendientes@">
          <a:extLst>
            <a:ext uri="{FF2B5EF4-FFF2-40B4-BE49-F238E27FC236}">
              <a16:creationId xmlns:a16="http://schemas.microsoft.com/office/drawing/2014/main" id="{F0773F5E-FB74-409D-8600-B689650773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834" name="Picture@5C\QPendientes@" descr="@5C\QPendientes@">
          <a:extLst>
            <a:ext uri="{FF2B5EF4-FFF2-40B4-BE49-F238E27FC236}">
              <a16:creationId xmlns:a16="http://schemas.microsoft.com/office/drawing/2014/main" id="{D289413E-D3CA-4842-B1A6-9F59CAD919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835" name="Picture@5C\QPendientes@" descr="@5C\QPendientes@">
          <a:extLst>
            <a:ext uri="{FF2B5EF4-FFF2-40B4-BE49-F238E27FC236}">
              <a16:creationId xmlns:a16="http://schemas.microsoft.com/office/drawing/2014/main" id="{6CAD9D8F-7FA8-42EA-8143-55689AB145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836" name="Picture@5C\QPendientes@" descr="@5C\QPendientes@">
          <a:extLst>
            <a:ext uri="{FF2B5EF4-FFF2-40B4-BE49-F238E27FC236}">
              <a16:creationId xmlns:a16="http://schemas.microsoft.com/office/drawing/2014/main" id="{255145DA-BD61-4B81-B985-795CE2CFBB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837" name="Picture@5C\QPendientes@" descr="@5C\QPendientes@">
          <a:extLst>
            <a:ext uri="{FF2B5EF4-FFF2-40B4-BE49-F238E27FC236}">
              <a16:creationId xmlns:a16="http://schemas.microsoft.com/office/drawing/2014/main" id="{80BCFFFB-A8C4-4194-A804-EAC92B6F38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838" name="Picture@5C\QPendientes@" descr="@5C\QPendientes@">
          <a:extLst>
            <a:ext uri="{FF2B5EF4-FFF2-40B4-BE49-F238E27FC236}">
              <a16:creationId xmlns:a16="http://schemas.microsoft.com/office/drawing/2014/main" id="{4DB47EE4-19B4-4707-9C1C-1B0F076D2C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839" name="Picture@5C\QPendientes@" descr="@5C\QPendientes@">
          <a:extLst>
            <a:ext uri="{FF2B5EF4-FFF2-40B4-BE49-F238E27FC236}">
              <a16:creationId xmlns:a16="http://schemas.microsoft.com/office/drawing/2014/main" id="{065F29D9-5CF6-4935-ADF4-086B9E25DB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840" name="Picture@5C\QPendientes@" descr="@5C\QPendientes@">
          <a:extLst>
            <a:ext uri="{FF2B5EF4-FFF2-40B4-BE49-F238E27FC236}">
              <a16:creationId xmlns:a16="http://schemas.microsoft.com/office/drawing/2014/main" id="{753EEE40-942D-49ED-99DF-E55C331B7A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841" name="Picture@5C\QPendientes@" descr="@5C\QPendientes@">
          <a:extLst>
            <a:ext uri="{FF2B5EF4-FFF2-40B4-BE49-F238E27FC236}">
              <a16:creationId xmlns:a16="http://schemas.microsoft.com/office/drawing/2014/main" id="{D6B6E5BB-4EC9-4FF8-9ADD-8B6BC87642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842" name="Picture@5C\QPendientes@" descr="@5C\QPendientes@">
          <a:extLst>
            <a:ext uri="{FF2B5EF4-FFF2-40B4-BE49-F238E27FC236}">
              <a16:creationId xmlns:a16="http://schemas.microsoft.com/office/drawing/2014/main" id="{916E6AEC-DABA-4D4F-9BA5-723FF7EF8E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843" name="Picture@5C\QPendientes@" descr="@5C\QPendientes@">
          <a:extLst>
            <a:ext uri="{FF2B5EF4-FFF2-40B4-BE49-F238E27FC236}">
              <a16:creationId xmlns:a16="http://schemas.microsoft.com/office/drawing/2014/main" id="{336EFCC6-42E2-4120-8F7F-C26636E51B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844" name="Picture@5C\QPendientes@" descr="@5C\QPendientes@">
          <a:extLst>
            <a:ext uri="{FF2B5EF4-FFF2-40B4-BE49-F238E27FC236}">
              <a16:creationId xmlns:a16="http://schemas.microsoft.com/office/drawing/2014/main" id="{F503C8ED-2E51-4E2A-957A-F9EFC1F08A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845" name="Picture@5C\QPendientes@" descr="@5C\QPendientes@">
          <a:extLst>
            <a:ext uri="{FF2B5EF4-FFF2-40B4-BE49-F238E27FC236}">
              <a16:creationId xmlns:a16="http://schemas.microsoft.com/office/drawing/2014/main" id="{8BF9CA0C-FDDF-4ADE-BE2A-D602199DC8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846" name="Picture@5C\QPendientes@" descr="@5C\QPendientes@">
          <a:extLst>
            <a:ext uri="{FF2B5EF4-FFF2-40B4-BE49-F238E27FC236}">
              <a16:creationId xmlns:a16="http://schemas.microsoft.com/office/drawing/2014/main" id="{E51FD801-EAAD-4781-B472-4BD5617010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847" name="Picture@5C\QPendientes@" descr="@5C\QPendientes@">
          <a:extLst>
            <a:ext uri="{FF2B5EF4-FFF2-40B4-BE49-F238E27FC236}">
              <a16:creationId xmlns:a16="http://schemas.microsoft.com/office/drawing/2014/main" id="{992857CF-4F0D-4F6F-B433-7F2D871FCE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848" name="Picture@5C\QPendientes@" descr="@5C\QPendientes@">
          <a:extLst>
            <a:ext uri="{FF2B5EF4-FFF2-40B4-BE49-F238E27FC236}">
              <a16:creationId xmlns:a16="http://schemas.microsoft.com/office/drawing/2014/main" id="{BBE8F62C-1FDB-4FD1-92D5-9DE1144CF5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849" name="Picture@5C\QPendientes@" descr="@5C\QPendientes@">
          <a:extLst>
            <a:ext uri="{FF2B5EF4-FFF2-40B4-BE49-F238E27FC236}">
              <a16:creationId xmlns:a16="http://schemas.microsoft.com/office/drawing/2014/main" id="{2ECF5EE2-3678-4D93-81FB-E2E7BB243C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850" name="Picture@5C\QPendientes@" descr="@5C\QPendientes@">
          <a:extLst>
            <a:ext uri="{FF2B5EF4-FFF2-40B4-BE49-F238E27FC236}">
              <a16:creationId xmlns:a16="http://schemas.microsoft.com/office/drawing/2014/main" id="{48F58845-7658-4D3C-87CB-ED213721BA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851" name="Picture@5C\QPendientes@" descr="@5C\QPendientes@">
          <a:extLst>
            <a:ext uri="{FF2B5EF4-FFF2-40B4-BE49-F238E27FC236}">
              <a16:creationId xmlns:a16="http://schemas.microsoft.com/office/drawing/2014/main" id="{989A1DC1-428E-4709-A1E6-1E5E015B50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852" name="Picture@5C\QPendientes@" descr="@5C\QPendientes@">
          <a:extLst>
            <a:ext uri="{FF2B5EF4-FFF2-40B4-BE49-F238E27FC236}">
              <a16:creationId xmlns:a16="http://schemas.microsoft.com/office/drawing/2014/main" id="{D361C64B-6A5F-42A7-B26A-C9A190252B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853" name="Picture@5C\QPendientes@" descr="@5C\QPendientes@">
          <a:extLst>
            <a:ext uri="{FF2B5EF4-FFF2-40B4-BE49-F238E27FC236}">
              <a16:creationId xmlns:a16="http://schemas.microsoft.com/office/drawing/2014/main" id="{48B3E8D5-479E-4007-B704-412F5B6CB9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854" name="Picture@5C\QPendientes@" descr="@5C\QPendientes@">
          <a:extLst>
            <a:ext uri="{FF2B5EF4-FFF2-40B4-BE49-F238E27FC236}">
              <a16:creationId xmlns:a16="http://schemas.microsoft.com/office/drawing/2014/main" id="{AF8963FE-74E7-4E83-B1B1-9427381B49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855" name="Picture@5C\QPendientes@" descr="@5C\QPendientes@">
          <a:extLst>
            <a:ext uri="{FF2B5EF4-FFF2-40B4-BE49-F238E27FC236}">
              <a16:creationId xmlns:a16="http://schemas.microsoft.com/office/drawing/2014/main" id="{F77B840C-CBB4-4E7D-9894-8604E146FF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856" name="Picture@5C\QPendientes@" descr="@5C\QPendientes@">
          <a:extLst>
            <a:ext uri="{FF2B5EF4-FFF2-40B4-BE49-F238E27FC236}">
              <a16:creationId xmlns:a16="http://schemas.microsoft.com/office/drawing/2014/main" id="{1AF6C619-8BAD-4EFC-8014-0925B82CDC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857" name="Picture@5C\QPendientes@" descr="@5C\QPendientes@">
          <a:extLst>
            <a:ext uri="{FF2B5EF4-FFF2-40B4-BE49-F238E27FC236}">
              <a16:creationId xmlns:a16="http://schemas.microsoft.com/office/drawing/2014/main" id="{0A5E3205-A3CC-41D4-8FCB-EA946B007D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858" name="Picture@5C\QPendientes@" descr="@5C\QPendientes@">
          <a:extLst>
            <a:ext uri="{FF2B5EF4-FFF2-40B4-BE49-F238E27FC236}">
              <a16:creationId xmlns:a16="http://schemas.microsoft.com/office/drawing/2014/main" id="{F460B98B-B2D0-4C80-885B-90ECEB22D6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859" name="Picture@5C\QPendientes@" descr="@5C\QPendientes@">
          <a:extLst>
            <a:ext uri="{FF2B5EF4-FFF2-40B4-BE49-F238E27FC236}">
              <a16:creationId xmlns:a16="http://schemas.microsoft.com/office/drawing/2014/main" id="{F63E6CB2-0234-45F2-BC69-EB48ED85C1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860" name="Picture@5C\QPendientes@" descr="@5C\QPendientes@">
          <a:extLst>
            <a:ext uri="{FF2B5EF4-FFF2-40B4-BE49-F238E27FC236}">
              <a16:creationId xmlns:a16="http://schemas.microsoft.com/office/drawing/2014/main" id="{6E949B25-D845-46F6-89C7-0E9411CB23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861" name="Picture@5C\QPendientes@" descr="@5C\QPendientes@">
          <a:extLst>
            <a:ext uri="{FF2B5EF4-FFF2-40B4-BE49-F238E27FC236}">
              <a16:creationId xmlns:a16="http://schemas.microsoft.com/office/drawing/2014/main" id="{7D18F671-6AD1-48C0-9C24-CFBDAD59F9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862" name="Picture@5C\QPendientes@" descr="@5C\QPendientes@">
          <a:extLst>
            <a:ext uri="{FF2B5EF4-FFF2-40B4-BE49-F238E27FC236}">
              <a16:creationId xmlns:a16="http://schemas.microsoft.com/office/drawing/2014/main" id="{EE4DF498-0632-4267-9DDA-F918E1985E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863" name="Picture@5C\QPendientes@" descr="@5C\QPendientes@">
          <a:extLst>
            <a:ext uri="{FF2B5EF4-FFF2-40B4-BE49-F238E27FC236}">
              <a16:creationId xmlns:a16="http://schemas.microsoft.com/office/drawing/2014/main" id="{CE6F9F85-C5F4-4CF5-948D-E323D427A2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864" name="Picture@5C\QPendientes@" descr="@5C\QPendientes@">
          <a:extLst>
            <a:ext uri="{FF2B5EF4-FFF2-40B4-BE49-F238E27FC236}">
              <a16:creationId xmlns:a16="http://schemas.microsoft.com/office/drawing/2014/main" id="{FB17722B-DE8E-4D35-9FDD-0758E610AC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865" name="Picture@5C\QPendientes@" descr="@5C\QPendientes@">
          <a:extLst>
            <a:ext uri="{FF2B5EF4-FFF2-40B4-BE49-F238E27FC236}">
              <a16:creationId xmlns:a16="http://schemas.microsoft.com/office/drawing/2014/main" id="{44AEDF0A-C245-497A-A5CD-17FB4A2C2D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866" name="Picture@5C\QPendientes@" descr="@5C\QPendientes@">
          <a:extLst>
            <a:ext uri="{FF2B5EF4-FFF2-40B4-BE49-F238E27FC236}">
              <a16:creationId xmlns:a16="http://schemas.microsoft.com/office/drawing/2014/main" id="{D3A77CAF-8089-4EED-AEF5-3F10956884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867" name="Picture@5C\QPendientes@" descr="@5C\QPendientes@">
          <a:extLst>
            <a:ext uri="{FF2B5EF4-FFF2-40B4-BE49-F238E27FC236}">
              <a16:creationId xmlns:a16="http://schemas.microsoft.com/office/drawing/2014/main" id="{4826E985-D609-4312-B155-1F61065DDF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868" name="Picture@5C\QPendientes@" descr="@5C\QPendientes@">
          <a:extLst>
            <a:ext uri="{FF2B5EF4-FFF2-40B4-BE49-F238E27FC236}">
              <a16:creationId xmlns:a16="http://schemas.microsoft.com/office/drawing/2014/main" id="{6FB35CA0-58B9-4FFD-892C-D74BD01C2A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869" name="Picture@5C\QPendientes@" descr="@5C\QPendientes@">
          <a:extLst>
            <a:ext uri="{FF2B5EF4-FFF2-40B4-BE49-F238E27FC236}">
              <a16:creationId xmlns:a16="http://schemas.microsoft.com/office/drawing/2014/main" id="{3D25E989-D184-42CA-8869-9E4641B355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870" name="Picture@5C\QPendientes@" descr="@5C\QPendientes@">
          <a:extLst>
            <a:ext uri="{FF2B5EF4-FFF2-40B4-BE49-F238E27FC236}">
              <a16:creationId xmlns:a16="http://schemas.microsoft.com/office/drawing/2014/main" id="{7B5BB8E6-E7A8-4775-8CAD-B7F828D9F2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871" name="Picture@5C\QPendientes@" descr="@5C\QPendientes@">
          <a:extLst>
            <a:ext uri="{FF2B5EF4-FFF2-40B4-BE49-F238E27FC236}">
              <a16:creationId xmlns:a16="http://schemas.microsoft.com/office/drawing/2014/main" id="{E4293B6C-2120-4C80-8041-F51B7750FB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872" name="Picture@5C\QPendientes@" descr="@5C\QPendientes@">
          <a:extLst>
            <a:ext uri="{FF2B5EF4-FFF2-40B4-BE49-F238E27FC236}">
              <a16:creationId xmlns:a16="http://schemas.microsoft.com/office/drawing/2014/main" id="{1CDC0A75-016B-4757-8F0A-B71E79430B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873" name="Picture@5C\QPendientes@" descr="@5C\QPendientes@">
          <a:extLst>
            <a:ext uri="{FF2B5EF4-FFF2-40B4-BE49-F238E27FC236}">
              <a16:creationId xmlns:a16="http://schemas.microsoft.com/office/drawing/2014/main" id="{90904EF9-4EF1-4A33-A80E-7BCE7EBA42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874" name="Picture@5C\QPendientes@" descr="@5C\QPendientes@">
          <a:extLst>
            <a:ext uri="{FF2B5EF4-FFF2-40B4-BE49-F238E27FC236}">
              <a16:creationId xmlns:a16="http://schemas.microsoft.com/office/drawing/2014/main" id="{F002C436-E819-46D3-B808-3694BE4C1B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875" name="Picture@5C\QPendientes@" descr="@5C\QPendientes@">
          <a:extLst>
            <a:ext uri="{FF2B5EF4-FFF2-40B4-BE49-F238E27FC236}">
              <a16:creationId xmlns:a16="http://schemas.microsoft.com/office/drawing/2014/main" id="{4BEA8C77-569C-4D86-AEA4-C8132E2158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876" name="Picture@5C\QPendientes@" descr="@5C\QPendientes@">
          <a:extLst>
            <a:ext uri="{FF2B5EF4-FFF2-40B4-BE49-F238E27FC236}">
              <a16:creationId xmlns:a16="http://schemas.microsoft.com/office/drawing/2014/main" id="{FFAE2A79-5133-4663-BBFA-BED87298FC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877" name="Picture@5C\QPendientes@" descr="@5C\QPendientes@">
          <a:extLst>
            <a:ext uri="{FF2B5EF4-FFF2-40B4-BE49-F238E27FC236}">
              <a16:creationId xmlns:a16="http://schemas.microsoft.com/office/drawing/2014/main" id="{DFF4334F-6377-4D5A-9BBC-E99861AF7D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878" name="Picture@5C\QPendientes@" descr="@5C\QPendientes@">
          <a:extLst>
            <a:ext uri="{FF2B5EF4-FFF2-40B4-BE49-F238E27FC236}">
              <a16:creationId xmlns:a16="http://schemas.microsoft.com/office/drawing/2014/main" id="{134B68CC-9D87-4CD6-A8B0-C131D711B2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879" name="Picture@5C\QPendientes@" descr="@5C\QPendientes@">
          <a:extLst>
            <a:ext uri="{FF2B5EF4-FFF2-40B4-BE49-F238E27FC236}">
              <a16:creationId xmlns:a16="http://schemas.microsoft.com/office/drawing/2014/main" id="{85039573-116C-4C92-B6A7-B39465DB59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880" name="Picture@5C\QPendientes@" descr="@5C\QPendientes@">
          <a:extLst>
            <a:ext uri="{FF2B5EF4-FFF2-40B4-BE49-F238E27FC236}">
              <a16:creationId xmlns:a16="http://schemas.microsoft.com/office/drawing/2014/main" id="{D5741E2B-90F0-4C19-A657-F81FF18653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881" name="Picture@5C\QPendientes@" descr="@5C\QPendientes@">
          <a:extLst>
            <a:ext uri="{FF2B5EF4-FFF2-40B4-BE49-F238E27FC236}">
              <a16:creationId xmlns:a16="http://schemas.microsoft.com/office/drawing/2014/main" id="{E884E3A9-4D02-465A-966B-7AE6D32C37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882" name="Picture@5C\QPendientes@" descr="@5C\QPendientes@">
          <a:extLst>
            <a:ext uri="{FF2B5EF4-FFF2-40B4-BE49-F238E27FC236}">
              <a16:creationId xmlns:a16="http://schemas.microsoft.com/office/drawing/2014/main" id="{B06B905C-7058-4737-A665-EDED15AE50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883" name="Picture@5C\QPendientes@" descr="@5C\QPendientes@">
          <a:extLst>
            <a:ext uri="{FF2B5EF4-FFF2-40B4-BE49-F238E27FC236}">
              <a16:creationId xmlns:a16="http://schemas.microsoft.com/office/drawing/2014/main" id="{01889927-710E-4C5B-AAF4-4CC80B6DE7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884" name="Picture@5C\QPendientes@" descr="@5C\QPendientes@">
          <a:extLst>
            <a:ext uri="{FF2B5EF4-FFF2-40B4-BE49-F238E27FC236}">
              <a16:creationId xmlns:a16="http://schemas.microsoft.com/office/drawing/2014/main" id="{A614D72A-415C-4280-A4FD-6C20969CC2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885" name="Picture@5C\QPendientes@" descr="@5C\QPendientes@">
          <a:extLst>
            <a:ext uri="{FF2B5EF4-FFF2-40B4-BE49-F238E27FC236}">
              <a16:creationId xmlns:a16="http://schemas.microsoft.com/office/drawing/2014/main" id="{C269F8CC-8C26-4672-A563-039B3FD9BF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886" name="Picture@5C\QPendientes@" descr="@5C\QPendientes@">
          <a:extLst>
            <a:ext uri="{FF2B5EF4-FFF2-40B4-BE49-F238E27FC236}">
              <a16:creationId xmlns:a16="http://schemas.microsoft.com/office/drawing/2014/main" id="{4F7C0C24-056E-48E0-9E50-6E6BEC4821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887" name="Picture@5C\QPendientes@" descr="@5C\QPendientes@">
          <a:extLst>
            <a:ext uri="{FF2B5EF4-FFF2-40B4-BE49-F238E27FC236}">
              <a16:creationId xmlns:a16="http://schemas.microsoft.com/office/drawing/2014/main" id="{7B3AA2A5-19E0-4372-A0ED-389D475572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888" name="Picture@5C\QPendientes@" descr="@5C\QPendientes@">
          <a:extLst>
            <a:ext uri="{FF2B5EF4-FFF2-40B4-BE49-F238E27FC236}">
              <a16:creationId xmlns:a16="http://schemas.microsoft.com/office/drawing/2014/main" id="{245B4C51-DD09-4CF3-8731-8F9B019D38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889" name="Picture@5C\QPendientes@" descr="@5C\QPendientes@">
          <a:extLst>
            <a:ext uri="{FF2B5EF4-FFF2-40B4-BE49-F238E27FC236}">
              <a16:creationId xmlns:a16="http://schemas.microsoft.com/office/drawing/2014/main" id="{3FB84A99-8978-411C-87F0-E844C012AD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890" name="Picture@5C\QPendientes@" descr="@5C\QPendientes@">
          <a:extLst>
            <a:ext uri="{FF2B5EF4-FFF2-40B4-BE49-F238E27FC236}">
              <a16:creationId xmlns:a16="http://schemas.microsoft.com/office/drawing/2014/main" id="{F591F817-22B9-442F-B76E-62FD7E33CA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891" name="Picture@5C\QPendientes@" descr="@5C\QPendientes@">
          <a:extLst>
            <a:ext uri="{FF2B5EF4-FFF2-40B4-BE49-F238E27FC236}">
              <a16:creationId xmlns:a16="http://schemas.microsoft.com/office/drawing/2014/main" id="{4C534E8B-9130-48CF-9EF0-E348B86C43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892" name="Picture@5C\QPendientes@" descr="@5C\QPendientes@">
          <a:extLst>
            <a:ext uri="{FF2B5EF4-FFF2-40B4-BE49-F238E27FC236}">
              <a16:creationId xmlns:a16="http://schemas.microsoft.com/office/drawing/2014/main" id="{5B7FD813-1162-43D2-BC39-1AB2D1EB08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893" name="Picture@5C\QPendientes@" descr="@5C\QPendientes@">
          <a:extLst>
            <a:ext uri="{FF2B5EF4-FFF2-40B4-BE49-F238E27FC236}">
              <a16:creationId xmlns:a16="http://schemas.microsoft.com/office/drawing/2014/main" id="{2CEAC70E-5837-4698-8EBD-214173BBA7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894" name="Picture@5C\QPendientes@" descr="@5C\QPendientes@">
          <a:extLst>
            <a:ext uri="{FF2B5EF4-FFF2-40B4-BE49-F238E27FC236}">
              <a16:creationId xmlns:a16="http://schemas.microsoft.com/office/drawing/2014/main" id="{6BDDA2DC-A8C2-4AD7-B2ED-A874F8826B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895" name="Picture@5C\QPendientes@" descr="@5C\QPendientes@">
          <a:extLst>
            <a:ext uri="{FF2B5EF4-FFF2-40B4-BE49-F238E27FC236}">
              <a16:creationId xmlns:a16="http://schemas.microsoft.com/office/drawing/2014/main" id="{B4EA49D4-2D51-4249-B2A6-41EC3694AC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896" name="Picture@5C\QPendientes@" descr="@5C\QPendientes@">
          <a:extLst>
            <a:ext uri="{FF2B5EF4-FFF2-40B4-BE49-F238E27FC236}">
              <a16:creationId xmlns:a16="http://schemas.microsoft.com/office/drawing/2014/main" id="{582D1723-3FF7-4B86-A6BE-6E1D1FBE25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897" name="Picture@5C\QPendientes@" descr="@5C\QPendientes@">
          <a:extLst>
            <a:ext uri="{FF2B5EF4-FFF2-40B4-BE49-F238E27FC236}">
              <a16:creationId xmlns:a16="http://schemas.microsoft.com/office/drawing/2014/main" id="{E0324276-4BD4-4B28-9E40-276483E0BA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898" name="Picture@5C\QPendientes@" descr="@5C\QPendientes@">
          <a:extLst>
            <a:ext uri="{FF2B5EF4-FFF2-40B4-BE49-F238E27FC236}">
              <a16:creationId xmlns:a16="http://schemas.microsoft.com/office/drawing/2014/main" id="{9943B876-F2B5-4B23-B5F6-B7DC6627EB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899" name="Picture@5C\QPendientes@" descr="@5C\QPendientes@">
          <a:extLst>
            <a:ext uri="{FF2B5EF4-FFF2-40B4-BE49-F238E27FC236}">
              <a16:creationId xmlns:a16="http://schemas.microsoft.com/office/drawing/2014/main" id="{EC2F76A3-C57D-414B-BE17-347F77CBA0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900" name="Picture@5C\QPendientes@" descr="@5C\QPendientes@">
          <a:extLst>
            <a:ext uri="{FF2B5EF4-FFF2-40B4-BE49-F238E27FC236}">
              <a16:creationId xmlns:a16="http://schemas.microsoft.com/office/drawing/2014/main" id="{0510BF8A-6D1E-4911-A6A5-8848382828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901" name="Picture@5C\QPendientes@" descr="@5C\QPendientes@">
          <a:extLst>
            <a:ext uri="{FF2B5EF4-FFF2-40B4-BE49-F238E27FC236}">
              <a16:creationId xmlns:a16="http://schemas.microsoft.com/office/drawing/2014/main" id="{C8992A96-7B81-4D2F-9AF2-0B5E9A5340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902" name="Picture@5C\QPendientes@" descr="@5C\QPendientes@">
          <a:extLst>
            <a:ext uri="{FF2B5EF4-FFF2-40B4-BE49-F238E27FC236}">
              <a16:creationId xmlns:a16="http://schemas.microsoft.com/office/drawing/2014/main" id="{4222A41B-47B3-4CF1-871C-52246CACCF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903" name="Picture@5C\QPendientes@" descr="@5C\QPendientes@">
          <a:extLst>
            <a:ext uri="{FF2B5EF4-FFF2-40B4-BE49-F238E27FC236}">
              <a16:creationId xmlns:a16="http://schemas.microsoft.com/office/drawing/2014/main" id="{2E126291-0A2B-46F3-B672-866216CE87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904" name="Picture@5C\QPendientes@" descr="@5C\QPendientes@">
          <a:extLst>
            <a:ext uri="{FF2B5EF4-FFF2-40B4-BE49-F238E27FC236}">
              <a16:creationId xmlns:a16="http://schemas.microsoft.com/office/drawing/2014/main" id="{1EEA35E9-AD50-4BEE-B1A8-91793D524B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905" name="Picture@5C\QPendientes@" descr="@5C\QPendientes@">
          <a:extLst>
            <a:ext uri="{FF2B5EF4-FFF2-40B4-BE49-F238E27FC236}">
              <a16:creationId xmlns:a16="http://schemas.microsoft.com/office/drawing/2014/main" id="{7DF24679-11DF-4EEF-BCD5-E7E7B4BCCB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906" name="Picture@5C\QPendientes@" descr="@5C\QPendientes@">
          <a:extLst>
            <a:ext uri="{FF2B5EF4-FFF2-40B4-BE49-F238E27FC236}">
              <a16:creationId xmlns:a16="http://schemas.microsoft.com/office/drawing/2014/main" id="{1825827E-2F75-4C26-85D9-9261290392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907" name="Picture@5C\QPendientes@" descr="@5C\QPendientes@">
          <a:extLst>
            <a:ext uri="{FF2B5EF4-FFF2-40B4-BE49-F238E27FC236}">
              <a16:creationId xmlns:a16="http://schemas.microsoft.com/office/drawing/2014/main" id="{F95F619E-09DF-4118-92B4-C617A8B324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908" name="Picture@5C\QPendientes@" descr="@5C\QPendientes@">
          <a:extLst>
            <a:ext uri="{FF2B5EF4-FFF2-40B4-BE49-F238E27FC236}">
              <a16:creationId xmlns:a16="http://schemas.microsoft.com/office/drawing/2014/main" id="{0A27640C-35FC-4DDD-8F77-BCBD8697E7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909" name="Picture@5C\QPendientes@" descr="@5C\QPendientes@">
          <a:extLst>
            <a:ext uri="{FF2B5EF4-FFF2-40B4-BE49-F238E27FC236}">
              <a16:creationId xmlns:a16="http://schemas.microsoft.com/office/drawing/2014/main" id="{2EF69680-CF7F-4D48-AAD0-15FC4DDBE9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910" name="Picture@5C\QPendientes@" descr="@5C\QPendientes@">
          <a:extLst>
            <a:ext uri="{FF2B5EF4-FFF2-40B4-BE49-F238E27FC236}">
              <a16:creationId xmlns:a16="http://schemas.microsoft.com/office/drawing/2014/main" id="{806E8407-C036-4EC5-BB6A-06554E77F8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911" name="Picture@5C\QPendientes@" descr="@5C\QPendientes@">
          <a:extLst>
            <a:ext uri="{FF2B5EF4-FFF2-40B4-BE49-F238E27FC236}">
              <a16:creationId xmlns:a16="http://schemas.microsoft.com/office/drawing/2014/main" id="{407C988F-9D12-4121-9B37-624C7B5DAC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912" name="Picture@5C\QPendientes@" descr="@5C\QPendientes@">
          <a:extLst>
            <a:ext uri="{FF2B5EF4-FFF2-40B4-BE49-F238E27FC236}">
              <a16:creationId xmlns:a16="http://schemas.microsoft.com/office/drawing/2014/main" id="{BF945F29-10E1-4D8C-80BD-969BF76042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913" name="Picture@5C\QPendientes@" descr="@5C\QPendientes@">
          <a:extLst>
            <a:ext uri="{FF2B5EF4-FFF2-40B4-BE49-F238E27FC236}">
              <a16:creationId xmlns:a16="http://schemas.microsoft.com/office/drawing/2014/main" id="{1DDC4869-1520-4A45-BBD8-DD718D98E7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914" name="Picture@5C\QPendientes@" descr="@5C\QPendientes@">
          <a:extLst>
            <a:ext uri="{FF2B5EF4-FFF2-40B4-BE49-F238E27FC236}">
              <a16:creationId xmlns:a16="http://schemas.microsoft.com/office/drawing/2014/main" id="{DF650B3B-5F43-47E4-B7E7-48FEFCFA29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915" name="Picture@5C\QPendientes@" descr="@5C\QPendientes@">
          <a:extLst>
            <a:ext uri="{FF2B5EF4-FFF2-40B4-BE49-F238E27FC236}">
              <a16:creationId xmlns:a16="http://schemas.microsoft.com/office/drawing/2014/main" id="{14A592D8-C108-4019-9970-8031273724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916" name="Picture@5C\QPendientes@" descr="@5C\QPendientes@">
          <a:extLst>
            <a:ext uri="{FF2B5EF4-FFF2-40B4-BE49-F238E27FC236}">
              <a16:creationId xmlns:a16="http://schemas.microsoft.com/office/drawing/2014/main" id="{E37189DD-508D-4C3C-BCE1-4A81FA996D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917" name="Picture@5C\QPendientes@" descr="@5C\QPendientes@">
          <a:extLst>
            <a:ext uri="{FF2B5EF4-FFF2-40B4-BE49-F238E27FC236}">
              <a16:creationId xmlns:a16="http://schemas.microsoft.com/office/drawing/2014/main" id="{837638AA-D9C2-41E9-9600-3E705E6ED7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918" name="Picture@5C\QPendientes@" descr="@5C\QPendientes@">
          <a:extLst>
            <a:ext uri="{FF2B5EF4-FFF2-40B4-BE49-F238E27FC236}">
              <a16:creationId xmlns:a16="http://schemas.microsoft.com/office/drawing/2014/main" id="{99FF84C8-EEDE-418D-8926-824E051A7E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919" name="Picture@5C\QPendientes@" descr="@5C\QPendientes@">
          <a:extLst>
            <a:ext uri="{FF2B5EF4-FFF2-40B4-BE49-F238E27FC236}">
              <a16:creationId xmlns:a16="http://schemas.microsoft.com/office/drawing/2014/main" id="{062709CE-4C11-4425-B87D-6A95D147F3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920" name="Picture@5C\QPendientes@" descr="@5C\QPendientes@">
          <a:extLst>
            <a:ext uri="{FF2B5EF4-FFF2-40B4-BE49-F238E27FC236}">
              <a16:creationId xmlns:a16="http://schemas.microsoft.com/office/drawing/2014/main" id="{5CDC7328-3BBE-481B-BFE2-DF1A623E81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921" name="Picture@5C\QPendientes@" descr="@5C\QPendientes@">
          <a:extLst>
            <a:ext uri="{FF2B5EF4-FFF2-40B4-BE49-F238E27FC236}">
              <a16:creationId xmlns:a16="http://schemas.microsoft.com/office/drawing/2014/main" id="{2A1701E3-8802-4ABD-A9E7-741C0AF09A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922" name="Picture@5C\QPendientes@" descr="@5C\QPendientes@">
          <a:extLst>
            <a:ext uri="{FF2B5EF4-FFF2-40B4-BE49-F238E27FC236}">
              <a16:creationId xmlns:a16="http://schemas.microsoft.com/office/drawing/2014/main" id="{89982080-7CD0-4B4D-8235-517EDDB073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923" name="Picture@5C\QPendientes@" descr="@5C\QPendientes@">
          <a:extLst>
            <a:ext uri="{FF2B5EF4-FFF2-40B4-BE49-F238E27FC236}">
              <a16:creationId xmlns:a16="http://schemas.microsoft.com/office/drawing/2014/main" id="{06B615F6-0A29-4210-BEF1-2BDB060B96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924" name="Picture@5C\QPendientes@" descr="@5C\QPendientes@">
          <a:extLst>
            <a:ext uri="{FF2B5EF4-FFF2-40B4-BE49-F238E27FC236}">
              <a16:creationId xmlns:a16="http://schemas.microsoft.com/office/drawing/2014/main" id="{35EE9268-DD7B-498D-88C3-5D148D5398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925" name="Picture@5C\QPendientes@" descr="@5C\QPendientes@">
          <a:extLst>
            <a:ext uri="{FF2B5EF4-FFF2-40B4-BE49-F238E27FC236}">
              <a16:creationId xmlns:a16="http://schemas.microsoft.com/office/drawing/2014/main" id="{05745390-6F01-4C63-9553-8553FA6A80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926" name="Picture@5C\QPendientes@" descr="@5C\QPendientes@">
          <a:extLst>
            <a:ext uri="{FF2B5EF4-FFF2-40B4-BE49-F238E27FC236}">
              <a16:creationId xmlns:a16="http://schemas.microsoft.com/office/drawing/2014/main" id="{75D92EC1-03CE-42D3-BD29-573E38767B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927" name="Picture@5C\QPendientes@" descr="@5C\QPendientes@">
          <a:extLst>
            <a:ext uri="{FF2B5EF4-FFF2-40B4-BE49-F238E27FC236}">
              <a16:creationId xmlns:a16="http://schemas.microsoft.com/office/drawing/2014/main" id="{A4847B98-F499-43E0-94D4-CF0CCFF276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928" name="Picture@5C\QPendientes@" descr="@5C\QPendientes@">
          <a:extLst>
            <a:ext uri="{FF2B5EF4-FFF2-40B4-BE49-F238E27FC236}">
              <a16:creationId xmlns:a16="http://schemas.microsoft.com/office/drawing/2014/main" id="{2D82729C-DD60-42D9-B4E6-5C3D0F47AA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929" name="Picture@5C\QPendientes@" descr="@5C\QPendientes@">
          <a:extLst>
            <a:ext uri="{FF2B5EF4-FFF2-40B4-BE49-F238E27FC236}">
              <a16:creationId xmlns:a16="http://schemas.microsoft.com/office/drawing/2014/main" id="{EF075975-B395-4BEC-8394-592110323E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930" name="Picture@5C\QPendientes@" descr="@5C\QPendientes@">
          <a:extLst>
            <a:ext uri="{FF2B5EF4-FFF2-40B4-BE49-F238E27FC236}">
              <a16:creationId xmlns:a16="http://schemas.microsoft.com/office/drawing/2014/main" id="{D2DC2A45-7F70-48CA-A9A8-DE0AAE32F6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931" name="Picture@5C\QPendientes@" descr="@5C\QPendientes@">
          <a:extLst>
            <a:ext uri="{FF2B5EF4-FFF2-40B4-BE49-F238E27FC236}">
              <a16:creationId xmlns:a16="http://schemas.microsoft.com/office/drawing/2014/main" id="{D63D7506-1B20-44CA-B75B-8906E73288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932" name="Picture@5C\QPendientes@" descr="@5C\QPendientes@">
          <a:extLst>
            <a:ext uri="{FF2B5EF4-FFF2-40B4-BE49-F238E27FC236}">
              <a16:creationId xmlns:a16="http://schemas.microsoft.com/office/drawing/2014/main" id="{CBF43833-EF38-4D0F-81CA-8F85E7D17B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933" name="Picture@5C\QPendientes@" descr="@5C\QPendientes@">
          <a:extLst>
            <a:ext uri="{FF2B5EF4-FFF2-40B4-BE49-F238E27FC236}">
              <a16:creationId xmlns:a16="http://schemas.microsoft.com/office/drawing/2014/main" id="{EAE1127D-AAA6-44BA-9827-F179DD54ED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934" name="Picture@5C\QPendientes@" descr="@5C\QPendientes@">
          <a:extLst>
            <a:ext uri="{FF2B5EF4-FFF2-40B4-BE49-F238E27FC236}">
              <a16:creationId xmlns:a16="http://schemas.microsoft.com/office/drawing/2014/main" id="{05C30AF4-D05F-4E52-AE20-82E80ED0A3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935" name="Picture@5C\QPendientes@" descr="@5C\QPendientes@">
          <a:extLst>
            <a:ext uri="{FF2B5EF4-FFF2-40B4-BE49-F238E27FC236}">
              <a16:creationId xmlns:a16="http://schemas.microsoft.com/office/drawing/2014/main" id="{EC9E31E4-07C4-4E39-8AA3-C111BB0D8E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936" name="Picture@5C\QPendientes@" descr="@5C\QPendientes@">
          <a:extLst>
            <a:ext uri="{FF2B5EF4-FFF2-40B4-BE49-F238E27FC236}">
              <a16:creationId xmlns:a16="http://schemas.microsoft.com/office/drawing/2014/main" id="{5AE0B94A-E237-45F0-AB0F-3647440A1B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937" name="Picture@5C\QPendientes@" descr="@5C\QPendientes@">
          <a:extLst>
            <a:ext uri="{FF2B5EF4-FFF2-40B4-BE49-F238E27FC236}">
              <a16:creationId xmlns:a16="http://schemas.microsoft.com/office/drawing/2014/main" id="{F0A72A67-338F-4A71-AF22-7A11F534A1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938" name="Picture@5C\QPendientes@" descr="@5C\QPendientes@">
          <a:extLst>
            <a:ext uri="{FF2B5EF4-FFF2-40B4-BE49-F238E27FC236}">
              <a16:creationId xmlns:a16="http://schemas.microsoft.com/office/drawing/2014/main" id="{07E9BEB5-81CE-45BF-AA40-E716FA5B02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939" name="Picture@5C\QPendientes@" descr="@5C\QPendientes@">
          <a:extLst>
            <a:ext uri="{FF2B5EF4-FFF2-40B4-BE49-F238E27FC236}">
              <a16:creationId xmlns:a16="http://schemas.microsoft.com/office/drawing/2014/main" id="{5FEAE49D-84D8-4F85-9192-63F86FAB4C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940" name="Picture@5C\QPendientes@" descr="@5C\QPendientes@">
          <a:extLst>
            <a:ext uri="{FF2B5EF4-FFF2-40B4-BE49-F238E27FC236}">
              <a16:creationId xmlns:a16="http://schemas.microsoft.com/office/drawing/2014/main" id="{7EF36531-68F0-44F3-8A30-32AF181A18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941" name="Picture@5C\QPendientes@" descr="@5C\QPendientes@">
          <a:extLst>
            <a:ext uri="{FF2B5EF4-FFF2-40B4-BE49-F238E27FC236}">
              <a16:creationId xmlns:a16="http://schemas.microsoft.com/office/drawing/2014/main" id="{D03B704D-D692-4D6E-9669-0EE51B8A4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942" name="Picture@5C\QPendientes@" descr="@5C\QPendientes@">
          <a:extLst>
            <a:ext uri="{FF2B5EF4-FFF2-40B4-BE49-F238E27FC236}">
              <a16:creationId xmlns:a16="http://schemas.microsoft.com/office/drawing/2014/main" id="{39BC3F23-E1AE-47C9-AB8E-EF76FDEB4A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943" name="Picture@5C\QPendientes@" descr="@5C\QPendientes@">
          <a:extLst>
            <a:ext uri="{FF2B5EF4-FFF2-40B4-BE49-F238E27FC236}">
              <a16:creationId xmlns:a16="http://schemas.microsoft.com/office/drawing/2014/main" id="{6951609D-BC0D-4BA1-A4BE-1E41CBCF1C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944" name="Picture@5C\QPendientes@" descr="@5C\QPendientes@">
          <a:extLst>
            <a:ext uri="{FF2B5EF4-FFF2-40B4-BE49-F238E27FC236}">
              <a16:creationId xmlns:a16="http://schemas.microsoft.com/office/drawing/2014/main" id="{8C62F253-3842-4078-847B-D50BFB4B74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945" name="Picture@5C\QPendientes@" descr="@5C\QPendientes@">
          <a:extLst>
            <a:ext uri="{FF2B5EF4-FFF2-40B4-BE49-F238E27FC236}">
              <a16:creationId xmlns:a16="http://schemas.microsoft.com/office/drawing/2014/main" id="{408FBE6F-B0B9-43A8-B89D-4213999CFD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946" name="Picture@5C\QPendientes@" descr="@5C\QPendientes@">
          <a:extLst>
            <a:ext uri="{FF2B5EF4-FFF2-40B4-BE49-F238E27FC236}">
              <a16:creationId xmlns:a16="http://schemas.microsoft.com/office/drawing/2014/main" id="{DF7016FE-AB41-4E28-9D89-3B46F7AB09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947" name="Picture@5C\QPendientes@" descr="@5C\QPendientes@">
          <a:extLst>
            <a:ext uri="{FF2B5EF4-FFF2-40B4-BE49-F238E27FC236}">
              <a16:creationId xmlns:a16="http://schemas.microsoft.com/office/drawing/2014/main" id="{266C79DB-2F3D-4D2A-B345-F5B5B5A543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948" name="Picture@5C\QPendientes@" descr="@5C\QPendientes@">
          <a:extLst>
            <a:ext uri="{FF2B5EF4-FFF2-40B4-BE49-F238E27FC236}">
              <a16:creationId xmlns:a16="http://schemas.microsoft.com/office/drawing/2014/main" id="{24446783-E70A-4430-9E71-48ACED03B1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949" name="Picture@5C\QPendientes@" descr="@5C\QPendientes@">
          <a:extLst>
            <a:ext uri="{FF2B5EF4-FFF2-40B4-BE49-F238E27FC236}">
              <a16:creationId xmlns:a16="http://schemas.microsoft.com/office/drawing/2014/main" id="{52E9D8A6-ACA0-419B-A31A-E1D0719D74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950" name="Picture@5C\QPendientes@" descr="@5C\QPendientes@">
          <a:extLst>
            <a:ext uri="{FF2B5EF4-FFF2-40B4-BE49-F238E27FC236}">
              <a16:creationId xmlns:a16="http://schemas.microsoft.com/office/drawing/2014/main" id="{9441E7AB-C79A-4858-B62D-66626A2874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951" name="Picture@5C\QPendientes@" descr="@5C\QPendientes@">
          <a:extLst>
            <a:ext uri="{FF2B5EF4-FFF2-40B4-BE49-F238E27FC236}">
              <a16:creationId xmlns:a16="http://schemas.microsoft.com/office/drawing/2014/main" id="{63841F66-F119-4DB9-962C-B0B6EF54B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952" name="Picture@5C\QPendientes@" descr="@5C\QPendientes@">
          <a:extLst>
            <a:ext uri="{FF2B5EF4-FFF2-40B4-BE49-F238E27FC236}">
              <a16:creationId xmlns:a16="http://schemas.microsoft.com/office/drawing/2014/main" id="{66BF4711-53E6-4956-96BB-984219187E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953" name="Picture@5C\QPendientes@" descr="@5C\QPendientes@">
          <a:extLst>
            <a:ext uri="{FF2B5EF4-FFF2-40B4-BE49-F238E27FC236}">
              <a16:creationId xmlns:a16="http://schemas.microsoft.com/office/drawing/2014/main" id="{8D836264-1D9C-4787-94A1-90F1B9E1AD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954" name="Picture@5C\QPendientes@" descr="@5C\QPendientes@">
          <a:extLst>
            <a:ext uri="{FF2B5EF4-FFF2-40B4-BE49-F238E27FC236}">
              <a16:creationId xmlns:a16="http://schemas.microsoft.com/office/drawing/2014/main" id="{E591A2A8-C367-4843-960E-E2EDC4C2BC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955" name="Picture@5C\QPendientes@" descr="@5C\QPendientes@">
          <a:extLst>
            <a:ext uri="{FF2B5EF4-FFF2-40B4-BE49-F238E27FC236}">
              <a16:creationId xmlns:a16="http://schemas.microsoft.com/office/drawing/2014/main" id="{38384350-80A3-4160-9C1D-847FD1679A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956" name="Picture@5C\QPendientes@" descr="@5C\QPendientes@">
          <a:extLst>
            <a:ext uri="{FF2B5EF4-FFF2-40B4-BE49-F238E27FC236}">
              <a16:creationId xmlns:a16="http://schemas.microsoft.com/office/drawing/2014/main" id="{2E8760AA-50AF-453B-AA51-DD0089D1E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957" name="Picture@5C\QPendientes@" descr="@5C\QPendientes@">
          <a:extLst>
            <a:ext uri="{FF2B5EF4-FFF2-40B4-BE49-F238E27FC236}">
              <a16:creationId xmlns:a16="http://schemas.microsoft.com/office/drawing/2014/main" id="{FB354E02-5E0D-4AA5-B759-340E0DBB78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958" name="Picture@5C\QPendientes@" descr="@5C\QPendientes@">
          <a:extLst>
            <a:ext uri="{FF2B5EF4-FFF2-40B4-BE49-F238E27FC236}">
              <a16:creationId xmlns:a16="http://schemas.microsoft.com/office/drawing/2014/main" id="{BCCAC519-1958-45AB-9A45-47B21B7C49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959" name="Picture@5C\QPendientes@" descr="@5C\QPendientes@">
          <a:extLst>
            <a:ext uri="{FF2B5EF4-FFF2-40B4-BE49-F238E27FC236}">
              <a16:creationId xmlns:a16="http://schemas.microsoft.com/office/drawing/2014/main" id="{D064C161-3C3A-4A29-9A07-A6D18442DD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960" name="Picture@5C\QPendientes@" descr="@5C\QPendientes@">
          <a:extLst>
            <a:ext uri="{FF2B5EF4-FFF2-40B4-BE49-F238E27FC236}">
              <a16:creationId xmlns:a16="http://schemas.microsoft.com/office/drawing/2014/main" id="{366C0E39-CBA6-4C29-AFE0-EE3BDBAA2C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961" name="Picture@5C\QPendientes@" descr="@5C\QPendientes@">
          <a:extLst>
            <a:ext uri="{FF2B5EF4-FFF2-40B4-BE49-F238E27FC236}">
              <a16:creationId xmlns:a16="http://schemas.microsoft.com/office/drawing/2014/main" id="{181DCE97-4C45-4582-8A72-871894A03B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962" name="Picture@5C\QPendientes@" descr="@5C\QPendientes@">
          <a:extLst>
            <a:ext uri="{FF2B5EF4-FFF2-40B4-BE49-F238E27FC236}">
              <a16:creationId xmlns:a16="http://schemas.microsoft.com/office/drawing/2014/main" id="{1487A737-F544-45E6-A125-78745734D2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963" name="Picture@5C\QPendientes@" descr="@5C\QPendientes@">
          <a:extLst>
            <a:ext uri="{FF2B5EF4-FFF2-40B4-BE49-F238E27FC236}">
              <a16:creationId xmlns:a16="http://schemas.microsoft.com/office/drawing/2014/main" id="{2ECEE786-74C4-492E-9DA2-44530B00B5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964" name="Picture@5C\QPendientes@" descr="@5C\QPendientes@">
          <a:extLst>
            <a:ext uri="{FF2B5EF4-FFF2-40B4-BE49-F238E27FC236}">
              <a16:creationId xmlns:a16="http://schemas.microsoft.com/office/drawing/2014/main" id="{1DD0737F-943F-43DA-9BF5-1301DF2E93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965" name="Picture@5C\QPendientes@" descr="@5C\QPendientes@">
          <a:extLst>
            <a:ext uri="{FF2B5EF4-FFF2-40B4-BE49-F238E27FC236}">
              <a16:creationId xmlns:a16="http://schemas.microsoft.com/office/drawing/2014/main" id="{9C4260C1-160F-49A0-B97D-7C3A6C9AEA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966" name="Picture@5C\QPendientes@" descr="@5C\QPendientes@">
          <a:extLst>
            <a:ext uri="{FF2B5EF4-FFF2-40B4-BE49-F238E27FC236}">
              <a16:creationId xmlns:a16="http://schemas.microsoft.com/office/drawing/2014/main" id="{0C425FFD-698F-4103-825D-558611448B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967" name="Picture@5C\QPendientes@" descr="@5C\QPendientes@">
          <a:extLst>
            <a:ext uri="{FF2B5EF4-FFF2-40B4-BE49-F238E27FC236}">
              <a16:creationId xmlns:a16="http://schemas.microsoft.com/office/drawing/2014/main" id="{D56F8D12-0FEF-46AF-BF66-7F32991439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968" name="Picture@5C\QPendientes@" descr="@5C\QPendientes@">
          <a:extLst>
            <a:ext uri="{FF2B5EF4-FFF2-40B4-BE49-F238E27FC236}">
              <a16:creationId xmlns:a16="http://schemas.microsoft.com/office/drawing/2014/main" id="{B4DC2EE3-6B77-4BA1-A429-10FFE59B31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969" name="Picture@5C\QPendientes@" descr="@5C\QPendientes@">
          <a:extLst>
            <a:ext uri="{FF2B5EF4-FFF2-40B4-BE49-F238E27FC236}">
              <a16:creationId xmlns:a16="http://schemas.microsoft.com/office/drawing/2014/main" id="{B5854D7F-587E-4F21-A564-40567E3714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970" name="Picture@5C\QPendientes@" descr="@5C\QPendientes@">
          <a:extLst>
            <a:ext uri="{FF2B5EF4-FFF2-40B4-BE49-F238E27FC236}">
              <a16:creationId xmlns:a16="http://schemas.microsoft.com/office/drawing/2014/main" id="{6F117B30-227E-4950-99C7-6D5038CF28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971" name="Picture@5C\QPendientes@" descr="@5C\QPendientes@">
          <a:extLst>
            <a:ext uri="{FF2B5EF4-FFF2-40B4-BE49-F238E27FC236}">
              <a16:creationId xmlns:a16="http://schemas.microsoft.com/office/drawing/2014/main" id="{E887FEC9-4756-45AD-B3A8-5695ABFE9F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972" name="Picture@5C\QPendientes@" descr="@5C\QPendientes@">
          <a:extLst>
            <a:ext uri="{FF2B5EF4-FFF2-40B4-BE49-F238E27FC236}">
              <a16:creationId xmlns:a16="http://schemas.microsoft.com/office/drawing/2014/main" id="{5802355C-085E-4AAB-8911-433E6F1576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973" name="Picture@5C\QPendientes@" descr="@5C\QPendientes@">
          <a:extLst>
            <a:ext uri="{FF2B5EF4-FFF2-40B4-BE49-F238E27FC236}">
              <a16:creationId xmlns:a16="http://schemas.microsoft.com/office/drawing/2014/main" id="{3D0E77CD-C7C7-4B47-9813-30900334C9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974" name="Picture@5C\QPendientes@" descr="@5C\QPendientes@">
          <a:extLst>
            <a:ext uri="{FF2B5EF4-FFF2-40B4-BE49-F238E27FC236}">
              <a16:creationId xmlns:a16="http://schemas.microsoft.com/office/drawing/2014/main" id="{7031E7ED-9A3A-412D-AF04-8E14B72714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975" name="Picture@5C\QPendientes@" descr="@5C\QPendientes@">
          <a:extLst>
            <a:ext uri="{FF2B5EF4-FFF2-40B4-BE49-F238E27FC236}">
              <a16:creationId xmlns:a16="http://schemas.microsoft.com/office/drawing/2014/main" id="{23C1E9B7-7057-4317-AB1B-6C31151579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976" name="Picture@5C\QPendientes@" descr="@5C\QPendientes@">
          <a:extLst>
            <a:ext uri="{FF2B5EF4-FFF2-40B4-BE49-F238E27FC236}">
              <a16:creationId xmlns:a16="http://schemas.microsoft.com/office/drawing/2014/main" id="{09D31079-40C4-4FAE-9640-8DBBF3A19E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977" name="Picture@5C\QPendientes@" descr="@5C\QPendientes@">
          <a:extLst>
            <a:ext uri="{FF2B5EF4-FFF2-40B4-BE49-F238E27FC236}">
              <a16:creationId xmlns:a16="http://schemas.microsoft.com/office/drawing/2014/main" id="{FC0F44CD-EB05-4941-B395-0C07D1DCAF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978" name="Picture@5C\QPendientes@" descr="@5C\QPendientes@">
          <a:extLst>
            <a:ext uri="{FF2B5EF4-FFF2-40B4-BE49-F238E27FC236}">
              <a16:creationId xmlns:a16="http://schemas.microsoft.com/office/drawing/2014/main" id="{BC5F9538-2A1F-4E34-9BF3-F42372D3B9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979" name="Picture@5C\QPendientes@" descr="@5C\QPendientes@">
          <a:extLst>
            <a:ext uri="{FF2B5EF4-FFF2-40B4-BE49-F238E27FC236}">
              <a16:creationId xmlns:a16="http://schemas.microsoft.com/office/drawing/2014/main" id="{D2B9789B-E5D8-49E9-B3C1-EA41C225D7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980" name="Picture@5C\QPendientes@" descr="@5C\QPendientes@">
          <a:extLst>
            <a:ext uri="{FF2B5EF4-FFF2-40B4-BE49-F238E27FC236}">
              <a16:creationId xmlns:a16="http://schemas.microsoft.com/office/drawing/2014/main" id="{0C44E1F6-5769-4E5B-8A34-875E9E5C48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981" name="Picture@5C\QPendientes@" descr="@5C\QPendientes@">
          <a:extLst>
            <a:ext uri="{FF2B5EF4-FFF2-40B4-BE49-F238E27FC236}">
              <a16:creationId xmlns:a16="http://schemas.microsoft.com/office/drawing/2014/main" id="{D5DD9274-5A24-4FB5-A3C1-CF4D65F579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982" name="Picture@5C\QPendientes@" descr="@5C\QPendientes@">
          <a:extLst>
            <a:ext uri="{FF2B5EF4-FFF2-40B4-BE49-F238E27FC236}">
              <a16:creationId xmlns:a16="http://schemas.microsoft.com/office/drawing/2014/main" id="{385AD227-78D1-4C3A-A576-631F3C5507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983" name="Picture@5C\QPendientes@" descr="@5C\QPendientes@">
          <a:extLst>
            <a:ext uri="{FF2B5EF4-FFF2-40B4-BE49-F238E27FC236}">
              <a16:creationId xmlns:a16="http://schemas.microsoft.com/office/drawing/2014/main" id="{EE7CD8E5-57BB-423B-9550-424C7923BA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984" name="Picture@5C\QPendientes@" descr="@5C\QPendientes@">
          <a:extLst>
            <a:ext uri="{FF2B5EF4-FFF2-40B4-BE49-F238E27FC236}">
              <a16:creationId xmlns:a16="http://schemas.microsoft.com/office/drawing/2014/main" id="{5FDBA52C-33BB-4F6D-B0A7-AFB5E1B5F3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985" name="Picture@5C\QPendientes@" descr="@5C\QPendientes@">
          <a:extLst>
            <a:ext uri="{FF2B5EF4-FFF2-40B4-BE49-F238E27FC236}">
              <a16:creationId xmlns:a16="http://schemas.microsoft.com/office/drawing/2014/main" id="{DFD903B8-20B5-4EDC-881F-6FD678708C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986" name="Picture@5C\QPendientes@" descr="@5C\QPendientes@">
          <a:extLst>
            <a:ext uri="{FF2B5EF4-FFF2-40B4-BE49-F238E27FC236}">
              <a16:creationId xmlns:a16="http://schemas.microsoft.com/office/drawing/2014/main" id="{A7EC1C31-A4C3-4BEB-96E5-48F5DBB714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987" name="Picture@5C\QPendientes@" descr="@5C\QPendientes@">
          <a:extLst>
            <a:ext uri="{FF2B5EF4-FFF2-40B4-BE49-F238E27FC236}">
              <a16:creationId xmlns:a16="http://schemas.microsoft.com/office/drawing/2014/main" id="{B8005B65-D7C4-4CEF-B06C-2F94F507F5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988" name="Picture@5C\QPendientes@" descr="@5C\QPendientes@">
          <a:extLst>
            <a:ext uri="{FF2B5EF4-FFF2-40B4-BE49-F238E27FC236}">
              <a16:creationId xmlns:a16="http://schemas.microsoft.com/office/drawing/2014/main" id="{8ABD33CE-ACCC-4A04-A4C0-51775C966E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989" name="Picture@5C\QPendientes@" descr="@5C\QPendientes@">
          <a:extLst>
            <a:ext uri="{FF2B5EF4-FFF2-40B4-BE49-F238E27FC236}">
              <a16:creationId xmlns:a16="http://schemas.microsoft.com/office/drawing/2014/main" id="{77309FA5-2779-431A-9C51-49D47B10D6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990" name="Picture@5C\QPendientes@" descr="@5C\QPendientes@">
          <a:extLst>
            <a:ext uri="{FF2B5EF4-FFF2-40B4-BE49-F238E27FC236}">
              <a16:creationId xmlns:a16="http://schemas.microsoft.com/office/drawing/2014/main" id="{0C622707-F88C-4499-ABC7-3F423D99E7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991" name="Picture@5C\QPendientes@" descr="@5C\QPendientes@">
          <a:extLst>
            <a:ext uri="{FF2B5EF4-FFF2-40B4-BE49-F238E27FC236}">
              <a16:creationId xmlns:a16="http://schemas.microsoft.com/office/drawing/2014/main" id="{780016F3-3199-4F35-8058-C0C380249D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992" name="Picture@5C\QPendientes@" descr="@5C\QPendientes@">
          <a:extLst>
            <a:ext uri="{FF2B5EF4-FFF2-40B4-BE49-F238E27FC236}">
              <a16:creationId xmlns:a16="http://schemas.microsoft.com/office/drawing/2014/main" id="{0A8233BE-66D4-44C3-9473-42B9978D71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993" name="Picture@5C\QPendientes@" descr="@5C\QPendientes@">
          <a:extLst>
            <a:ext uri="{FF2B5EF4-FFF2-40B4-BE49-F238E27FC236}">
              <a16:creationId xmlns:a16="http://schemas.microsoft.com/office/drawing/2014/main" id="{5F455A69-946F-43CD-B607-082A1E2ECD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994" name="Picture@5C\QPendientes@" descr="@5C\QPendientes@">
          <a:extLst>
            <a:ext uri="{FF2B5EF4-FFF2-40B4-BE49-F238E27FC236}">
              <a16:creationId xmlns:a16="http://schemas.microsoft.com/office/drawing/2014/main" id="{BF3401C7-C317-4691-9A1B-63331CF710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995" name="Picture@5C\QPendientes@" descr="@5C\QPendientes@">
          <a:extLst>
            <a:ext uri="{FF2B5EF4-FFF2-40B4-BE49-F238E27FC236}">
              <a16:creationId xmlns:a16="http://schemas.microsoft.com/office/drawing/2014/main" id="{F1F49089-D63B-43E8-BE54-189495A524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996" name="Picture@5C\QPendientes@" descr="@5C\QPendientes@">
          <a:extLst>
            <a:ext uri="{FF2B5EF4-FFF2-40B4-BE49-F238E27FC236}">
              <a16:creationId xmlns:a16="http://schemas.microsoft.com/office/drawing/2014/main" id="{F44E3473-EF02-434F-9A6B-7980E05E2C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997" name="Picture@5C\QPendientes@" descr="@5C\QPendientes@">
          <a:extLst>
            <a:ext uri="{FF2B5EF4-FFF2-40B4-BE49-F238E27FC236}">
              <a16:creationId xmlns:a16="http://schemas.microsoft.com/office/drawing/2014/main" id="{E80907E2-21A9-4EAC-990F-4A7060E4EF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998" name="Picture@5C\QPendientes@" descr="@5C\QPendientes@">
          <a:extLst>
            <a:ext uri="{FF2B5EF4-FFF2-40B4-BE49-F238E27FC236}">
              <a16:creationId xmlns:a16="http://schemas.microsoft.com/office/drawing/2014/main" id="{1D646C8D-3599-46EC-8DA3-CFF0640A3D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999" name="Picture@5C\QPendientes@" descr="@5C\QPendientes@">
          <a:extLst>
            <a:ext uri="{FF2B5EF4-FFF2-40B4-BE49-F238E27FC236}">
              <a16:creationId xmlns:a16="http://schemas.microsoft.com/office/drawing/2014/main" id="{A6DB8161-380D-4127-9D7C-29042786EE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000" name="Picture@5C\QPendientes@" descr="@5C\QPendientes@">
          <a:extLst>
            <a:ext uri="{FF2B5EF4-FFF2-40B4-BE49-F238E27FC236}">
              <a16:creationId xmlns:a16="http://schemas.microsoft.com/office/drawing/2014/main" id="{B188EF0A-8218-4A17-B5BC-C91529A1C2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1001" name="Picture@5C\QPendientes@" descr="@5C\QPendientes@">
          <a:extLst>
            <a:ext uri="{FF2B5EF4-FFF2-40B4-BE49-F238E27FC236}">
              <a16:creationId xmlns:a16="http://schemas.microsoft.com/office/drawing/2014/main" id="{0812FCC0-777E-4A05-8229-1A3B9B69D1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002" name="Picture@5C\QPendientes@" descr="@5C\QPendientes@">
          <a:extLst>
            <a:ext uri="{FF2B5EF4-FFF2-40B4-BE49-F238E27FC236}">
              <a16:creationId xmlns:a16="http://schemas.microsoft.com/office/drawing/2014/main" id="{FE773DF4-CBE5-455B-A5B1-C91A82AC2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003" name="Picture@5C\QPendientes@" descr="@5C\QPendientes@">
          <a:extLst>
            <a:ext uri="{FF2B5EF4-FFF2-40B4-BE49-F238E27FC236}">
              <a16:creationId xmlns:a16="http://schemas.microsoft.com/office/drawing/2014/main" id="{222193C8-E9D6-44BD-9918-BDF40CC482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004" name="Picture@5C\QPendientes@" descr="@5C\QPendientes@">
          <a:extLst>
            <a:ext uri="{FF2B5EF4-FFF2-40B4-BE49-F238E27FC236}">
              <a16:creationId xmlns:a16="http://schemas.microsoft.com/office/drawing/2014/main" id="{F2899FF8-7E51-4EA0-AD30-9E1A40721A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005" name="Picture@5C\QPendientes@" descr="@5C\QPendientes@">
          <a:extLst>
            <a:ext uri="{FF2B5EF4-FFF2-40B4-BE49-F238E27FC236}">
              <a16:creationId xmlns:a16="http://schemas.microsoft.com/office/drawing/2014/main" id="{3A45C9A5-768C-4991-8DB2-143E1DBD21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006" name="Picture@5C\QPendientes@" descr="@5C\QPendientes@">
          <a:extLst>
            <a:ext uri="{FF2B5EF4-FFF2-40B4-BE49-F238E27FC236}">
              <a16:creationId xmlns:a16="http://schemas.microsoft.com/office/drawing/2014/main" id="{CDC875DC-EE51-4A2F-92FC-129FB7461E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1007" name="Picture@5C\QPendientes@" descr="@5C\QPendientes@">
          <a:extLst>
            <a:ext uri="{FF2B5EF4-FFF2-40B4-BE49-F238E27FC236}">
              <a16:creationId xmlns:a16="http://schemas.microsoft.com/office/drawing/2014/main" id="{3DAB6A80-3D4E-427C-A7C9-42A60C32F8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1008" name="Picture@5C\QPendientes@" descr="@5C\QPendientes@">
          <a:extLst>
            <a:ext uri="{FF2B5EF4-FFF2-40B4-BE49-F238E27FC236}">
              <a16:creationId xmlns:a16="http://schemas.microsoft.com/office/drawing/2014/main" id="{487630BB-24B1-4B4E-8E1F-30DCF969D8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1009" name="Picture@5C\QPendientes@" descr="@5C\QPendientes@">
          <a:extLst>
            <a:ext uri="{FF2B5EF4-FFF2-40B4-BE49-F238E27FC236}">
              <a16:creationId xmlns:a16="http://schemas.microsoft.com/office/drawing/2014/main" id="{51AA1AC6-427E-4CC4-8D4B-4502375AC8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1010" name="Picture@5C\QPendientes@" descr="@5C\QPendientes@">
          <a:extLst>
            <a:ext uri="{FF2B5EF4-FFF2-40B4-BE49-F238E27FC236}">
              <a16:creationId xmlns:a16="http://schemas.microsoft.com/office/drawing/2014/main" id="{BD4C5794-01B6-4736-9118-ADEC2A8340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1011" name="Picture@5C\QPendientes@" descr="@5C\QPendientes@">
          <a:extLst>
            <a:ext uri="{FF2B5EF4-FFF2-40B4-BE49-F238E27FC236}">
              <a16:creationId xmlns:a16="http://schemas.microsoft.com/office/drawing/2014/main" id="{CF8EA1B9-E3FE-4C93-BFEC-8C83E3725F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1012" name="Picture@5C\QPendientes@" descr="@5C\QPendientes@">
          <a:extLst>
            <a:ext uri="{FF2B5EF4-FFF2-40B4-BE49-F238E27FC236}">
              <a16:creationId xmlns:a16="http://schemas.microsoft.com/office/drawing/2014/main" id="{9C4827FF-66BA-481F-A1E1-110C832FA9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1013" name="Picture@5C\QPendientes@" descr="@5C\QPendientes@">
          <a:extLst>
            <a:ext uri="{FF2B5EF4-FFF2-40B4-BE49-F238E27FC236}">
              <a16:creationId xmlns:a16="http://schemas.microsoft.com/office/drawing/2014/main" id="{404BFBA4-E5B6-4D3B-8FB9-1CE1343D95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1014" name="Picture@5C\QPendientes@" descr="@5C\QPendientes@">
          <a:extLst>
            <a:ext uri="{FF2B5EF4-FFF2-40B4-BE49-F238E27FC236}">
              <a16:creationId xmlns:a16="http://schemas.microsoft.com/office/drawing/2014/main" id="{57F874E6-5951-42B5-9B40-F6ED801567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1015" name="Picture@5C\QPendientes@" descr="@5C\QPendientes@">
          <a:extLst>
            <a:ext uri="{FF2B5EF4-FFF2-40B4-BE49-F238E27FC236}">
              <a16:creationId xmlns:a16="http://schemas.microsoft.com/office/drawing/2014/main" id="{28FEC728-989A-4168-9B37-B86227272E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1016" name="Picture@5C\QPendientes@" descr="@5C\QPendientes@">
          <a:extLst>
            <a:ext uri="{FF2B5EF4-FFF2-40B4-BE49-F238E27FC236}">
              <a16:creationId xmlns:a16="http://schemas.microsoft.com/office/drawing/2014/main" id="{B4B16E51-1118-43E9-B497-434F81E18C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1017" name="Picture@5C\QPendientes@" descr="@5C\QPendientes@">
          <a:extLst>
            <a:ext uri="{FF2B5EF4-FFF2-40B4-BE49-F238E27FC236}">
              <a16:creationId xmlns:a16="http://schemas.microsoft.com/office/drawing/2014/main" id="{2C6D0795-8F51-4A25-A980-6B941A00D5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1018" name="Picture@5C\QPendientes@" descr="@5C\QPendientes@">
          <a:extLst>
            <a:ext uri="{FF2B5EF4-FFF2-40B4-BE49-F238E27FC236}">
              <a16:creationId xmlns:a16="http://schemas.microsoft.com/office/drawing/2014/main" id="{EA2C25EE-BF10-41EA-B539-D34F93FF7E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1019" name="Picture@5C\QPendientes@" descr="@5C\QPendientes@">
          <a:extLst>
            <a:ext uri="{FF2B5EF4-FFF2-40B4-BE49-F238E27FC236}">
              <a16:creationId xmlns:a16="http://schemas.microsoft.com/office/drawing/2014/main" id="{E0F0654B-980E-4EB0-911D-1516B10C02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1020" name="Picture@5C\QPendientes@" descr="@5C\QPendientes@">
          <a:extLst>
            <a:ext uri="{FF2B5EF4-FFF2-40B4-BE49-F238E27FC236}">
              <a16:creationId xmlns:a16="http://schemas.microsoft.com/office/drawing/2014/main" id="{88517C80-B916-476A-8C72-0F6C30434B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1021" name="Picture@5C\QPendientes@" descr="@5C\QPendientes@">
          <a:extLst>
            <a:ext uri="{FF2B5EF4-FFF2-40B4-BE49-F238E27FC236}">
              <a16:creationId xmlns:a16="http://schemas.microsoft.com/office/drawing/2014/main" id="{1CAD11AB-CFBD-480D-B201-692CC809E5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1022" name="Picture@5C\QPendientes@" descr="@5C\QPendientes@">
          <a:extLst>
            <a:ext uri="{FF2B5EF4-FFF2-40B4-BE49-F238E27FC236}">
              <a16:creationId xmlns:a16="http://schemas.microsoft.com/office/drawing/2014/main" id="{69CF12D4-9036-4691-89FF-EE7A635687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1023" name="Picture@5C\QPendientes@" descr="@5C\QPendientes@">
          <a:extLst>
            <a:ext uri="{FF2B5EF4-FFF2-40B4-BE49-F238E27FC236}">
              <a16:creationId xmlns:a16="http://schemas.microsoft.com/office/drawing/2014/main" id="{AB0AD990-4E58-4E56-BEB7-DB23E669F9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1024" name="Picture@5C\QPendientes@" descr="@5C\QPendientes@">
          <a:extLst>
            <a:ext uri="{FF2B5EF4-FFF2-40B4-BE49-F238E27FC236}">
              <a16:creationId xmlns:a16="http://schemas.microsoft.com/office/drawing/2014/main" id="{8D933A59-4477-4005-B2D8-21D852D099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1025" name="Picture@5C\QPendientes@" descr="@5C\QPendientes@">
          <a:extLst>
            <a:ext uri="{FF2B5EF4-FFF2-40B4-BE49-F238E27FC236}">
              <a16:creationId xmlns:a16="http://schemas.microsoft.com/office/drawing/2014/main" id="{86D7E361-6700-44BF-935B-DFDC70A0AC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1026" name="Picture@5C\QPendientes@" descr="@5C\QPendientes@">
          <a:extLst>
            <a:ext uri="{FF2B5EF4-FFF2-40B4-BE49-F238E27FC236}">
              <a16:creationId xmlns:a16="http://schemas.microsoft.com/office/drawing/2014/main" id="{5D03DE89-B68B-446C-9FC2-901E7CD114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1027" name="Picture@5C\QPendientes@" descr="@5C\QPendientes@">
          <a:extLst>
            <a:ext uri="{FF2B5EF4-FFF2-40B4-BE49-F238E27FC236}">
              <a16:creationId xmlns:a16="http://schemas.microsoft.com/office/drawing/2014/main" id="{6DE8C650-3A41-49A6-AFD4-6A1FE3EDDA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1028" name="Picture@5C\QPendientes@" descr="@5C\QPendientes@">
          <a:extLst>
            <a:ext uri="{FF2B5EF4-FFF2-40B4-BE49-F238E27FC236}">
              <a16:creationId xmlns:a16="http://schemas.microsoft.com/office/drawing/2014/main" id="{06AD73F0-C6C6-478C-B0EC-9BD8072908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1029" name="Picture@5C\QPendientes@" descr="@5C\QPendientes@">
          <a:extLst>
            <a:ext uri="{FF2B5EF4-FFF2-40B4-BE49-F238E27FC236}">
              <a16:creationId xmlns:a16="http://schemas.microsoft.com/office/drawing/2014/main" id="{E254ED09-B96B-476B-AD54-65680EF83F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1030" name="Picture@5C\QPendientes@" descr="@5C\QPendientes@">
          <a:extLst>
            <a:ext uri="{FF2B5EF4-FFF2-40B4-BE49-F238E27FC236}">
              <a16:creationId xmlns:a16="http://schemas.microsoft.com/office/drawing/2014/main" id="{E97DCC46-9BD1-4CC8-8BF7-BA4AE3572E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1031" name="Picture@5C\QPendientes@" descr="@5C\QPendientes@">
          <a:extLst>
            <a:ext uri="{FF2B5EF4-FFF2-40B4-BE49-F238E27FC236}">
              <a16:creationId xmlns:a16="http://schemas.microsoft.com/office/drawing/2014/main" id="{EE36AA40-10F6-4D66-B366-6C77CD81D3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1032" name="Picture@5C\QPendientes@" descr="@5C\QPendientes@">
          <a:extLst>
            <a:ext uri="{FF2B5EF4-FFF2-40B4-BE49-F238E27FC236}">
              <a16:creationId xmlns:a16="http://schemas.microsoft.com/office/drawing/2014/main" id="{9AA76F79-3857-4B45-A6AD-E2CD79BA06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1033" name="Picture@5C\QPendientes@" descr="@5C\QPendientes@">
          <a:extLst>
            <a:ext uri="{FF2B5EF4-FFF2-40B4-BE49-F238E27FC236}">
              <a16:creationId xmlns:a16="http://schemas.microsoft.com/office/drawing/2014/main" id="{9CB4F371-E5D6-4654-9CA6-7AAEE798B9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1034" name="Picture@5C\QPendientes@" descr="@5C\QPendientes@">
          <a:extLst>
            <a:ext uri="{FF2B5EF4-FFF2-40B4-BE49-F238E27FC236}">
              <a16:creationId xmlns:a16="http://schemas.microsoft.com/office/drawing/2014/main" id="{BE1CA929-E2FA-4BE2-8AE5-67AFFF5D9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1035" name="Picture@5C\QPendientes@" descr="@5C\QPendientes@">
          <a:extLst>
            <a:ext uri="{FF2B5EF4-FFF2-40B4-BE49-F238E27FC236}">
              <a16:creationId xmlns:a16="http://schemas.microsoft.com/office/drawing/2014/main" id="{1E97AEAF-A3A0-4CC5-9FAE-B176A35FF2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1036" name="Picture@5C\QPendientes@" descr="@5C\QPendientes@">
          <a:extLst>
            <a:ext uri="{FF2B5EF4-FFF2-40B4-BE49-F238E27FC236}">
              <a16:creationId xmlns:a16="http://schemas.microsoft.com/office/drawing/2014/main" id="{17371194-DD69-45A2-A669-383028BD65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1037" name="Picture@5C\QPendientes@" descr="@5C\QPendientes@">
          <a:extLst>
            <a:ext uri="{FF2B5EF4-FFF2-40B4-BE49-F238E27FC236}">
              <a16:creationId xmlns:a16="http://schemas.microsoft.com/office/drawing/2014/main" id="{B5AA1AEB-56DD-477D-B38B-CA930521B1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1038" name="Picture@5C\QPendientes@" descr="@5C\QPendientes@">
          <a:extLst>
            <a:ext uri="{FF2B5EF4-FFF2-40B4-BE49-F238E27FC236}">
              <a16:creationId xmlns:a16="http://schemas.microsoft.com/office/drawing/2014/main" id="{7FC33195-E0C0-410F-878A-17DD0613C0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1039" name="Picture@5C\QPendientes@" descr="@5C\QPendientes@">
          <a:extLst>
            <a:ext uri="{FF2B5EF4-FFF2-40B4-BE49-F238E27FC236}">
              <a16:creationId xmlns:a16="http://schemas.microsoft.com/office/drawing/2014/main" id="{10F8A062-F1CC-4436-AAE0-B8292F94A1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1040" name="Picture@5C\QPendientes@" descr="@5C\QPendientes@">
          <a:extLst>
            <a:ext uri="{FF2B5EF4-FFF2-40B4-BE49-F238E27FC236}">
              <a16:creationId xmlns:a16="http://schemas.microsoft.com/office/drawing/2014/main" id="{F77740B6-E3A3-4D69-98CE-6F8CB19244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1041" name="Picture@5C\QPendientes@" descr="@5C\QPendientes@">
          <a:extLst>
            <a:ext uri="{FF2B5EF4-FFF2-40B4-BE49-F238E27FC236}">
              <a16:creationId xmlns:a16="http://schemas.microsoft.com/office/drawing/2014/main" id="{3C6BE591-94DE-49A9-A554-58E4003015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1042" name="Picture@5C\QPendientes@" descr="@5C\QPendientes@">
          <a:extLst>
            <a:ext uri="{FF2B5EF4-FFF2-40B4-BE49-F238E27FC236}">
              <a16:creationId xmlns:a16="http://schemas.microsoft.com/office/drawing/2014/main" id="{7A074A69-AAEA-4C42-9F0D-01BFC1784B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1043" name="Picture@5C\QPendientes@" descr="@5C\QPendientes@">
          <a:extLst>
            <a:ext uri="{FF2B5EF4-FFF2-40B4-BE49-F238E27FC236}">
              <a16:creationId xmlns:a16="http://schemas.microsoft.com/office/drawing/2014/main" id="{AE3E3AEE-383C-45D3-A525-161F01BE2E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1044" name="Picture@5C\QPendientes@" descr="@5C\QPendientes@">
          <a:extLst>
            <a:ext uri="{FF2B5EF4-FFF2-40B4-BE49-F238E27FC236}">
              <a16:creationId xmlns:a16="http://schemas.microsoft.com/office/drawing/2014/main" id="{FC7E4382-6434-47A7-98D7-F4D73A0970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1045" name="Picture@5C\QPendientes@" descr="@5C\QPendientes@">
          <a:extLst>
            <a:ext uri="{FF2B5EF4-FFF2-40B4-BE49-F238E27FC236}">
              <a16:creationId xmlns:a16="http://schemas.microsoft.com/office/drawing/2014/main" id="{AF0E5095-A2C8-4CA6-A3D6-614891AD14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1046" name="Picture@5C\QPendientes@" descr="@5C\QPendientes@">
          <a:extLst>
            <a:ext uri="{FF2B5EF4-FFF2-40B4-BE49-F238E27FC236}">
              <a16:creationId xmlns:a16="http://schemas.microsoft.com/office/drawing/2014/main" id="{4D6DC215-7A74-4A52-A495-33BC1442C0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1047" name="Picture@5C\QPendientes@" descr="@5C\QPendientes@">
          <a:extLst>
            <a:ext uri="{FF2B5EF4-FFF2-40B4-BE49-F238E27FC236}">
              <a16:creationId xmlns:a16="http://schemas.microsoft.com/office/drawing/2014/main" id="{9012AB1D-6B53-4523-AEC5-1F95F1DD8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1048" name="Picture@5C\QPendientes@" descr="@5C\QPendientes@">
          <a:extLst>
            <a:ext uri="{FF2B5EF4-FFF2-40B4-BE49-F238E27FC236}">
              <a16:creationId xmlns:a16="http://schemas.microsoft.com/office/drawing/2014/main" id="{96BF72CC-34C3-4AAE-BAA6-2256C66BEC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1049" name="Picture@5C\QPendientes@" descr="@5C\QPendientes@">
          <a:extLst>
            <a:ext uri="{FF2B5EF4-FFF2-40B4-BE49-F238E27FC236}">
              <a16:creationId xmlns:a16="http://schemas.microsoft.com/office/drawing/2014/main" id="{0B73FCFE-A88F-4A6E-B293-3A5C0E0BF4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1050" name="Picture@5C\QPendientes@" descr="@5C\QPendientes@">
          <a:extLst>
            <a:ext uri="{FF2B5EF4-FFF2-40B4-BE49-F238E27FC236}">
              <a16:creationId xmlns:a16="http://schemas.microsoft.com/office/drawing/2014/main" id="{B363DA58-6CA6-440C-B455-12E397276C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1051" name="Picture@5C\QPendientes@" descr="@5C\QPendientes@">
          <a:extLst>
            <a:ext uri="{FF2B5EF4-FFF2-40B4-BE49-F238E27FC236}">
              <a16:creationId xmlns:a16="http://schemas.microsoft.com/office/drawing/2014/main" id="{51DD2CFC-F1F5-4504-94F3-F8CCA3CDC6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1052" name="Picture@5C\QPendientes@" descr="@5C\QPendientes@">
          <a:extLst>
            <a:ext uri="{FF2B5EF4-FFF2-40B4-BE49-F238E27FC236}">
              <a16:creationId xmlns:a16="http://schemas.microsoft.com/office/drawing/2014/main" id="{3A67566D-F35D-4366-811D-CD7AEA932C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1053" name="Picture@5C\QPendientes@" descr="@5C\QPendientes@">
          <a:extLst>
            <a:ext uri="{FF2B5EF4-FFF2-40B4-BE49-F238E27FC236}">
              <a16:creationId xmlns:a16="http://schemas.microsoft.com/office/drawing/2014/main" id="{8376FC3D-2BB7-4AD7-B135-3B04CF63DF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1054" name="Picture@5C\QPendientes@" descr="@5C\QPendientes@">
          <a:extLst>
            <a:ext uri="{FF2B5EF4-FFF2-40B4-BE49-F238E27FC236}">
              <a16:creationId xmlns:a16="http://schemas.microsoft.com/office/drawing/2014/main" id="{46F9B369-6F19-4CAD-995F-E882743619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1055" name="Picture@5C\QPendientes@" descr="@5C\QPendientes@">
          <a:extLst>
            <a:ext uri="{FF2B5EF4-FFF2-40B4-BE49-F238E27FC236}">
              <a16:creationId xmlns:a16="http://schemas.microsoft.com/office/drawing/2014/main" id="{A91449A8-968D-45F3-B668-8EFD5EFC0D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1056" name="Picture@5C\QPendientes@" descr="@5C\QPendientes@">
          <a:extLst>
            <a:ext uri="{FF2B5EF4-FFF2-40B4-BE49-F238E27FC236}">
              <a16:creationId xmlns:a16="http://schemas.microsoft.com/office/drawing/2014/main" id="{2238228E-25A4-4CF4-82C1-EAB37A7103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1057" name="Picture@5C\QPendientes@" descr="@5C\QPendientes@">
          <a:extLst>
            <a:ext uri="{FF2B5EF4-FFF2-40B4-BE49-F238E27FC236}">
              <a16:creationId xmlns:a16="http://schemas.microsoft.com/office/drawing/2014/main" id="{AE01A3C6-DD7D-440A-827A-2DF1D2BB45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1058" name="Picture@5C\QPendientes@" descr="@5C\QPendientes@">
          <a:extLst>
            <a:ext uri="{FF2B5EF4-FFF2-40B4-BE49-F238E27FC236}">
              <a16:creationId xmlns:a16="http://schemas.microsoft.com/office/drawing/2014/main" id="{43C050DE-E3B7-4C39-BC93-DA00B57E59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1059" name="Picture@5C\QPendientes@" descr="@5C\QPendientes@">
          <a:extLst>
            <a:ext uri="{FF2B5EF4-FFF2-40B4-BE49-F238E27FC236}">
              <a16:creationId xmlns:a16="http://schemas.microsoft.com/office/drawing/2014/main" id="{1089F248-8B44-4517-9FB6-1288237B5D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1060" name="Picture@5C\QPendientes@" descr="@5C\QPendientes@">
          <a:extLst>
            <a:ext uri="{FF2B5EF4-FFF2-40B4-BE49-F238E27FC236}">
              <a16:creationId xmlns:a16="http://schemas.microsoft.com/office/drawing/2014/main" id="{92DE1BFE-1E28-4860-BEC5-9C1E4F68B8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1061" name="Picture@5C\QPendientes@" descr="@5C\QPendientes@">
          <a:extLst>
            <a:ext uri="{FF2B5EF4-FFF2-40B4-BE49-F238E27FC236}">
              <a16:creationId xmlns:a16="http://schemas.microsoft.com/office/drawing/2014/main" id="{DAC219DF-5893-4311-844F-851C68D658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2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1062" name="Picture@5C\QPendientes@" descr="@5C\QPendientes@">
          <a:extLst>
            <a:ext uri="{FF2B5EF4-FFF2-40B4-BE49-F238E27FC236}">
              <a16:creationId xmlns:a16="http://schemas.microsoft.com/office/drawing/2014/main" id="{9B8ADB6F-4501-48CA-83EA-F3F5B1E189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4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1063" name="Picture@5C\QPendientes@" descr="@5C\QPendientes@">
          <a:extLst>
            <a:ext uri="{FF2B5EF4-FFF2-40B4-BE49-F238E27FC236}">
              <a16:creationId xmlns:a16="http://schemas.microsoft.com/office/drawing/2014/main" id="{CA257389-96D3-4374-A89C-37CAF7578E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1064" name="Picture@5C\QPendientes@" descr="@5C\QPendientes@">
          <a:extLst>
            <a:ext uri="{FF2B5EF4-FFF2-40B4-BE49-F238E27FC236}">
              <a16:creationId xmlns:a16="http://schemas.microsoft.com/office/drawing/2014/main" id="{F25FC2CD-B479-496E-AC35-7CE7F94660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1065" name="Picture@5C\QPendientes@" descr="@5C\QPendientes@">
          <a:extLst>
            <a:ext uri="{FF2B5EF4-FFF2-40B4-BE49-F238E27FC236}">
              <a16:creationId xmlns:a16="http://schemas.microsoft.com/office/drawing/2014/main" id="{D45C8C7A-C9AE-4836-8CDB-1AA47B033D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1066" name="Picture@5C\QPendientes@" descr="@5C\QPendientes@">
          <a:extLst>
            <a:ext uri="{FF2B5EF4-FFF2-40B4-BE49-F238E27FC236}">
              <a16:creationId xmlns:a16="http://schemas.microsoft.com/office/drawing/2014/main" id="{E3048978-37F4-4909-9570-E7B90ADC42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1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1067" name="Picture@5C\QPendientes@" descr="@5C\QPendientes@">
          <a:extLst>
            <a:ext uri="{FF2B5EF4-FFF2-40B4-BE49-F238E27FC236}">
              <a16:creationId xmlns:a16="http://schemas.microsoft.com/office/drawing/2014/main" id="{0A725A25-25E9-4F70-9500-8404E3B0E9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3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1068" name="Picture@5C\QPendientes@" descr="@5C\QPendientes@">
          <a:extLst>
            <a:ext uri="{FF2B5EF4-FFF2-40B4-BE49-F238E27FC236}">
              <a16:creationId xmlns:a16="http://schemas.microsoft.com/office/drawing/2014/main" id="{B16B785F-93F7-4DDC-8B1C-CE9C1CE2D3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1069" name="Picture@5C\QPendientes@" descr="@5C\QPendientes@">
          <a:extLst>
            <a:ext uri="{FF2B5EF4-FFF2-40B4-BE49-F238E27FC236}">
              <a16:creationId xmlns:a16="http://schemas.microsoft.com/office/drawing/2014/main" id="{80A5E0F8-C11D-4590-9C74-4D40EE7925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1070" name="Picture@5C\QPendientes@" descr="@5C\QPendientes@">
          <a:extLst>
            <a:ext uri="{FF2B5EF4-FFF2-40B4-BE49-F238E27FC236}">
              <a16:creationId xmlns:a16="http://schemas.microsoft.com/office/drawing/2014/main" id="{33D1314E-5E4B-4DC7-B109-85C85C7EF3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1071" name="Picture@5C\QPendientes@" descr="@5C\QPendientes@">
          <a:extLst>
            <a:ext uri="{FF2B5EF4-FFF2-40B4-BE49-F238E27FC236}">
              <a16:creationId xmlns:a16="http://schemas.microsoft.com/office/drawing/2014/main" id="{2095FB8A-CC6E-4A01-9258-7355ED4F54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0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1072" name="Picture@5C\QPendientes@" descr="@5C\QPendientes@">
          <a:extLst>
            <a:ext uri="{FF2B5EF4-FFF2-40B4-BE49-F238E27FC236}">
              <a16:creationId xmlns:a16="http://schemas.microsoft.com/office/drawing/2014/main" id="{EDC0F894-2EFB-48D8-B7EE-AFBA2EE740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2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1073" name="Picture@5C\QPendientes@" descr="@5C\QPendientes@">
          <a:extLst>
            <a:ext uri="{FF2B5EF4-FFF2-40B4-BE49-F238E27FC236}">
              <a16:creationId xmlns:a16="http://schemas.microsoft.com/office/drawing/2014/main" id="{4BAEAE41-865D-44F9-9014-987552C069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4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1074" name="Picture@5C\QPendientes@" descr="@5C\QPendientes@">
          <a:extLst>
            <a:ext uri="{FF2B5EF4-FFF2-40B4-BE49-F238E27FC236}">
              <a16:creationId xmlns:a16="http://schemas.microsoft.com/office/drawing/2014/main" id="{460AA9DB-AB5F-427A-912F-661A0685E7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1075" name="Picture@5C\QPendientes@" descr="@5C\QPendientes@">
          <a:extLst>
            <a:ext uri="{FF2B5EF4-FFF2-40B4-BE49-F238E27FC236}">
              <a16:creationId xmlns:a16="http://schemas.microsoft.com/office/drawing/2014/main" id="{6ACB4781-8CEE-4950-9453-356AC8C5C1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1076" name="Picture@5C\QPendientes@" descr="@5C\QPendientes@">
          <a:extLst>
            <a:ext uri="{FF2B5EF4-FFF2-40B4-BE49-F238E27FC236}">
              <a16:creationId xmlns:a16="http://schemas.microsoft.com/office/drawing/2014/main" id="{F645231F-8B40-4663-93FB-A3EA2B7EAE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1077" name="Picture@5C\QPendientes@" descr="@5C\QPendientes@">
          <a:extLst>
            <a:ext uri="{FF2B5EF4-FFF2-40B4-BE49-F238E27FC236}">
              <a16:creationId xmlns:a16="http://schemas.microsoft.com/office/drawing/2014/main" id="{ABB8D0FB-B4A2-49C3-BEE4-544307C5DE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1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1078" name="Picture@5C\QPendientes@" descr="@5C\QPendientes@">
          <a:extLst>
            <a:ext uri="{FF2B5EF4-FFF2-40B4-BE49-F238E27FC236}">
              <a16:creationId xmlns:a16="http://schemas.microsoft.com/office/drawing/2014/main" id="{F6BE5ED4-5FC8-4F79-BCD3-6080978476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1079" name="Picture@5C\QPendientes@" descr="@5C\QPendientes@">
          <a:extLst>
            <a:ext uri="{FF2B5EF4-FFF2-40B4-BE49-F238E27FC236}">
              <a16:creationId xmlns:a16="http://schemas.microsoft.com/office/drawing/2014/main" id="{1E4D17A5-2E55-4EC9-8B27-11E3B21C67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1080" name="Picture@5C\QPendientes@" descr="@5C\QPendientes@">
          <a:extLst>
            <a:ext uri="{FF2B5EF4-FFF2-40B4-BE49-F238E27FC236}">
              <a16:creationId xmlns:a16="http://schemas.microsoft.com/office/drawing/2014/main" id="{D0BD2E07-BDD4-4C30-B5CC-CA7D510191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1081" name="Picture@5C\QPendientes@" descr="@5C\QPendientes@">
          <a:extLst>
            <a:ext uri="{FF2B5EF4-FFF2-40B4-BE49-F238E27FC236}">
              <a16:creationId xmlns:a16="http://schemas.microsoft.com/office/drawing/2014/main" id="{93E9CEE2-CD50-4172-B173-039C4DD2CC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9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1082" name="Picture@5C\QPendientes@" descr="@5C\QPendientes@">
          <a:extLst>
            <a:ext uri="{FF2B5EF4-FFF2-40B4-BE49-F238E27FC236}">
              <a16:creationId xmlns:a16="http://schemas.microsoft.com/office/drawing/2014/main" id="{6427181F-26E0-4210-B6A4-FEA84A3E2D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1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1083" name="Picture@5C\QPendientes@" descr="@5C\QPendientes@">
          <a:extLst>
            <a:ext uri="{FF2B5EF4-FFF2-40B4-BE49-F238E27FC236}">
              <a16:creationId xmlns:a16="http://schemas.microsoft.com/office/drawing/2014/main" id="{729602A4-C4CA-432C-8AA7-A5F9DEF7B2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2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1084" name="Picture@5C\QPendientes@" descr="@5C\QPendientes@">
          <a:extLst>
            <a:ext uri="{FF2B5EF4-FFF2-40B4-BE49-F238E27FC236}">
              <a16:creationId xmlns:a16="http://schemas.microsoft.com/office/drawing/2014/main" id="{B9F674FB-7507-4241-9F0C-E6F9B0845E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4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1085" name="Picture@5C\QPendientes@" descr="@5C\QPendientes@">
          <a:extLst>
            <a:ext uri="{FF2B5EF4-FFF2-40B4-BE49-F238E27FC236}">
              <a16:creationId xmlns:a16="http://schemas.microsoft.com/office/drawing/2014/main" id="{AA80A893-D70F-4D7A-8A0E-D104C8A652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1086" name="Picture@5C\QPendientes@" descr="@5C\QPendientes@">
          <a:extLst>
            <a:ext uri="{FF2B5EF4-FFF2-40B4-BE49-F238E27FC236}">
              <a16:creationId xmlns:a16="http://schemas.microsoft.com/office/drawing/2014/main" id="{43873D78-79A0-4017-8ED8-7145E64735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1087" name="Picture@5C\QPendientes@" descr="@5C\QPendientes@">
          <a:extLst>
            <a:ext uri="{FF2B5EF4-FFF2-40B4-BE49-F238E27FC236}">
              <a16:creationId xmlns:a16="http://schemas.microsoft.com/office/drawing/2014/main" id="{5AB2189A-ED6B-4DD4-8DDA-EDD73F8957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0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1088" name="Picture@5C\QPendientes@" descr="@5C\QPendientes@">
          <a:extLst>
            <a:ext uri="{FF2B5EF4-FFF2-40B4-BE49-F238E27FC236}">
              <a16:creationId xmlns:a16="http://schemas.microsoft.com/office/drawing/2014/main" id="{8D7F9722-CF62-4605-86C9-3AED9635DD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1089" name="Picture@5C\QPendientes@" descr="@5C\QPendientes@">
          <a:extLst>
            <a:ext uri="{FF2B5EF4-FFF2-40B4-BE49-F238E27FC236}">
              <a16:creationId xmlns:a16="http://schemas.microsoft.com/office/drawing/2014/main" id="{BF944612-319C-49A5-9317-F14F75A18C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3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1090" name="Picture@5C\QPendientes@" descr="@5C\QPendientes@">
          <a:extLst>
            <a:ext uri="{FF2B5EF4-FFF2-40B4-BE49-F238E27FC236}">
              <a16:creationId xmlns:a16="http://schemas.microsoft.com/office/drawing/2014/main" id="{3E578A45-E7A9-4D7F-BFCC-60D3C22A9C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5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1091" name="Picture@5C\QPendientes@" descr="@5C\QPendientes@">
          <a:extLst>
            <a:ext uri="{FF2B5EF4-FFF2-40B4-BE49-F238E27FC236}">
              <a16:creationId xmlns:a16="http://schemas.microsoft.com/office/drawing/2014/main" id="{8DD53E51-345E-4A83-9349-80A5292631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7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1092" name="Picture@5C\QPendientes@" descr="@5C\QPendientes@">
          <a:extLst>
            <a:ext uri="{FF2B5EF4-FFF2-40B4-BE49-F238E27FC236}">
              <a16:creationId xmlns:a16="http://schemas.microsoft.com/office/drawing/2014/main" id="{713D34A3-663F-4E41-9052-F6149F4F60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9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1093" name="Picture@5C\QPendientes@" descr="@5C\QPendientes@">
          <a:extLst>
            <a:ext uri="{FF2B5EF4-FFF2-40B4-BE49-F238E27FC236}">
              <a16:creationId xmlns:a16="http://schemas.microsoft.com/office/drawing/2014/main" id="{C10765CA-D4AC-45DF-9476-9A45A155B9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1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1094" name="Picture@5C\QPendientes@" descr="@5C\QPendientes@">
          <a:extLst>
            <a:ext uri="{FF2B5EF4-FFF2-40B4-BE49-F238E27FC236}">
              <a16:creationId xmlns:a16="http://schemas.microsoft.com/office/drawing/2014/main" id="{8F16AACB-5F39-4558-ABA6-802CC419B4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3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1095" name="Picture@5C\QPendientes@" descr="@5C\QPendientes@">
          <a:extLst>
            <a:ext uri="{FF2B5EF4-FFF2-40B4-BE49-F238E27FC236}">
              <a16:creationId xmlns:a16="http://schemas.microsoft.com/office/drawing/2014/main" id="{AA5A28F4-8807-47E6-A6B7-092B2EACBE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1096" name="Picture@5C\QPendientes@" descr="@5C\QPendientes@">
          <a:extLst>
            <a:ext uri="{FF2B5EF4-FFF2-40B4-BE49-F238E27FC236}">
              <a16:creationId xmlns:a16="http://schemas.microsoft.com/office/drawing/2014/main" id="{62EB87A4-E880-46C9-A926-26FD5D3B3E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6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1097" name="Picture@5C\QPendientes@" descr="@5C\QPendientes@">
          <a:extLst>
            <a:ext uri="{FF2B5EF4-FFF2-40B4-BE49-F238E27FC236}">
              <a16:creationId xmlns:a16="http://schemas.microsoft.com/office/drawing/2014/main" id="{8D436744-E751-4AAE-A842-C4B064C091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8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1098" name="Picture@5C\QPendientes@" descr="@5C\QPendientes@">
          <a:extLst>
            <a:ext uri="{FF2B5EF4-FFF2-40B4-BE49-F238E27FC236}">
              <a16:creationId xmlns:a16="http://schemas.microsoft.com/office/drawing/2014/main" id="{893FFCDE-26BA-4D20-854A-A06BC3A306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1099" name="Picture@5C\QPendientes@" descr="@5C\QPendientes@">
          <a:extLst>
            <a:ext uri="{FF2B5EF4-FFF2-40B4-BE49-F238E27FC236}">
              <a16:creationId xmlns:a16="http://schemas.microsoft.com/office/drawing/2014/main" id="{4DD29B8E-715E-403E-BF46-72EB4C6635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2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1100" name="Picture@5C\QPendientes@" descr="@5C\QPendientes@">
          <a:extLst>
            <a:ext uri="{FF2B5EF4-FFF2-40B4-BE49-F238E27FC236}">
              <a16:creationId xmlns:a16="http://schemas.microsoft.com/office/drawing/2014/main" id="{E7C2B440-1E92-464F-A9F1-8572C0FFF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4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1101" name="Picture@5C\QPendientes@" descr="@5C\QPendientes@">
          <a:extLst>
            <a:ext uri="{FF2B5EF4-FFF2-40B4-BE49-F238E27FC236}">
              <a16:creationId xmlns:a16="http://schemas.microsoft.com/office/drawing/2014/main" id="{83724AF2-F972-4F36-90C5-8D5AF087D1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5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1102" name="Picture@5C\QPendientes@" descr="@5C\QPendientes@">
          <a:extLst>
            <a:ext uri="{FF2B5EF4-FFF2-40B4-BE49-F238E27FC236}">
              <a16:creationId xmlns:a16="http://schemas.microsoft.com/office/drawing/2014/main" id="{523C079D-283F-4C06-897A-D35A1D38D7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7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1103" name="Picture@5C\QPendientes@" descr="@5C\QPendientes@">
          <a:extLst>
            <a:ext uri="{FF2B5EF4-FFF2-40B4-BE49-F238E27FC236}">
              <a16:creationId xmlns:a16="http://schemas.microsoft.com/office/drawing/2014/main" id="{6E0A4DFF-A19C-41A9-B7BE-A5F5452EE1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9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1104" name="Picture@5C\QPendientes@" descr="@5C\QPendientes@">
          <a:extLst>
            <a:ext uri="{FF2B5EF4-FFF2-40B4-BE49-F238E27FC236}">
              <a16:creationId xmlns:a16="http://schemas.microsoft.com/office/drawing/2014/main" id="{C821A55B-5258-45A4-9C53-D5CE5C88CD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1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1105" name="Picture@5C\QPendientes@" descr="@5C\QPendientes@">
          <a:extLst>
            <a:ext uri="{FF2B5EF4-FFF2-40B4-BE49-F238E27FC236}">
              <a16:creationId xmlns:a16="http://schemas.microsoft.com/office/drawing/2014/main" id="{ADB8CD50-8BD4-44E6-B11A-473AE5C3AE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3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1106" name="Picture@5C\QPendientes@" descr="@5C\QPendientes@">
          <a:extLst>
            <a:ext uri="{FF2B5EF4-FFF2-40B4-BE49-F238E27FC236}">
              <a16:creationId xmlns:a16="http://schemas.microsoft.com/office/drawing/2014/main" id="{B9DA5256-C9BC-4CFC-BFFE-A0F013F0E8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1107" name="Picture@5C\QPendientes@" descr="@5C\QPendientes@">
          <a:extLst>
            <a:ext uri="{FF2B5EF4-FFF2-40B4-BE49-F238E27FC236}">
              <a16:creationId xmlns:a16="http://schemas.microsoft.com/office/drawing/2014/main" id="{BA8C13CB-5A11-424D-9689-C07A81A79D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6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1108" name="Picture@5C\QPendientes@" descr="@5C\QPendientes@">
          <a:extLst>
            <a:ext uri="{FF2B5EF4-FFF2-40B4-BE49-F238E27FC236}">
              <a16:creationId xmlns:a16="http://schemas.microsoft.com/office/drawing/2014/main" id="{7FBCF6E2-FF8B-468E-AD5A-108E5B271E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1109" name="Picture@5C\QPendientes@" descr="@5C\QPendientes@">
          <a:extLst>
            <a:ext uri="{FF2B5EF4-FFF2-40B4-BE49-F238E27FC236}">
              <a16:creationId xmlns:a16="http://schemas.microsoft.com/office/drawing/2014/main" id="{16C361C2-B7A6-48A1-B8D0-4FF748D499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0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1110" name="Picture@5C\QPendientes@" descr="@5C\QPendientes@">
          <a:extLst>
            <a:ext uri="{FF2B5EF4-FFF2-40B4-BE49-F238E27FC236}">
              <a16:creationId xmlns:a16="http://schemas.microsoft.com/office/drawing/2014/main" id="{DF6DBBB7-A803-4611-9F6F-081D9F2D8C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2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1111" name="Picture@5C\QPendientes@" descr="@5C\QPendientes@">
          <a:extLst>
            <a:ext uri="{FF2B5EF4-FFF2-40B4-BE49-F238E27FC236}">
              <a16:creationId xmlns:a16="http://schemas.microsoft.com/office/drawing/2014/main" id="{2042DB00-59CC-4A86-9609-BCDCB9751B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4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1112" name="Picture@5C\QPendientes@" descr="@5C\QPendientes@">
          <a:extLst>
            <a:ext uri="{FF2B5EF4-FFF2-40B4-BE49-F238E27FC236}">
              <a16:creationId xmlns:a16="http://schemas.microsoft.com/office/drawing/2014/main" id="{E1A767BE-C13E-40B6-850E-7B47AE6BF5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5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1113" name="Picture@5C\QPendientes@" descr="@5C\QPendientes@">
          <a:extLst>
            <a:ext uri="{FF2B5EF4-FFF2-40B4-BE49-F238E27FC236}">
              <a16:creationId xmlns:a16="http://schemas.microsoft.com/office/drawing/2014/main" id="{8D129497-0456-4A24-9E15-DB71C785E5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7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1114" name="Picture@5C\QPendientes@" descr="@5C\QPendientes@">
          <a:extLst>
            <a:ext uri="{FF2B5EF4-FFF2-40B4-BE49-F238E27FC236}">
              <a16:creationId xmlns:a16="http://schemas.microsoft.com/office/drawing/2014/main" id="{5B8785F3-5F08-4CA4-B5F5-5848AF9FE1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9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1115" name="Picture@5C\QPendientes@" descr="@5C\QPendientes@">
          <a:extLst>
            <a:ext uri="{FF2B5EF4-FFF2-40B4-BE49-F238E27FC236}">
              <a16:creationId xmlns:a16="http://schemas.microsoft.com/office/drawing/2014/main" id="{A465B358-817A-498D-9337-2E3909FCF0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1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1116" name="Picture@5C\QPendientes@" descr="@5C\QPendientes@">
          <a:extLst>
            <a:ext uri="{FF2B5EF4-FFF2-40B4-BE49-F238E27FC236}">
              <a16:creationId xmlns:a16="http://schemas.microsoft.com/office/drawing/2014/main" id="{035CDEDF-626C-48FB-87FC-834B73A5D4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3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1117" name="Picture@5C\QPendientes@" descr="@5C\QPendientes@">
          <a:extLst>
            <a:ext uri="{FF2B5EF4-FFF2-40B4-BE49-F238E27FC236}">
              <a16:creationId xmlns:a16="http://schemas.microsoft.com/office/drawing/2014/main" id="{694E54FF-AE5A-4733-9CC1-9143EF6936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5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1118" name="Picture@5C\QPendientes@" descr="@5C\QPendientes@">
          <a:extLst>
            <a:ext uri="{FF2B5EF4-FFF2-40B4-BE49-F238E27FC236}">
              <a16:creationId xmlns:a16="http://schemas.microsoft.com/office/drawing/2014/main" id="{EB12E350-E0A5-40C2-B88E-E7DA55A499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1119" name="Picture@5C\QPendientes@" descr="@5C\QPendientes@">
          <a:extLst>
            <a:ext uri="{FF2B5EF4-FFF2-40B4-BE49-F238E27FC236}">
              <a16:creationId xmlns:a16="http://schemas.microsoft.com/office/drawing/2014/main" id="{EA5EA6BE-E920-4E99-BF4D-85D84AF752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8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1120" name="Picture@5C\QPendientes@" descr="@5C\QPendientes@">
          <a:extLst>
            <a:ext uri="{FF2B5EF4-FFF2-40B4-BE49-F238E27FC236}">
              <a16:creationId xmlns:a16="http://schemas.microsoft.com/office/drawing/2014/main" id="{8F3F0D5C-D884-4B6A-B659-D675585DD8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0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1121" name="Picture@5C\QPendientes@" descr="@5C\QPendientes@">
          <a:extLst>
            <a:ext uri="{FF2B5EF4-FFF2-40B4-BE49-F238E27FC236}">
              <a16:creationId xmlns:a16="http://schemas.microsoft.com/office/drawing/2014/main" id="{4A8C2B4E-D029-4DE9-B0CD-B3EC7F9745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2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1122" name="Picture@5C\QPendientes@" descr="@5C\QPendientes@">
          <a:extLst>
            <a:ext uri="{FF2B5EF4-FFF2-40B4-BE49-F238E27FC236}">
              <a16:creationId xmlns:a16="http://schemas.microsoft.com/office/drawing/2014/main" id="{717BFFA7-AF75-4E10-9F76-BC7D53FC29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4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1123" name="Picture@5C\QPendientes@" descr="@5C\QPendientes@">
          <a:extLst>
            <a:ext uri="{FF2B5EF4-FFF2-40B4-BE49-F238E27FC236}">
              <a16:creationId xmlns:a16="http://schemas.microsoft.com/office/drawing/2014/main" id="{4A1E54DB-0491-4D58-990B-B05F960D85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6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1124" name="Picture@5C\QPendientes@" descr="@5C\QPendientes@">
          <a:extLst>
            <a:ext uri="{FF2B5EF4-FFF2-40B4-BE49-F238E27FC236}">
              <a16:creationId xmlns:a16="http://schemas.microsoft.com/office/drawing/2014/main" id="{659D0A71-1E68-4DB1-8AA0-3E59F9D0E7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7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1125" name="Picture@5C\QPendientes@" descr="@5C\QPendientes@">
          <a:extLst>
            <a:ext uri="{FF2B5EF4-FFF2-40B4-BE49-F238E27FC236}">
              <a16:creationId xmlns:a16="http://schemas.microsoft.com/office/drawing/2014/main" id="{4CA1C184-49EC-4692-84FF-7A07D079DC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9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1126" name="Picture@5C\QPendientes@" descr="@5C\QPendientes@">
          <a:extLst>
            <a:ext uri="{FF2B5EF4-FFF2-40B4-BE49-F238E27FC236}">
              <a16:creationId xmlns:a16="http://schemas.microsoft.com/office/drawing/2014/main" id="{85790A21-797B-4FD0-9FBF-A5CB929074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1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1127" name="Picture@5C\QPendientes@" descr="@5C\QPendientes@">
          <a:extLst>
            <a:ext uri="{FF2B5EF4-FFF2-40B4-BE49-F238E27FC236}">
              <a16:creationId xmlns:a16="http://schemas.microsoft.com/office/drawing/2014/main" id="{3B2B6B68-396F-4C56-9628-AD5BF4A1EE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3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1128" name="Picture@5C\QPendientes@" descr="@5C\QPendientes@">
          <a:extLst>
            <a:ext uri="{FF2B5EF4-FFF2-40B4-BE49-F238E27FC236}">
              <a16:creationId xmlns:a16="http://schemas.microsoft.com/office/drawing/2014/main" id="{F7370EBF-EA1E-4EEF-B805-206C145D0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1129" name="Picture@5C\QPendientes@" descr="@5C\QPendientes@">
          <a:extLst>
            <a:ext uri="{FF2B5EF4-FFF2-40B4-BE49-F238E27FC236}">
              <a16:creationId xmlns:a16="http://schemas.microsoft.com/office/drawing/2014/main" id="{D9B5D865-CD3A-4847-8E59-357DF6670B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7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1130" name="Picture@5C\QPendientes@" descr="@5C\QPendientes@">
          <a:extLst>
            <a:ext uri="{FF2B5EF4-FFF2-40B4-BE49-F238E27FC236}">
              <a16:creationId xmlns:a16="http://schemas.microsoft.com/office/drawing/2014/main" id="{F823E031-E613-4845-86FA-AE4D2BFB52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8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1131" name="Picture@5C\QPendientes@" descr="@5C\QPendientes@">
          <a:extLst>
            <a:ext uri="{FF2B5EF4-FFF2-40B4-BE49-F238E27FC236}">
              <a16:creationId xmlns:a16="http://schemas.microsoft.com/office/drawing/2014/main" id="{38627A5F-ECC7-474D-A724-2C9ABDF253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0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1132" name="Picture@5C\QPendientes@" descr="@5C\QPendientes@">
          <a:extLst>
            <a:ext uri="{FF2B5EF4-FFF2-40B4-BE49-F238E27FC236}">
              <a16:creationId xmlns:a16="http://schemas.microsoft.com/office/drawing/2014/main" id="{F4D79ACD-AE73-446C-8E65-5898566752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2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1133" name="Picture@5C\QPendientes@" descr="@5C\QPendientes@">
          <a:extLst>
            <a:ext uri="{FF2B5EF4-FFF2-40B4-BE49-F238E27FC236}">
              <a16:creationId xmlns:a16="http://schemas.microsoft.com/office/drawing/2014/main" id="{89E3E4F3-916E-4EBD-A659-B9DA69611C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4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1134" name="Picture@5C\QPendientes@" descr="@5C\QPendientes@">
          <a:extLst>
            <a:ext uri="{FF2B5EF4-FFF2-40B4-BE49-F238E27FC236}">
              <a16:creationId xmlns:a16="http://schemas.microsoft.com/office/drawing/2014/main" id="{93DF9F48-783F-4EE5-ACA6-299500FEB3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6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1135" name="Picture@5C\QPendientes@" descr="@5C\QPendientes@">
          <a:extLst>
            <a:ext uri="{FF2B5EF4-FFF2-40B4-BE49-F238E27FC236}">
              <a16:creationId xmlns:a16="http://schemas.microsoft.com/office/drawing/2014/main" id="{755AE09B-5DFD-4D52-93F0-DF4631E73D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8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1136" name="Picture@5C\QPendientes@" descr="@5C\QPendientes@">
          <a:extLst>
            <a:ext uri="{FF2B5EF4-FFF2-40B4-BE49-F238E27FC236}">
              <a16:creationId xmlns:a16="http://schemas.microsoft.com/office/drawing/2014/main" id="{FD5E8132-E810-4427-BBF3-25F0001304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9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1137" name="Picture@5C\QPendientes@" descr="@5C\QPendientes@">
          <a:extLst>
            <a:ext uri="{FF2B5EF4-FFF2-40B4-BE49-F238E27FC236}">
              <a16:creationId xmlns:a16="http://schemas.microsoft.com/office/drawing/2014/main" id="{69792C93-88DF-4C33-AE2F-1935DB58A1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1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1138" name="Picture@5C\QPendientes@" descr="@5C\QPendientes@">
          <a:extLst>
            <a:ext uri="{FF2B5EF4-FFF2-40B4-BE49-F238E27FC236}">
              <a16:creationId xmlns:a16="http://schemas.microsoft.com/office/drawing/2014/main" id="{16AD0673-232C-46F3-AB61-D8B835239A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1139" name="Picture@5C\QPendientes@" descr="@5C\QPendientes@">
          <a:extLst>
            <a:ext uri="{FF2B5EF4-FFF2-40B4-BE49-F238E27FC236}">
              <a16:creationId xmlns:a16="http://schemas.microsoft.com/office/drawing/2014/main" id="{8639FF56-30CD-49A2-A625-2F4A66568F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5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1140" name="Picture@5C\QPendientes@" descr="@5C\QPendientes@">
          <a:extLst>
            <a:ext uri="{FF2B5EF4-FFF2-40B4-BE49-F238E27FC236}">
              <a16:creationId xmlns:a16="http://schemas.microsoft.com/office/drawing/2014/main" id="{4361CC58-24BA-4817-9A30-E1D3C4F2CD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7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1141" name="Picture@5C\QPendientes@" descr="@5C\QPendientes@">
          <a:extLst>
            <a:ext uri="{FF2B5EF4-FFF2-40B4-BE49-F238E27FC236}">
              <a16:creationId xmlns:a16="http://schemas.microsoft.com/office/drawing/2014/main" id="{63EC51A3-AEE9-40F1-AD75-C90A1AD05E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8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1142" name="Picture@5C\QPendientes@" descr="@5C\QPendientes@">
          <a:extLst>
            <a:ext uri="{FF2B5EF4-FFF2-40B4-BE49-F238E27FC236}">
              <a16:creationId xmlns:a16="http://schemas.microsoft.com/office/drawing/2014/main" id="{B7E24633-872B-4127-94D6-A1E893DA77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0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1143" name="Picture@5C\QPendientes@" descr="@5C\QPendientes@">
          <a:extLst>
            <a:ext uri="{FF2B5EF4-FFF2-40B4-BE49-F238E27FC236}">
              <a16:creationId xmlns:a16="http://schemas.microsoft.com/office/drawing/2014/main" id="{1FCB1F44-89AB-4753-953F-0B18ECD0E9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2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1144" name="Picture@5C\QPendientes@" descr="@5C\QPendientes@">
          <a:extLst>
            <a:ext uri="{FF2B5EF4-FFF2-40B4-BE49-F238E27FC236}">
              <a16:creationId xmlns:a16="http://schemas.microsoft.com/office/drawing/2014/main" id="{C7B718AF-81C3-4DA8-AF15-D73F9F43AC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4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1145" name="Picture@5C\QPendientes@" descr="@5C\QPendientes@">
          <a:extLst>
            <a:ext uri="{FF2B5EF4-FFF2-40B4-BE49-F238E27FC236}">
              <a16:creationId xmlns:a16="http://schemas.microsoft.com/office/drawing/2014/main" id="{CD3B75D6-62EC-4C21-9CAB-2D915916AF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6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1146" name="Picture@5C\QPendientes@" descr="@5C\QPendientes@">
          <a:extLst>
            <a:ext uri="{FF2B5EF4-FFF2-40B4-BE49-F238E27FC236}">
              <a16:creationId xmlns:a16="http://schemas.microsoft.com/office/drawing/2014/main" id="{D6AEF83B-543C-4DEA-B3EA-466AC3B081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8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1147" name="Picture@5C\QPendientes@" descr="@5C\QPendientes@">
          <a:extLst>
            <a:ext uri="{FF2B5EF4-FFF2-40B4-BE49-F238E27FC236}">
              <a16:creationId xmlns:a16="http://schemas.microsoft.com/office/drawing/2014/main" id="{B57E5941-5C65-4C94-867F-FB39E7A120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9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1148" name="Picture@5C\QPendientes@" descr="@5C\QPendientes@">
          <a:extLst>
            <a:ext uri="{FF2B5EF4-FFF2-40B4-BE49-F238E27FC236}">
              <a16:creationId xmlns:a16="http://schemas.microsoft.com/office/drawing/2014/main" id="{542C9A82-C36D-4BC5-BDD4-B4A2CB8DEC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1149" name="Picture@5C\QPendientes@" descr="@5C\QPendientes@">
          <a:extLst>
            <a:ext uri="{FF2B5EF4-FFF2-40B4-BE49-F238E27FC236}">
              <a16:creationId xmlns:a16="http://schemas.microsoft.com/office/drawing/2014/main" id="{DD527558-8C3E-4E4E-A0D8-0D6D8F7171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3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1150" name="Picture@5C\QPendientes@" descr="@5C\QPendientes@">
          <a:extLst>
            <a:ext uri="{FF2B5EF4-FFF2-40B4-BE49-F238E27FC236}">
              <a16:creationId xmlns:a16="http://schemas.microsoft.com/office/drawing/2014/main" id="{7186937C-35E4-4A38-B179-830CE0D21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5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1151" name="Picture@5C\QPendientes@" descr="@5C\QPendientes@">
          <a:extLst>
            <a:ext uri="{FF2B5EF4-FFF2-40B4-BE49-F238E27FC236}">
              <a16:creationId xmlns:a16="http://schemas.microsoft.com/office/drawing/2014/main" id="{B7B8EE77-2BCA-4B91-BA37-8E9C51B3B1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7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1152" name="Picture@5C\QPendientes@" descr="@5C\QPendientes@">
          <a:extLst>
            <a:ext uri="{FF2B5EF4-FFF2-40B4-BE49-F238E27FC236}">
              <a16:creationId xmlns:a16="http://schemas.microsoft.com/office/drawing/2014/main" id="{FD2EBF5D-A0A1-478E-BDBB-A087B0F2B3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9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1153" name="Picture@5C\QPendientes@" descr="@5C\QPendientes@">
          <a:extLst>
            <a:ext uri="{FF2B5EF4-FFF2-40B4-BE49-F238E27FC236}">
              <a16:creationId xmlns:a16="http://schemas.microsoft.com/office/drawing/2014/main" id="{90DFD95C-32AE-453C-B70C-E3D86936F2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0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1154" name="Picture@5C\QPendientes@" descr="@5C\QPendientes@">
          <a:extLst>
            <a:ext uri="{FF2B5EF4-FFF2-40B4-BE49-F238E27FC236}">
              <a16:creationId xmlns:a16="http://schemas.microsoft.com/office/drawing/2014/main" id="{627279B5-C7B6-4C10-B4E4-FFA945C8CA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2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1155" name="Picture@5C\QPendientes@" descr="@5C\QPendientes@">
          <a:extLst>
            <a:ext uri="{FF2B5EF4-FFF2-40B4-BE49-F238E27FC236}">
              <a16:creationId xmlns:a16="http://schemas.microsoft.com/office/drawing/2014/main" id="{A3149C2E-D62E-4A8F-85DE-C5E750F9E3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4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1156" name="Picture@5C\QPendientes@" descr="@5C\QPendientes@">
          <a:extLst>
            <a:ext uri="{FF2B5EF4-FFF2-40B4-BE49-F238E27FC236}">
              <a16:creationId xmlns:a16="http://schemas.microsoft.com/office/drawing/2014/main" id="{A887FA23-7C10-4818-91F0-9026364DB9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6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1157" name="Picture@5C\QPendientes@" descr="@5C\QPendientes@">
          <a:extLst>
            <a:ext uri="{FF2B5EF4-FFF2-40B4-BE49-F238E27FC236}">
              <a16:creationId xmlns:a16="http://schemas.microsoft.com/office/drawing/2014/main" id="{147EA425-85BF-440D-A117-5D04B0FDAF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8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1158" name="Picture@5C\QPendientes@" descr="@5C\QPendientes@">
          <a:extLst>
            <a:ext uri="{FF2B5EF4-FFF2-40B4-BE49-F238E27FC236}">
              <a16:creationId xmlns:a16="http://schemas.microsoft.com/office/drawing/2014/main" id="{39EE8F78-0E48-4F5E-9AC9-048817C7D2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1159" name="Picture@5C\QPendientes@" descr="@5C\QPendientes@">
          <a:extLst>
            <a:ext uri="{FF2B5EF4-FFF2-40B4-BE49-F238E27FC236}">
              <a16:creationId xmlns:a16="http://schemas.microsoft.com/office/drawing/2014/main" id="{268C9C24-B714-44E7-B394-C6902998C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1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1160" name="Picture@5C\QPendientes@" descr="@5C\QPendientes@">
          <a:extLst>
            <a:ext uri="{FF2B5EF4-FFF2-40B4-BE49-F238E27FC236}">
              <a16:creationId xmlns:a16="http://schemas.microsoft.com/office/drawing/2014/main" id="{1FB0A907-9374-4080-AEDE-5D4935CF0F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3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1161" name="Picture@5C\QPendientes@" descr="@5C\QPendientes@">
          <a:extLst>
            <a:ext uri="{FF2B5EF4-FFF2-40B4-BE49-F238E27FC236}">
              <a16:creationId xmlns:a16="http://schemas.microsoft.com/office/drawing/2014/main" id="{4EAFB108-7E4E-499D-B2EC-DF055BEF14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5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1162" name="Picture@5C\QPendientes@" descr="@5C\QPendientes@">
          <a:extLst>
            <a:ext uri="{FF2B5EF4-FFF2-40B4-BE49-F238E27FC236}">
              <a16:creationId xmlns:a16="http://schemas.microsoft.com/office/drawing/2014/main" id="{1C94CC47-B2C7-47ED-9188-FAD7CCD041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7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1163" name="Picture@5C\QPendientes@" descr="@5C\QPendientes@">
          <a:extLst>
            <a:ext uri="{FF2B5EF4-FFF2-40B4-BE49-F238E27FC236}">
              <a16:creationId xmlns:a16="http://schemas.microsoft.com/office/drawing/2014/main" id="{B4CDB6C9-9AE8-46AA-81CF-00DC9F1B95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9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1164" name="Picture@5C\QPendientes@" descr="@5C\QPendientes@">
          <a:extLst>
            <a:ext uri="{FF2B5EF4-FFF2-40B4-BE49-F238E27FC236}">
              <a16:creationId xmlns:a16="http://schemas.microsoft.com/office/drawing/2014/main" id="{8DFF536B-3DD6-4942-AA0F-8E9273F848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1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1165" name="Picture@5C\QPendientes@" descr="@5C\QPendientes@">
          <a:extLst>
            <a:ext uri="{FF2B5EF4-FFF2-40B4-BE49-F238E27FC236}">
              <a16:creationId xmlns:a16="http://schemas.microsoft.com/office/drawing/2014/main" id="{C85D5968-2E43-4E10-B8B7-8CF29FE74C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2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1166" name="Picture@5C\QPendientes@" descr="@5C\QPendientes@">
          <a:extLst>
            <a:ext uri="{FF2B5EF4-FFF2-40B4-BE49-F238E27FC236}">
              <a16:creationId xmlns:a16="http://schemas.microsoft.com/office/drawing/2014/main" id="{A5FCBF47-4242-42C5-B193-D83267C960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4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1167" name="Picture@5C\QPendientes@" descr="@5C\QPendientes@">
          <a:extLst>
            <a:ext uri="{FF2B5EF4-FFF2-40B4-BE49-F238E27FC236}">
              <a16:creationId xmlns:a16="http://schemas.microsoft.com/office/drawing/2014/main" id="{A100E7F1-855E-4319-8754-6BE37B7A01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6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1168" name="Picture@5C\QPendientes@" descr="@5C\QPendientes@">
          <a:extLst>
            <a:ext uri="{FF2B5EF4-FFF2-40B4-BE49-F238E27FC236}">
              <a16:creationId xmlns:a16="http://schemas.microsoft.com/office/drawing/2014/main" id="{DB4EAC05-B14D-4672-9C24-5728CD4B84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1169" name="Picture@5C\QPendientes@" descr="@5C\QPendientes@">
          <a:extLst>
            <a:ext uri="{FF2B5EF4-FFF2-40B4-BE49-F238E27FC236}">
              <a16:creationId xmlns:a16="http://schemas.microsoft.com/office/drawing/2014/main" id="{68170E37-2355-4D6A-B3C5-85D643A7D7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0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1170" name="Picture@5C\QPendientes@" descr="@5C\QPendientes@">
          <a:extLst>
            <a:ext uri="{FF2B5EF4-FFF2-40B4-BE49-F238E27FC236}">
              <a16:creationId xmlns:a16="http://schemas.microsoft.com/office/drawing/2014/main" id="{4D5271F5-A984-4BE0-923E-898FAEDE6F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2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1171" name="Picture@5C\QPendientes@" descr="@5C\QPendientes@">
          <a:extLst>
            <a:ext uri="{FF2B5EF4-FFF2-40B4-BE49-F238E27FC236}">
              <a16:creationId xmlns:a16="http://schemas.microsoft.com/office/drawing/2014/main" id="{D773F854-C65C-4659-98D6-19077D0AEF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3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1172" name="Picture@5C\QPendientes@" descr="@5C\QPendientes@">
          <a:extLst>
            <a:ext uri="{FF2B5EF4-FFF2-40B4-BE49-F238E27FC236}">
              <a16:creationId xmlns:a16="http://schemas.microsoft.com/office/drawing/2014/main" id="{B46CB3E4-5D1C-4552-AA83-26C59E319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5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1173" name="Picture@5C\QPendientes@" descr="@5C\QPendientes@">
          <a:extLst>
            <a:ext uri="{FF2B5EF4-FFF2-40B4-BE49-F238E27FC236}">
              <a16:creationId xmlns:a16="http://schemas.microsoft.com/office/drawing/2014/main" id="{56779F48-E280-4A9A-9C3E-F600AE2834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7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1174" name="Picture@5C\QPendientes@" descr="@5C\QPendientes@">
          <a:extLst>
            <a:ext uri="{FF2B5EF4-FFF2-40B4-BE49-F238E27FC236}">
              <a16:creationId xmlns:a16="http://schemas.microsoft.com/office/drawing/2014/main" id="{BEF111D9-13FF-4DDC-92EE-3F511770F8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9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1175" name="Picture@5C\QPendientes@" descr="@5C\QPendientes@">
          <a:extLst>
            <a:ext uri="{FF2B5EF4-FFF2-40B4-BE49-F238E27FC236}">
              <a16:creationId xmlns:a16="http://schemas.microsoft.com/office/drawing/2014/main" id="{3EFAC300-5DA6-464E-BB3D-48E13D2BDF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1176" name="Picture@5C\QPendientes@" descr="@5C\QPendientes@">
          <a:extLst>
            <a:ext uri="{FF2B5EF4-FFF2-40B4-BE49-F238E27FC236}">
              <a16:creationId xmlns:a16="http://schemas.microsoft.com/office/drawing/2014/main" id="{B85EB763-DC7E-45CA-9D37-FA71063B9C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2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1177" name="Picture@5C\QPendientes@" descr="@5C\QPendientes@">
          <a:extLst>
            <a:ext uri="{FF2B5EF4-FFF2-40B4-BE49-F238E27FC236}">
              <a16:creationId xmlns:a16="http://schemas.microsoft.com/office/drawing/2014/main" id="{9DF049D7-C2B6-48B0-BA86-84FAED4F5F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4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1178" name="Picture@5C\QPendientes@" descr="@5C\QPendientes@">
          <a:extLst>
            <a:ext uri="{FF2B5EF4-FFF2-40B4-BE49-F238E27FC236}">
              <a16:creationId xmlns:a16="http://schemas.microsoft.com/office/drawing/2014/main" id="{61027C09-6135-41FA-B787-6D70F35334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1179" name="Picture@5C\QPendientes@" descr="@5C\QPendientes@">
          <a:extLst>
            <a:ext uri="{FF2B5EF4-FFF2-40B4-BE49-F238E27FC236}">
              <a16:creationId xmlns:a16="http://schemas.microsoft.com/office/drawing/2014/main" id="{268AB069-9046-488B-BF1B-F3CA991C72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8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1180" name="Picture@5C\QPendientes@" descr="@5C\QPendientes@">
          <a:extLst>
            <a:ext uri="{FF2B5EF4-FFF2-40B4-BE49-F238E27FC236}">
              <a16:creationId xmlns:a16="http://schemas.microsoft.com/office/drawing/2014/main" id="{921CCB0C-143A-491B-98B7-113D2470A5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0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1181" name="Picture@5C\QPendientes@" descr="@5C\QPendientes@">
          <a:extLst>
            <a:ext uri="{FF2B5EF4-FFF2-40B4-BE49-F238E27FC236}">
              <a16:creationId xmlns:a16="http://schemas.microsoft.com/office/drawing/2014/main" id="{AAEFE981-9E4E-4B81-83EC-C9280E6DEB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2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1182" name="Picture@5C\QPendientes@" descr="@5C\QPendientes@">
          <a:extLst>
            <a:ext uri="{FF2B5EF4-FFF2-40B4-BE49-F238E27FC236}">
              <a16:creationId xmlns:a16="http://schemas.microsoft.com/office/drawing/2014/main" id="{B30F06C7-70FD-47B6-87AB-1B02BB9698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3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1183" name="Picture@5C\QPendientes@" descr="@5C\QPendientes@">
          <a:extLst>
            <a:ext uri="{FF2B5EF4-FFF2-40B4-BE49-F238E27FC236}">
              <a16:creationId xmlns:a16="http://schemas.microsoft.com/office/drawing/2014/main" id="{A3CF2A3F-ECE6-47D3-9F24-A541C82FCB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5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1184" name="Picture@5C\QPendientes@" descr="@5C\QPendientes@">
          <a:extLst>
            <a:ext uri="{FF2B5EF4-FFF2-40B4-BE49-F238E27FC236}">
              <a16:creationId xmlns:a16="http://schemas.microsoft.com/office/drawing/2014/main" id="{AFC7552B-57BE-432A-8958-91566B642F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7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1185" name="Picture@5C\QPendientes@" descr="@5C\QPendientes@">
          <a:extLst>
            <a:ext uri="{FF2B5EF4-FFF2-40B4-BE49-F238E27FC236}">
              <a16:creationId xmlns:a16="http://schemas.microsoft.com/office/drawing/2014/main" id="{FB8A2235-8FE6-4E2F-BF74-C03DB59BA7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9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1186" name="Picture@5C\QPendientes@" descr="@5C\QPendientes@">
          <a:extLst>
            <a:ext uri="{FF2B5EF4-FFF2-40B4-BE49-F238E27FC236}">
              <a16:creationId xmlns:a16="http://schemas.microsoft.com/office/drawing/2014/main" id="{C2C4E9C3-D64D-4277-BDE3-CBACF8C411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1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1187" name="Picture@5C\QPendientes@" descr="@5C\QPendientes@">
          <a:extLst>
            <a:ext uri="{FF2B5EF4-FFF2-40B4-BE49-F238E27FC236}">
              <a16:creationId xmlns:a16="http://schemas.microsoft.com/office/drawing/2014/main" id="{F6DEFEBF-4E78-43DD-B9B8-C2407921D7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3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1188" name="Picture@5C\QPendientes@" descr="@5C\QPendientes@">
          <a:extLst>
            <a:ext uri="{FF2B5EF4-FFF2-40B4-BE49-F238E27FC236}">
              <a16:creationId xmlns:a16="http://schemas.microsoft.com/office/drawing/2014/main" id="{C4E71449-700F-4E07-9C4B-D45DCD0F29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1189" name="Picture@5C\QPendientes@" descr="@5C\QPendientes@">
          <a:extLst>
            <a:ext uri="{FF2B5EF4-FFF2-40B4-BE49-F238E27FC236}">
              <a16:creationId xmlns:a16="http://schemas.microsoft.com/office/drawing/2014/main" id="{BCBADE0F-9476-4245-B390-42CE380D98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6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1190" name="Picture@5C\QPendientes@" descr="@5C\QPendientes@">
          <a:extLst>
            <a:ext uri="{FF2B5EF4-FFF2-40B4-BE49-F238E27FC236}">
              <a16:creationId xmlns:a16="http://schemas.microsoft.com/office/drawing/2014/main" id="{AF627D3A-614A-4939-BE09-56F4935C0D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8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1191" name="Picture@5C\QPendientes@" descr="@5C\QPendientes@">
          <a:extLst>
            <a:ext uri="{FF2B5EF4-FFF2-40B4-BE49-F238E27FC236}">
              <a16:creationId xmlns:a16="http://schemas.microsoft.com/office/drawing/2014/main" id="{F4E358B9-7F7A-4D7F-9CB5-07B8575328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0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1192" name="Picture@5C\QPendientes@" descr="@5C\QPendientes@">
          <a:extLst>
            <a:ext uri="{FF2B5EF4-FFF2-40B4-BE49-F238E27FC236}">
              <a16:creationId xmlns:a16="http://schemas.microsoft.com/office/drawing/2014/main" id="{715FB44F-B0B7-4B17-BC34-A1310247D6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2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1193" name="Picture@5C\QPendientes@" descr="@5C\QPendientes@">
          <a:extLst>
            <a:ext uri="{FF2B5EF4-FFF2-40B4-BE49-F238E27FC236}">
              <a16:creationId xmlns:a16="http://schemas.microsoft.com/office/drawing/2014/main" id="{F42D06F1-9CAD-4B9B-9187-9452B8B42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4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1194" name="Picture@5C\QPendientes@" descr="@5C\QPendientes@">
          <a:extLst>
            <a:ext uri="{FF2B5EF4-FFF2-40B4-BE49-F238E27FC236}">
              <a16:creationId xmlns:a16="http://schemas.microsoft.com/office/drawing/2014/main" id="{5E3209E8-8B17-4D7A-921D-E68AAE35DC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5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1195" name="Picture@5C\QPendientes@" descr="@5C\QPendientes@">
          <a:extLst>
            <a:ext uri="{FF2B5EF4-FFF2-40B4-BE49-F238E27FC236}">
              <a16:creationId xmlns:a16="http://schemas.microsoft.com/office/drawing/2014/main" id="{E6CA6022-046B-4818-80A6-947E72A348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7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1196" name="Picture@5C\QPendientes@" descr="@5C\QPendientes@">
          <a:extLst>
            <a:ext uri="{FF2B5EF4-FFF2-40B4-BE49-F238E27FC236}">
              <a16:creationId xmlns:a16="http://schemas.microsoft.com/office/drawing/2014/main" id="{6E7699E1-80BF-458D-8075-E7ABF1B56A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9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1197" name="Picture@5C\QPendientes@" descr="@5C\QPendientes@">
          <a:extLst>
            <a:ext uri="{FF2B5EF4-FFF2-40B4-BE49-F238E27FC236}">
              <a16:creationId xmlns:a16="http://schemas.microsoft.com/office/drawing/2014/main" id="{AC1CA5B8-7753-40AB-BC27-67B37A8624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1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1198" name="Picture@5C\QPendientes@" descr="@5C\QPendientes@">
          <a:extLst>
            <a:ext uri="{FF2B5EF4-FFF2-40B4-BE49-F238E27FC236}">
              <a16:creationId xmlns:a16="http://schemas.microsoft.com/office/drawing/2014/main" id="{7A5CA29E-CFF6-4F6E-9E72-1B4674191B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1199" name="Picture@5C\QPendientes@" descr="@5C\QPendientes@">
          <a:extLst>
            <a:ext uri="{FF2B5EF4-FFF2-40B4-BE49-F238E27FC236}">
              <a16:creationId xmlns:a16="http://schemas.microsoft.com/office/drawing/2014/main" id="{89EEA749-AE52-4F52-83AB-55D6DF2518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5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1200" name="Picture@5C\QPendientes@" descr="@5C\QPendientes@">
          <a:extLst>
            <a:ext uri="{FF2B5EF4-FFF2-40B4-BE49-F238E27FC236}">
              <a16:creationId xmlns:a16="http://schemas.microsoft.com/office/drawing/2014/main" id="{EC387504-6BE2-4119-87B9-685EC80D5F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6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1201" name="Picture@5C\QPendientes@" descr="@5C\QPendientes@">
          <a:extLst>
            <a:ext uri="{FF2B5EF4-FFF2-40B4-BE49-F238E27FC236}">
              <a16:creationId xmlns:a16="http://schemas.microsoft.com/office/drawing/2014/main" id="{EF09B6AD-CE8B-4FB7-B72B-3036618CA2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8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1202" name="Picture@5C\QPendientes@" descr="@5C\QPendientes@">
          <a:extLst>
            <a:ext uri="{FF2B5EF4-FFF2-40B4-BE49-F238E27FC236}">
              <a16:creationId xmlns:a16="http://schemas.microsoft.com/office/drawing/2014/main" id="{851F9B19-9D86-4557-9141-598AB64FE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0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1203" name="Picture@5C\QPendientes@" descr="@5C\QPendientes@">
          <a:extLst>
            <a:ext uri="{FF2B5EF4-FFF2-40B4-BE49-F238E27FC236}">
              <a16:creationId xmlns:a16="http://schemas.microsoft.com/office/drawing/2014/main" id="{4F3DFED2-1F8F-4143-AC65-576F79BBDC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2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1204" name="Picture@5C\QPendientes@" descr="@5C\QPendientes@">
          <a:extLst>
            <a:ext uri="{FF2B5EF4-FFF2-40B4-BE49-F238E27FC236}">
              <a16:creationId xmlns:a16="http://schemas.microsoft.com/office/drawing/2014/main" id="{524C737E-90FB-46D5-A107-AB348EBB7E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4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1205" name="Picture@5C\QPendientes@" descr="@5C\QPendientes@">
          <a:extLst>
            <a:ext uri="{FF2B5EF4-FFF2-40B4-BE49-F238E27FC236}">
              <a16:creationId xmlns:a16="http://schemas.microsoft.com/office/drawing/2014/main" id="{E531BDAD-8091-44A1-8D6F-58FBA3994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6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1206" name="Picture@5C\QPendientes@" descr="@5C\QPendientes@">
          <a:extLst>
            <a:ext uri="{FF2B5EF4-FFF2-40B4-BE49-F238E27FC236}">
              <a16:creationId xmlns:a16="http://schemas.microsoft.com/office/drawing/2014/main" id="{C8684E08-3F76-43D8-A882-3EB29CA7F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7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1207" name="Picture@5C\QPendientes@" descr="@5C\QPendientes@">
          <a:extLst>
            <a:ext uri="{FF2B5EF4-FFF2-40B4-BE49-F238E27FC236}">
              <a16:creationId xmlns:a16="http://schemas.microsoft.com/office/drawing/2014/main" id="{4BAADDA3-1866-4D8B-8EF7-9009EAA847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9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1208" name="Picture@5C\QPendientes@" descr="@5C\QPendientes@">
          <a:extLst>
            <a:ext uri="{FF2B5EF4-FFF2-40B4-BE49-F238E27FC236}">
              <a16:creationId xmlns:a16="http://schemas.microsoft.com/office/drawing/2014/main" id="{3D6092C5-4202-43BF-988B-BFD995C61B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1209" name="Picture@5C\QPendientes@" descr="@5C\QPendientes@">
          <a:extLst>
            <a:ext uri="{FF2B5EF4-FFF2-40B4-BE49-F238E27FC236}">
              <a16:creationId xmlns:a16="http://schemas.microsoft.com/office/drawing/2014/main" id="{770465AC-04EF-402B-BAAA-5F4B10DBC8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3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1210" name="Picture@5C\QPendientes@" descr="@5C\QPendientes@">
          <a:extLst>
            <a:ext uri="{FF2B5EF4-FFF2-40B4-BE49-F238E27FC236}">
              <a16:creationId xmlns:a16="http://schemas.microsoft.com/office/drawing/2014/main" id="{7F855D55-B800-485C-9808-4AD832C859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5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1211" name="Picture@5C\QPendientes@" descr="@5C\QPendientes@">
          <a:extLst>
            <a:ext uri="{FF2B5EF4-FFF2-40B4-BE49-F238E27FC236}">
              <a16:creationId xmlns:a16="http://schemas.microsoft.com/office/drawing/2014/main" id="{35ABDA75-58F3-4044-A993-9D635185DC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7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1212" name="Picture@5C\QPendientes@" descr="@5C\QPendientes@">
          <a:extLst>
            <a:ext uri="{FF2B5EF4-FFF2-40B4-BE49-F238E27FC236}">
              <a16:creationId xmlns:a16="http://schemas.microsoft.com/office/drawing/2014/main" id="{7E45965D-312E-44E5-B062-155D6E678B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8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1213" name="Picture@5C\QPendientes@" descr="@5C\QPendientes@">
          <a:extLst>
            <a:ext uri="{FF2B5EF4-FFF2-40B4-BE49-F238E27FC236}">
              <a16:creationId xmlns:a16="http://schemas.microsoft.com/office/drawing/2014/main" id="{D0B3199C-76A8-4423-A018-94C50A3ADC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0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1214" name="Picture@5C\QPendientes@" descr="@5C\QPendientes@">
          <a:extLst>
            <a:ext uri="{FF2B5EF4-FFF2-40B4-BE49-F238E27FC236}">
              <a16:creationId xmlns:a16="http://schemas.microsoft.com/office/drawing/2014/main" id="{9741531A-2D27-4358-8AC6-C6C700007C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2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1215" name="Picture@5C\QPendientes@" descr="@5C\QPendientes@">
          <a:extLst>
            <a:ext uri="{FF2B5EF4-FFF2-40B4-BE49-F238E27FC236}">
              <a16:creationId xmlns:a16="http://schemas.microsoft.com/office/drawing/2014/main" id="{4A2E4F53-AE68-4117-96ED-DC2D342CF0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4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1216" name="Picture@5C\QPendientes@" descr="@5C\QPendientes@">
          <a:extLst>
            <a:ext uri="{FF2B5EF4-FFF2-40B4-BE49-F238E27FC236}">
              <a16:creationId xmlns:a16="http://schemas.microsoft.com/office/drawing/2014/main" id="{EBE98FEB-177F-4E00-991D-616345593B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6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1217" name="Picture@5C\QPendientes@" descr="@5C\QPendientes@">
          <a:extLst>
            <a:ext uri="{FF2B5EF4-FFF2-40B4-BE49-F238E27FC236}">
              <a16:creationId xmlns:a16="http://schemas.microsoft.com/office/drawing/2014/main" id="{52A8CB78-69C8-4C22-A3E8-C77D213F54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7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1218" name="Picture@5C\QPendientes@" descr="@5C\QPendientes@">
          <a:extLst>
            <a:ext uri="{FF2B5EF4-FFF2-40B4-BE49-F238E27FC236}">
              <a16:creationId xmlns:a16="http://schemas.microsoft.com/office/drawing/2014/main" id="{AD0AAEFB-FFFE-4BB5-815E-1B6F816B4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1219" name="Picture@5C\QPendientes@" descr="@5C\QPendientes@">
          <a:extLst>
            <a:ext uri="{FF2B5EF4-FFF2-40B4-BE49-F238E27FC236}">
              <a16:creationId xmlns:a16="http://schemas.microsoft.com/office/drawing/2014/main" id="{9E95DBC5-0A6D-405B-9CC9-A17DBC7AB0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1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1220" name="Picture@5C\QPendientes@" descr="@5C\QPendientes@">
          <a:extLst>
            <a:ext uri="{FF2B5EF4-FFF2-40B4-BE49-F238E27FC236}">
              <a16:creationId xmlns:a16="http://schemas.microsoft.com/office/drawing/2014/main" id="{658CF67A-0E24-45F8-BCEC-12545336DA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3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1221" name="Picture@5C\QPendientes@" descr="@5C\QPendientes@">
          <a:extLst>
            <a:ext uri="{FF2B5EF4-FFF2-40B4-BE49-F238E27FC236}">
              <a16:creationId xmlns:a16="http://schemas.microsoft.com/office/drawing/2014/main" id="{3E98142D-AD41-401E-BFEE-0A89FB1329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5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1222" name="Picture@5C\QPendientes@" descr="@5C\QPendientes@">
          <a:extLst>
            <a:ext uri="{FF2B5EF4-FFF2-40B4-BE49-F238E27FC236}">
              <a16:creationId xmlns:a16="http://schemas.microsoft.com/office/drawing/2014/main" id="{9518DEC1-21ED-40F1-B219-390069C0AE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7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1223" name="Picture@5C\QPendientes@" descr="@5C\QPendientes@">
          <a:extLst>
            <a:ext uri="{FF2B5EF4-FFF2-40B4-BE49-F238E27FC236}">
              <a16:creationId xmlns:a16="http://schemas.microsoft.com/office/drawing/2014/main" id="{291BBA4D-8E35-4FC2-8FA2-244366E757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8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1224" name="Picture@5C\QPendientes@" descr="@5C\QPendientes@">
          <a:extLst>
            <a:ext uri="{FF2B5EF4-FFF2-40B4-BE49-F238E27FC236}">
              <a16:creationId xmlns:a16="http://schemas.microsoft.com/office/drawing/2014/main" id="{1E08EA7D-26FD-4BB9-893A-00D7A2E24D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0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1225" name="Picture@5C\QPendientes@" descr="@5C\QPendientes@">
          <a:extLst>
            <a:ext uri="{FF2B5EF4-FFF2-40B4-BE49-F238E27FC236}">
              <a16:creationId xmlns:a16="http://schemas.microsoft.com/office/drawing/2014/main" id="{831175DB-08AB-4E54-B005-4542A8ABED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2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1226" name="Picture@5C\QPendientes@" descr="@5C\QPendientes@">
          <a:extLst>
            <a:ext uri="{FF2B5EF4-FFF2-40B4-BE49-F238E27FC236}">
              <a16:creationId xmlns:a16="http://schemas.microsoft.com/office/drawing/2014/main" id="{AE0D7A61-8434-49C7-892E-E330661697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4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1227" name="Picture@5C\QPendientes@" descr="@5C\QPendientes@">
          <a:extLst>
            <a:ext uri="{FF2B5EF4-FFF2-40B4-BE49-F238E27FC236}">
              <a16:creationId xmlns:a16="http://schemas.microsoft.com/office/drawing/2014/main" id="{84F8DFEE-F90C-4C94-B010-DAF17FE25B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6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1228" name="Picture@5C\QPendientes@" descr="@5C\QPendientes@">
          <a:extLst>
            <a:ext uri="{FF2B5EF4-FFF2-40B4-BE49-F238E27FC236}">
              <a16:creationId xmlns:a16="http://schemas.microsoft.com/office/drawing/2014/main" id="{5FA0878E-41B2-434C-B376-CF4EF6EAE7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1229" name="Picture@5C\QPendientes@" descr="@5C\QPendientes@">
          <a:extLst>
            <a:ext uri="{FF2B5EF4-FFF2-40B4-BE49-F238E27FC236}">
              <a16:creationId xmlns:a16="http://schemas.microsoft.com/office/drawing/2014/main" id="{D9530F25-1D07-4711-A408-B0D1943BF1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9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1230" name="Picture@5C\QPendientes@" descr="@5C\QPendientes@">
          <a:extLst>
            <a:ext uri="{FF2B5EF4-FFF2-40B4-BE49-F238E27FC236}">
              <a16:creationId xmlns:a16="http://schemas.microsoft.com/office/drawing/2014/main" id="{386B3591-5AF2-4DD3-B1F4-B32F2B83B2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1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1231" name="Picture@5C\QPendientes@" descr="@5C\QPendientes@">
          <a:extLst>
            <a:ext uri="{FF2B5EF4-FFF2-40B4-BE49-F238E27FC236}">
              <a16:creationId xmlns:a16="http://schemas.microsoft.com/office/drawing/2014/main" id="{7B46FAA3-3254-4DE9-B8ED-D2E9B2BB2A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3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1232" name="Picture@5C\QPendientes@" descr="@5C\QPendientes@">
          <a:extLst>
            <a:ext uri="{FF2B5EF4-FFF2-40B4-BE49-F238E27FC236}">
              <a16:creationId xmlns:a16="http://schemas.microsoft.com/office/drawing/2014/main" id="{E9BC26CF-FF6D-4CDB-A59D-7986CF0141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5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1233" name="Picture@5C\QPendientes@" descr="@5C\QPendientes@">
          <a:extLst>
            <a:ext uri="{FF2B5EF4-FFF2-40B4-BE49-F238E27FC236}">
              <a16:creationId xmlns:a16="http://schemas.microsoft.com/office/drawing/2014/main" id="{9FFC1D5D-B124-4470-A94B-605BA18FF0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7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1234" name="Picture@5C\QPendientes@" descr="@5C\QPendientes@">
          <a:extLst>
            <a:ext uri="{FF2B5EF4-FFF2-40B4-BE49-F238E27FC236}">
              <a16:creationId xmlns:a16="http://schemas.microsoft.com/office/drawing/2014/main" id="{FFC1880F-A6DD-4DD9-B655-5886EDFFA8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9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1235" name="Picture@5C\QPendientes@" descr="@5C\QPendientes@">
          <a:extLst>
            <a:ext uri="{FF2B5EF4-FFF2-40B4-BE49-F238E27FC236}">
              <a16:creationId xmlns:a16="http://schemas.microsoft.com/office/drawing/2014/main" id="{04D3A940-DAB1-4A43-972A-2DBF529FB2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0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1236" name="Picture@5C\QPendientes@" descr="@5C\QPendientes@">
          <a:extLst>
            <a:ext uri="{FF2B5EF4-FFF2-40B4-BE49-F238E27FC236}">
              <a16:creationId xmlns:a16="http://schemas.microsoft.com/office/drawing/2014/main" id="{4CFF4F77-41D9-4B32-B702-D727ED7446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2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1237" name="Picture@5C\QPendientes@" descr="@5C\QPendientes@">
          <a:extLst>
            <a:ext uri="{FF2B5EF4-FFF2-40B4-BE49-F238E27FC236}">
              <a16:creationId xmlns:a16="http://schemas.microsoft.com/office/drawing/2014/main" id="{8F7C909F-777D-41C9-963E-F6C8177353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4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1238" name="Picture@5C\QPendientes@" descr="@5C\QPendientes@">
          <a:extLst>
            <a:ext uri="{FF2B5EF4-FFF2-40B4-BE49-F238E27FC236}">
              <a16:creationId xmlns:a16="http://schemas.microsoft.com/office/drawing/2014/main" id="{E1A50941-8D5D-4DE1-9509-80F05B530F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1239" name="Picture@5C\QPendientes@" descr="@5C\QPendientes@">
          <a:extLst>
            <a:ext uri="{FF2B5EF4-FFF2-40B4-BE49-F238E27FC236}">
              <a16:creationId xmlns:a16="http://schemas.microsoft.com/office/drawing/2014/main" id="{3B979D30-1BF4-40AA-9EEB-85F74176F6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8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1240" name="Picture@5C\QPendientes@" descr="@5C\QPendientes@">
          <a:extLst>
            <a:ext uri="{FF2B5EF4-FFF2-40B4-BE49-F238E27FC236}">
              <a16:creationId xmlns:a16="http://schemas.microsoft.com/office/drawing/2014/main" id="{3D64A801-4831-4900-BAF3-62E7EFB56E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0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1241" name="Picture@5C\QPendientes@" descr="@5C\QPendientes@">
          <a:extLst>
            <a:ext uri="{FF2B5EF4-FFF2-40B4-BE49-F238E27FC236}">
              <a16:creationId xmlns:a16="http://schemas.microsoft.com/office/drawing/2014/main" id="{6AC28A14-490A-46EB-BDCC-86DBADEB73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1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1242" name="Picture@5C\QPendientes@" descr="@5C\QPendientes@">
          <a:extLst>
            <a:ext uri="{FF2B5EF4-FFF2-40B4-BE49-F238E27FC236}">
              <a16:creationId xmlns:a16="http://schemas.microsoft.com/office/drawing/2014/main" id="{A2521B82-E75A-4B71-9752-182390927F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3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1243" name="Picture@5C\QPendientes@" descr="@5C\QPendientes@">
          <a:extLst>
            <a:ext uri="{FF2B5EF4-FFF2-40B4-BE49-F238E27FC236}">
              <a16:creationId xmlns:a16="http://schemas.microsoft.com/office/drawing/2014/main" id="{ADDB7A0C-CCEA-4AE5-B20D-ACB61413DA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5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1244" name="Picture@5C\QPendientes@" descr="@5C\QPendientes@">
          <a:extLst>
            <a:ext uri="{FF2B5EF4-FFF2-40B4-BE49-F238E27FC236}">
              <a16:creationId xmlns:a16="http://schemas.microsoft.com/office/drawing/2014/main" id="{E024B551-63E6-49A1-8350-7145E2883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7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1245" name="Picture@5C\QPendientes@" descr="@5C\QPendientes@">
          <a:extLst>
            <a:ext uri="{FF2B5EF4-FFF2-40B4-BE49-F238E27FC236}">
              <a16:creationId xmlns:a16="http://schemas.microsoft.com/office/drawing/2014/main" id="{8FA993EB-0D05-4155-8182-435FDB7217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9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1246" name="Picture@5C\QPendientes@" descr="@5C\QPendientes@">
          <a:extLst>
            <a:ext uri="{FF2B5EF4-FFF2-40B4-BE49-F238E27FC236}">
              <a16:creationId xmlns:a16="http://schemas.microsoft.com/office/drawing/2014/main" id="{B64620B3-B412-4AE4-A9FA-1B4732E2B6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1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1247" name="Picture@5C\QPendientes@" descr="@5C\QPendientes@">
          <a:extLst>
            <a:ext uri="{FF2B5EF4-FFF2-40B4-BE49-F238E27FC236}">
              <a16:creationId xmlns:a16="http://schemas.microsoft.com/office/drawing/2014/main" id="{A366B6A8-1B83-410B-8C52-1F3482E560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2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1248" name="Picture@5C\QPendientes@" descr="@5C\QPendientes@">
          <a:extLst>
            <a:ext uri="{FF2B5EF4-FFF2-40B4-BE49-F238E27FC236}">
              <a16:creationId xmlns:a16="http://schemas.microsoft.com/office/drawing/2014/main" id="{08102A8E-3511-4A08-99E0-08EB9C8CAB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1249" name="Picture@5C\QPendientes@" descr="@5C\QPendientes@">
          <a:extLst>
            <a:ext uri="{FF2B5EF4-FFF2-40B4-BE49-F238E27FC236}">
              <a16:creationId xmlns:a16="http://schemas.microsoft.com/office/drawing/2014/main" id="{F5561A6C-01F0-4E79-BA6E-2FADA9A0EE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6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1250" name="Picture@5C\QPendientes@" descr="@5C\QPendientes@">
          <a:extLst>
            <a:ext uri="{FF2B5EF4-FFF2-40B4-BE49-F238E27FC236}">
              <a16:creationId xmlns:a16="http://schemas.microsoft.com/office/drawing/2014/main" id="{7AC2B77B-AB3F-4342-8BCF-AFF7EB58A5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8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1251" name="Picture@5C\QPendientes@" descr="@5C\QPendientes@">
          <a:extLst>
            <a:ext uri="{FF2B5EF4-FFF2-40B4-BE49-F238E27FC236}">
              <a16:creationId xmlns:a16="http://schemas.microsoft.com/office/drawing/2014/main" id="{941DF063-68E9-4AE9-A383-F14E778EFC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0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1252" name="Picture@5C\QPendientes@" descr="@5C\QPendientes@">
          <a:extLst>
            <a:ext uri="{FF2B5EF4-FFF2-40B4-BE49-F238E27FC236}">
              <a16:creationId xmlns:a16="http://schemas.microsoft.com/office/drawing/2014/main" id="{E8ECFA01-57DB-466E-9FFA-F0ED9FFD62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1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1253" name="Picture@5C\QPendientes@" descr="@5C\QPendientes@">
          <a:extLst>
            <a:ext uri="{FF2B5EF4-FFF2-40B4-BE49-F238E27FC236}">
              <a16:creationId xmlns:a16="http://schemas.microsoft.com/office/drawing/2014/main" id="{FA4BD7AD-AE42-4826-BADD-15C9DEC56E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3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1254" name="Picture@5C\QPendientes@" descr="@5C\QPendientes@">
          <a:extLst>
            <a:ext uri="{FF2B5EF4-FFF2-40B4-BE49-F238E27FC236}">
              <a16:creationId xmlns:a16="http://schemas.microsoft.com/office/drawing/2014/main" id="{33D37D60-33E1-4B5C-97DD-6306F61A30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5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1255" name="Picture@5C\QPendientes@" descr="@5C\QPendientes@">
          <a:extLst>
            <a:ext uri="{FF2B5EF4-FFF2-40B4-BE49-F238E27FC236}">
              <a16:creationId xmlns:a16="http://schemas.microsoft.com/office/drawing/2014/main" id="{AB66023A-BB10-489B-8E7C-696E54F4A8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7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1256" name="Picture@5C\QPendientes@" descr="@5C\QPendientes@">
          <a:extLst>
            <a:ext uri="{FF2B5EF4-FFF2-40B4-BE49-F238E27FC236}">
              <a16:creationId xmlns:a16="http://schemas.microsoft.com/office/drawing/2014/main" id="{282E5433-91F4-43B0-B66F-B76E7288F0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9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1257" name="Picture@5C\QPendientes@" descr="@5C\QPendientes@">
          <a:extLst>
            <a:ext uri="{FF2B5EF4-FFF2-40B4-BE49-F238E27FC236}">
              <a16:creationId xmlns:a16="http://schemas.microsoft.com/office/drawing/2014/main" id="{A71A3A64-70BB-43CA-A05A-D06D1DC769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1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1258" name="Picture@5C\QPendientes@" descr="@5C\QPendientes@">
          <a:extLst>
            <a:ext uri="{FF2B5EF4-FFF2-40B4-BE49-F238E27FC236}">
              <a16:creationId xmlns:a16="http://schemas.microsoft.com/office/drawing/2014/main" id="{D2EF2FB6-4591-4FDA-BFCB-3935003407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1259" name="Picture@5C\QPendientes@" descr="@5C\QPendientes@">
          <a:extLst>
            <a:ext uri="{FF2B5EF4-FFF2-40B4-BE49-F238E27FC236}">
              <a16:creationId xmlns:a16="http://schemas.microsoft.com/office/drawing/2014/main" id="{1841CBE8-509F-40BF-BB9F-9CF859CA8E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4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1260" name="Picture@5C\QPendientes@" descr="@5C\QPendientes@">
          <a:extLst>
            <a:ext uri="{FF2B5EF4-FFF2-40B4-BE49-F238E27FC236}">
              <a16:creationId xmlns:a16="http://schemas.microsoft.com/office/drawing/2014/main" id="{3DBA8239-531A-4EAC-945E-4480E41214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6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1261" name="Picture@5C\QPendientes@" descr="@5C\QPendientes@">
          <a:extLst>
            <a:ext uri="{FF2B5EF4-FFF2-40B4-BE49-F238E27FC236}">
              <a16:creationId xmlns:a16="http://schemas.microsoft.com/office/drawing/2014/main" id="{B5954FFD-0B7B-469F-A5C7-B3A3A3836F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8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1262" name="Picture@5C\QPendientes@" descr="@5C\QPendientes@">
          <a:extLst>
            <a:ext uri="{FF2B5EF4-FFF2-40B4-BE49-F238E27FC236}">
              <a16:creationId xmlns:a16="http://schemas.microsoft.com/office/drawing/2014/main" id="{917B65AE-6D8D-43EC-86AB-AE7CEE9FBE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0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1263" name="Picture@5C\QPendientes@" descr="@5C\QPendientes@">
          <a:extLst>
            <a:ext uri="{FF2B5EF4-FFF2-40B4-BE49-F238E27FC236}">
              <a16:creationId xmlns:a16="http://schemas.microsoft.com/office/drawing/2014/main" id="{78CFC1D1-9E6B-403D-A425-0A754CA1D8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2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1264" name="Picture@5C\QPendientes@" descr="@5C\QPendientes@">
          <a:extLst>
            <a:ext uri="{FF2B5EF4-FFF2-40B4-BE49-F238E27FC236}">
              <a16:creationId xmlns:a16="http://schemas.microsoft.com/office/drawing/2014/main" id="{DAD4906C-8DC1-4D01-BCF5-FFF6240DCF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3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1265" name="Picture@5C\QPendientes@" descr="@5C\QPendientes@">
          <a:extLst>
            <a:ext uri="{FF2B5EF4-FFF2-40B4-BE49-F238E27FC236}">
              <a16:creationId xmlns:a16="http://schemas.microsoft.com/office/drawing/2014/main" id="{092398FA-7797-4C2C-8257-DF82B0030B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5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1266" name="Picture@5C\QPendientes@" descr="@5C\QPendientes@">
          <a:extLst>
            <a:ext uri="{FF2B5EF4-FFF2-40B4-BE49-F238E27FC236}">
              <a16:creationId xmlns:a16="http://schemas.microsoft.com/office/drawing/2014/main" id="{C380FFC5-F3BD-4F45-BFF0-58E0EEE8CF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7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1267" name="Picture@5C\QPendientes@" descr="@5C\QPendientes@">
          <a:extLst>
            <a:ext uri="{FF2B5EF4-FFF2-40B4-BE49-F238E27FC236}">
              <a16:creationId xmlns:a16="http://schemas.microsoft.com/office/drawing/2014/main" id="{1F5C1E32-7B6E-4DD9-8EEB-003AA81A74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9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1268" name="Picture@5C\QPendientes@" descr="@5C\QPendientes@">
          <a:extLst>
            <a:ext uri="{FF2B5EF4-FFF2-40B4-BE49-F238E27FC236}">
              <a16:creationId xmlns:a16="http://schemas.microsoft.com/office/drawing/2014/main" id="{AFD98BBF-6235-4767-8529-59910D8A02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1269" name="Picture@5C\QPendientes@" descr="@5C\QPendientes@">
          <a:extLst>
            <a:ext uri="{FF2B5EF4-FFF2-40B4-BE49-F238E27FC236}">
              <a16:creationId xmlns:a16="http://schemas.microsoft.com/office/drawing/2014/main" id="{92CA614D-704B-4AAF-A948-04CFFE8361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3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1270" name="Picture@5C\QPendientes@" descr="@5C\QPendientes@">
          <a:extLst>
            <a:ext uri="{FF2B5EF4-FFF2-40B4-BE49-F238E27FC236}">
              <a16:creationId xmlns:a16="http://schemas.microsoft.com/office/drawing/2014/main" id="{7062B778-5B42-4B8C-BD0C-D183A9D5E8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4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1271" name="Picture@5C\QPendientes@" descr="@5C\QPendientes@">
          <a:extLst>
            <a:ext uri="{FF2B5EF4-FFF2-40B4-BE49-F238E27FC236}">
              <a16:creationId xmlns:a16="http://schemas.microsoft.com/office/drawing/2014/main" id="{C1DEAFF7-FEA8-4A15-B4BE-00CC9427D7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6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1272" name="Picture@5C\QPendientes@" descr="@5C\QPendientes@">
          <a:extLst>
            <a:ext uri="{FF2B5EF4-FFF2-40B4-BE49-F238E27FC236}">
              <a16:creationId xmlns:a16="http://schemas.microsoft.com/office/drawing/2014/main" id="{0EA4DA41-7536-48B7-A6CA-F9109EF44F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8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1273" name="Picture@5C\QPendientes@" descr="@5C\QPendientes@">
          <a:extLst>
            <a:ext uri="{FF2B5EF4-FFF2-40B4-BE49-F238E27FC236}">
              <a16:creationId xmlns:a16="http://schemas.microsoft.com/office/drawing/2014/main" id="{B9C7FC60-E8AF-427D-A76F-FBDE8988DA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0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1274" name="Picture@5C\QPendientes@" descr="@5C\QPendientes@">
          <a:extLst>
            <a:ext uri="{FF2B5EF4-FFF2-40B4-BE49-F238E27FC236}">
              <a16:creationId xmlns:a16="http://schemas.microsoft.com/office/drawing/2014/main" id="{1C1378D5-5038-4910-AE43-0590D6C32E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2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1275" name="Picture@5C\QPendientes@" descr="@5C\QPendientes@">
          <a:extLst>
            <a:ext uri="{FF2B5EF4-FFF2-40B4-BE49-F238E27FC236}">
              <a16:creationId xmlns:a16="http://schemas.microsoft.com/office/drawing/2014/main" id="{0D0A3874-E9EC-4FBA-8DAC-01B0D354F8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4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1276" name="Picture@5C\QPendientes@" descr="@5C\QPendientes@">
          <a:extLst>
            <a:ext uri="{FF2B5EF4-FFF2-40B4-BE49-F238E27FC236}">
              <a16:creationId xmlns:a16="http://schemas.microsoft.com/office/drawing/2014/main" id="{35B85985-D39B-46A5-AD8B-08B955EA67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5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1277" name="Picture@5C\QPendientes@" descr="@5C\QPendientes@">
          <a:extLst>
            <a:ext uri="{FF2B5EF4-FFF2-40B4-BE49-F238E27FC236}">
              <a16:creationId xmlns:a16="http://schemas.microsoft.com/office/drawing/2014/main" id="{206E3C58-270B-4DE2-908E-9B7CC1C8E3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7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1278" name="Picture@5C\QPendientes@" descr="@5C\QPendientes@">
          <a:extLst>
            <a:ext uri="{FF2B5EF4-FFF2-40B4-BE49-F238E27FC236}">
              <a16:creationId xmlns:a16="http://schemas.microsoft.com/office/drawing/2014/main" id="{8FC42489-7665-4DA8-B4A0-53C161ADB3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1279" name="Picture@5C\QPendientes@" descr="@5C\QPendientes@">
          <a:extLst>
            <a:ext uri="{FF2B5EF4-FFF2-40B4-BE49-F238E27FC236}">
              <a16:creationId xmlns:a16="http://schemas.microsoft.com/office/drawing/2014/main" id="{569F2FE2-B39F-41A5-8C5F-53E588ACA6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1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1280" name="Picture@5C\QPendientes@" descr="@5C\QPendientes@">
          <a:extLst>
            <a:ext uri="{FF2B5EF4-FFF2-40B4-BE49-F238E27FC236}">
              <a16:creationId xmlns:a16="http://schemas.microsoft.com/office/drawing/2014/main" id="{D71E0409-B1EB-4920-8331-DB3BCB8ABC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3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1281" name="Picture@5C\QPendientes@" descr="@5C\QPendientes@">
          <a:extLst>
            <a:ext uri="{FF2B5EF4-FFF2-40B4-BE49-F238E27FC236}">
              <a16:creationId xmlns:a16="http://schemas.microsoft.com/office/drawing/2014/main" id="{F0AEA322-A20F-47EB-A26A-FED51A620E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5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1282" name="Picture@5C\QPendientes@" descr="@5C\QPendientes@">
          <a:extLst>
            <a:ext uri="{FF2B5EF4-FFF2-40B4-BE49-F238E27FC236}">
              <a16:creationId xmlns:a16="http://schemas.microsoft.com/office/drawing/2014/main" id="{2F14A3F8-0B6B-4948-9B5E-F22D8E8C99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6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1283" name="Picture@5C\QPendientes@" descr="@5C\QPendientes@">
          <a:extLst>
            <a:ext uri="{FF2B5EF4-FFF2-40B4-BE49-F238E27FC236}">
              <a16:creationId xmlns:a16="http://schemas.microsoft.com/office/drawing/2014/main" id="{B11CC547-CF12-4F45-B3EF-2384D01F69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8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1284" name="Picture@5C\QPendientes@" descr="@5C\QPendientes@">
          <a:extLst>
            <a:ext uri="{FF2B5EF4-FFF2-40B4-BE49-F238E27FC236}">
              <a16:creationId xmlns:a16="http://schemas.microsoft.com/office/drawing/2014/main" id="{9B303E1D-D592-47FE-B320-AF5EA61454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0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1285" name="Picture@5C\QPendientes@" descr="@5C\QPendientes@">
          <a:extLst>
            <a:ext uri="{FF2B5EF4-FFF2-40B4-BE49-F238E27FC236}">
              <a16:creationId xmlns:a16="http://schemas.microsoft.com/office/drawing/2014/main" id="{C8805C2A-D79C-48EE-B27B-6CEAF040FB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2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1286" name="Picture@5C\QPendientes@" descr="@5C\QPendientes@">
          <a:extLst>
            <a:ext uri="{FF2B5EF4-FFF2-40B4-BE49-F238E27FC236}">
              <a16:creationId xmlns:a16="http://schemas.microsoft.com/office/drawing/2014/main" id="{4D150A7A-79F7-48B9-A489-768C70E7CB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4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1287" name="Picture@5C\QPendientes@" descr="@5C\QPendientes@">
          <a:extLst>
            <a:ext uri="{FF2B5EF4-FFF2-40B4-BE49-F238E27FC236}">
              <a16:creationId xmlns:a16="http://schemas.microsoft.com/office/drawing/2014/main" id="{715EEE7D-9869-4D96-BF1B-65FBDB49A1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5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1288" name="Picture@5C\QPendientes@" descr="@5C\QPendientes@">
          <a:extLst>
            <a:ext uri="{FF2B5EF4-FFF2-40B4-BE49-F238E27FC236}">
              <a16:creationId xmlns:a16="http://schemas.microsoft.com/office/drawing/2014/main" id="{5068F60B-7FFF-4248-8767-13530CE811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1289" name="Picture@5C\QPendientes@" descr="@5C\QPendientes@">
          <a:extLst>
            <a:ext uri="{FF2B5EF4-FFF2-40B4-BE49-F238E27FC236}">
              <a16:creationId xmlns:a16="http://schemas.microsoft.com/office/drawing/2014/main" id="{19302F6B-32AC-40B9-AFE8-C42E759DA4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9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1290" name="Picture@5C\QPendientes@" descr="@5C\QPendientes@">
          <a:extLst>
            <a:ext uri="{FF2B5EF4-FFF2-40B4-BE49-F238E27FC236}">
              <a16:creationId xmlns:a16="http://schemas.microsoft.com/office/drawing/2014/main" id="{31D404C5-5FD0-4BD1-B3D0-C24B5217C8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1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1291" name="Picture@5C\QPendientes@" descr="@5C\QPendientes@">
          <a:extLst>
            <a:ext uri="{FF2B5EF4-FFF2-40B4-BE49-F238E27FC236}">
              <a16:creationId xmlns:a16="http://schemas.microsoft.com/office/drawing/2014/main" id="{3506BFC4-BA4F-48AF-BBE4-50EE934731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3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1292" name="Picture@5C\QPendientes@" descr="@5C\QPendientes@">
          <a:extLst>
            <a:ext uri="{FF2B5EF4-FFF2-40B4-BE49-F238E27FC236}">
              <a16:creationId xmlns:a16="http://schemas.microsoft.com/office/drawing/2014/main" id="{93297BF6-34D4-473D-8056-7F893E958A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5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1293" name="Picture@5C\QPendientes@" descr="@5C\QPendientes@">
          <a:extLst>
            <a:ext uri="{FF2B5EF4-FFF2-40B4-BE49-F238E27FC236}">
              <a16:creationId xmlns:a16="http://schemas.microsoft.com/office/drawing/2014/main" id="{84168FB9-9671-4DD1-A42B-5EA78DE094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6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1294" name="Picture@5C\QPendientes@" descr="@5C\QPendientes@">
          <a:extLst>
            <a:ext uri="{FF2B5EF4-FFF2-40B4-BE49-F238E27FC236}">
              <a16:creationId xmlns:a16="http://schemas.microsoft.com/office/drawing/2014/main" id="{E0C8E171-D657-457F-BBF4-6E977CD49B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8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1295" name="Picture@5C\QPendientes@" descr="@5C\QPendientes@">
          <a:extLst>
            <a:ext uri="{FF2B5EF4-FFF2-40B4-BE49-F238E27FC236}">
              <a16:creationId xmlns:a16="http://schemas.microsoft.com/office/drawing/2014/main" id="{0D70D0EB-EEB6-40CE-A411-A3CA1135BF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0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1296" name="Picture@5C\QPendientes@" descr="@5C\QPendientes@">
          <a:extLst>
            <a:ext uri="{FF2B5EF4-FFF2-40B4-BE49-F238E27FC236}">
              <a16:creationId xmlns:a16="http://schemas.microsoft.com/office/drawing/2014/main" id="{A2B966B4-BD07-461E-841A-B078876D4F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2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1297" name="Picture@5C\QPendientes@" descr="@5C\QPendientes@">
          <a:extLst>
            <a:ext uri="{FF2B5EF4-FFF2-40B4-BE49-F238E27FC236}">
              <a16:creationId xmlns:a16="http://schemas.microsoft.com/office/drawing/2014/main" id="{9B6E5CF4-5901-44B1-8EC7-36D664D67B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4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1298" name="Picture@5C\QPendientes@" descr="@5C\QPendientes@">
          <a:extLst>
            <a:ext uri="{FF2B5EF4-FFF2-40B4-BE49-F238E27FC236}">
              <a16:creationId xmlns:a16="http://schemas.microsoft.com/office/drawing/2014/main" id="{9ACD89E2-094A-48AD-A086-7955F88A9B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1299" name="Picture@5C\QPendientes@" descr="@5C\QPendientes@">
          <a:extLst>
            <a:ext uri="{FF2B5EF4-FFF2-40B4-BE49-F238E27FC236}">
              <a16:creationId xmlns:a16="http://schemas.microsoft.com/office/drawing/2014/main" id="{20209E0A-AD86-437C-AB11-695145726A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7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1300" name="Picture@5C\QPendientes@" descr="@5C\QPendientes@">
          <a:extLst>
            <a:ext uri="{FF2B5EF4-FFF2-40B4-BE49-F238E27FC236}">
              <a16:creationId xmlns:a16="http://schemas.microsoft.com/office/drawing/2014/main" id="{377F4B4D-F86C-4D1E-8E9C-2DF88D7A39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9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1301" name="Picture@5C\QPendientes@" descr="@5C\QPendientes@">
          <a:extLst>
            <a:ext uri="{FF2B5EF4-FFF2-40B4-BE49-F238E27FC236}">
              <a16:creationId xmlns:a16="http://schemas.microsoft.com/office/drawing/2014/main" id="{CFAE59CA-FFF0-4F0C-92DB-62498D67A8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1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1302" name="Picture@5C\QPendientes@" descr="@5C\QPendientes@">
          <a:extLst>
            <a:ext uri="{FF2B5EF4-FFF2-40B4-BE49-F238E27FC236}">
              <a16:creationId xmlns:a16="http://schemas.microsoft.com/office/drawing/2014/main" id="{8D14C403-9BE6-4315-8DF3-4CE44D9E77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3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1303" name="Picture@5C\QPendientes@" descr="@5C\QPendientes@">
          <a:extLst>
            <a:ext uri="{FF2B5EF4-FFF2-40B4-BE49-F238E27FC236}">
              <a16:creationId xmlns:a16="http://schemas.microsoft.com/office/drawing/2014/main" id="{67027F24-ACAB-44D0-96D9-471BD271E8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5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1304" name="Picture@5C\QPendientes@" descr="@5C\QPendientes@">
          <a:extLst>
            <a:ext uri="{FF2B5EF4-FFF2-40B4-BE49-F238E27FC236}">
              <a16:creationId xmlns:a16="http://schemas.microsoft.com/office/drawing/2014/main" id="{5E5DADB2-9C77-4CD2-8A52-65E198809E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7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1305" name="Picture@5C\QPendientes@" descr="@5C\QPendientes@">
          <a:extLst>
            <a:ext uri="{FF2B5EF4-FFF2-40B4-BE49-F238E27FC236}">
              <a16:creationId xmlns:a16="http://schemas.microsoft.com/office/drawing/2014/main" id="{8F044B61-4804-44E3-B172-597ED8D180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8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1306" name="Picture@5C\QPendientes@" descr="@5C\QPendientes@">
          <a:extLst>
            <a:ext uri="{FF2B5EF4-FFF2-40B4-BE49-F238E27FC236}">
              <a16:creationId xmlns:a16="http://schemas.microsoft.com/office/drawing/2014/main" id="{8C0E6CC5-BCBF-47C2-9EB5-6A880E7171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0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1307" name="Picture@5C\QPendientes@" descr="@5C\QPendientes@">
          <a:extLst>
            <a:ext uri="{FF2B5EF4-FFF2-40B4-BE49-F238E27FC236}">
              <a16:creationId xmlns:a16="http://schemas.microsoft.com/office/drawing/2014/main" id="{ACF5A526-6738-427C-B4E7-B0A6CF51F2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2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1308" name="Picture@5C\QPendientes@" descr="@5C\QPendientes@">
          <a:extLst>
            <a:ext uri="{FF2B5EF4-FFF2-40B4-BE49-F238E27FC236}">
              <a16:creationId xmlns:a16="http://schemas.microsoft.com/office/drawing/2014/main" id="{1207FF0C-7F02-4940-BC19-B9B6110CC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1309" name="Picture@5C\QPendientes@" descr="@5C\QPendientes@">
          <a:extLst>
            <a:ext uri="{FF2B5EF4-FFF2-40B4-BE49-F238E27FC236}">
              <a16:creationId xmlns:a16="http://schemas.microsoft.com/office/drawing/2014/main" id="{9B4C9EF0-9EC4-40F2-976B-5B3DACB883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6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1310" name="Picture@5C\QPendientes@" descr="@5C\QPendientes@">
          <a:extLst>
            <a:ext uri="{FF2B5EF4-FFF2-40B4-BE49-F238E27FC236}">
              <a16:creationId xmlns:a16="http://schemas.microsoft.com/office/drawing/2014/main" id="{70624A30-9E55-407E-A00E-A62F9B182B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8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1311" name="Picture@5C\QPendientes@" descr="@5C\QPendientes@">
          <a:extLst>
            <a:ext uri="{FF2B5EF4-FFF2-40B4-BE49-F238E27FC236}">
              <a16:creationId xmlns:a16="http://schemas.microsoft.com/office/drawing/2014/main" id="{FDE63C11-4986-4C49-AB35-849FD05252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9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1312" name="Picture@5C\QPendientes@" descr="@5C\QPendientes@">
          <a:extLst>
            <a:ext uri="{FF2B5EF4-FFF2-40B4-BE49-F238E27FC236}">
              <a16:creationId xmlns:a16="http://schemas.microsoft.com/office/drawing/2014/main" id="{90FB6E05-E3F5-4A30-8EFF-F5006C69C1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1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1313" name="Picture@5C\QPendientes@" descr="@5C\QPendientes@">
          <a:extLst>
            <a:ext uri="{FF2B5EF4-FFF2-40B4-BE49-F238E27FC236}">
              <a16:creationId xmlns:a16="http://schemas.microsoft.com/office/drawing/2014/main" id="{C36B0BBE-F88F-4822-84D2-37D794F349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3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1314" name="Picture@5C\QPendientes@" descr="@5C\QPendientes@">
          <a:extLst>
            <a:ext uri="{FF2B5EF4-FFF2-40B4-BE49-F238E27FC236}">
              <a16:creationId xmlns:a16="http://schemas.microsoft.com/office/drawing/2014/main" id="{83C956D8-F20F-447F-AF4D-F5B266EE1F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5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1315" name="Picture@5C\QPendientes@" descr="@5C\QPendientes@">
          <a:extLst>
            <a:ext uri="{FF2B5EF4-FFF2-40B4-BE49-F238E27FC236}">
              <a16:creationId xmlns:a16="http://schemas.microsoft.com/office/drawing/2014/main" id="{3CC80F70-DDFA-4C7D-820F-7CEADEE837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7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1316" name="Picture@5C\QPendientes@" descr="@5C\QPendientes@">
          <a:extLst>
            <a:ext uri="{FF2B5EF4-FFF2-40B4-BE49-F238E27FC236}">
              <a16:creationId xmlns:a16="http://schemas.microsoft.com/office/drawing/2014/main" id="{1D823BDB-1AFB-4656-B335-F7FA44BE30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9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1317" name="Picture@5C\QPendientes@" descr="@5C\QPendientes@">
          <a:extLst>
            <a:ext uri="{FF2B5EF4-FFF2-40B4-BE49-F238E27FC236}">
              <a16:creationId xmlns:a16="http://schemas.microsoft.com/office/drawing/2014/main" id="{D76D074B-735A-42AA-B6F1-57AFD118D5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0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1318" name="Picture@5C\QPendientes@" descr="@5C\QPendientes@">
          <a:extLst>
            <a:ext uri="{FF2B5EF4-FFF2-40B4-BE49-F238E27FC236}">
              <a16:creationId xmlns:a16="http://schemas.microsoft.com/office/drawing/2014/main" id="{152A0988-C2BA-4771-8773-04B993C366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1319" name="Picture@5C\QPendientes@" descr="@5C\QPendientes@">
          <a:extLst>
            <a:ext uri="{FF2B5EF4-FFF2-40B4-BE49-F238E27FC236}">
              <a16:creationId xmlns:a16="http://schemas.microsoft.com/office/drawing/2014/main" id="{37EBEA1E-F14B-4DCC-9515-B9C221E715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4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1320" name="Picture@5C\QPendientes@" descr="@5C\QPendientes@">
          <a:extLst>
            <a:ext uri="{FF2B5EF4-FFF2-40B4-BE49-F238E27FC236}">
              <a16:creationId xmlns:a16="http://schemas.microsoft.com/office/drawing/2014/main" id="{0B07441E-6770-43FB-BF5E-7F88A80A34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6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1321" name="Picture@5C\QPendientes@" descr="@5C\QPendientes@">
          <a:extLst>
            <a:ext uri="{FF2B5EF4-FFF2-40B4-BE49-F238E27FC236}">
              <a16:creationId xmlns:a16="http://schemas.microsoft.com/office/drawing/2014/main" id="{8B67E020-F27E-4F25-AFA3-DB42F8C56E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8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1322" name="Picture@5C\QPendientes@" descr="@5C\QPendientes@">
          <a:extLst>
            <a:ext uri="{FF2B5EF4-FFF2-40B4-BE49-F238E27FC236}">
              <a16:creationId xmlns:a16="http://schemas.microsoft.com/office/drawing/2014/main" id="{9C672B7B-01D2-4077-9089-B36F2E93E0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0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1323" name="Picture@5C\QPendientes@" descr="@5C\QPendientes@">
          <a:extLst>
            <a:ext uri="{FF2B5EF4-FFF2-40B4-BE49-F238E27FC236}">
              <a16:creationId xmlns:a16="http://schemas.microsoft.com/office/drawing/2014/main" id="{638B8916-49A7-4255-A398-F8CF8E1B1F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1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1324" name="Picture@5C\QPendientes@" descr="@5C\QPendientes@">
          <a:extLst>
            <a:ext uri="{FF2B5EF4-FFF2-40B4-BE49-F238E27FC236}">
              <a16:creationId xmlns:a16="http://schemas.microsoft.com/office/drawing/2014/main" id="{2B8CFB9D-09DE-4F44-BDF4-9DA359DD4D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3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1325" name="Picture@5C\QPendientes@" descr="@5C\QPendientes@">
          <a:extLst>
            <a:ext uri="{FF2B5EF4-FFF2-40B4-BE49-F238E27FC236}">
              <a16:creationId xmlns:a16="http://schemas.microsoft.com/office/drawing/2014/main" id="{A7D8A74B-1B00-47AB-906B-012685F022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5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1326" name="Picture@5C\QPendientes@" descr="@5C\QPendientes@">
          <a:extLst>
            <a:ext uri="{FF2B5EF4-FFF2-40B4-BE49-F238E27FC236}">
              <a16:creationId xmlns:a16="http://schemas.microsoft.com/office/drawing/2014/main" id="{30AA11DE-9E7C-4CF0-94FE-A0A4F46B05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7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1327" name="Picture@5C\QPendientes@" descr="@5C\QPendientes@">
          <a:extLst>
            <a:ext uri="{FF2B5EF4-FFF2-40B4-BE49-F238E27FC236}">
              <a16:creationId xmlns:a16="http://schemas.microsoft.com/office/drawing/2014/main" id="{2AEFE0BE-C14D-4CCC-A49E-3A48648A3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9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1328" name="Picture@5C\QPendientes@" descr="@5C\QPendientes@">
          <a:extLst>
            <a:ext uri="{FF2B5EF4-FFF2-40B4-BE49-F238E27FC236}">
              <a16:creationId xmlns:a16="http://schemas.microsoft.com/office/drawing/2014/main" id="{4B4DFC5A-15F6-491A-A18B-A0C3175322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1329" name="Picture@5C\QPendientes@" descr="@5C\QPendientes@">
          <a:extLst>
            <a:ext uri="{FF2B5EF4-FFF2-40B4-BE49-F238E27FC236}">
              <a16:creationId xmlns:a16="http://schemas.microsoft.com/office/drawing/2014/main" id="{D9CEE870-57D4-4B6A-A5DB-B2B6BD07C4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2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1330" name="Picture@5C\QPendientes@" descr="@5C\QPendientes@">
          <a:extLst>
            <a:ext uri="{FF2B5EF4-FFF2-40B4-BE49-F238E27FC236}">
              <a16:creationId xmlns:a16="http://schemas.microsoft.com/office/drawing/2014/main" id="{F72E1995-E139-4861-968D-80DD29C25D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4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1331" name="Picture@5C\QPendientes@" descr="@5C\QPendientes@">
          <a:extLst>
            <a:ext uri="{FF2B5EF4-FFF2-40B4-BE49-F238E27FC236}">
              <a16:creationId xmlns:a16="http://schemas.microsoft.com/office/drawing/2014/main" id="{BA1F70CB-DF87-4CCB-AA06-9DB2CB3447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6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1332" name="Picture@5C\QPendientes@" descr="@5C\QPendientes@">
          <a:extLst>
            <a:ext uri="{FF2B5EF4-FFF2-40B4-BE49-F238E27FC236}">
              <a16:creationId xmlns:a16="http://schemas.microsoft.com/office/drawing/2014/main" id="{20AE1B20-6D01-4A78-8BE5-5A4A1D22EA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8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1333" name="Picture@5C\QPendientes@" descr="@5C\QPendientes@">
          <a:extLst>
            <a:ext uri="{FF2B5EF4-FFF2-40B4-BE49-F238E27FC236}">
              <a16:creationId xmlns:a16="http://schemas.microsoft.com/office/drawing/2014/main" id="{DFF2DB77-E414-4E63-9FBD-98E3764775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0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1334" name="Picture@5C\QPendientes@" descr="@5C\QPendientes@">
          <a:extLst>
            <a:ext uri="{FF2B5EF4-FFF2-40B4-BE49-F238E27FC236}">
              <a16:creationId xmlns:a16="http://schemas.microsoft.com/office/drawing/2014/main" id="{EC1FDCA6-15E8-4EAA-BA58-83FA1F1D52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1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1335" name="Picture@5C\QPendientes@" descr="@5C\QPendientes@">
          <a:extLst>
            <a:ext uri="{FF2B5EF4-FFF2-40B4-BE49-F238E27FC236}">
              <a16:creationId xmlns:a16="http://schemas.microsoft.com/office/drawing/2014/main" id="{CB550A9C-EE34-4295-94A5-5A57B1548E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3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1336" name="Picture@5C\QPendientes@" descr="@5C\QPendientes@">
          <a:extLst>
            <a:ext uri="{FF2B5EF4-FFF2-40B4-BE49-F238E27FC236}">
              <a16:creationId xmlns:a16="http://schemas.microsoft.com/office/drawing/2014/main" id="{03BCB352-98D4-44B3-9A9A-DE0F9A171D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5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1337" name="Picture@5C\QPendientes@" descr="@5C\QPendientes@">
          <a:extLst>
            <a:ext uri="{FF2B5EF4-FFF2-40B4-BE49-F238E27FC236}">
              <a16:creationId xmlns:a16="http://schemas.microsoft.com/office/drawing/2014/main" id="{98B981BA-9E81-454C-B35D-B141ADF378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7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1338" name="Picture@5C\QPendientes@" descr="@5C\QPendientes@">
          <a:extLst>
            <a:ext uri="{FF2B5EF4-FFF2-40B4-BE49-F238E27FC236}">
              <a16:creationId xmlns:a16="http://schemas.microsoft.com/office/drawing/2014/main" id="{6E5B6B33-6FA4-4AD9-890C-31BC06C71B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1339" name="Picture@5C\QPendientes@" descr="@5C\QPendientes@">
          <a:extLst>
            <a:ext uri="{FF2B5EF4-FFF2-40B4-BE49-F238E27FC236}">
              <a16:creationId xmlns:a16="http://schemas.microsoft.com/office/drawing/2014/main" id="{6537EAD5-7934-4FBF-80A4-22A6D06838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1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1340" name="Picture@5C\QPendientes@" descr="@5C\QPendientes@">
          <a:extLst>
            <a:ext uri="{FF2B5EF4-FFF2-40B4-BE49-F238E27FC236}">
              <a16:creationId xmlns:a16="http://schemas.microsoft.com/office/drawing/2014/main" id="{58EA81C1-F840-4B57-9E5B-0A092DD9D6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2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1341" name="Picture@5C\QPendientes@" descr="@5C\QPendientes@">
          <a:extLst>
            <a:ext uri="{FF2B5EF4-FFF2-40B4-BE49-F238E27FC236}">
              <a16:creationId xmlns:a16="http://schemas.microsoft.com/office/drawing/2014/main" id="{341E482F-1B06-401A-BFDC-5FB0E23DE6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4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1342" name="Picture@5C\QPendientes@" descr="@5C\QPendientes@">
          <a:extLst>
            <a:ext uri="{FF2B5EF4-FFF2-40B4-BE49-F238E27FC236}">
              <a16:creationId xmlns:a16="http://schemas.microsoft.com/office/drawing/2014/main" id="{896BBDAE-0727-49B1-AF4F-7AA00B9EFE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6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1343" name="Picture@5C\QPendientes@" descr="@5C\QPendientes@">
          <a:extLst>
            <a:ext uri="{FF2B5EF4-FFF2-40B4-BE49-F238E27FC236}">
              <a16:creationId xmlns:a16="http://schemas.microsoft.com/office/drawing/2014/main" id="{EBD1FB3C-254E-4104-9474-7DD6ED713D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8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1344" name="Picture@5C\QPendientes@" descr="@5C\QPendientes@">
          <a:extLst>
            <a:ext uri="{FF2B5EF4-FFF2-40B4-BE49-F238E27FC236}">
              <a16:creationId xmlns:a16="http://schemas.microsoft.com/office/drawing/2014/main" id="{76C6F797-E1E5-46A2-AE9B-92E1CE29A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0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1345" name="Picture@5C\QPendientes@" descr="@5C\QPendientes@">
          <a:extLst>
            <a:ext uri="{FF2B5EF4-FFF2-40B4-BE49-F238E27FC236}">
              <a16:creationId xmlns:a16="http://schemas.microsoft.com/office/drawing/2014/main" id="{D6CBA1DE-BE53-4897-BE86-2C84CD9B68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2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1346" name="Picture@5C\QPendientes@" descr="@5C\QPendientes@">
          <a:extLst>
            <a:ext uri="{FF2B5EF4-FFF2-40B4-BE49-F238E27FC236}">
              <a16:creationId xmlns:a16="http://schemas.microsoft.com/office/drawing/2014/main" id="{75B64282-4082-4B6B-A134-8214A46E87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3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1347" name="Picture@5C\QPendientes@" descr="@5C\QPendientes@">
          <a:extLst>
            <a:ext uri="{FF2B5EF4-FFF2-40B4-BE49-F238E27FC236}">
              <a16:creationId xmlns:a16="http://schemas.microsoft.com/office/drawing/2014/main" id="{0F7FE77A-8345-487F-93C8-DCFC4C4AF7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5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1348" name="Picture@5C\QPendientes@" descr="@5C\QPendientes@">
          <a:extLst>
            <a:ext uri="{FF2B5EF4-FFF2-40B4-BE49-F238E27FC236}">
              <a16:creationId xmlns:a16="http://schemas.microsoft.com/office/drawing/2014/main" id="{9A3ADE3F-F086-41CB-86B4-26E3BC31AC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1349" name="Picture@5C\QPendientes@" descr="@5C\QPendientes@">
          <a:extLst>
            <a:ext uri="{FF2B5EF4-FFF2-40B4-BE49-F238E27FC236}">
              <a16:creationId xmlns:a16="http://schemas.microsoft.com/office/drawing/2014/main" id="{3A271B8C-3134-484F-A99C-1873C50281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9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1350" name="Picture@5C\QPendientes@" descr="@5C\QPendientes@">
          <a:extLst>
            <a:ext uri="{FF2B5EF4-FFF2-40B4-BE49-F238E27FC236}">
              <a16:creationId xmlns:a16="http://schemas.microsoft.com/office/drawing/2014/main" id="{DA231BC2-4E5C-4EE2-9C61-C7BC6FC0C6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12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1351" name="Picture@5C\QPendientes@" descr="@5C\QPendientes@">
          <a:extLst>
            <a:ext uri="{FF2B5EF4-FFF2-40B4-BE49-F238E27FC236}">
              <a16:creationId xmlns:a16="http://schemas.microsoft.com/office/drawing/2014/main" id="{BEA7F975-6811-44B8-A7A9-95B70C8F3D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30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1352" name="Picture@5C\QPendientes@" descr="@5C\QPendientes@">
          <a:extLst>
            <a:ext uri="{FF2B5EF4-FFF2-40B4-BE49-F238E27FC236}">
              <a16:creationId xmlns:a16="http://schemas.microsoft.com/office/drawing/2014/main" id="{04654363-3101-417F-A061-B22CA5A2EE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48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1353" name="Picture@5C\QPendientes@" descr="@5C\QPendientes@">
          <a:extLst>
            <a:ext uri="{FF2B5EF4-FFF2-40B4-BE49-F238E27FC236}">
              <a16:creationId xmlns:a16="http://schemas.microsoft.com/office/drawing/2014/main" id="{57D5F836-4D77-4341-860B-398EB6AB76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66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1354" name="Picture@5C\QPendientes@" descr="@5C\QPendientes@">
          <a:extLst>
            <a:ext uri="{FF2B5EF4-FFF2-40B4-BE49-F238E27FC236}">
              <a16:creationId xmlns:a16="http://schemas.microsoft.com/office/drawing/2014/main" id="{8BE758FA-12F1-4EDB-90CC-D7A9C41505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85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1355" name="Picture@5C\QPendientes@" descr="@5C\QPendientes@">
          <a:extLst>
            <a:ext uri="{FF2B5EF4-FFF2-40B4-BE49-F238E27FC236}">
              <a16:creationId xmlns:a16="http://schemas.microsoft.com/office/drawing/2014/main" id="{0FFCADBA-B024-418E-8A01-57B2A26147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03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1356" name="Picture@5C\QPendientes@" descr="@5C\QPendientes@">
          <a:extLst>
            <a:ext uri="{FF2B5EF4-FFF2-40B4-BE49-F238E27FC236}">
              <a16:creationId xmlns:a16="http://schemas.microsoft.com/office/drawing/2014/main" id="{16D240B1-EB59-4723-918F-1BDFD0F18A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21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1357" name="Picture@5C\QPendientes@" descr="@5C\QPendientes@">
          <a:extLst>
            <a:ext uri="{FF2B5EF4-FFF2-40B4-BE49-F238E27FC236}">
              <a16:creationId xmlns:a16="http://schemas.microsoft.com/office/drawing/2014/main" id="{B455E4B6-ECD2-4BB0-A1D4-B5D3DEA04A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40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1358" name="Picture@5C\QPendientes@" descr="@5C\QPendientes@">
          <a:extLst>
            <a:ext uri="{FF2B5EF4-FFF2-40B4-BE49-F238E27FC236}">
              <a16:creationId xmlns:a16="http://schemas.microsoft.com/office/drawing/2014/main" id="{C6EFF42D-C650-4A85-82C0-F82A93F283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1359" name="Picture@5C\QPendientes@" descr="@5C\QPendientes@">
          <a:extLst>
            <a:ext uri="{FF2B5EF4-FFF2-40B4-BE49-F238E27FC236}">
              <a16:creationId xmlns:a16="http://schemas.microsoft.com/office/drawing/2014/main" id="{8056E14E-36C8-4AA0-951A-75DEB28A9A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76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1360" name="Picture@5C\QPendientes@" descr="@5C\QPendientes@">
          <a:extLst>
            <a:ext uri="{FF2B5EF4-FFF2-40B4-BE49-F238E27FC236}">
              <a16:creationId xmlns:a16="http://schemas.microsoft.com/office/drawing/2014/main" id="{D1210871-729C-4966-87FA-420017B08C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94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1361" name="Picture@5C\QPendientes@" descr="@5C\QPendientes@">
          <a:extLst>
            <a:ext uri="{FF2B5EF4-FFF2-40B4-BE49-F238E27FC236}">
              <a16:creationId xmlns:a16="http://schemas.microsoft.com/office/drawing/2014/main" id="{5A1E068B-E3A2-4E31-B577-48D67A9D99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13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1362" name="Picture@5C\QPendientes@" descr="@5C\QPendientes@">
          <a:extLst>
            <a:ext uri="{FF2B5EF4-FFF2-40B4-BE49-F238E27FC236}">
              <a16:creationId xmlns:a16="http://schemas.microsoft.com/office/drawing/2014/main" id="{BCB4DB97-C17D-4879-B1E0-1E45EA2638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31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1363" name="Picture@5C\QPendientes@" descr="@5C\QPendientes@">
          <a:extLst>
            <a:ext uri="{FF2B5EF4-FFF2-40B4-BE49-F238E27FC236}">
              <a16:creationId xmlns:a16="http://schemas.microsoft.com/office/drawing/2014/main" id="{68420924-7499-46FD-9A21-F0C7B9CAC1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49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1364" name="Picture@5C\QPendientes@" descr="@5C\QPendientes@">
          <a:extLst>
            <a:ext uri="{FF2B5EF4-FFF2-40B4-BE49-F238E27FC236}">
              <a16:creationId xmlns:a16="http://schemas.microsoft.com/office/drawing/2014/main" id="{65AA7334-C9A3-443E-BFCC-0A8831367E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68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1365" name="Picture@5C\QPendientes@" descr="@5C\QPendientes@">
          <a:extLst>
            <a:ext uri="{FF2B5EF4-FFF2-40B4-BE49-F238E27FC236}">
              <a16:creationId xmlns:a16="http://schemas.microsoft.com/office/drawing/2014/main" id="{C50628A1-8EA5-4175-9A1F-73ADEB50D7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86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1366" name="Picture@5C\QPendientes@" descr="@5C\QPendientes@">
          <a:extLst>
            <a:ext uri="{FF2B5EF4-FFF2-40B4-BE49-F238E27FC236}">
              <a16:creationId xmlns:a16="http://schemas.microsoft.com/office/drawing/2014/main" id="{196060F4-0919-42E7-803A-A11BE64E84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04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1367" name="Picture@5C\QPendientes@" descr="@5C\QPendientes@">
          <a:extLst>
            <a:ext uri="{FF2B5EF4-FFF2-40B4-BE49-F238E27FC236}">
              <a16:creationId xmlns:a16="http://schemas.microsoft.com/office/drawing/2014/main" id="{AD662220-7844-4001-8752-E17741AA8A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22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1368" name="Picture@5C\QPendientes@" descr="@5C\QPendientes@">
          <a:extLst>
            <a:ext uri="{FF2B5EF4-FFF2-40B4-BE49-F238E27FC236}">
              <a16:creationId xmlns:a16="http://schemas.microsoft.com/office/drawing/2014/main" id="{AA6505E7-F60B-4891-B711-3ABFDFD0B0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1369" name="Picture@5C\QPendientes@" descr="@5C\QPendientes@">
          <a:extLst>
            <a:ext uri="{FF2B5EF4-FFF2-40B4-BE49-F238E27FC236}">
              <a16:creationId xmlns:a16="http://schemas.microsoft.com/office/drawing/2014/main" id="{198DC1B5-8887-4886-BA54-EFE16F44F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59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563" name="Picture@5C\QPendientes@" descr="@5C\QPendientes@">
          <a:extLst>
            <a:ext uri="{FF2B5EF4-FFF2-40B4-BE49-F238E27FC236}">
              <a16:creationId xmlns:a16="http://schemas.microsoft.com/office/drawing/2014/main" id="{0065AB72-EFD1-4E11-8152-2423DC3CD8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564" name="Picture@5C\QPendientes@" descr="@5C\QPendientes@">
          <a:extLst>
            <a:ext uri="{FF2B5EF4-FFF2-40B4-BE49-F238E27FC236}">
              <a16:creationId xmlns:a16="http://schemas.microsoft.com/office/drawing/2014/main" id="{68A8D588-5202-48CB-ADC2-A721DB76F6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565" name="Picture@5C\QPendientes@" descr="@5C\QPendientes@">
          <a:extLst>
            <a:ext uri="{FF2B5EF4-FFF2-40B4-BE49-F238E27FC236}">
              <a16:creationId xmlns:a16="http://schemas.microsoft.com/office/drawing/2014/main" id="{7168D503-73A3-4F19-B166-E40AB2855D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566" name="Picture@5C\QPendientes@" descr="@5C\QPendientes@">
          <a:extLst>
            <a:ext uri="{FF2B5EF4-FFF2-40B4-BE49-F238E27FC236}">
              <a16:creationId xmlns:a16="http://schemas.microsoft.com/office/drawing/2014/main" id="{47BA71AC-B173-4FB7-9804-11EA83DDE5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567" name="Picture@5C\QPendientes@" descr="@5C\QPendientes@">
          <a:extLst>
            <a:ext uri="{FF2B5EF4-FFF2-40B4-BE49-F238E27FC236}">
              <a16:creationId xmlns:a16="http://schemas.microsoft.com/office/drawing/2014/main" id="{441D93E1-3273-43F1-AAE8-501C37FD2F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568" name="Picture@5C\QPendientes@" descr="@5C\QPendientes@">
          <a:extLst>
            <a:ext uri="{FF2B5EF4-FFF2-40B4-BE49-F238E27FC236}">
              <a16:creationId xmlns:a16="http://schemas.microsoft.com/office/drawing/2014/main" id="{7916CCF3-25D6-4D14-B297-95A6A44304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569" name="Picture@5C\QPendientes@" descr="@5C\QPendientes@">
          <a:extLst>
            <a:ext uri="{FF2B5EF4-FFF2-40B4-BE49-F238E27FC236}">
              <a16:creationId xmlns:a16="http://schemas.microsoft.com/office/drawing/2014/main" id="{296000EC-D7ED-456A-8EDC-6C765E7666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570" name="Picture@5C\QPendientes@" descr="@5C\QPendientes@">
          <a:extLst>
            <a:ext uri="{FF2B5EF4-FFF2-40B4-BE49-F238E27FC236}">
              <a16:creationId xmlns:a16="http://schemas.microsoft.com/office/drawing/2014/main" id="{899B36B0-5F79-4185-B0FF-6FB43DF010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571" name="Picture@5C\QPendientes@" descr="@5C\QPendientes@">
          <a:extLst>
            <a:ext uri="{FF2B5EF4-FFF2-40B4-BE49-F238E27FC236}">
              <a16:creationId xmlns:a16="http://schemas.microsoft.com/office/drawing/2014/main" id="{E98EC23A-6123-47E3-B333-D2CFE7A90E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572" name="Picture@5C\QPendientes@" descr="@5C\QPendientes@">
          <a:extLst>
            <a:ext uri="{FF2B5EF4-FFF2-40B4-BE49-F238E27FC236}">
              <a16:creationId xmlns:a16="http://schemas.microsoft.com/office/drawing/2014/main" id="{C82C8D4F-4A78-4A31-A75A-CA3B0DEE5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573" name="Picture@5C\QPendientes@" descr="@5C\QPendientes@">
          <a:extLst>
            <a:ext uri="{FF2B5EF4-FFF2-40B4-BE49-F238E27FC236}">
              <a16:creationId xmlns:a16="http://schemas.microsoft.com/office/drawing/2014/main" id="{5E88A7E2-EF68-42F1-90C2-42506A1C78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574" name="Picture@5C\QPendientes@" descr="@5C\QPendientes@">
          <a:extLst>
            <a:ext uri="{FF2B5EF4-FFF2-40B4-BE49-F238E27FC236}">
              <a16:creationId xmlns:a16="http://schemas.microsoft.com/office/drawing/2014/main" id="{B89CAAD4-E44E-4772-BC9B-71AEA5C78C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575" name="Picture@5C\QPendientes@" descr="@5C\QPendientes@">
          <a:extLst>
            <a:ext uri="{FF2B5EF4-FFF2-40B4-BE49-F238E27FC236}">
              <a16:creationId xmlns:a16="http://schemas.microsoft.com/office/drawing/2014/main" id="{2444D648-C242-4C84-90DA-95D2D7D69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768" name="Picture@5C\QPendientes@" descr="@5C\QPendientes@">
          <a:extLst>
            <a:ext uri="{FF2B5EF4-FFF2-40B4-BE49-F238E27FC236}">
              <a16:creationId xmlns:a16="http://schemas.microsoft.com/office/drawing/2014/main" id="{5D966F3D-2C52-4F0C-A37D-E2AE217F4B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769" name="Picture@5C\QPendientes@" descr="@5C\QPendientes@">
          <a:extLst>
            <a:ext uri="{FF2B5EF4-FFF2-40B4-BE49-F238E27FC236}">
              <a16:creationId xmlns:a16="http://schemas.microsoft.com/office/drawing/2014/main" id="{5021A848-594D-47B8-9207-0853F56A41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770" name="Picture@5C\QPendientes@" descr="@5C\QPendientes@">
          <a:extLst>
            <a:ext uri="{FF2B5EF4-FFF2-40B4-BE49-F238E27FC236}">
              <a16:creationId xmlns:a16="http://schemas.microsoft.com/office/drawing/2014/main" id="{8C6219D7-A689-4331-A41F-6C8955144D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771" name="Picture@5C\QPendientes@" descr="@5C\QPendientes@">
          <a:extLst>
            <a:ext uri="{FF2B5EF4-FFF2-40B4-BE49-F238E27FC236}">
              <a16:creationId xmlns:a16="http://schemas.microsoft.com/office/drawing/2014/main" id="{175690F0-29FE-4DEF-8606-215FB1DD7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772" name="Picture@5C\QPendientes@" descr="@5C\QPendientes@">
          <a:extLst>
            <a:ext uri="{FF2B5EF4-FFF2-40B4-BE49-F238E27FC236}">
              <a16:creationId xmlns:a16="http://schemas.microsoft.com/office/drawing/2014/main" id="{DF1DF4C9-E6A6-4CC7-82D4-05A56F3756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773" name="Picture@5C\QPendientes@" descr="@5C\QPendientes@">
          <a:extLst>
            <a:ext uri="{FF2B5EF4-FFF2-40B4-BE49-F238E27FC236}">
              <a16:creationId xmlns:a16="http://schemas.microsoft.com/office/drawing/2014/main" id="{DCD4D960-128E-4B59-B484-22D6F768CA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774" name="Picture@5C\QPendientes@" descr="@5C\QPendientes@">
          <a:extLst>
            <a:ext uri="{FF2B5EF4-FFF2-40B4-BE49-F238E27FC236}">
              <a16:creationId xmlns:a16="http://schemas.microsoft.com/office/drawing/2014/main" id="{2B150E24-4F25-44EA-952F-5672CD2539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775" name="Picture@5C\QPendientes@" descr="@5C\QPendientes@">
          <a:extLst>
            <a:ext uri="{FF2B5EF4-FFF2-40B4-BE49-F238E27FC236}">
              <a16:creationId xmlns:a16="http://schemas.microsoft.com/office/drawing/2014/main" id="{0C69C135-8E55-41B1-B3B3-10DCEED114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776" name="Picture@5C\QPendientes@" descr="@5C\QPendientes@">
          <a:extLst>
            <a:ext uri="{FF2B5EF4-FFF2-40B4-BE49-F238E27FC236}">
              <a16:creationId xmlns:a16="http://schemas.microsoft.com/office/drawing/2014/main" id="{4E6D528B-1F4F-4FA6-A590-0CCBFA7003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777" name="Picture@5C\QPendientes@" descr="@5C\QPendientes@">
          <a:extLst>
            <a:ext uri="{FF2B5EF4-FFF2-40B4-BE49-F238E27FC236}">
              <a16:creationId xmlns:a16="http://schemas.microsoft.com/office/drawing/2014/main" id="{AADC92DE-6A2A-42E9-AF74-DFBAC0CD20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778" name="Picture@5C\QPendientes@" descr="@5C\QPendientes@">
          <a:extLst>
            <a:ext uri="{FF2B5EF4-FFF2-40B4-BE49-F238E27FC236}">
              <a16:creationId xmlns:a16="http://schemas.microsoft.com/office/drawing/2014/main" id="{E5A18732-CA2E-4B86-B74F-DAA9773EE9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779" name="Picture@5C\QPendientes@" descr="@5C\QPendientes@">
          <a:extLst>
            <a:ext uri="{FF2B5EF4-FFF2-40B4-BE49-F238E27FC236}">
              <a16:creationId xmlns:a16="http://schemas.microsoft.com/office/drawing/2014/main" id="{D55DB5D6-A713-4D8D-BD94-9C0DABF7CD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780" name="Picture@5C\QPendientes@" descr="@5C\QPendientes@">
          <a:extLst>
            <a:ext uri="{FF2B5EF4-FFF2-40B4-BE49-F238E27FC236}">
              <a16:creationId xmlns:a16="http://schemas.microsoft.com/office/drawing/2014/main" id="{12C31A82-4259-4EB7-A022-751FC56039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781" name="Picture@5C\QPendientes@" descr="@5C\QPendientes@">
          <a:extLst>
            <a:ext uri="{FF2B5EF4-FFF2-40B4-BE49-F238E27FC236}">
              <a16:creationId xmlns:a16="http://schemas.microsoft.com/office/drawing/2014/main" id="{B05C2821-AC1D-432A-A200-75D1FA531A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782" name="Picture@5C\QPendientes@" descr="@5C\QPendientes@">
          <a:extLst>
            <a:ext uri="{FF2B5EF4-FFF2-40B4-BE49-F238E27FC236}">
              <a16:creationId xmlns:a16="http://schemas.microsoft.com/office/drawing/2014/main" id="{14C419C3-AEFF-47A5-9BB2-2C7CD8DBF0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783" name="Picture@5C\QPendientes@" descr="@5C\QPendientes@">
          <a:extLst>
            <a:ext uri="{FF2B5EF4-FFF2-40B4-BE49-F238E27FC236}">
              <a16:creationId xmlns:a16="http://schemas.microsoft.com/office/drawing/2014/main" id="{DF1826A3-4B25-433A-9065-5F45E86581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784" name="Picture@5C\QPendientes@" descr="@5C\QPendientes@">
          <a:extLst>
            <a:ext uri="{FF2B5EF4-FFF2-40B4-BE49-F238E27FC236}">
              <a16:creationId xmlns:a16="http://schemas.microsoft.com/office/drawing/2014/main" id="{01690F78-9073-4A85-8A64-8F092300EA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785" name="Picture@5C\QPendientes@" descr="@5C\QPendientes@">
          <a:extLst>
            <a:ext uri="{FF2B5EF4-FFF2-40B4-BE49-F238E27FC236}">
              <a16:creationId xmlns:a16="http://schemas.microsoft.com/office/drawing/2014/main" id="{3DB3DDB1-AB8B-4FE1-B7C3-1AED3B1D6D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786" name="Picture@5C\QPendientes@" descr="@5C\QPendientes@">
          <a:extLst>
            <a:ext uri="{FF2B5EF4-FFF2-40B4-BE49-F238E27FC236}">
              <a16:creationId xmlns:a16="http://schemas.microsoft.com/office/drawing/2014/main" id="{29FE4C15-49EC-4589-946D-5C8BBCCAC7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787" name="Picture@5C\QPendientes@" descr="@5C\QPendientes@">
          <a:extLst>
            <a:ext uri="{FF2B5EF4-FFF2-40B4-BE49-F238E27FC236}">
              <a16:creationId xmlns:a16="http://schemas.microsoft.com/office/drawing/2014/main" id="{3760C997-8B15-4B23-8E47-B033C84BA5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788" name="Picture@5C\QPendientes@" descr="@5C\QPendientes@">
          <a:extLst>
            <a:ext uri="{FF2B5EF4-FFF2-40B4-BE49-F238E27FC236}">
              <a16:creationId xmlns:a16="http://schemas.microsoft.com/office/drawing/2014/main" id="{3B6CD5A2-C04B-4FB0-8438-071071845F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789" name="Picture@5C\QPendientes@" descr="@5C\QPendientes@">
          <a:extLst>
            <a:ext uri="{FF2B5EF4-FFF2-40B4-BE49-F238E27FC236}">
              <a16:creationId xmlns:a16="http://schemas.microsoft.com/office/drawing/2014/main" id="{F3D0B28D-C351-465E-8AD0-4D40B946E4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790" name="Picture@5C\QPendientes@" descr="@5C\QPendientes@">
          <a:extLst>
            <a:ext uri="{FF2B5EF4-FFF2-40B4-BE49-F238E27FC236}">
              <a16:creationId xmlns:a16="http://schemas.microsoft.com/office/drawing/2014/main" id="{F2BE3DA1-CA17-43EC-BC25-FAEB48BAA3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791" name="Picture@5C\QPendientes@" descr="@5C\QPendientes@">
          <a:extLst>
            <a:ext uri="{FF2B5EF4-FFF2-40B4-BE49-F238E27FC236}">
              <a16:creationId xmlns:a16="http://schemas.microsoft.com/office/drawing/2014/main" id="{B3666EE8-8B0C-48A4-878C-4901493ECE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792" name="Picture@5C\QPendientes@" descr="@5C\QPendientes@">
          <a:extLst>
            <a:ext uri="{FF2B5EF4-FFF2-40B4-BE49-F238E27FC236}">
              <a16:creationId xmlns:a16="http://schemas.microsoft.com/office/drawing/2014/main" id="{62F42755-E2A3-46AD-957A-8C2E030EEE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793" name="Picture@5C\QPendientes@" descr="@5C\QPendientes@">
          <a:extLst>
            <a:ext uri="{FF2B5EF4-FFF2-40B4-BE49-F238E27FC236}">
              <a16:creationId xmlns:a16="http://schemas.microsoft.com/office/drawing/2014/main" id="{CD0FAAE9-D858-4492-B2C2-3C3AF70E1D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794" name="Picture@5C\QPendientes@" descr="@5C\QPendientes@">
          <a:extLst>
            <a:ext uri="{FF2B5EF4-FFF2-40B4-BE49-F238E27FC236}">
              <a16:creationId xmlns:a16="http://schemas.microsoft.com/office/drawing/2014/main" id="{E68B36FB-CC9D-440D-AA7B-C4A7EB2707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795" name="Picture@5C\QPendientes@" descr="@5C\QPendientes@">
          <a:extLst>
            <a:ext uri="{FF2B5EF4-FFF2-40B4-BE49-F238E27FC236}">
              <a16:creationId xmlns:a16="http://schemas.microsoft.com/office/drawing/2014/main" id="{9AE92D24-7267-475E-A865-99C3A681B1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796" name="Picture@5C\QPendientes@" descr="@5C\QPendientes@">
          <a:extLst>
            <a:ext uri="{FF2B5EF4-FFF2-40B4-BE49-F238E27FC236}">
              <a16:creationId xmlns:a16="http://schemas.microsoft.com/office/drawing/2014/main" id="{1F9FE4FF-0845-4FC2-8FF2-C80296D873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797" name="Picture@5C\QPendientes@" descr="@5C\QPendientes@">
          <a:extLst>
            <a:ext uri="{FF2B5EF4-FFF2-40B4-BE49-F238E27FC236}">
              <a16:creationId xmlns:a16="http://schemas.microsoft.com/office/drawing/2014/main" id="{10E338CF-5612-45FD-9CF6-7E938D7DB6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798" name="Picture@5C\QPendientes@" descr="@5C\QPendientes@">
          <a:extLst>
            <a:ext uri="{FF2B5EF4-FFF2-40B4-BE49-F238E27FC236}">
              <a16:creationId xmlns:a16="http://schemas.microsoft.com/office/drawing/2014/main" id="{536754F7-ECAA-465C-9C52-520C03A357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799" name="Picture@5C\QPendientes@" descr="@5C\QPendientes@">
          <a:extLst>
            <a:ext uri="{FF2B5EF4-FFF2-40B4-BE49-F238E27FC236}">
              <a16:creationId xmlns:a16="http://schemas.microsoft.com/office/drawing/2014/main" id="{09E890A7-C117-4159-A85A-BCC3D6FA65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800" name="Picture@5C\QPendientes@" descr="@5C\QPendientes@">
          <a:extLst>
            <a:ext uri="{FF2B5EF4-FFF2-40B4-BE49-F238E27FC236}">
              <a16:creationId xmlns:a16="http://schemas.microsoft.com/office/drawing/2014/main" id="{2821F56A-1DC9-47EF-AF16-117D7EBD57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801" name="Picture@5C\QPendientes@" descr="@5C\QPendientes@">
          <a:extLst>
            <a:ext uri="{FF2B5EF4-FFF2-40B4-BE49-F238E27FC236}">
              <a16:creationId xmlns:a16="http://schemas.microsoft.com/office/drawing/2014/main" id="{2B39FE6F-83B9-4D7F-B1ED-DBD23C85F1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802" name="Picture@5C\QPendientes@" descr="@5C\QPendientes@">
          <a:extLst>
            <a:ext uri="{FF2B5EF4-FFF2-40B4-BE49-F238E27FC236}">
              <a16:creationId xmlns:a16="http://schemas.microsoft.com/office/drawing/2014/main" id="{D5FAFDAB-F060-4F5B-849D-A91CB6D150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803" name="Picture@5C\QPendientes@" descr="@5C\QPendientes@">
          <a:extLst>
            <a:ext uri="{FF2B5EF4-FFF2-40B4-BE49-F238E27FC236}">
              <a16:creationId xmlns:a16="http://schemas.microsoft.com/office/drawing/2014/main" id="{6DE8CECE-A919-45F3-8CC2-8F76B22B93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804" name="Picture@5C\QPendientes@" descr="@5C\QPendientes@">
          <a:extLst>
            <a:ext uri="{FF2B5EF4-FFF2-40B4-BE49-F238E27FC236}">
              <a16:creationId xmlns:a16="http://schemas.microsoft.com/office/drawing/2014/main" id="{BAE7A334-68DC-41AF-BB6C-D000EBAEB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805" name="Picture@5C\QPendientes@" descr="@5C\QPendientes@">
          <a:extLst>
            <a:ext uri="{FF2B5EF4-FFF2-40B4-BE49-F238E27FC236}">
              <a16:creationId xmlns:a16="http://schemas.microsoft.com/office/drawing/2014/main" id="{2F54FE0E-E781-48F2-BCC3-16E03E1D8E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806" name="Picture@5C\QPendientes@" descr="@5C\QPendientes@">
          <a:extLst>
            <a:ext uri="{FF2B5EF4-FFF2-40B4-BE49-F238E27FC236}">
              <a16:creationId xmlns:a16="http://schemas.microsoft.com/office/drawing/2014/main" id="{C56F376F-3A63-4FB0-BB2D-0F89331E21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807" name="Picture@5C\QPendientes@" descr="@5C\QPendientes@">
          <a:extLst>
            <a:ext uri="{FF2B5EF4-FFF2-40B4-BE49-F238E27FC236}">
              <a16:creationId xmlns:a16="http://schemas.microsoft.com/office/drawing/2014/main" id="{4E28FA0C-01AC-4959-B2A1-9899F4AE95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808" name="Picture@5C\QPendientes@" descr="@5C\QPendientes@">
          <a:extLst>
            <a:ext uri="{FF2B5EF4-FFF2-40B4-BE49-F238E27FC236}">
              <a16:creationId xmlns:a16="http://schemas.microsoft.com/office/drawing/2014/main" id="{ED8AA624-FDC5-4413-BEE5-012D75EF88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1370" name="Picture@5C\QPendientes@" descr="@5C\QPendientes@">
          <a:extLst>
            <a:ext uri="{FF2B5EF4-FFF2-40B4-BE49-F238E27FC236}">
              <a16:creationId xmlns:a16="http://schemas.microsoft.com/office/drawing/2014/main" id="{D3405A33-8F53-4AEC-8EAB-EBCDBCC50C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1371" name="Picture@5C\QPendientes@" descr="@5C\QPendientes@">
          <a:extLst>
            <a:ext uri="{FF2B5EF4-FFF2-40B4-BE49-F238E27FC236}">
              <a16:creationId xmlns:a16="http://schemas.microsoft.com/office/drawing/2014/main" id="{38222844-69C6-4F62-A494-56F191B9D0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1372" name="Picture@5C\QPendientes@" descr="@5C\QPendientes@">
          <a:extLst>
            <a:ext uri="{FF2B5EF4-FFF2-40B4-BE49-F238E27FC236}">
              <a16:creationId xmlns:a16="http://schemas.microsoft.com/office/drawing/2014/main" id="{0FF4B2D8-B49A-4D09-826C-043DA49BB3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1373" name="Picture@5C\QPendientes@" descr="@5C\QPendientes@">
          <a:extLst>
            <a:ext uri="{FF2B5EF4-FFF2-40B4-BE49-F238E27FC236}">
              <a16:creationId xmlns:a16="http://schemas.microsoft.com/office/drawing/2014/main" id="{6AFB0283-0145-42FF-936B-8D6AADC317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1374" name="Picture@5C\QPendientes@" descr="@5C\QPendientes@">
          <a:extLst>
            <a:ext uri="{FF2B5EF4-FFF2-40B4-BE49-F238E27FC236}">
              <a16:creationId xmlns:a16="http://schemas.microsoft.com/office/drawing/2014/main" id="{C1883B20-8470-4CD3-B63C-4B4803E291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1375" name="Picture@5C\QPendientes@" descr="@5C\QPendientes@">
          <a:extLst>
            <a:ext uri="{FF2B5EF4-FFF2-40B4-BE49-F238E27FC236}">
              <a16:creationId xmlns:a16="http://schemas.microsoft.com/office/drawing/2014/main" id="{BA60074B-06B9-4E27-B4C0-CBAAE3DE28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1376" name="Picture@5C\QPendientes@" descr="@5C\QPendientes@">
          <a:extLst>
            <a:ext uri="{FF2B5EF4-FFF2-40B4-BE49-F238E27FC236}">
              <a16:creationId xmlns:a16="http://schemas.microsoft.com/office/drawing/2014/main" id="{494D93F1-8ED9-4CB3-8D73-DF185BC6B3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1377" name="Picture@5C\QPendientes@" descr="@5C\QPendientes@">
          <a:extLst>
            <a:ext uri="{FF2B5EF4-FFF2-40B4-BE49-F238E27FC236}">
              <a16:creationId xmlns:a16="http://schemas.microsoft.com/office/drawing/2014/main" id="{194C72EE-3776-421A-B132-537C1D08FC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1378" name="Picture@5C\QPendientes@" descr="@5C\QPendientes@">
          <a:extLst>
            <a:ext uri="{FF2B5EF4-FFF2-40B4-BE49-F238E27FC236}">
              <a16:creationId xmlns:a16="http://schemas.microsoft.com/office/drawing/2014/main" id="{5255483A-7389-462D-A155-BA7A05EBB4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1379" name="Picture@5C\QPendientes@" descr="@5C\QPendientes@">
          <a:extLst>
            <a:ext uri="{FF2B5EF4-FFF2-40B4-BE49-F238E27FC236}">
              <a16:creationId xmlns:a16="http://schemas.microsoft.com/office/drawing/2014/main" id="{F8ACA565-A4DA-433A-8BB3-CD345366DF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1380" name="Picture@5C\QPendientes@" descr="@5C\QPendientes@">
          <a:extLst>
            <a:ext uri="{FF2B5EF4-FFF2-40B4-BE49-F238E27FC236}">
              <a16:creationId xmlns:a16="http://schemas.microsoft.com/office/drawing/2014/main" id="{B3797F4D-9C05-458A-AE4E-BFC9F7CCA0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1381" name="Picture@5C\QPendientes@" descr="@5C\QPendientes@">
          <a:extLst>
            <a:ext uri="{FF2B5EF4-FFF2-40B4-BE49-F238E27FC236}">
              <a16:creationId xmlns:a16="http://schemas.microsoft.com/office/drawing/2014/main" id="{4AC7320E-3CC4-41F8-975C-7EB15F2EEC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1382" name="Picture@5C\QPendientes@" descr="@5C\QPendientes@">
          <a:extLst>
            <a:ext uri="{FF2B5EF4-FFF2-40B4-BE49-F238E27FC236}">
              <a16:creationId xmlns:a16="http://schemas.microsoft.com/office/drawing/2014/main" id="{18385AE8-FA09-460A-9B3D-127724BB76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1383" name="Picture@5C\QPendientes@" descr="@5C\QPendientes@">
          <a:extLst>
            <a:ext uri="{FF2B5EF4-FFF2-40B4-BE49-F238E27FC236}">
              <a16:creationId xmlns:a16="http://schemas.microsoft.com/office/drawing/2014/main" id="{69C8264C-9E13-4C76-8E67-5B5FC6503A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1384" name="Picture@5C\QPendientes@" descr="@5C\QPendientes@">
          <a:extLst>
            <a:ext uri="{FF2B5EF4-FFF2-40B4-BE49-F238E27FC236}">
              <a16:creationId xmlns:a16="http://schemas.microsoft.com/office/drawing/2014/main" id="{64E20CE3-F754-4A82-A189-8874EDF9D1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1385" name="Picture@5C\QPendientes@" descr="@5C\QPendientes@">
          <a:extLst>
            <a:ext uri="{FF2B5EF4-FFF2-40B4-BE49-F238E27FC236}">
              <a16:creationId xmlns:a16="http://schemas.microsoft.com/office/drawing/2014/main" id="{DF8E2DC9-2DE9-420D-A707-002D3B33D5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1386" name="Picture@5C\QPendientes@" descr="@5C\QPendientes@">
          <a:extLst>
            <a:ext uri="{FF2B5EF4-FFF2-40B4-BE49-F238E27FC236}">
              <a16:creationId xmlns:a16="http://schemas.microsoft.com/office/drawing/2014/main" id="{6BDFC822-2FDD-4783-8F59-7AE81AD5BE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1387" name="Picture@5C\QPendientes@" descr="@5C\QPendientes@">
          <a:extLst>
            <a:ext uri="{FF2B5EF4-FFF2-40B4-BE49-F238E27FC236}">
              <a16:creationId xmlns:a16="http://schemas.microsoft.com/office/drawing/2014/main" id="{AAFC47F2-38A0-4530-B77F-9F24B4A86C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1388" name="Picture@5C\QPendientes@" descr="@5C\QPendientes@">
          <a:extLst>
            <a:ext uri="{FF2B5EF4-FFF2-40B4-BE49-F238E27FC236}">
              <a16:creationId xmlns:a16="http://schemas.microsoft.com/office/drawing/2014/main" id="{CD4345C4-0C37-48CC-8B67-7C4BFEF94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1389" name="Picture@5C\QPendientes@" descr="@5C\QPendientes@">
          <a:extLst>
            <a:ext uri="{FF2B5EF4-FFF2-40B4-BE49-F238E27FC236}">
              <a16:creationId xmlns:a16="http://schemas.microsoft.com/office/drawing/2014/main" id="{96C5713D-1643-45B9-9A0E-82E72F81E3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1390" name="Picture@5C\QPendientes@" descr="@5C\QPendientes@">
          <a:extLst>
            <a:ext uri="{FF2B5EF4-FFF2-40B4-BE49-F238E27FC236}">
              <a16:creationId xmlns:a16="http://schemas.microsoft.com/office/drawing/2014/main" id="{139F9BD9-77A6-4FCE-A2CA-ABABCD3099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1391" name="Picture@5C\QPendientes@" descr="@5C\QPendientes@">
          <a:extLst>
            <a:ext uri="{FF2B5EF4-FFF2-40B4-BE49-F238E27FC236}">
              <a16:creationId xmlns:a16="http://schemas.microsoft.com/office/drawing/2014/main" id="{F866B997-2C04-40CE-948E-5801397DF8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1392" name="Picture@5C\QPendientes@" descr="@5C\QPendientes@">
          <a:extLst>
            <a:ext uri="{FF2B5EF4-FFF2-40B4-BE49-F238E27FC236}">
              <a16:creationId xmlns:a16="http://schemas.microsoft.com/office/drawing/2014/main" id="{9F41869B-07D2-4EAF-8C15-19177546F0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1393" name="Picture@5C\QPendientes@" descr="@5C\QPendientes@">
          <a:extLst>
            <a:ext uri="{FF2B5EF4-FFF2-40B4-BE49-F238E27FC236}">
              <a16:creationId xmlns:a16="http://schemas.microsoft.com/office/drawing/2014/main" id="{AD4A7B28-9A71-46E1-99B3-A26FCD01D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1394" name="Picture@5C\QPendientes@" descr="@5C\QPendientes@">
          <a:extLst>
            <a:ext uri="{FF2B5EF4-FFF2-40B4-BE49-F238E27FC236}">
              <a16:creationId xmlns:a16="http://schemas.microsoft.com/office/drawing/2014/main" id="{88C5C7F7-01FD-4A5D-A200-C16A76ADF3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1395" name="Picture@5C\QPendientes@" descr="@5C\QPendientes@">
          <a:extLst>
            <a:ext uri="{FF2B5EF4-FFF2-40B4-BE49-F238E27FC236}">
              <a16:creationId xmlns:a16="http://schemas.microsoft.com/office/drawing/2014/main" id="{2C42DCCE-314C-4196-9FC8-15A45186F6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1396" name="Picture@5C\QPendientes@" descr="@5C\QPendientes@">
          <a:extLst>
            <a:ext uri="{FF2B5EF4-FFF2-40B4-BE49-F238E27FC236}">
              <a16:creationId xmlns:a16="http://schemas.microsoft.com/office/drawing/2014/main" id="{55D7EE67-1982-4933-94C0-254D0661DF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1397" name="Picture@5C\QPendientes@" descr="@5C\QPendientes@">
          <a:extLst>
            <a:ext uri="{FF2B5EF4-FFF2-40B4-BE49-F238E27FC236}">
              <a16:creationId xmlns:a16="http://schemas.microsoft.com/office/drawing/2014/main" id="{09781B37-2D5C-4ED9-B097-20D7381273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1398" name="Picture@5C\QPendientes@" descr="@5C\QPendientes@">
          <a:extLst>
            <a:ext uri="{FF2B5EF4-FFF2-40B4-BE49-F238E27FC236}">
              <a16:creationId xmlns:a16="http://schemas.microsoft.com/office/drawing/2014/main" id="{C4392B93-6CD6-4902-86C2-4405A7A59B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1399" name="Picture@5C\QPendientes@" descr="@5C\QPendientes@">
          <a:extLst>
            <a:ext uri="{FF2B5EF4-FFF2-40B4-BE49-F238E27FC236}">
              <a16:creationId xmlns:a16="http://schemas.microsoft.com/office/drawing/2014/main" id="{220E957D-4D24-4AA8-812F-E3103332C3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1400" name="Picture@5C\QPendientes@" descr="@5C\QPendientes@">
          <a:extLst>
            <a:ext uri="{FF2B5EF4-FFF2-40B4-BE49-F238E27FC236}">
              <a16:creationId xmlns:a16="http://schemas.microsoft.com/office/drawing/2014/main" id="{BEDC929B-DE50-4451-A623-3CDA8200DD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1401" name="Picture@5C\QPendientes@" descr="@5C\QPendientes@">
          <a:extLst>
            <a:ext uri="{FF2B5EF4-FFF2-40B4-BE49-F238E27FC236}">
              <a16:creationId xmlns:a16="http://schemas.microsoft.com/office/drawing/2014/main" id="{2635A8D3-DD79-47FD-9A30-8DBC05AEEF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1402" name="Picture@5C\QPendientes@" descr="@5C\QPendientes@">
          <a:extLst>
            <a:ext uri="{FF2B5EF4-FFF2-40B4-BE49-F238E27FC236}">
              <a16:creationId xmlns:a16="http://schemas.microsoft.com/office/drawing/2014/main" id="{A419CCB0-693F-44DA-B4FB-5D08DC3E46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1403" name="Picture@5C\QPendientes@" descr="@5C\QPendientes@">
          <a:extLst>
            <a:ext uri="{FF2B5EF4-FFF2-40B4-BE49-F238E27FC236}">
              <a16:creationId xmlns:a16="http://schemas.microsoft.com/office/drawing/2014/main" id="{E3996C9F-D0F5-415A-8DFC-BEBAF0C0B7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1404" name="Picture@5C\QPendientes@" descr="@5C\QPendientes@">
          <a:extLst>
            <a:ext uri="{FF2B5EF4-FFF2-40B4-BE49-F238E27FC236}">
              <a16:creationId xmlns:a16="http://schemas.microsoft.com/office/drawing/2014/main" id="{EA93A866-C8D8-49AD-BF40-9E1E6F8582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1405" name="Picture@5C\QPendientes@" descr="@5C\QPendientes@">
          <a:extLst>
            <a:ext uri="{FF2B5EF4-FFF2-40B4-BE49-F238E27FC236}">
              <a16:creationId xmlns:a16="http://schemas.microsoft.com/office/drawing/2014/main" id="{6AA111E7-87B0-405F-9FA3-701394C7D2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1406" name="Picture@5C\QPendientes@" descr="@5C\QPendientes@">
          <a:extLst>
            <a:ext uri="{FF2B5EF4-FFF2-40B4-BE49-F238E27FC236}">
              <a16:creationId xmlns:a16="http://schemas.microsoft.com/office/drawing/2014/main" id="{E69A7C6E-1EF0-4BED-9765-3A86145330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1407" name="Picture@5C\QPendientes@" descr="@5C\QPendientes@">
          <a:extLst>
            <a:ext uri="{FF2B5EF4-FFF2-40B4-BE49-F238E27FC236}">
              <a16:creationId xmlns:a16="http://schemas.microsoft.com/office/drawing/2014/main" id="{0E7C8D7D-CF9B-4B57-BA26-90109A5C87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1408" name="Picture@5C\QPendientes@" descr="@5C\QPendientes@">
          <a:extLst>
            <a:ext uri="{FF2B5EF4-FFF2-40B4-BE49-F238E27FC236}">
              <a16:creationId xmlns:a16="http://schemas.microsoft.com/office/drawing/2014/main" id="{563BD774-A0B5-4ADD-BD77-330DFB8219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1409" name="Picture@5C\QPendientes@" descr="@5C\QPendientes@">
          <a:extLst>
            <a:ext uri="{FF2B5EF4-FFF2-40B4-BE49-F238E27FC236}">
              <a16:creationId xmlns:a16="http://schemas.microsoft.com/office/drawing/2014/main" id="{97EACA82-AA13-450B-BE8B-774E806D8D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1410" name="Picture@5C\QPendientes@" descr="@5C\QPendientes@">
          <a:extLst>
            <a:ext uri="{FF2B5EF4-FFF2-40B4-BE49-F238E27FC236}">
              <a16:creationId xmlns:a16="http://schemas.microsoft.com/office/drawing/2014/main" id="{80DF3FBE-701E-44E5-84DC-ABDDBFA797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1411" name="Picture@5C\QPendientes@" descr="@5C\QPendientes@">
          <a:extLst>
            <a:ext uri="{FF2B5EF4-FFF2-40B4-BE49-F238E27FC236}">
              <a16:creationId xmlns:a16="http://schemas.microsoft.com/office/drawing/2014/main" id="{61F8D3DF-CA80-4B50-AC6C-9C6B5B2827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1412" name="Picture@5C\QPendientes@" descr="@5C\QPendientes@">
          <a:extLst>
            <a:ext uri="{FF2B5EF4-FFF2-40B4-BE49-F238E27FC236}">
              <a16:creationId xmlns:a16="http://schemas.microsoft.com/office/drawing/2014/main" id="{0A9A9ED9-B2EF-401D-8C3A-7779431560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1413" name="Picture@5C\QPendientes@" descr="@5C\QPendientes@">
          <a:extLst>
            <a:ext uri="{FF2B5EF4-FFF2-40B4-BE49-F238E27FC236}">
              <a16:creationId xmlns:a16="http://schemas.microsoft.com/office/drawing/2014/main" id="{1B9A7C81-F075-492E-955E-6A6A925746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1414" name="Picture@5C\QPendientes@" descr="@5C\QPendientes@">
          <a:extLst>
            <a:ext uri="{FF2B5EF4-FFF2-40B4-BE49-F238E27FC236}">
              <a16:creationId xmlns:a16="http://schemas.microsoft.com/office/drawing/2014/main" id="{31347B31-9BBC-4650-87FA-F1EC77A5D1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1415" name="Picture@5C\QPendientes@" descr="@5C\QPendientes@">
          <a:extLst>
            <a:ext uri="{FF2B5EF4-FFF2-40B4-BE49-F238E27FC236}">
              <a16:creationId xmlns:a16="http://schemas.microsoft.com/office/drawing/2014/main" id="{3DABA754-87D7-4385-A9B3-E3589D4BCA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1416" name="Picture@5C\QPendientes@" descr="@5C\QPendientes@">
          <a:extLst>
            <a:ext uri="{FF2B5EF4-FFF2-40B4-BE49-F238E27FC236}">
              <a16:creationId xmlns:a16="http://schemas.microsoft.com/office/drawing/2014/main" id="{2BDF6103-7FA5-4CF5-B082-65C2756E2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1417" name="Picture@5C\QPendientes@" descr="@5C\QPendientes@">
          <a:extLst>
            <a:ext uri="{FF2B5EF4-FFF2-40B4-BE49-F238E27FC236}">
              <a16:creationId xmlns:a16="http://schemas.microsoft.com/office/drawing/2014/main" id="{D90D7088-4291-4F6F-A783-F995615D76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1418" name="Picture@5C\QPendientes@" descr="@5C\QPendientes@">
          <a:extLst>
            <a:ext uri="{FF2B5EF4-FFF2-40B4-BE49-F238E27FC236}">
              <a16:creationId xmlns:a16="http://schemas.microsoft.com/office/drawing/2014/main" id="{BB6551CB-38A6-4C1D-873D-33913AE396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1419" name="Picture@5C\QPendientes@" descr="@5C\QPendientes@">
          <a:extLst>
            <a:ext uri="{FF2B5EF4-FFF2-40B4-BE49-F238E27FC236}">
              <a16:creationId xmlns:a16="http://schemas.microsoft.com/office/drawing/2014/main" id="{921CE5B7-338D-4680-8D49-28188422E6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1420" name="Picture@5C\QPendientes@" descr="@5C\QPendientes@">
          <a:extLst>
            <a:ext uri="{FF2B5EF4-FFF2-40B4-BE49-F238E27FC236}">
              <a16:creationId xmlns:a16="http://schemas.microsoft.com/office/drawing/2014/main" id="{8D58D487-A70D-4DFE-BB5E-7F05B6F8A0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1421" name="Picture@5C\QPendientes@" descr="@5C\QPendientes@">
          <a:extLst>
            <a:ext uri="{FF2B5EF4-FFF2-40B4-BE49-F238E27FC236}">
              <a16:creationId xmlns:a16="http://schemas.microsoft.com/office/drawing/2014/main" id="{42E2AABA-B87A-402C-9615-874E3552A6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1422" name="Picture@5C\QPendientes@" descr="@5C\QPendientes@">
          <a:extLst>
            <a:ext uri="{FF2B5EF4-FFF2-40B4-BE49-F238E27FC236}">
              <a16:creationId xmlns:a16="http://schemas.microsoft.com/office/drawing/2014/main" id="{0CDB2027-6D3C-4BCA-AD7A-5BE81CEC74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1423" name="Picture@5C\QPendientes@" descr="@5C\QPendientes@">
          <a:extLst>
            <a:ext uri="{FF2B5EF4-FFF2-40B4-BE49-F238E27FC236}">
              <a16:creationId xmlns:a16="http://schemas.microsoft.com/office/drawing/2014/main" id="{57D49987-824D-4696-AA10-6E543579F1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1424" name="Picture@5C\QPendientes@" descr="@5C\QPendientes@">
          <a:extLst>
            <a:ext uri="{FF2B5EF4-FFF2-40B4-BE49-F238E27FC236}">
              <a16:creationId xmlns:a16="http://schemas.microsoft.com/office/drawing/2014/main" id="{38C52B37-C932-436F-8216-C89F0FCC45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1425" name="Picture@5C\QPendientes@" descr="@5C\QPendientes@">
          <a:extLst>
            <a:ext uri="{FF2B5EF4-FFF2-40B4-BE49-F238E27FC236}">
              <a16:creationId xmlns:a16="http://schemas.microsoft.com/office/drawing/2014/main" id="{5BED96A0-FED7-4F3C-995D-F2C5654F8E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1426" name="Picture@5C\QPendientes@" descr="@5C\QPendientes@">
          <a:extLst>
            <a:ext uri="{FF2B5EF4-FFF2-40B4-BE49-F238E27FC236}">
              <a16:creationId xmlns:a16="http://schemas.microsoft.com/office/drawing/2014/main" id="{D06EAA43-85DE-4734-8529-48E90CC202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1427" name="Picture@5C\QPendientes@" descr="@5C\QPendientes@">
          <a:extLst>
            <a:ext uri="{FF2B5EF4-FFF2-40B4-BE49-F238E27FC236}">
              <a16:creationId xmlns:a16="http://schemas.microsoft.com/office/drawing/2014/main" id="{DAB55755-F21C-4392-97C4-FCAA658191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1428" name="Picture@5C\QPendientes@" descr="@5C\QPendientes@">
          <a:extLst>
            <a:ext uri="{FF2B5EF4-FFF2-40B4-BE49-F238E27FC236}">
              <a16:creationId xmlns:a16="http://schemas.microsoft.com/office/drawing/2014/main" id="{39784B41-DA5B-48F6-8903-9EB90DAE08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1429" name="Picture@5C\QPendientes@" descr="@5C\QPendientes@">
          <a:extLst>
            <a:ext uri="{FF2B5EF4-FFF2-40B4-BE49-F238E27FC236}">
              <a16:creationId xmlns:a16="http://schemas.microsoft.com/office/drawing/2014/main" id="{ABC384B6-0455-4CE3-B157-752DF1EDC6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1430" name="Picture@5C\QPendientes@" descr="@5C\QPendientes@">
          <a:extLst>
            <a:ext uri="{FF2B5EF4-FFF2-40B4-BE49-F238E27FC236}">
              <a16:creationId xmlns:a16="http://schemas.microsoft.com/office/drawing/2014/main" id="{D8080327-CE0A-4624-A47B-5A7582CB08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1431" name="Picture@5C\QPendientes@" descr="@5C\QPendientes@">
          <a:extLst>
            <a:ext uri="{FF2B5EF4-FFF2-40B4-BE49-F238E27FC236}">
              <a16:creationId xmlns:a16="http://schemas.microsoft.com/office/drawing/2014/main" id="{1ED6AB31-58D7-4428-8699-DF27B1935F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1432" name="Picture@5C\QPendientes@" descr="@5C\QPendientes@">
          <a:extLst>
            <a:ext uri="{FF2B5EF4-FFF2-40B4-BE49-F238E27FC236}">
              <a16:creationId xmlns:a16="http://schemas.microsoft.com/office/drawing/2014/main" id="{CBE1AF69-114F-4C2A-96C6-AB8B6BBC5C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1433" name="Picture@5C\QPendientes@" descr="@5C\QPendientes@">
          <a:extLst>
            <a:ext uri="{FF2B5EF4-FFF2-40B4-BE49-F238E27FC236}">
              <a16:creationId xmlns:a16="http://schemas.microsoft.com/office/drawing/2014/main" id="{7E117C9E-1B58-4821-BC97-4154393517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1434" name="Picture@5C\QPendientes@" descr="@5C\QPendientes@">
          <a:extLst>
            <a:ext uri="{FF2B5EF4-FFF2-40B4-BE49-F238E27FC236}">
              <a16:creationId xmlns:a16="http://schemas.microsoft.com/office/drawing/2014/main" id="{EAAE67ED-6FD3-4781-BFEB-14DC259A0E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1435" name="Picture@5C\QPendientes@" descr="@5C\QPendientes@">
          <a:extLst>
            <a:ext uri="{FF2B5EF4-FFF2-40B4-BE49-F238E27FC236}">
              <a16:creationId xmlns:a16="http://schemas.microsoft.com/office/drawing/2014/main" id="{8B4B28EF-9BDE-4684-8E19-5273B99ED6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1436" name="Picture@5C\QPendientes@" descr="@5C\QPendientes@">
          <a:extLst>
            <a:ext uri="{FF2B5EF4-FFF2-40B4-BE49-F238E27FC236}">
              <a16:creationId xmlns:a16="http://schemas.microsoft.com/office/drawing/2014/main" id="{118ECD9C-3A6E-45B5-BD69-F0ED375F08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1437" name="Picture@5C\QPendientes@" descr="@5C\QPendientes@">
          <a:extLst>
            <a:ext uri="{FF2B5EF4-FFF2-40B4-BE49-F238E27FC236}">
              <a16:creationId xmlns:a16="http://schemas.microsoft.com/office/drawing/2014/main" id="{D98163F8-1F72-49A1-9CE5-A092BBA0E7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1438" name="Picture@5C\QPendientes@" descr="@5C\QPendientes@">
          <a:extLst>
            <a:ext uri="{FF2B5EF4-FFF2-40B4-BE49-F238E27FC236}">
              <a16:creationId xmlns:a16="http://schemas.microsoft.com/office/drawing/2014/main" id="{B354EBC8-E7DF-42C6-A998-BBCF1111DE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1439" name="Picture@5C\QPendientes@" descr="@5C\QPendientes@">
          <a:extLst>
            <a:ext uri="{FF2B5EF4-FFF2-40B4-BE49-F238E27FC236}">
              <a16:creationId xmlns:a16="http://schemas.microsoft.com/office/drawing/2014/main" id="{BA039898-F08D-4805-B30A-91FCB755BD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1440" name="Picture@5C\QPendientes@" descr="@5C\QPendientes@">
          <a:extLst>
            <a:ext uri="{FF2B5EF4-FFF2-40B4-BE49-F238E27FC236}">
              <a16:creationId xmlns:a16="http://schemas.microsoft.com/office/drawing/2014/main" id="{ECA8F9AD-FEEE-446F-9224-FA9E6104F9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1441" name="Picture@5C\QPendientes@" descr="@5C\QPendientes@">
          <a:extLst>
            <a:ext uri="{FF2B5EF4-FFF2-40B4-BE49-F238E27FC236}">
              <a16:creationId xmlns:a16="http://schemas.microsoft.com/office/drawing/2014/main" id="{94296841-E665-4D20-916E-7702A3C97A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442" name="Picture@5C\QPendientes@" descr="@5C\QPendientes@">
          <a:extLst>
            <a:ext uri="{FF2B5EF4-FFF2-40B4-BE49-F238E27FC236}">
              <a16:creationId xmlns:a16="http://schemas.microsoft.com/office/drawing/2014/main" id="{D784EDFF-5326-44C0-BC5C-F77EC46229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443" name="Picture@5C\QPendientes@" descr="@5C\QPendientes@">
          <a:extLst>
            <a:ext uri="{FF2B5EF4-FFF2-40B4-BE49-F238E27FC236}">
              <a16:creationId xmlns:a16="http://schemas.microsoft.com/office/drawing/2014/main" id="{E9A4B15F-2708-46DF-995B-26F05DF0EE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444" name="Picture@5C\QPendientes@" descr="@5C\QPendientes@">
          <a:extLst>
            <a:ext uri="{FF2B5EF4-FFF2-40B4-BE49-F238E27FC236}">
              <a16:creationId xmlns:a16="http://schemas.microsoft.com/office/drawing/2014/main" id="{891E4BC8-D63E-48D5-92B5-6930E18CE0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1445" name="Picture@5C\QPendientes@" descr="@5C\QPendientes@">
          <a:extLst>
            <a:ext uri="{FF2B5EF4-FFF2-40B4-BE49-F238E27FC236}">
              <a16:creationId xmlns:a16="http://schemas.microsoft.com/office/drawing/2014/main" id="{70C058FD-21F7-4500-8EBB-1341946DA3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1446" name="Picture@5C\QPendientes@" descr="@5C\QPendientes@">
          <a:extLst>
            <a:ext uri="{FF2B5EF4-FFF2-40B4-BE49-F238E27FC236}">
              <a16:creationId xmlns:a16="http://schemas.microsoft.com/office/drawing/2014/main" id="{A4D69173-07D1-448B-8BB0-F1D6C90D3E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447" name="Picture@5C\QPendientes@" descr="@5C\QPendientes@">
          <a:extLst>
            <a:ext uri="{FF2B5EF4-FFF2-40B4-BE49-F238E27FC236}">
              <a16:creationId xmlns:a16="http://schemas.microsoft.com/office/drawing/2014/main" id="{3DDDF0B9-6F3E-4491-AB1F-E13AE8B78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448" name="Picture@5C\QPendientes@" descr="@5C\QPendientes@">
          <a:extLst>
            <a:ext uri="{FF2B5EF4-FFF2-40B4-BE49-F238E27FC236}">
              <a16:creationId xmlns:a16="http://schemas.microsoft.com/office/drawing/2014/main" id="{C187575A-7B7C-4E3B-8371-4FAC5E943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1449" name="Picture@5C\QPendientes@" descr="@5C\QPendientes@">
          <a:extLst>
            <a:ext uri="{FF2B5EF4-FFF2-40B4-BE49-F238E27FC236}">
              <a16:creationId xmlns:a16="http://schemas.microsoft.com/office/drawing/2014/main" id="{08304F6A-4E58-4A7B-AE2B-A52B80EE65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1450" name="Picture@5C\QPendientes@" descr="@5C\QPendientes@">
          <a:extLst>
            <a:ext uri="{FF2B5EF4-FFF2-40B4-BE49-F238E27FC236}">
              <a16:creationId xmlns:a16="http://schemas.microsoft.com/office/drawing/2014/main" id="{84404217-6D00-4E14-A9F3-D73D2D05A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451" name="Picture@5C\QPendientes@" descr="@5C\QPendientes@">
          <a:extLst>
            <a:ext uri="{FF2B5EF4-FFF2-40B4-BE49-F238E27FC236}">
              <a16:creationId xmlns:a16="http://schemas.microsoft.com/office/drawing/2014/main" id="{BAD2CFC4-ED36-4055-ACE8-476D86EF9B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452" name="Picture@5C\QPendientes@" descr="@5C\QPendientes@">
          <a:extLst>
            <a:ext uri="{FF2B5EF4-FFF2-40B4-BE49-F238E27FC236}">
              <a16:creationId xmlns:a16="http://schemas.microsoft.com/office/drawing/2014/main" id="{536B9199-7BC2-4623-AA00-8137EE516F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453" name="Picture@5C\QPendientes@" descr="@5C\QPendientes@">
          <a:extLst>
            <a:ext uri="{FF2B5EF4-FFF2-40B4-BE49-F238E27FC236}">
              <a16:creationId xmlns:a16="http://schemas.microsoft.com/office/drawing/2014/main" id="{18A4CA9D-ACA8-4DBD-B14A-3092ED096C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454" name="Picture@5C\QPendientes@" descr="@5C\QPendientes@">
          <a:extLst>
            <a:ext uri="{FF2B5EF4-FFF2-40B4-BE49-F238E27FC236}">
              <a16:creationId xmlns:a16="http://schemas.microsoft.com/office/drawing/2014/main" id="{DCBF63CD-18DF-40FB-BC2E-EF936413DA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1455" name="Picture@5C\QPendientes@" descr="@5C\QPendientes@">
          <a:extLst>
            <a:ext uri="{FF2B5EF4-FFF2-40B4-BE49-F238E27FC236}">
              <a16:creationId xmlns:a16="http://schemas.microsoft.com/office/drawing/2014/main" id="{B8F20494-18C3-4E39-8A6F-B9301B11EA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1456" name="Picture@5C\QPendientes@" descr="@5C\QPendientes@">
          <a:extLst>
            <a:ext uri="{FF2B5EF4-FFF2-40B4-BE49-F238E27FC236}">
              <a16:creationId xmlns:a16="http://schemas.microsoft.com/office/drawing/2014/main" id="{370A18C4-152F-469D-BB2E-84CD92E23E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457" name="Picture@5C\QPendientes@" descr="@5C\QPendientes@">
          <a:extLst>
            <a:ext uri="{FF2B5EF4-FFF2-40B4-BE49-F238E27FC236}">
              <a16:creationId xmlns:a16="http://schemas.microsoft.com/office/drawing/2014/main" id="{FB1E3345-E786-443F-BD59-66B46E9FC5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458" name="Picture@5C\QPendientes@" descr="@5C\QPendientes@">
          <a:extLst>
            <a:ext uri="{FF2B5EF4-FFF2-40B4-BE49-F238E27FC236}">
              <a16:creationId xmlns:a16="http://schemas.microsoft.com/office/drawing/2014/main" id="{91A91EAF-91CD-40F0-A6CB-BA0F613D0F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459" name="Picture@5C\QPendientes@" descr="@5C\QPendientes@">
          <a:extLst>
            <a:ext uri="{FF2B5EF4-FFF2-40B4-BE49-F238E27FC236}">
              <a16:creationId xmlns:a16="http://schemas.microsoft.com/office/drawing/2014/main" id="{C2538061-CA9D-4D83-9783-EDB21DC0F7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460" name="Picture@5C\QPendientes@" descr="@5C\QPendientes@">
          <a:extLst>
            <a:ext uri="{FF2B5EF4-FFF2-40B4-BE49-F238E27FC236}">
              <a16:creationId xmlns:a16="http://schemas.microsoft.com/office/drawing/2014/main" id="{52091AAE-2E98-49A3-83AE-1D086356A3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1461" name="Picture@5C\QPendientes@" descr="@5C\QPendientes@">
          <a:extLst>
            <a:ext uri="{FF2B5EF4-FFF2-40B4-BE49-F238E27FC236}">
              <a16:creationId xmlns:a16="http://schemas.microsoft.com/office/drawing/2014/main" id="{B191C7ED-E2DF-46D5-A149-3FFB11AD04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462" name="Picture@5C\QPendientes@" descr="@5C\QPendientes@">
          <a:extLst>
            <a:ext uri="{FF2B5EF4-FFF2-40B4-BE49-F238E27FC236}">
              <a16:creationId xmlns:a16="http://schemas.microsoft.com/office/drawing/2014/main" id="{5F6CF4AB-42D4-4273-98C7-7F378C358D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463" name="Picture@5C\QPendientes@" descr="@5C\QPendientes@">
          <a:extLst>
            <a:ext uri="{FF2B5EF4-FFF2-40B4-BE49-F238E27FC236}">
              <a16:creationId xmlns:a16="http://schemas.microsoft.com/office/drawing/2014/main" id="{000392DA-358F-41F8-B215-B760EFCB61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464" name="Picture@5C\QPendientes@" descr="@5C\QPendientes@">
          <a:extLst>
            <a:ext uri="{FF2B5EF4-FFF2-40B4-BE49-F238E27FC236}">
              <a16:creationId xmlns:a16="http://schemas.microsoft.com/office/drawing/2014/main" id="{252A3515-DEF6-44AE-BCB5-50DF8DA7B0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465" name="Picture@5C\QPendientes@" descr="@5C\QPendientes@">
          <a:extLst>
            <a:ext uri="{FF2B5EF4-FFF2-40B4-BE49-F238E27FC236}">
              <a16:creationId xmlns:a16="http://schemas.microsoft.com/office/drawing/2014/main" id="{3A499610-A732-495C-8DC3-5A02CEC412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466" name="Picture@5C\QPendientes@" descr="@5C\QPendientes@">
          <a:extLst>
            <a:ext uri="{FF2B5EF4-FFF2-40B4-BE49-F238E27FC236}">
              <a16:creationId xmlns:a16="http://schemas.microsoft.com/office/drawing/2014/main" id="{7EC17F14-F0B5-436D-8DC0-C54FAD7083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467" name="Picture@5C\QPendientes@" descr="@5C\QPendientes@">
          <a:extLst>
            <a:ext uri="{FF2B5EF4-FFF2-40B4-BE49-F238E27FC236}">
              <a16:creationId xmlns:a16="http://schemas.microsoft.com/office/drawing/2014/main" id="{35CCB9A2-56BD-4031-BA4D-2D0C039626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468" name="Picture@5C\QPendientes@" descr="@5C\QPendientes@">
          <a:extLst>
            <a:ext uri="{FF2B5EF4-FFF2-40B4-BE49-F238E27FC236}">
              <a16:creationId xmlns:a16="http://schemas.microsoft.com/office/drawing/2014/main" id="{DECEC536-D2CE-4C35-B12D-380211C8B8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469" name="Picture@5C\QPendientes@" descr="@5C\QPendientes@">
          <a:extLst>
            <a:ext uri="{FF2B5EF4-FFF2-40B4-BE49-F238E27FC236}">
              <a16:creationId xmlns:a16="http://schemas.microsoft.com/office/drawing/2014/main" id="{C2517614-5815-4D63-A121-288F116984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1470" name="Picture@5C\QPendientes@" descr="@5C\QPendientes@">
          <a:extLst>
            <a:ext uri="{FF2B5EF4-FFF2-40B4-BE49-F238E27FC236}">
              <a16:creationId xmlns:a16="http://schemas.microsoft.com/office/drawing/2014/main" id="{CBE2F6D1-2039-46AF-9E9C-C0C0C944C2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471" name="Picture@5C\QPendientes@" descr="@5C\QPendientes@">
          <a:extLst>
            <a:ext uri="{FF2B5EF4-FFF2-40B4-BE49-F238E27FC236}">
              <a16:creationId xmlns:a16="http://schemas.microsoft.com/office/drawing/2014/main" id="{B6EC699A-1CAE-4C9B-AEB0-4F72330954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472" name="Picture@5C\QPendientes@" descr="@5C\QPendientes@">
          <a:extLst>
            <a:ext uri="{FF2B5EF4-FFF2-40B4-BE49-F238E27FC236}">
              <a16:creationId xmlns:a16="http://schemas.microsoft.com/office/drawing/2014/main" id="{36D85C03-C774-4131-AA87-FC2E5F1024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1473" name="Picture@5C\QPendientes@" descr="@5C\QPendientes@">
          <a:extLst>
            <a:ext uri="{FF2B5EF4-FFF2-40B4-BE49-F238E27FC236}">
              <a16:creationId xmlns:a16="http://schemas.microsoft.com/office/drawing/2014/main" id="{5CB04446-6CB9-4409-9914-29FC198C68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474" name="Picture@5C\QPendientes@" descr="@5C\QPendientes@">
          <a:extLst>
            <a:ext uri="{FF2B5EF4-FFF2-40B4-BE49-F238E27FC236}">
              <a16:creationId xmlns:a16="http://schemas.microsoft.com/office/drawing/2014/main" id="{7B06EBBC-C225-4F18-BF81-2FC93EF3D7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475" name="Picture@5C\QPendientes@" descr="@5C\QPendientes@">
          <a:extLst>
            <a:ext uri="{FF2B5EF4-FFF2-40B4-BE49-F238E27FC236}">
              <a16:creationId xmlns:a16="http://schemas.microsoft.com/office/drawing/2014/main" id="{D7B71A70-03C4-43CC-BF09-6473931297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1476" name="Picture@5C\QPendientes@" descr="@5C\QPendientes@">
          <a:extLst>
            <a:ext uri="{FF2B5EF4-FFF2-40B4-BE49-F238E27FC236}">
              <a16:creationId xmlns:a16="http://schemas.microsoft.com/office/drawing/2014/main" id="{9F946ECF-5DF3-40FF-9611-881EBCFCDC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477" name="Picture@5C\QPendientes@" descr="@5C\QPendientes@">
          <a:extLst>
            <a:ext uri="{FF2B5EF4-FFF2-40B4-BE49-F238E27FC236}">
              <a16:creationId xmlns:a16="http://schemas.microsoft.com/office/drawing/2014/main" id="{9ED7D973-F26B-4AA0-87E8-7D1B7AED10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478" name="Picture@5C\QPendientes@" descr="@5C\QPendientes@">
          <a:extLst>
            <a:ext uri="{FF2B5EF4-FFF2-40B4-BE49-F238E27FC236}">
              <a16:creationId xmlns:a16="http://schemas.microsoft.com/office/drawing/2014/main" id="{E6BA834D-4D5B-43A5-A751-2A20ECE68E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1479" name="Picture@5C\QPendientes@" descr="@5C\QPendientes@">
          <a:extLst>
            <a:ext uri="{FF2B5EF4-FFF2-40B4-BE49-F238E27FC236}">
              <a16:creationId xmlns:a16="http://schemas.microsoft.com/office/drawing/2014/main" id="{1DCB4CAF-736D-48F5-B7D7-36BFC27062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480" name="Picture@5C\QPendientes@" descr="@5C\QPendientes@">
          <a:extLst>
            <a:ext uri="{FF2B5EF4-FFF2-40B4-BE49-F238E27FC236}">
              <a16:creationId xmlns:a16="http://schemas.microsoft.com/office/drawing/2014/main" id="{6F5B7CCF-CF56-4305-8950-A3FEAA5DB8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481" name="Picture@5C\QPendientes@" descr="@5C\QPendientes@">
          <a:extLst>
            <a:ext uri="{FF2B5EF4-FFF2-40B4-BE49-F238E27FC236}">
              <a16:creationId xmlns:a16="http://schemas.microsoft.com/office/drawing/2014/main" id="{D401BBA0-82D4-4CBF-B623-5D5916A4B7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1482" name="Picture@5C\QPendientes@" descr="@5C\QPendientes@">
          <a:extLst>
            <a:ext uri="{FF2B5EF4-FFF2-40B4-BE49-F238E27FC236}">
              <a16:creationId xmlns:a16="http://schemas.microsoft.com/office/drawing/2014/main" id="{9FBA68FC-34F7-4BE1-BD7E-6E2845AFCB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1483" name="Picture@5C\QPendientes@" descr="@5C\QPendientes@">
          <a:extLst>
            <a:ext uri="{FF2B5EF4-FFF2-40B4-BE49-F238E27FC236}">
              <a16:creationId xmlns:a16="http://schemas.microsoft.com/office/drawing/2014/main" id="{84EA7AD0-AC9A-4A3A-9556-49D149B761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1484" name="Picture@5C\QPendientes@" descr="@5C\QPendientes@">
          <a:extLst>
            <a:ext uri="{FF2B5EF4-FFF2-40B4-BE49-F238E27FC236}">
              <a16:creationId xmlns:a16="http://schemas.microsoft.com/office/drawing/2014/main" id="{394FE1D0-1518-4D37-8E80-5F9A716025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1485" name="Picture@5C\QPendientes@" descr="@5C\QPendientes@">
          <a:extLst>
            <a:ext uri="{FF2B5EF4-FFF2-40B4-BE49-F238E27FC236}">
              <a16:creationId xmlns:a16="http://schemas.microsoft.com/office/drawing/2014/main" id="{6F5C2904-6759-48FE-B771-D7920CB3F2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1486" name="Picture@5C\QPendientes@" descr="@5C\QPendientes@">
          <a:extLst>
            <a:ext uri="{FF2B5EF4-FFF2-40B4-BE49-F238E27FC236}">
              <a16:creationId xmlns:a16="http://schemas.microsoft.com/office/drawing/2014/main" id="{83636B35-2CF5-4B24-AB24-81C12F0EB4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487" name="Picture@5C\QPendientes@" descr="@5C\QPendientes@">
          <a:extLst>
            <a:ext uri="{FF2B5EF4-FFF2-40B4-BE49-F238E27FC236}">
              <a16:creationId xmlns:a16="http://schemas.microsoft.com/office/drawing/2014/main" id="{2A3F01AE-D7E1-4271-9142-890579D584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488" name="Picture@5C\QPendientes@" descr="@5C\QPendientes@">
          <a:extLst>
            <a:ext uri="{FF2B5EF4-FFF2-40B4-BE49-F238E27FC236}">
              <a16:creationId xmlns:a16="http://schemas.microsoft.com/office/drawing/2014/main" id="{12242B9F-64EA-4DC3-A78F-8D4A0B9FBB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1489" name="Picture@5C\QPendientes@" descr="@5C\QPendientes@">
          <a:extLst>
            <a:ext uri="{FF2B5EF4-FFF2-40B4-BE49-F238E27FC236}">
              <a16:creationId xmlns:a16="http://schemas.microsoft.com/office/drawing/2014/main" id="{70DC3613-0B9B-47D5-8355-51BBB612B9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1490" name="Picture@5C\QPendientes@" descr="@5C\QPendientes@">
          <a:extLst>
            <a:ext uri="{FF2B5EF4-FFF2-40B4-BE49-F238E27FC236}">
              <a16:creationId xmlns:a16="http://schemas.microsoft.com/office/drawing/2014/main" id="{E50BBCD3-5A3E-44D2-8CE3-838ECC071E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1491" name="Picture@5C\QPendientes@" descr="@5C\QPendientes@">
          <a:extLst>
            <a:ext uri="{FF2B5EF4-FFF2-40B4-BE49-F238E27FC236}">
              <a16:creationId xmlns:a16="http://schemas.microsoft.com/office/drawing/2014/main" id="{14A86F8E-41DC-4AE1-8D4C-FBED67AE10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1492" name="Picture@5C\QPendientes@" descr="@5C\QPendientes@">
          <a:extLst>
            <a:ext uri="{FF2B5EF4-FFF2-40B4-BE49-F238E27FC236}">
              <a16:creationId xmlns:a16="http://schemas.microsoft.com/office/drawing/2014/main" id="{4D2FA164-BB25-4E28-8062-E6D73A9436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1493" name="Picture@5C\QPendientes@" descr="@5C\QPendientes@">
          <a:extLst>
            <a:ext uri="{FF2B5EF4-FFF2-40B4-BE49-F238E27FC236}">
              <a16:creationId xmlns:a16="http://schemas.microsoft.com/office/drawing/2014/main" id="{9D978402-3A0F-4201-841A-DC296AB373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1494" name="Picture@5C\QPendientes@" descr="@5C\QPendientes@">
          <a:extLst>
            <a:ext uri="{FF2B5EF4-FFF2-40B4-BE49-F238E27FC236}">
              <a16:creationId xmlns:a16="http://schemas.microsoft.com/office/drawing/2014/main" id="{6F6B95D3-8281-4707-A7AE-281255795F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1495" name="Picture@5C\QPendientes@" descr="@5C\QPendientes@">
          <a:extLst>
            <a:ext uri="{FF2B5EF4-FFF2-40B4-BE49-F238E27FC236}">
              <a16:creationId xmlns:a16="http://schemas.microsoft.com/office/drawing/2014/main" id="{FC1D612E-2296-448F-B3BC-17D7D88A59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1496" name="Picture@5C\QPendientes@" descr="@5C\QPendientes@">
          <a:extLst>
            <a:ext uri="{FF2B5EF4-FFF2-40B4-BE49-F238E27FC236}">
              <a16:creationId xmlns:a16="http://schemas.microsoft.com/office/drawing/2014/main" id="{706EE11A-95DB-4C93-8C84-AA7440460E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1497" name="Picture@5C\QPendientes@" descr="@5C\QPendientes@">
          <a:extLst>
            <a:ext uri="{FF2B5EF4-FFF2-40B4-BE49-F238E27FC236}">
              <a16:creationId xmlns:a16="http://schemas.microsoft.com/office/drawing/2014/main" id="{2516382A-8D74-40A6-BAC5-97826300D7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1498" name="Picture@5C\QPendientes@" descr="@5C\QPendientes@">
          <a:extLst>
            <a:ext uri="{FF2B5EF4-FFF2-40B4-BE49-F238E27FC236}">
              <a16:creationId xmlns:a16="http://schemas.microsoft.com/office/drawing/2014/main" id="{D6D1A653-C1C3-411A-8876-5D971E72B9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1499" name="Picture@5C\QPendientes@" descr="@5C\QPendientes@">
          <a:extLst>
            <a:ext uri="{FF2B5EF4-FFF2-40B4-BE49-F238E27FC236}">
              <a16:creationId xmlns:a16="http://schemas.microsoft.com/office/drawing/2014/main" id="{EBDF8D65-7BCE-4FD3-84B6-98F47E6FA4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1500" name="Picture@5C\QPendientes@" descr="@5C\QPendientes@">
          <a:extLst>
            <a:ext uri="{FF2B5EF4-FFF2-40B4-BE49-F238E27FC236}">
              <a16:creationId xmlns:a16="http://schemas.microsoft.com/office/drawing/2014/main" id="{2E7E4188-5D61-4831-A228-0498116FB0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1501" name="Picture@5C\QPendientes@" descr="@5C\QPendientes@">
          <a:extLst>
            <a:ext uri="{FF2B5EF4-FFF2-40B4-BE49-F238E27FC236}">
              <a16:creationId xmlns:a16="http://schemas.microsoft.com/office/drawing/2014/main" id="{D29F8E77-EB7F-4682-AB00-71AA50F52A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1502" name="Picture@5C\QPendientes@" descr="@5C\QPendientes@">
          <a:extLst>
            <a:ext uri="{FF2B5EF4-FFF2-40B4-BE49-F238E27FC236}">
              <a16:creationId xmlns:a16="http://schemas.microsoft.com/office/drawing/2014/main" id="{1A651721-0EF1-4749-A105-06542D044C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1503" name="Picture@5C\QPendientes@" descr="@5C\QPendientes@">
          <a:extLst>
            <a:ext uri="{FF2B5EF4-FFF2-40B4-BE49-F238E27FC236}">
              <a16:creationId xmlns:a16="http://schemas.microsoft.com/office/drawing/2014/main" id="{DAA88224-305E-48AB-ADBC-012F29A1C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1504" name="Picture@5C\QPendientes@" descr="@5C\QPendientes@">
          <a:extLst>
            <a:ext uri="{FF2B5EF4-FFF2-40B4-BE49-F238E27FC236}">
              <a16:creationId xmlns:a16="http://schemas.microsoft.com/office/drawing/2014/main" id="{53AE9B7F-E48B-49E8-A76B-2B63DAA294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505" name="Picture@5C\QPendientes@" descr="@5C\QPendientes@">
          <a:extLst>
            <a:ext uri="{FF2B5EF4-FFF2-40B4-BE49-F238E27FC236}">
              <a16:creationId xmlns:a16="http://schemas.microsoft.com/office/drawing/2014/main" id="{3AAE10FE-7700-47E4-9672-C52C510EFD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1506" name="Picture@5C\QPendientes@" descr="@5C\QPendientes@">
          <a:extLst>
            <a:ext uri="{FF2B5EF4-FFF2-40B4-BE49-F238E27FC236}">
              <a16:creationId xmlns:a16="http://schemas.microsoft.com/office/drawing/2014/main" id="{93C97B6B-CECC-4A9A-8DF0-51D568DF8D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507" name="Picture@5C\QPendientes@" descr="@5C\QPendientes@">
          <a:extLst>
            <a:ext uri="{FF2B5EF4-FFF2-40B4-BE49-F238E27FC236}">
              <a16:creationId xmlns:a16="http://schemas.microsoft.com/office/drawing/2014/main" id="{16AF3FD8-6750-4E9D-B590-2E32118374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1508" name="Picture@5C\QPendientes@" descr="@5C\QPendientes@">
          <a:extLst>
            <a:ext uri="{FF2B5EF4-FFF2-40B4-BE49-F238E27FC236}">
              <a16:creationId xmlns:a16="http://schemas.microsoft.com/office/drawing/2014/main" id="{F9FA0AB8-4D86-4913-9A9F-7C35C6B57D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509" name="Picture@5C\QPendientes@" descr="@5C\QPendientes@">
          <a:extLst>
            <a:ext uri="{FF2B5EF4-FFF2-40B4-BE49-F238E27FC236}">
              <a16:creationId xmlns:a16="http://schemas.microsoft.com/office/drawing/2014/main" id="{E322158E-2242-4599-80F7-AF5B622AF8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510" name="Picture@5C\QPendientes@" descr="@5C\QPendientes@">
          <a:extLst>
            <a:ext uri="{FF2B5EF4-FFF2-40B4-BE49-F238E27FC236}">
              <a16:creationId xmlns:a16="http://schemas.microsoft.com/office/drawing/2014/main" id="{CFB38A2E-27B2-4960-A1DE-11FBB09F00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511" name="Picture@5C\QPendientes@" descr="@5C\QPendientes@">
          <a:extLst>
            <a:ext uri="{FF2B5EF4-FFF2-40B4-BE49-F238E27FC236}">
              <a16:creationId xmlns:a16="http://schemas.microsoft.com/office/drawing/2014/main" id="{BD9472DD-657C-4686-ABE7-7DC949FB34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512" name="Picture@5C\QPendientes@" descr="@5C\QPendientes@">
          <a:extLst>
            <a:ext uri="{FF2B5EF4-FFF2-40B4-BE49-F238E27FC236}">
              <a16:creationId xmlns:a16="http://schemas.microsoft.com/office/drawing/2014/main" id="{F278B3D0-D80F-4554-AA07-FD4A8E5AB3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513" name="Picture@5C\QPendientes@" descr="@5C\QPendientes@">
          <a:extLst>
            <a:ext uri="{FF2B5EF4-FFF2-40B4-BE49-F238E27FC236}">
              <a16:creationId xmlns:a16="http://schemas.microsoft.com/office/drawing/2014/main" id="{A6BA9CB0-7167-4E62-9E78-2C3D71B064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1514" name="Picture@5C\QPendientes@" descr="@5C\QPendientes@">
          <a:extLst>
            <a:ext uri="{FF2B5EF4-FFF2-40B4-BE49-F238E27FC236}">
              <a16:creationId xmlns:a16="http://schemas.microsoft.com/office/drawing/2014/main" id="{E34CE183-CD18-4701-A21F-ACA4CCE689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1515" name="Picture@5C\QPendientes@" descr="@5C\QPendientes@">
          <a:extLst>
            <a:ext uri="{FF2B5EF4-FFF2-40B4-BE49-F238E27FC236}">
              <a16:creationId xmlns:a16="http://schemas.microsoft.com/office/drawing/2014/main" id="{9B036CD7-97CC-4796-AAE0-AA3053EB06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1516" name="Picture@5C\QPendientes@" descr="@5C\QPendientes@">
          <a:extLst>
            <a:ext uri="{FF2B5EF4-FFF2-40B4-BE49-F238E27FC236}">
              <a16:creationId xmlns:a16="http://schemas.microsoft.com/office/drawing/2014/main" id="{E35F3D9C-25F0-4031-89DB-86AB52B187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1517" name="Picture@5C\QPendientes@" descr="@5C\QPendientes@">
          <a:extLst>
            <a:ext uri="{FF2B5EF4-FFF2-40B4-BE49-F238E27FC236}">
              <a16:creationId xmlns:a16="http://schemas.microsoft.com/office/drawing/2014/main" id="{7C1D7E45-CA70-4FB2-A4DF-BB3DAAA279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1518" name="Picture@5C\QPendientes@" descr="@5C\QPendientes@">
          <a:extLst>
            <a:ext uri="{FF2B5EF4-FFF2-40B4-BE49-F238E27FC236}">
              <a16:creationId xmlns:a16="http://schemas.microsoft.com/office/drawing/2014/main" id="{D052B84D-245B-46FD-82F5-BA9C3AF6DC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1519" name="Picture@5C\QPendientes@" descr="@5C\QPendientes@">
          <a:extLst>
            <a:ext uri="{FF2B5EF4-FFF2-40B4-BE49-F238E27FC236}">
              <a16:creationId xmlns:a16="http://schemas.microsoft.com/office/drawing/2014/main" id="{1A6BCA28-DF2A-417B-95B9-FE15487837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1520" name="Picture@5C\QPendientes@" descr="@5C\QPendientes@">
          <a:extLst>
            <a:ext uri="{FF2B5EF4-FFF2-40B4-BE49-F238E27FC236}">
              <a16:creationId xmlns:a16="http://schemas.microsoft.com/office/drawing/2014/main" id="{43032814-DC55-4F13-BD9B-A256732599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1521" name="Picture@5C\QPendientes@" descr="@5C\QPendientes@">
          <a:extLst>
            <a:ext uri="{FF2B5EF4-FFF2-40B4-BE49-F238E27FC236}">
              <a16:creationId xmlns:a16="http://schemas.microsoft.com/office/drawing/2014/main" id="{E6F4B0A3-20F0-4DC2-B7A1-27D1D7F82E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1522" name="Picture@5C\QPendientes@" descr="@5C\QPendientes@">
          <a:extLst>
            <a:ext uri="{FF2B5EF4-FFF2-40B4-BE49-F238E27FC236}">
              <a16:creationId xmlns:a16="http://schemas.microsoft.com/office/drawing/2014/main" id="{378273C8-B06D-4EBD-8353-B1BA4784B6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1523" name="Picture@5C\QPendientes@" descr="@5C\QPendientes@">
          <a:extLst>
            <a:ext uri="{FF2B5EF4-FFF2-40B4-BE49-F238E27FC236}">
              <a16:creationId xmlns:a16="http://schemas.microsoft.com/office/drawing/2014/main" id="{FE251743-D320-496C-8EAC-636C819329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1524" name="Picture@5C\QPendientes@" descr="@5C\QPendientes@">
          <a:extLst>
            <a:ext uri="{FF2B5EF4-FFF2-40B4-BE49-F238E27FC236}">
              <a16:creationId xmlns:a16="http://schemas.microsoft.com/office/drawing/2014/main" id="{B1355BB7-378C-4D01-975E-4F7AA19EC6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1525" name="Picture@5C\QPendientes@" descr="@5C\QPendientes@">
          <a:extLst>
            <a:ext uri="{FF2B5EF4-FFF2-40B4-BE49-F238E27FC236}">
              <a16:creationId xmlns:a16="http://schemas.microsoft.com/office/drawing/2014/main" id="{F70A0EFC-7E31-4788-9069-D211F00A6F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1526" name="Picture@5C\QPendientes@" descr="@5C\QPendientes@">
          <a:extLst>
            <a:ext uri="{FF2B5EF4-FFF2-40B4-BE49-F238E27FC236}">
              <a16:creationId xmlns:a16="http://schemas.microsoft.com/office/drawing/2014/main" id="{840D72CB-F5E2-4492-A07E-3FCD613412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1527" name="Picture@5C\QPendientes@" descr="@5C\QPendientes@">
          <a:extLst>
            <a:ext uri="{FF2B5EF4-FFF2-40B4-BE49-F238E27FC236}">
              <a16:creationId xmlns:a16="http://schemas.microsoft.com/office/drawing/2014/main" id="{EF77AA11-705B-486E-A846-98EDE7550D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1528" name="Picture@5C\QPendientes@" descr="@5C\QPendientes@">
          <a:extLst>
            <a:ext uri="{FF2B5EF4-FFF2-40B4-BE49-F238E27FC236}">
              <a16:creationId xmlns:a16="http://schemas.microsoft.com/office/drawing/2014/main" id="{0A746A8F-E734-45B3-9771-E0AFA059CE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1529" name="Picture@5C\QPendientes@" descr="@5C\QPendientes@">
          <a:extLst>
            <a:ext uri="{FF2B5EF4-FFF2-40B4-BE49-F238E27FC236}">
              <a16:creationId xmlns:a16="http://schemas.microsoft.com/office/drawing/2014/main" id="{D40C0E0E-B413-4274-BD17-5E1F1E6871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1530" name="Picture@5C\QPendientes@" descr="@5C\QPendientes@">
          <a:extLst>
            <a:ext uri="{FF2B5EF4-FFF2-40B4-BE49-F238E27FC236}">
              <a16:creationId xmlns:a16="http://schemas.microsoft.com/office/drawing/2014/main" id="{49E5C314-F863-4D87-877A-F28EB2330D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1531" name="Picture@5C\QPendientes@" descr="@5C\QPendientes@">
          <a:extLst>
            <a:ext uri="{FF2B5EF4-FFF2-40B4-BE49-F238E27FC236}">
              <a16:creationId xmlns:a16="http://schemas.microsoft.com/office/drawing/2014/main" id="{E0640124-EB49-4903-AC33-BF78B20375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1532" name="Picture@5C\QPendientes@" descr="@5C\QPendientes@">
          <a:extLst>
            <a:ext uri="{FF2B5EF4-FFF2-40B4-BE49-F238E27FC236}">
              <a16:creationId xmlns:a16="http://schemas.microsoft.com/office/drawing/2014/main" id="{E53FBECF-AC49-49E3-837E-743C024F91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1533" name="Picture@5C\QPendientes@" descr="@5C\QPendientes@">
          <a:extLst>
            <a:ext uri="{FF2B5EF4-FFF2-40B4-BE49-F238E27FC236}">
              <a16:creationId xmlns:a16="http://schemas.microsoft.com/office/drawing/2014/main" id="{EE8930CD-DB1D-4494-BC54-7DEF24BACB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1534" name="Picture@5C\QPendientes@" descr="@5C\QPendientes@">
          <a:extLst>
            <a:ext uri="{FF2B5EF4-FFF2-40B4-BE49-F238E27FC236}">
              <a16:creationId xmlns:a16="http://schemas.microsoft.com/office/drawing/2014/main" id="{D4B5711B-651E-422C-A919-AE22F3DE55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1535" name="Picture@5C\QPendientes@" descr="@5C\QPendientes@">
          <a:extLst>
            <a:ext uri="{FF2B5EF4-FFF2-40B4-BE49-F238E27FC236}">
              <a16:creationId xmlns:a16="http://schemas.microsoft.com/office/drawing/2014/main" id="{A4C13829-DC42-439F-9112-143F578A33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1536" name="Picture@5C\QPendientes@" descr="@5C\QPendientes@">
          <a:extLst>
            <a:ext uri="{FF2B5EF4-FFF2-40B4-BE49-F238E27FC236}">
              <a16:creationId xmlns:a16="http://schemas.microsoft.com/office/drawing/2014/main" id="{404635DD-519F-49FC-BE4F-8CB321F90D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1537" name="Picture@5C\QPendientes@" descr="@5C\QPendientes@">
          <a:extLst>
            <a:ext uri="{FF2B5EF4-FFF2-40B4-BE49-F238E27FC236}">
              <a16:creationId xmlns:a16="http://schemas.microsoft.com/office/drawing/2014/main" id="{82276339-21AD-45B0-BB5E-ED3EB6D946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1538" name="Picture@5C\QPendientes@" descr="@5C\QPendientes@">
          <a:extLst>
            <a:ext uri="{FF2B5EF4-FFF2-40B4-BE49-F238E27FC236}">
              <a16:creationId xmlns:a16="http://schemas.microsoft.com/office/drawing/2014/main" id="{B28B3939-07FD-4D1A-97AB-AD48CA6CCA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1539" name="Picture@5C\QPendientes@" descr="@5C\QPendientes@">
          <a:extLst>
            <a:ext uri="{FF2B5EF4-FFF2-40B4-BE49-F238E27FC236}">
              <a16:creationId xmlns:a16="http://schemas.microsoft.com/office/drawing/2014/main" id="{50A869C1-138B-463C-BE22-66775641F8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1540" name="Picture@5C\QPendientes@" descr="@5C\QPendientes@">
          <a:extLst>
            <a:ext uri="{FF2B5EF4-FFF2-40B4-BE49-F238E27FC236}">
              <a16:creationId xmlns:a16="http://schemas.microsoft.com/office/drawing/2014/main" id="{7AEC4E04-E45C-49A6-BC18-90763F36FE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1541" name="Picture@5C\QPendientes@" descr="@5C\QPendientes@">
          <a:extLst>
            <a:ext uri="{FF2B5EF4-FFF2-40B4-BE49-F238E27FC236}">
              <a16:creationId xmlns:a16="http://schemas.microsoft.com/office/drawing/2014/main" id="{CD6F8315-C918-4366-86E0-21B9F2A575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1542" name="Picture@5C\QPendientes@" descr="@5C\QPendientes@">
          <a:extLst>
            <a:ext uri="{FF2B5EF4-FFF2-40B4-BE49-F238E27FC236}">
              <a16:creationId xmlns:a16="http://schemas.microsoft.com/office/drawing/2014/main" id="{EC4C8488-4596-4258-BFCB-8C5036095F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1543" name="Picture@5C\QPendientes@" descr="@5C\QPendientes@">
          <a:extLst>
            <a:ext uri="{FF2B5EF4-FFF2-40B4-BE49-F238E27FC236}">
              <a16:creationId xmlns:a16="http://schemas.microsoft.com/office/drawing/2014/main" id="{5F7F0A32-CB45-4CC3-AD87-0EA515E5A4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1544" name="Picture@5C\QPendientes@" descr="@5C\QPendientes@">
          <a:extLst>
            <a:ext uri="{FF2B5EF4-FFF2-40B4-BE49-F238E27FC236}">
              <a16:creationId xmlns:a16="http://schemas.microsoft.com/office/drawing/2014/main" id="{8979C741-FACA-43CB-BDD3-70B105053B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1545" name="Picture@5C\QPendientes@" descr="@5C\QPendientes@">
          <a:extLst>
            <a:ext uri="{FF2B5EF4-FFF2-40B4-BE49-F238E27FC236}">
              <a16:creationId xmlns:a16="http://schemas.microsoft.com/office/drawing/2014/main" id="{B00729C1-2410-43D6-BF0F-1D77B1277C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1546" name="Picture@5C\QPendientes@" descr="@5C\QPendientes@">
          <a:extLst>
            <a:ext uri="{FF2B5EF4-FFF2-40B4-BE49-F238E27FC236}">
              <a16:creationId xmlns:a16="http://schemas.microsoft.com/office/drawing/2014/main" id="{12B5DBE0-55F4-478A-8DB7-32400EC170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1547" name="Picture@5C\QPendientes@" descr="@5C\QPendientes@">
          <a:extLst>
            <a:ext uri="{FF2B5EF4-FFF2-40B4-BE49-F238E27FC236}">
              <a16:creationId xmlns:a16="http://schemas.microsoft.com/office/drawing/2014/main" id="{3927E63F-BFD0-4BC0-8F0B-B600E65678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1548" name="Picture@5C\QPendientes@" descr="@5C\QPendientes@">
          <a:extLst>
            <a:ext uri="{FF2B5EF4-FFF2-40B4-BE49-F238E27FC236}">
              <a16:creationId xmlns:a16="http://schemas.microsoft.com/office/drawing/2014/main" id="{C376BDE4-52EB-4D26-8326-E9A6DC6BF7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1549" name="Picture@5C\QPendientes@" descr="@5C\QPendientes@">
          <a:extLst>
            <a:ext uri="{FF2B5EF4-FFF2-40B4-BE49-F238E27FC236}">
              <a16:creationId xmlns:a16="http://schemas.microsoft.com/office/drawing/2014/main" id="{F26EC130-B57F-446A-AC4D-44671E6400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1550" name="Picture@5C\QPendientes@" descr="@5C\QPendientes@">
          <a:extLst>
            <a:ext uri="{FF2B5EF4-FFF2-40B4-BE49-F238E27FC236}">
              <a16:creationId xmlns:a16="http://schemas.microsoft.com/office/drawing/2014/main" id="{9C01B24C-9F2D-41EA-801B-540AB91392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1551" name="Picture@5C\QPendientes@" descr="@5C\QPendientes@">
          <a:extLst>
            <a:ext uri="{FF2B5EF4-FFF2-40B4-BE49-F238E27FC236}">
              <a16:creationId xmlns:a16="http://schemas.microsoft.com/office/drawing/2014/main" id="{497FD67C-452A-49B7-ACF2-61F1A8ACCE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1552" name="Picture@5C\QPendientes@" descr="@5C\QPendientes@">
          <a:extLst>
            <a:ext uri="{FF2B5EF4-FFF2-40B4-BE49-F238E27FC236}">
              <a16:creationId xmlns:a16="http://schemas.microsoft.com/office/drawing/2014/main" id="{2F1534A5-FCF5-4F1C-B35E-1A73A91445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1553" name="Picture@5C\QPendientes@" descr="@5C\QPendientes@">
          <a:extLst>
            <a:ext uri="{FF2B5EF4-FFF2-40B4-BE49-F238E27FC236}">
              <a16:creationId xmlns:a16="http://schemas.microsoft.com/office/drawing/2014/main" id="{0948C600-7AFC-4231-91D5-0BFEAA3F6A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1554" name="Picture@5C\QPendientes@" descr="@5C\QPendientes@">
          <a:extLst>
            <a:ext uri="{FF2B5EF4-FFF2-40B4-BE49-F238E27FC236}">
              <a16:creationId xmlns:a16="http://schemas.microsoft.com/office/drawing/2014/main" id="{8C224508-D1A7-42B3-B66B-3E6562376C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1555" name="Picture@5C\QPendientes@" descr="@5C\QPendientes@">
          <a:extLst>
            <a:ext uri="{FF2B5EF4-FFF2-40B4-BE49-F238E27FC236}">
              <a16:creationId xmlns:a16="http://schemas.microsoft.com/office/drawing/2014/main" id="{04D7FB2E-8622-43ED-953C-47B61EAA27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1556" name="Picture@5C\QPendientes@" descr="@5C\QPendientes@">
          <a:extLst>
            <a:ext uri="{FF2B5EF4-FFF2-40B4-BE49-F238E27FC236}">
              <a16:creationId xmlns:a16="http://schemas.microsoft.com/office/drawing/2014/main" id="{CD8596EF-D145-42F4-914C-173F6D0667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1557" name="Picture@5C\QPendientes@" descr="@5C\QPendientes@">
          <a:extLst>
            <a:ext uri="{FF2B5EF4-FFF2-40B4-BE49-F238E27FC236}">
              <a16:creationId xmlns:a16="http://schemas.microsoft.com/office/drawing/2014/main" id="{679D2875-2969-42B5-938C-FCE23A4912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1558" name="Picture@5C\QPendientes@" descr="@5C\QPendientes@">
          <a:extLst>
            <a:ext uri="{FF2B5EF4-FFF2-40B4-BE49-F238E27FC236}">
              <a16:creationId xmlns:a16="http://schemas.microsoft.com/office/drawing/2014/main" id="{F62AB0C0-D31E-44E5-990B-32B1B6E5CC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1559" name="Picture@5C\QPendientes@" descr="@5C\QPendientes@">
          <a:extLst>
            <a:ext uri="{FF2B5EF4-FFF2-40B4-BE49-F238E27FC236}">
              <a16:creationId xmlns:a16="http://schemas.microsoft.com/office/drawing/2014/main" id="{87F9B130-1D25-403B-A3AE-5DA28F98CD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1560" name="Picture@5C\QPendientes@" descr="@5C\QPendientes@">
          <a:extLst>
            <a:ext uri="{FF2B5EF4-FFF2-40B4-BE49-F238E27FC236}">
              <a16:creationId xmlns:a16="http://schemas.microsoft.com/office/drawing/2014/main" id="{24238D46-F60C-4B00-A200-2605E90A20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1561" name="Picture@5C\QPendientes@" descr="@5C\QPendientes@">
          <a:extLst>
            <a:ext uri="{FF2B5EF4-FFF2-40B4-BE49-F238E27FC236}">
              <a16:creationId xmlns:a16="http://schemas.microsoft.com/office/drawing/2014/main" id="{6D577648-1CF5-47E2-9852-2470D6DCAE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1562" name="Picture@5C\QPendientes@" descr="@5C\QPendientes@">
          <a:extLst>
            <a:ext uri="{FF2B5EF4-FFF2-40B4-BE49-F238E27FC236}">
              <a16:creationId xmlns:a16="http://schemas.microsoft.com/office/drawing/2014/main" id="{C9DF026D-3B0E-46DD-B39B-64DA659913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1563" name="Picture@5C\QPendientes@" descr="@5C\QPendientes@">
          <a:extLst>
            <a:ext uri="{FF2B5EF4-FFF2-40B4-BE49-F238E27FC236}">
              <a16:creationId xmlns:a16="http://schemas.microsoft.com/office/drawing/2014/main" id="{BB85EA72-A448-4B69-8FDD-6D1796F929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1564" name="Picture@5C\QPendientes@" descr="@5C\QPendientes@">
          <a:extLst>
            <a:ext uri="{FF2B5EF4-FFF2-40B4-BE49-F238E27FC236}">
              <a16:creationId xmlns:a16="http://schemas.microsoft.com/office/drawing/2014/main" id="{93DCE072-7FF8-458B-9153-883B334EC3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1565" name="Picture@5C\QPendientes@" descr="@5C\QPendientes@">
          <a:extLst>
            <a:ext uri="{FF2B5EF4-FFF2-40B4-BE49-F238E27FC236}">
              <a16:creationId xmlns:a16="http://schemas.microsoft.com/office/drawing/2014/main" id="{B0D72F8B-9452-4592-BD59-9E4202140D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1566" name="Picture@5C\QPendientes@" descr="@5C\QPendientes@">
          <a:extLst>
            <a:ext uri="{FF2B5EF4-FFF2-40B4-BE49-F238E27FC236}">
              <a16:creationId xmlns:a16="http://schemas.microsoft.com/office/drawing/2014/main" id="{DD0A313D-EEBA-4E6F-819B-9585C4D3E2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1567" name="Picture@5C\QPendientes@" descr="@5C\QPendientes@">
          <a:extLst>
            <a:ext uri="{FF2B5EF4-FFF2-40B4-BE49-F238E27FC236}">
              <a16:creationId xmlns:a16="http://schemas.microsoft.com/office/drawing/2014/main" id="{898E7B71-B7BF-4D81-B86A-BD2D03572F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1568" name="Picture@5C\QPendientes@" descr="@5C\QPendientes@">
          <a:extLst>
            <a:ext uri="{FF2B5EF4-FFF2-40B4-BE49-F238E27FC236}">
              <a16:creationId xmlns:a16="http://schemas.microsoft.com/office/drawing/2014/main" id="{F6C8F426-6AA9-4D85-B62C-BFD0A385D1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2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1569" name="Picture@5C\QPendientes@" descr="@5C\QPendientes@">
          <a:extLst>
            <a:ext uri="{FF2B5EF4-FFF2-40B4-BE49-F238E27FC236}">
              <a16:creationId xmlns:a16="http://schemas.microsoft.com/office/drawing/2014/main" id="{19C5FB36-89BE-4033-9E0C-D4F6594E38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4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1570" name="Picture@5C\QPendientes@" descr="@5C\QPendientes@">
          <a:extLst>
            <a:ext uri="{FF2B5EF4-FFF2-40B4-BE49-F238E27FC236}">
              <a16:creationId xmlns:a16="http://schemas.microsoft.com/office/drawing/2014/main" id="{4AEE5541-9ADF-4255-B087-11598C5ED3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1571" name="Picture@5C\QPendientes@" descr="@5C\QPendientes@">
          <a:extLst>
            <a:ext uri="{FF2B5EF4-FFF2-40B4-BE49-F238E27FC236}">
              <a16:creationId xmlns:a16="http://schemas.microsoft.com/office/drawing/2014/main" id="{2C46D313-F157-4078-BFDC-462655AD69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1572" name="Picture@5C\QPendientes@" descr="@5C\QPendientes@">
          <a:extLst>
            <a:ext uri="{FF2B5EF4-FFF2-40B4-BE49-F238E27FC236}">
              <a16:creationId xmlns:a16="http://schemas.microsoft.com/office/drawing/2014/main" id="{7056F5A9-7060-43FC-93F9-014678C0B2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1573" name="Picture@5C\QPendientes@" descr="@5C\QPendientes@">
          <a:extLst>
            <a:ext uri="{FF2B5EF4-FFF2-40B4-BE49-F238E27FC236}">
              <a16:creationId xmlns:a16="http://schemas.microsoft.com/office/drawing/2014/main" id="{4ED62B05-60FA-45EB-8E28-B897A37A28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1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1574" name="Picture@5C\QPendientes@" descr="@5C\QPendientes@">
          <a:extLst>
            <a:ext uri="{FF2B5EF4-FFF2-40B4-BE49-F238E27FC236}">
              <a16:creationId xmlns:a16="http://schemas.microsoft.com/office/drawing/2014/main" id="{EBAA650C-3181-40A6-B4D7-14152CFF7B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3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1575" name="Picture@5C\QPendientes@" descr="@5C\QPendientes@">
          <a:extLst>
            <a:ext uri="{FF2B5EF4-FFF2-40B4-BE49-F238E27FC236}">
              <a16:creationId xmlns:a16="http://schemas.microsoft.com/office/drawing/2014/main" id="{3A149F1D-7DDB-4E12-B701-133161E341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1576" name="Picture@5C\QPendientes@" descr="@5C\QPendientes@">
          <a:extLst>
            <a:ext uri="{FF2B5EF4-FFF2-40B4-BE49-F238E27FC236}">
              <a16:creationId xmlns:a16="http://schemas.microsoft.com/office/drawing/2014/main" id="{55FD1A41-9189-4583-88FE-F662CF9E72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1577" name="Picture@5C\QPendientes@" descr="@5C\QPendientes@">
          <a:extLst>
            <a:ext uri="{FF2B5EF4-FFF2-40B4-BE49-F238E27FC236}">
              <a16:creationId xmlns:a16="http://schemas.microsoft.com/office/drawing/2014/main" id="{30919CE6-40C9-4244-BDB6-BA935019F7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1578" name="Picture@5C\QPendientes@" descr="@5C\QPendientes@">
          <a:extLst>
            <a:ext uri="{FF2B5EF4-FFF2-40B4-BE49-F238E27FC236}">
              <a16:creationId xmlns:a16="http://schemas.microsoft.com/office/drawing/2014/main" id="{6687EB5E-3B0E-4A9B-A993-FDFD02215B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0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1579" name="Picture@5C\QPendientes@" descr="@5C\QPendientes@">
          <a:extLst>
            <a:ext uri="{FF2B5EF4-FFF2-40B4-BE49-F238E27FC236}">
              <a16:creationId xmlns:a16="http://schemas.microsoft.com/office/drawing/2014/main" id="{07698943-6E1B-4E3A-9BC1-DB35B762F6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2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1580" name="Picture@5C\QPendientes@" descr="@5C\QPendientes@">
          <a:extLst>
            <a:ext uri="{FF2B5EF4-FFF2-40B4-BE49-F238E27FC236}">
              <a16:creationId xmlns:a16="http://schemas.microsoft.com/office/drawing/2014/main" id="{BACBB64A-A141-429A-82A0-E0CC0BF664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4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1581" name="Picture@5C\QPendientes@" descr="@5C\QPendientes@">
          <a:extLst>
            <a:ext uri="{FF2B5EF4-FFF2-40B4-BE49-F238E27FC236}">
              <a16:creationId xmlns:a16="http://schemas.microsoft.com/office/drawing/2014/main" id="{02655C2A-DFA5-4379-AA88-A900FE972E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1582" name="Picture@5C\QPendientes@" descr="@5C\QPendientes@">
          <a:extLst>
            <a:ext uri="{FF2B5EF4-FFF2-40B4-BE49-F238E27FC236}">
              <a16:creationId xmlns:a16="http://schemas.microsoft.com/office/drawing/2014/main" id="{7BD2AD0B-DE04-4419-8448-2065BCF121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1583" name="Picture@5C\QPendientes@" descr="@5C\QPendientes@">
          <a:extLst>
            <a:ext uri="{FF2B5EF4-FFF2-40B4-BE49-F238E27FC236}">
              <a16:creationId xmlns:a16="http://schemas.microsoft.com/office/drawing/2014/main" id="{E833475F-0453-4A5B-8729-3AC5722190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1584" name="Picture@5C\QPendientes@" descr="@5C\QPendientes@">
          <a:extLst>
            <a:ext uri="{FF2B5EF4-FFF2-40B4-BE49-F238E27FC236}">
              <a16:creationId xmlns:a16="http://schemas.microsoft.com/office/drawing/2014/main" id="{77FC04FF-1C5E-4017-A972-3013D86FDD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1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1585" name="Picture@5C\QPendientes@" descr="@5C\QPendientes@">
          <a:extLst>
            <a:ext uri="{FF2B5EF4-FFF2-40B4-BE49-F238E27FC236}">
              <a16:creationId xmlns:a16="http://schemas.microsoft.com/office/drawing/2014/main" id="{E53BA3D0-E356-405B-AECD-DB0E2A2E8D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1586" name="Picture@5C\QPendientes@" descr="@5C\QPendientes@">
          <a:extLst>
            <a:ext uri="{FF2B5EF4-FFF2-40B4-BE49-F238E27FC236}">
              <a16:creationId xmlns:a16="http://schemas.microsoft.com/office/drawing/2014/main" id="{39B12A08-A16F-48B9-8C1A-F32906F5B0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1587" name="Picture@5C\QPendientes@" descr="@5C\QPendientes@">
          <a:extLst>
            <a:ext uri="{FF2B5EF4-FFF2-40B4-BE49-F238E27FC236}">
              <a16:creationId xmlns:a16="http://schemas.microsoft.com/office/drawing/2014/main" id="{8EC51103-0145-4187-879C-2163224631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1588" name="Picture@5C\QPendientes@" descr="@5C\QPendientes@">
          <a:extLst>
            <a:ext uri="{FF2B5EF4-FFF2-40B4-BE49-F238E27FC236}">
              <a16:creationId xmlns:a16="http://schemas.microsoft.com/office/drawing/2014/main" id="{772FC4E4-6565-4B23-A37F-2F6F5666AF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9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1589" name="Picture@5C\QPendientes@" descr="@5C\QPendientes@">
          <a:extLst>
            <a:ext uri="{FF2B5EF4-FFF2-40B4-BE49-F238E27FC236}">
              <a16:creationId xmlns:a16="http://schemas.microsoft.com/office/drawing/2014/main" id="{7478FCE2-86DE-4A2C-9A7C-B6A8ADD6D7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1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1590" name="Picture@5C\QPendientes@" descr="@5C\QPendientes@">
          <a:extLst>
            <a:ext uri="{FF2B5EF4-FFF2-40B4-BE49-F238E27FC236}">
              <a16:creationId xmlns:a16="http://schemas.microsoft.com/office/drawing/2014/main" id="{D89B3C4D-8082-4E26-B88A-17E59AED88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2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1591" name="Picture@5C\QPendientes@" descr="@5C\QPendientes@">
          <a:extLst>
            <a:ext uri="{FF2B5EF4-FFF2-40B4-BE49-F238E27FC236}">
              <a16:creationId xmlns:a16="http://schemas.microsoft.com/office/drawing/2014/main" id="{04335528-75FE-42EC-A041-F8C8BE8E62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4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1592" name="Picture@5C\QPendientes@" descr="@5C\QPendientes@">
          <a:extLst>
            <a:ext uri="{FF2B5EF4-FFF2-40B4-BE49-F238E27FC236}">
              <a16:creationId xmlns:a16="http://schemas.microsoft.com/office/drawing/2014/main" id="{A47B71B6-E0E1-4F4F-86E8-121762F77F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1593" name="Picture@5C\QPendientes@" descr="@5C\QPendientes@">
          <a:extLst>
            <a:ext uri="{FF2B5EF4-FFF2-40B4-BE49-F238E27FC236}">
              <a16:creationId xmlns:a16="http://schemas.microsoft.com/office/drawing/2014/main" id="{4F576B11-DF86-4D38-8296-927BB17CC9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1594" name="Picture@5C\QPendientes@" descr="@5C\QPendientes@">
          <a:extLst>
            <a:ext uri="{FF2B5EF4-FFF2-40B4-BE49-F238E27FC236}">
              <a16:creationId xmlns:a16="http://schemas.microsoft.com/office/drawing/2014/main" id="{820A4FDD-551B-4A41-9A7A-8BE62E0415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0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1595" name="Picture@5C\QPendientes@" descr="@5C\QPendientes@">
          <a:extLst>
            <a:ext uri="{FF2B5EF4-FFF2-40B4-BE49-F238E27FC236}">
              <a16:creationId xmlns:a16="http://schemas.microsoft.com/office/drawing/2014/main" id="{BBF5934C-62EC-479D-8490-AF8035CBF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1596" name="Picture@5C\QPendientes@" descr="@5C\QPendientes@">
          <a:extLst>
            <a:ext uri="{FF2B5EF4-FFF2-40B4-BE49-F238E27FC236}">
              <a16:creationId xmlns:a16="http://schemas.microsoft.com/office/drawing/2014/main" id="{B8B6FF63-D4DA-4BC2-B827-BA17820633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3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1597" name="Picture@5C\QPendientes@" descr="@5C\QPendientes@">
          <a:extLst>
            <a:ext uri="{FF2B5EF4-FFF2-40B4-BE49-F238E27FC236}">
              <a16:creationId xmlns:a16="http://schemas.microsoft.com/office/drawing/2014/main" id="{4BFBD8C6-B745-487D-A2EE-3900EC60E2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5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1598" name="Picture@5C\QPendientes@" descr="@5C\QPendientes@">
          <a:extLst>
            <a:ext uri="{FF2B5EF4-FFF2-40B4-BE49-F238E27FC236}">
              <a16:creationId xmlns:a16="http://schemas.microsoft.com/office/drawing/2014/main" id="{7B11B001-8CC1-4125-90E7-5A5348EEBC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7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1599" name="Picture@5C\QPendientes@" descr="@5C\QPendientes@">
          <a:extLst>
            <a:ext uri="{FF2B5EF4-FFF2-40B4-BE49-F238E27FC236}">
              <a16:creationId xmlns:a16="http://schemas.microsoft.com/office/drawing/2014/main" id="{2B529073-43DE-474E-870A-E51FE587EC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9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1600" name="Picture@5C\QPendientes@" descr="@5C\QPendientes@">
          <a:extLst>
            <a:ext uri="{FF2B5EF4-FFF2-40B4-BE49-F238E27FC236}">
              <a16:creationId xmlns:a16="http://schemas.microsoft.com/office/drawing/2014/main" id="{577C1AC1-6013-4622-9606-BE969D9B6F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1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1601" name="Picture@5C\QPendientes@" descr="@5C\QPendientes@">
          <a:extLst>
            <a:ext uri="{FF2B5EF4-FFF2-40B4-BE49-F238E27FC236}">
              <a16:creationId xmlns:a16="http://schemas.microsoft.com/office/drawing/2014/main" id="{80A517E2-E588-4C62-8894-1A913BDFB5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3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1602" name="Picture@5C\QPendientes@" descr="@5C\QPendientes@">
          <a:extLst>
            <a:ext uri="{FF2B5EF4-FFF2-40B4-BE49-F238E27FC236}">
              <a16:creationId xmlns:a16="http://schemas.microsoft.com/office/drawing/2014/main" id="{09331718-D0E2-45F5-830B-C987BB4975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1603" name="Picture@5C\QPendientes@" descr="@5C\QPendientes@">
          <a:extLst>
            <a:ext uri="{FF2B5EF4-FFF2-40B4-BE49-F238E27FC236}">
              <a16:creationId xmlns:a16="http://schemas.microsoft.com/office/drawing/2014/main" id="{26805D9A-0188-41C3-A46D-BD8CE72AFF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6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1604" name="Picture@5C\QPendientes@" descr="@5C\QPendientes@">
          <a:extLst>
            <a:ext uri="{FF2B5EF4-FFF2-40B4-BE49-F238E27FC236}">
              <a16:creationId xmlns:a16="http://schemas.microsoft.com/office/drawing/2014/main" id="{21D202BD-31FA-4B83-B9D1-D12FCD6D1E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8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1605" name="Picture@5C\QPendientes@" descr="@5C\QPendientes@">
          <a:extLst>
            <a:ext uri="{FF2B5EF4-FFF2-40B4-BE49-F238E27FC236}">
              <a16:creationId xmlns:a16="http://schemas.microsoft.com/office/drawing/2014/main" id="{FE326A58-E294-4DD8-AB8E-FF9431CB7E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1606" name="Picture@5C\QPendientes@" descr="@5C\QPendientes@">
          <a:extLst>
            <a:ext uri="{FF2B5EF4-FFF2-40B4-BE49-F238E27FC236}">
              <a16:creationId xmlns:a16="http://schemas.microsoft.com/office/drawing/2014/main" id="{508AB0D4-1B83-468E-95C6-E66CDD8B1D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2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1607" name="Picture@5C\QPendientes@" descr="@5C\QPendientes@">
          <a:extLst>
            <a:ext uri="{FF2B5EF4-FFF2-40B4-BE49-F238E27FC236}">
              <a16:creationId xmlns:a16="http://schemas.microsoft.com/office/drawing/2014/main" id="{F9BA164F-70D4-47A9-90EE-DD60555516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4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1608" name="Picture@5C\QPendientes@" descr="@5C\QPendientes@">
          <a:extLst>
            <a:ext uri="{FF2B5EF4-FFF2-40B4-BE49-F238E27FC236}">
              <a16:creationId xmlns:a16="http://schemas.microsoft.com/office/drawing/2014/main" id="{286B063D-6B3E-4F77-94B6-30FEA7637D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5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1609" name="Picture@5C\QPendientes@" descr="@5C\QPendientes@">
          <a:extLst>
            <a:ext uri="{FF2B5EF4-FFF2-40B4-BE49-F238E27FC236}">
              <a16:creationId xmlns:a16="http://schemas.microsoft.com/office/drawing/2014/main" id="{1DEA4ED1-9BEE-45B1-8F20-5D0AA7C9AC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7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1610" name="Picture@5C\QPendientes@" descr="@5C\QPendientes@">
          <a:extLst>
            <a:ext uri="{FF2B5EF4-FFF2-40B4-BE49-F238E27FC236}">
              <a16:creationId xmlns:a16="http://schemas.microsoft.com/office/drawing/2014/main" id="{AE85735D-259B-4331-8BCE-B79E563226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9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1611" name="Picture@5C\QPendientes@" descr="@5C\QPendientes@">
          <a:extLst>
            <a:ext uri="{FF2B5EF4-FFF2-40B4-BE49-F238E27FC236}">
              <a16:creationId xmlns:a16="http://schemas.microsoft.com/office/drawing/2014/main" id="{CADBD879-68FB-4C19-ABD8-612C7903F9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1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1612" name="Picture@5C\QPendientes@" descr="@5C\QPendientes@">
          <a:extLst>
            <a:ext uri="{FF2B5EF4-FFF2-40B4-BE49-F238E27FC236}">
              <a16:creationId xmlns:a16="http://schemas.microsoft.com/office/drawing/2014/main" id="{C16E3500-7933-4CBA-AE48-933F598669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3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1613" name="Picture@5C\QPendientes@" descr="@5C\QPendientes@">
          <a:extLst>
            <a:ext uri="{FF2B5EF4-FFF2-40B4-BE49-F238E27FC236}">
              <a16:creationId xmlns:a16="http://schemas.microsoft.com/office/drawing/2014/main" id="{FFE098C1-D09E-444D-B9A2-55C7B3076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1614" name="Picture@5C\QPendientes@" descr="@5C\QPendientes@">
          <a:extLst>
            <a:ext uri="{FF2B5EF4-FFF2-40B4-BE49-F238E27FC236}">
              <a16:creationId xmlns:a16="http://schemas.microsoft.com/office/drawing/2014/main" id="{800B1AFD-15E5-4C19-9A50-E585618266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6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1615" name="Picture@5C\QPendientes@" descr="@5C\QPendientes@">
          <a:extLst>
            <a:ext uri="{FF2B5EF4-FFF2-40B4-BE49-F238E27FC236}">
              <a16:creationId xmlns:a16="http://schemas.microsoft.com/office/drawing/2014/main" id="{653FDAE5-5E4B-4339-8EFB-1B47CE4E65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1616" name="Picture@5C\QPendientes@" descr="@5C\QPendientes@">
          <a:extLst>
            <a:ext uri="{FF2B5EF4-FFF2-40B4-BE49-F238E27FC236}">
              <a16:creationId xmlns:a16="http://schemas.microsoft.com/office/drawing/2014/main" id="{0A706925-53BF-41E3-98DF-2484FBD265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0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1617" name="Picture@5C\QPendientes@" descr="@5C\QPendientes@">
          <a:extLst>
            <a:ext uri="{FF2B5EF4-FFF2-40B4-BE49-F238E27FC236}">
              <a16:creationId xmlns:a16="http://schemas.microsoft.com/office/drawing/2014/main" id="{5D10ACAE-6079-4C3D-A572-B23487BD74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2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1618" name="Picture@5C\QPendientes@" descr="@5C\QPendientes@">
          <a:extLst>
            <a:ext uri="{FF2B5EF4-FFF2-40B4-BE49-F238E27FC236}">
              <a16:creationId xmlns:a16="http://schemas.microsoft.com/office/drawing/2014/main" id="{3B60C292-FC3E-48F1-82DD-4DBA5D6959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4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1619" name="Picture@5C\QPendientes@" descr="@5C\QPendientes@">
          <a:extLst>
            <a:ext uri="{FF2B5EF4-FFF2-40B4-BE49-F238E27FC236}">
              <a16:creationId xmlns:a16="http://schemas.microsoft.com/office/drawing/2014/main" id="{A4DC9D20-2EB4-439B-A60E-9641614278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5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1620" name="Picture@5C\QPendientes@" descr="@5C\QPendientes@">
          <a:extLst>
            <a:ext uri="{FF2B5EF4-FFF2-40B4-BE49-F238E27FC236}">
              <a16:creationId xmlns:a16="http://schemas.microsoft.com/office/drawing/2014/main" id="{8044DC32-9C24-41D3-86B1-00F8E16C30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7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1621" name="Picture@5C\QPendientes@" descr="@5C\QPendientes@">
          <a:extLst>
            <a:ext uri="{FF2B5EF4-FFF2-40B4-BE49-F238E27FC236}">
              <a16:creationId xmlns:a16="http://schemas.microsoft.com/office/drawing/2014/main" id="{A50AA786-99FF-4454-ACC7-F541F1FF4F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9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1622" name="Picture@5C\QPendientes@" descr="@5C\QPendientes@">
          <a:extLst>
            <a:ext uri="{FF2B5EF4-FFF2-40B4-BE49-F238E27FC236}">
              <a16:creationId xmlns:a16="http://schemas.microsoft.com/office/drawing/2014/main" id="{4B26F07F-1E56-40EA-A621-B100A760D3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1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1623" name="Picture@5C\QPendientes@" descr="@5C\QPendientes@">
          <a:extLst>
            <a:ext uri="{FF2B5EF4-FFF2-40B4-BE49-F238E27FC236}">
              <a16:creationId xmlns:a16="http://schemas.microsoft.com/office/drawing/2014/main" id="{B33242ED-F118-414D-9F3D-83BD2C5EA7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3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1624" name="Picture@5C\QPendientes@" descr="@5C\QPendientes@">
          <a:extLst>
            <a:ext uri="{FF2B5EF4-FFF2-40B4-BE49-F238E27FC236}">
              <a16:creationId xmlns:a16="http://schemas.microsoft.com/office/drawing/2014/main" id="{D56FA76E-11A8-4FC6-B410-9A2A67065A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5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1625" name="Picture@5C\QPendientes@" descr="@5C\QPendientes@">
          <a:extLst>
            <a:ext uri="{FF2B5EF4-FFF2-40B4-BE49-F238E27FC236}">
              <a16:creationId xmlns:a16="http://schemas.microsoft.com/office/drawing/2014/main" id="{17E5FDD1-FECB-4F80-9DB2-ECEA004F81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1626" name="Picture@5C\QPendientes@" descr="@5C\QPendientes@">
          <a:extLst>
            <a:ext uri="{FF2B5EF4-FFF2-40B4-BE49-F238E27FC236}">
              <a16:creationId xmlns:a16="http://schemas.microsoft.com/office/drawing/2014/main" id="{7704403D-844C-4E58-B71C-54288623F4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8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1627" name="Picture@5C\QPendientes@" descr="@5C\QPendientes@">
          <a:extLst>
            <a:ext uri="{FF2B5EF4-FFF2-40B4-BE49-F238E27FC236}">
              <a16:creationId xmlns:a16="http://schemas.microsoft.com/office/drawing/2014/main" id="{5D7071A6-EFB1-4BA3-A60A-82775186CA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0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1628" name="Picture@5C\QPendientes@" descr="@5C\QPendientes@">
          <a:extLst>
            <a:ext uri="{FF2B5EF4-FFF2-40B4-BE49-F238E27FC236}">
              <a16:creationId xmlns:a16="http://schemas.microsoft.com/office/drawing/2014/main" id="{FABE21E2-085F-4507-AB41-A21FD775AA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2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1629" name="Picture@5C\QPendientes@" descr="@5C\QPendientes@">
          <a:extLst>
            <a:ext uri="{FF2B5EF4-FFF2-40B4-BE49-F238E27FC236}">
              <a16:creationId xmlns:a16="http://schemas.microsoft.com/office/drawing/2014/main" id="{9998858C-532B-4B0A-8426-42D6050C03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4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1630" name="Picture@5C\QPendientes@" descr="@5C\QPendientes@">
          <a:extLst>
            <a:ext uri="{FF2B5EF4-FFF2-40B4-BE49-F238E27FC236}">
              <a16:creationId xmlns:a16="http://schemas.microsoft.com/office/drawing/2014/main" id="{14195738-46BC-4AFA-8479-A35358BB4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6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1631" name="Picture@5C\QPendientes@" descr="@5C\QPendientes@">
          <a:extLst>
            <a:ext uri="{FF2B5EF4-FFF2-40B4-BE49-F238E27FC236}">
              <a16:creationId xmlns:a16="http://schemas.microsoft.com/office/drawing/2014/main" id="{226B1E01-4D81-4035-AEC6-A80019A252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7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1632" name="Picture@5C\QPendientes@" descr="@5C\QPendientes@">
          <a:extLst>
            <a:ext uri="{FF2B5EF4-FFF2-40B4-BE49-F238E27FC236}">
              <a16:creationId xmlns:a16="http://schemas.microsoft.com/office/drawing/2014/main" id="{ED5ED67F-8E75-49D8-AF37-DA3B669D1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9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1633" name="Picture@5C\QPendientes@" descr="@5C\QPendientes@">
          <a:extLst>
            <a:ext uri="{FF2B5EF4-FFF2-40B4-BE49-F238E27FC236}">
              <a16:creationId xmlns:a16="http://schemas.microsoft.com/office/drawing/2014/main" id="{7E5252EF-E872-4A61-868A-6678833C98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1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1634" name="Picture@5C\QPendientes@" descr="@5C\QPendientes@">
          <a:extLst>
            <a:ext uri="{FF2B5EF4-FFF2-40B4-BE49-F238E27FC236}">
              <a16:creationId xmlns:a16="http://schemas.microsoft.com/office/drawing/2014/main" id="{A3FA50AE-5AAE-4F92-8C8F-D6CC954AF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3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1635" name="Picture@5C\QPendientes@" descr="@5C\QPendientes@">
          <a:extLst>
            <a:ext uri="{FF2B5EF4-FFF2-40B4-BE49-F238E27FC236}">
              <a16:creationId xmlns:a16="http://schemas.microsoft.com/office/drawing/2014/main" id="{FCEC20BE-411A-456E-A82E-A33244A27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1636" name="Picture@5C\QPendientes@" descr="@5C\QPendientes@">
          <a:extLst>
            <a:ext uri="{FF2B5EF4-FFF2-40B4-BE49-F238E27FC236}">
              <a16:creationId xmlns:a16="http://schemas.microsoft.com/office/drawing/2014/main" id="{2E5A26F1-2B0F-4EF4-8A72-3647F20C79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7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1637" name="Picture@5C\QPendientes@" descr="@5C\QPendientes@">
          <a:extLst>
            <a:ext uri="{FF2B5EF4-FFF2-40B4-BE49-F238E27FC236}">
              <a16:creationId xmlns:a16="http://schemas.microsoft.com/office/drawing/2014/main" id="{5AB87558-5A79-469C-A4E5-EB2DB8F769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8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1638" name="Picture@5C\QPendientes@" descr="@5C\QPendientes@">
          <a:extLst>
            <a:ext uri="{FF2B5EF4-FFF2-40B4-BE49-F238E27FC236}">
              <a16:creationId xmlns:a16="http://schemas.microsoft.com/office/drawing/2014/main" id="{2D73BA97-8ED2-4E28-B838-682CE8AB59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0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1639" name="Picture@5C\QPendientes@" descr="@5C\QPendientes@">
          <a:extLst>
            <a:ext uri="{FF2B5EF4-FFF2-40B4-BE49-F238E27FC236}">
              <a16:creationId xmlns:a16="http://schemas.microsoft.com/office/drawing/2014/main" id="{311A1BD1-3CDE-4C4D-BBDC-4377A9D5A6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2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1640" name="Picture@5C\QPendientes@" descr="@5C\QPendientes@">
          <a:extLst>
            <a:ext uri="{FF2B5EF4-FFF2-40B4-BE49-F238E27FC236}">
              <a16:creationId xmlns:a16="http://schemas.microsoft.com/office/drawing/2014/main" id="{D2E5DC05-1DE9-442D-B96B-D8B695BE45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4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1641" name="Picture@5C\QPendientes@" descr="@5C\QPendientes@">
          <a:extLst>
            <a:ext uri="{FF2B5EF4-FFF2-40B4-BE49-F238E27FC236}">
              <a16:creationId xmlns:a16="http://schemas.microsoft.com/office/drawing/2014/main" id="{F805396C-630E-418F-8215-CF17094D0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6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1642" name="Picture@5C\QPendientes@" descr="@5C\QPendientes@">
          <a:extLst>
            <a:ext uri="{FF2B5EF4-FFF2-40B4-BE49-F238E27FC236}">
              <a16:creationId xmlns:a16="http://schemas.microsoft.com/office/drawing/2014/main" id="{546934D1-CA95-4CF8-84A8-C584B5E761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8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1643" name="Picture@5C\QPendientes@" descr="@5C\QPendientes@">
          <a:extLst>
            <a:ext uri="{FF2B5EF4-FFF2-40B4-BE49-F238E27FC236}">
              <a16:creationId xmlns:a16="http://schemas.microsoft.com/office/drawing/2014/main" id="{87F245D8-05FF-4D8D-BEEA-40B266CA50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9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1644" name="Picture@5C\QPendientes@" descr="@5C\QPendientes@">
          <a:extLst>
            <a:ext uri="{FF2B5EF4-FFF2-40B4-BE49-F238E27FC236}">
              <a16:creationId xmlns:a16="http://schemas.microsoft.com/office/drawing/2014/main" id="{41A47009-2E3A-467A-9FEE-0EABFACB56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1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1645" name="Picture@5C\QPendientes@" descr="@5C\QPendientes@">
          <a:extLst>
            <a:ext uri="{FF2B5EF4-FFF2-40B4-BE49-F238E27FC236}">
              <a16:creationId xmlns:a16="http://schemas.microsoft.com/office/drawing/2014/main" id="{16363C05-3E90-4C27-9809-0ECF1C59DF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1646" name="Picture@5C\QPendientes@" descr="@5C\QPendientes@">
          <a:extLst>
            <a:ext uri="{FF2B5EF4-FFF2-40B4-BE49-F238E27FC236}">
              <a16:creationId xmlns:a16="http://schemas.microsoft.com/office/drawing/2014/main" id="{3A1D1C7E-168E-44EC-B8E3-241B6D99F1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5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1647" name="Picture@5C\QPendientes@" descr="@5C\QPendientes@">
          <a:extLst>
            <a:ext uri="{FF2B5EF4-FFF2-40B4-BE49-F238E27FC236}">
              <a16:creationId xmlns:a16="http://schemas.microsoft.com/office/drawing/2014/main" id="{23C2F6E0-ADB8-411D-B661-20A42885B4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7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1648" name="Picture@5C\QPendientes@" descr="@5C\QPendientes@">
          <a:extLst>
            <a:ext uri="{FF2B5EF4-FFF2-40B4-BE49-F238E27FC236}">
              <a16:creationId xmlns:a16="http://schemas.microsoft.com/office/drawing/2014/main" id="{3BDADD2E-76A7-4781-9978-11F58D4721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8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1649" name="Picture@5C\QPendientes@" descr="@5C\QPendientes@">
          <a:extLst>
            <a:ext uri="{FF2B5EF4-FFF2-40B4-BE49-F238E27FC236}">
              <a16:creationId xmlns:a16="http://schemas.microsoft.com/office/drawing/2014/main" id="{B83564EF-F95A-4F53-A264-FACF2C2CFA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0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1650" name="Picture@5C\QPendientes@" descr="@5C\QPendientes@">
          <a:extLst>
            <a:ext uri="{FF2B5EF4-FFF2-40B4-BE49-F238E27FC236}">
              <a16:creationId xmlns:a16="http://schemas.microsoft.com/office/drawing/2014/main" id="{1FAB3D4C-90FA-4BDD-B2C2-7EE0B57BA6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2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1651" name="Picture@5C\QPendientes@" descr="@5C\QPendientes@">
          <a:extLst>
            <a:ext uri="{FF2B5EF4-FFF2-40B4-BE49-F238E27FC236}">
              <a16:creationId xmlns:a16="http://schemas.microsoft.com/office/drawing/2014/main" id="{439CAD58-60FD-47CF-BBE6-951C346A9E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4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1652" name="Picture@5C\QPendientes@" descr="@5C\QPendientes@">
          <a:extLst>
            <a:ext uri="{FF2B5EF4-FFF2-40B4-BE49-F238E27FC236}">
              <a16:creationId xmlns:a16="http://schemas.microsoft.com/office/drawing/2014/main" id="{044DD1D2-2ED1-4306-B01D-2B84386520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6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1653" name="Picture@5C\QPendientes@" descr="@5C\QPendientes@">
          <a:extLst>
            <a:ext uri="{FF2B5EF4-FFF2-40B4-BE49-F238E27FC236}">
              <a16:creationId xmlns:a16="http://schemas.microsoft.com/office/drawing/2014/main" id="{82077991-0EE7-4528-8056-9683047EE3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8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1654" name="Picture@5C\QPendientes@" descr="@5C\QPendientes@">
          <a:extLst>
            <a:ext uri="{FF2B5EF4-FFF2-40B4-BE49-F238E27FC236}">
              <a16:creationId xmlns:a16="http://schemas.microsoft.com/office/drawing/2014/main" id="{7F3F7407-ACCF-4E65-B43B-85719159D6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9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1655" name="Picture@5C\QPendientes@" descr="@5C\QPendientes@">
          <a:extLst>
            <a:ext uri="{FF2B5EF4-FFF2-40B4-BE49-F238E27FC236}">
              <a16:creationId xmlns:a16="http://schemas.microsoft.com/office/drawing/2014/main" id="{882E71A2-31E6-4496-A49A-A73E5848FD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1656" name="Picture@5C\QPendientes@" descr="@5C\QPendientes@">
          <a:extLst>
            <a:ext uri="{FF2B5EF4-FFF2-40B4-BE49-F238E27FC236}">
              <a16:creationId xmlns:a16="http://schemas.microsoft.com/office/drawing/2014/main" id="{EDFF594C-2C64-4F00-8CF7-86A6F148F9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3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1657" name="Picture@5C\QPendientes@" descr="@5C\QPendientes@">
          <a:extLst>
            <a:ext uri="{FF2B5EF4-FFF2-40B4-BE49-F238E27FC236}">
              <a16:creationId xmlns:a16="http://schemas.microsoft.com/office/drawing/2014/main" id="{4AB2497D-F338-4BCD-88BC-67432B6D29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5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1658" name="Picture@5C\QPendientes@" descr="@5C\QPendientes@">
          <a:extLst>
            <a:ext uri="{FF2B5EF4-FFF2-40B4-BE49-F238E27FC236}">
              <a16:creationId xmlns:a16="http://schemas.microsoft.com/office/drawing/2014/main" id="{E1F8E16A-E858-469A-B911-21B00B2068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7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1659" name="Picture@5C\QPendientes@" descr="@5C\QPendientes@">
          <a:extLst>
            <a:ext uri="{FF2B5EF4-FFF2-40B4-BE49-F238E27FC236}">
              <a16:creationId xmlns:a16="http://schemas.microsoft.com/office/drawing/2014/main" id="{CBF4F3C0-01EF-40B9-9A24-1DB1741DED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9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1660" name="Picture@5C\QPendientes@" descr="@5C\QPendientes@">
          <a:extLst>
            <a:ext uri="{FF2B5EF4-FFF2-40B4-BE49-F238E27FC236}">
              <a16:creationId xmlns:a16="http://schemas.microsoft.com/office/drawing/2014/main" id="{8732BCE9-28C0-4E4C-B079-EE1C090575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0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1661" name="Picture@5C\QPendientes@" descr="@5C\QPendientes@">
          <a:extLst>
            <a:ext uri="{FF2B5EF4-FFF2-40B4-BE49-F238E27FC236}">
              <a16:creationId xmlns:a16="http://schemas.microsoft.com/office/drawing/2014/main" id="{F0547D35-D39C-481D-AB5F-75CB897752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2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1662" name="Picture@5C\QPendientes@" descr="@5C\QPendientes@">
          <a:extLst>
            <a:ext uri="{FF2B5EF4-FFF2-40B4-BE49-F238E27FC236}">
              <a16:creationId xmlns:a16="http://schemas.microsoft.com/office/drawing/2014/main" id="{EA5482BA-45C9-4FC0-AB3D-A83DE9C8A3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4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1663" name="Picture@5C\QPendientes@" descr="@5C\QPendientes@">
          <a:extLst>
            <a:ext uri="{FF2B5EF4-FFF2-40B4-BE49-F238E27FC236}">
              <a16:creationId xmlns:a16="http://schemas.microsoft.com/office/drawing/2014/main" id="{D7E4D406-57CC-43CF-B572-661620421C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6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1664" name="Picture@5C\QPendientes@" descr="@5C\QPendientes@">
          <a:extLst>
            <a:ext uri="{FF2B5EF4-FFF2-40B4-BE49-F238E27FC236}">
              <a16:creationId xmlns:a16="http://schemas.microsoft.com/office/drawing/2014/main" id="{240EAF6A-D3A8-4853-899A-773DFE2936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8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1665" name="Picture@5C\QPendientes@" descr="@5C\QPendientes@">
          <a:extLst>
            <a:ext uri="{FF2B5EF4-FFF2-40B4-BE49-F238E27FC236}">
              <a16:creationId xmlns:a16="http://schemas.microsoft.com/office/drawing/2014/main" id="{DA975123-A4B4-4EBA-A2F3-491409B776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1666" name="Picture@5C\QPendientes@" descr="@5C\QPendientes@">
          <a:extLst>
            <a:ext uri="{FF2B5EF4-FFF2-40B4-BE49-F238E27FC236}">
              <a16:creationId xmlns:a16="http://schemas.microsoft.com/office/drawing/2014/main" id="{D564E062-9277-4107-9FBC-28B2C26E9B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1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1667" name="Picture@5C\QPendientes@" descr="@5C\QPendientes@">
          <a:extLst>
            <a:ext uri="{FF2B5EF4-FFF2-40B4-BE49-F238E27FC236}">
              <a16:creationId xmlns:a16="http://schemas.microsoft.com/office/drawing/2014/main" id="{6795BAA9-5265-4625-8F57-6A72B3D2B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3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1668" name="Picture@5C\QPendientes@" descr="@5C\QPendientes@">
          <a:extLst>
            <a:ext uri="{FF2B5EF4-FFF2-40B4-BE49-F238E27FC236}">
              <a16:creationId xmlns:a16="http://schemas.microsoft.com/office/drawing/2014/main" id="{61077DE6-1C14-4E2C-857F-919E61AD6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5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1669" name="Picture@5C\QPendientes@" descr="@5C\QPendientes@">
          <a:extLst>
            <a:ext uri="{FF2B5EF4-FFF2-40B4-BE49-F238E27FC236}">
              <a16:creationId xmlns:a16="http://schemas.microsoft.com/office/drawing/2014/main" id="{F5DB76E7-A620-4BF5-9B07-C3F772BECC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7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1670" name="Picture@5C\QPendientes@" descr="@5C\QPendientes@">
          <a:extLst>
            <a:ext uri="{FF2B5EF4-FFF2-40B4-BE49-F238E27FC236}">
              <a16:creationId xmlns:a16="http://schemas.microsoft.com/office/drawing/2014/main" id="{4492F5BC-6B6D-4BBF-B9E4-8AAE4B66F9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9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1671" name="Picture@5C\QPendientes@" descr="@5C\QPendientes@">
          <a:extLst>
            <a:ext uri="{FF2B5EF4-FFF2-40B4-BE49-F238E27FC236}">
              <a16:creationId xmlns:a16="http://schemas.microsoft.com/office/drawing/2014/main" id="{DEC83E57-CEC3-4BAF-BA90-711A20D8AC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1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1672" name="Picture@5C\QPendientes@" descr="@5C\QPendientes@">
          <a:extLst>
            <a:ext uri="{FF2B5EF4-FFF2-40B4-BE49-F238E27FC236}">
              <a16:creationId xmlns:a16="http://schemas.microsoft.com/office/drawing/2014/main" id="{742F803E-B278-4DC0-B61E-FAC8380AC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2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1673" name="Picture@5C\QPendientes@" descr="@5C\QPendientes@">
          <a:extLst>
            <a:ext uri="{FF2B5EF4-FFF2-40B4-BE49-F238E27FC236}">
              <a16:creationId xmlns:a16="http://schemas.microsoft.com/office/drawing/2014/main" id="{70027BA1-DCC7-44A3-A368-2D61C53147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4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1674" name="Picture@5C\QPendientes@" descr="@5C\QPendientes@">
          <a:extLst>
            <a:ext uri="{FF2B5EF4-FFF2-40B4-BE49-F238E27FC236}">
              <a16:creationId xmlns:a16="http://schemas.microsoft.com/office/drawing/2014/main" id="{4610AABF-8A2D-443F-8477-33AF4062F4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6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1675" name="Picture@5C\QPendientes@" descr="@5C\QPendientes@">
          <a:extLst>
            <a:ext uri="{FF2B5EF4-FFF2-40B4-BE49-F238E27FC236}">
              <a16:creationId xmlns:a16="http://schemas.microsoft.com/office/drawing/2014/main" id="{9323C756-3B29-4419-82FE-5CD5B7D0EB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1676" name="Picture@5C\QPendientes@" descr="@5C\QPendientes@">
          <a:extLst>
            <a:ext uri="{FF2B5EF4-FFF2-40B4-BE49-F238E27FC236}">
              <a16:creationId xmlns:a16="http://schemas.microsoft.com/office/drawing/2014/main" id="{8E8AB045-CA07-454F-8545-45122D203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0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1677" name="Picture@5C\QPendientes@" descr="@5C\QPendientes@">
          <a:extLst>
            <a:ext uri="{FF2B5EF4-FFF2-40B4-BE49-F238E27FC236}">
              <a16:creationId xmlns:a16="http://schemas.microsoft.com/office/drawing/2014/main" id="{D1B750B2-CB53-4291-85DA-E7CAAF8898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2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1678" name="Picture@5C\QPendientes@" descr="@5C\QPendientes@">
          <a:extLst>
            <a:ext uri="{FF2B5EF4-FFF2-40B4-BE49-F238E27FC236}">
              <a16:creationId xmlns:a16="http://schemas.microsoft.com/office/drawing/2014/main" id="{C643DEC3-C7B1-4844-80FD-64D40C3BB0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3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1679" name="Picture@5C\QPendientes@" descr="@5C\QPendientes@">
          <a:extLst>
            <a:ext uri="{FF2B5EF4-FFF2-40B4-BE49-F238E27FC236}">
              <a16:creationId xmlns:a16="http://schemas.microsoft.com/office/drawing/2014/main" id="{22371DED-72E5-4CB0-A636-6EA91CF8B7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5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1680" name="Picture@5C\QPendientes@" descr="@5C\QPendientes@">
          <a:extLst>
            <a:ext uri="{FF2B5EF4-FFF2-40B4-BE49-F238E27FC236}">
              <a16:creationId xmlns:a16="http://schemas.microsoft.com/office/drawing/2014/main" id="{4E64AE75-7560-45EF-BE7D-7B03A69103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7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1681" name="Picture@5C\QPendientes@" descr="@5C\QPendientes@">
          <a:extLst>
            <a:ext uri="{FF2B5EF4-FFF2-40B4-BE49-F238E27FC236}">
              <a16:creationId xmlns:a16="http://schemas.microsoft.com/office/drawing/2014/main" id="{A82D0381-9E1C-4B08-8E5F-6D8EF98A98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9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1682" name="Picture@5C\QPendientes@" descr="@5C\QPendientes@">
          <a:extLst>
            <a:ext uri="{FF2B5EF4-FFF2-40B4-BE49-F238E27FC236}">
              <a16:creationId xmlns:a16="http://schemas.microsoft.com/office/drawing/2014/main" id="{0A463F2A-38DE-46DD-98AF-CF75CF76C7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1683" name="Picture@5C\QPendientes@" descr="@5C\QPendientes@">
          <a:extLst>
            <a:ext uri="{FF2B5EF4-FFF2-40B4-BE49-F238E27FC236}">
              <a16:creationId xmlns:a16="http://schemas.microsoft.com/office/drawing/2014/main" id="{78151CEF-8E42-4AFB-9F14-F146B1A276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2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1684" name="Picture@5C\QPendientes@" descr="@5C\QPendientes@">
          <a:extLst>
            <a:ext uri="{FF2B5EF4-FFF2-40B4-BE49-F238E27FC236}">
              <a16:creationId xmlns:a16="http://schemas.microsoft.com/office/drawing/2014/main" id="{FBFD4CA4-DF06-4C63-8443-D2C730251D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4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1685" name="Picture@5C\QPendientes@" descr="@5C\QPendientes@">
          <a:extLst>
            <a:ext uri="{FF2B5EF4-FFF2-40B4-BE49-F238E27FC236}">
              <a16:creationId xmlns:a16="http://schemas.microsoft.com/office/drawing/2014/main" id="{D97D9BE6-0F4F-4E71-A2A3-58F98B3025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1686" name="Picture@5C\QPendientes@" descr="@5C\QPendientes@">
          <a:extLst>
            <a:ext uri="{FF2B5EF4-FFF2-40B4-BE49-F238E27FC236}">
              <a16:creationId xmlns:a16="http://schemas.microsoft.com/office/drawing/2014/main" id="{515C20F6-C33F-47E6-8015-94749F91FA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8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1687" name="Picture@5C\QPendientes@" descr="@5C\QPendientes@">
          <a:extLst>
            <a:ext uri="{FF2B5EF4-FFF2-40B4-BE49-F238E27FC236}">
              <a16:creationId xmlns:a16="http://schemas.microsoft.com/office/drawing/2014/main" id="{F54A335F-7212-4CE7-BFF6-1373E14282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0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1688" name="Picture@5C\QPendientes@" descr="@5C\QPendientes@">
          <a:extLst>
            <a:ext uri="{FF2B5EF4-FFF2-40B4-BE49-F238E27FC236}">
              <a16:creationId xmlns:a16="http://schemas.microsoft.com/office/drawing/2014/main" id="{3F498C8F-504C-4D07-8659-F0B0B10A18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2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1689" name="Picture@5C\QPendientes@" descr="@5C\QPendientes@">
          <a:extLst>
            <a:ext uri="{FF2B5EF4-FFF2-40B4-BE49-F238E27FC236}">
              <a16:creationId xmlns:a16="http://schemas.microsoft.com/office/drawing/2014/main" id="{66FA10AC-F5DC-4D37-8DDE-544ABAA0C4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3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1690" name="Picture@5C\QPendientes@" descr="@5C\QPendientes@">
          <a:extLst>
            <a:ext uri="{FF2B5EF4-FFF2-40B4-BE49-F238E27FC236}">
              <a16:creationId xmlns:a16="http://schemas.microsoft.com/office/drawing/2014/main" id="{F45AE7E7-37CF-4228-9D66-D67DBE4270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5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1691" name="Picture@5C\QPendientes@" descr="@5C\QPendientes@">
          <a:extLst>
            <a:ext uri="{FF2B5EF4-FFF2-40B4-BE49-F238E27FC236}">
              <a16:creationId xmlns:a16="http://schemas.microsoft.com/office/drawing/2014/main" id="{8F6FDADA-D48B-4FBD-A774-5BE5637A58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7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1692" name="Picture@5C\QPendientes@" descr="@5C\QPendientes@">
          <a:extLst>
            <a:ext uri="{FF2B5EF4-FFF2-40B4-BE49-F238E27FC236}">
              <a16:creationId xmlns:a16="http://schemas.microsoft.com/office/drawing/2014/main" id="{E4C766DF-BA33-4C01-9D37-1FBE647A23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9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1693" name="Picture@5C\QPendientes@" descr="@5C\QPendientes@">
          <a:extLst>
            <a:ext uri="{FF2B5EF4-FFF2-40B4-BE49-F238E27FC236}">
              <a16:creationId xmlns:a16="http://schemas.microsoft.com/office/drawing/2014/main" id="{AC81BC42-9515-42A8-9D46-71BF689A7C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1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1694" name="Picture@5C\QPendientes@" descr="@5C\QPendientes@">
          <a:extLst>
            <a:ext uri="{FF2B5EF4-FFF2-40B4-BE49-F238E27FC236}">
              <a16:creationId xmlns:a16="http://schemas.microsoft.com/office/drawing/2014/main" id="{4B2A913E-9760-4ED7-9F67-381B030376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3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1695" name="Picture@5C\QPendientes@" descr="@5C\QPendientes@">
          <a:extLst>
            <a:ext uri="{FF2B5EF4-FFF2-40B4-BE49-F238E27FC236}">
              <a16:creationId xmlns:a16="http://schemas.microsoft.com/office/drawing/2014/main" id="{06955968-C431-4760-BB09-335ED4E5AC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1696" name="Picture@5C\QPendientes@" descr="@5C\QPendientes@">
          <a:extLst>
            <a:ext uri="{FF2B5EF4-FFF2-40B4-BE49-F238E27FC236}">
              <a16:creationId xmlns:a16="http://schemas.microsoft.com/office/drawing/2014/main" id="{A47103EB-FDB3-4C25-958C-F47CB21135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6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1697" name="Picture@5C\QPendientes@" descr="@5C\QPendientes@">
          <a:extLst>
            <a:ext uri="{FF2B5EF4-FFF2-40B4-BE49-F238E27FC236}">
              <a16:creationId xmlns:a16="http://schemas.microsoft.com/office/drawing/2014/main" id="{4B7A73D1-715D-47CF-932C-66A6508967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8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1698" name="Picture@5C\QPendientes@" descr="@5C\QPendientes@">
          <a:extLst>
            <a:ext uri="{FF2B5EF4-FFF2-40B4-BE49-F238E27FC236}">
              <a16:creationId xmlns:a16="http://schemas.microsoft.com/office/drawing/2014/main" id="{ACA47EFD-BCE4-4F1A-BD9E-CC810078D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0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1699" name="Picture@5C\QPendientes@" descr="@5C\QPendientes@">
          <a:extLst>
            <a:ext uri="{FF2B5EF4-FFF2-40B4-BE49-F238E27FC236}">
              <a16:creationId xmlns:a16="http://schemas.microsoft.com/office/drawing/2014/main" id="{9883D9D5-2996-44EA-8B69-E141DAFA81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2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1700" name="Picture@5C\QPendientes@" descr="@5C\QPendientes@">
          <a:extLst>
            <a:ext uri="{FF2B5EF4-FFF2-40B4-BE49-F238E27FC236}">
              <a16:creationId xmlns:a16="http://schemas.microsoft.com/office/drawing/2014/main" id="{39345412-4B9B-4C3F-933A-B2962DF6A2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4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1701" name="Picture@5C\QPendientes@" descr="@5C\QPendientes@">
          <a:extLst>
            <a:ext uri="{FF2B5EF4-FFF2-40B4-BE49-F238E27FC236}">
              <a16:creationId xmlns:a16="http://schemas.microsoft.com/office/drawing/2014/main" id="{B8E72B8D-531E-486F-98AE-D1E4714C3D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5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1702" name="Picture@5C\QPendientes@" descr="@5C\QPendientes@">
          <a:extLst>
            <a:ext uri="{FF2B5EF4-FFF2-40B4-BE49-F238E27FC236}">
              <a16:creationId xmlns:a16="http://schemas.microsoft.com/office/drawing/2014/main" id="{54FA1080-0ACC-439D-9EEE-EDDEA20D57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7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1703" name="Picture@5C\QPendientes@" descr="@5C\QPendientes@">
          <a:extLst>
            <a:ext uri="{FF2B5EF4-FFF2-40B4-BE49-F238E27FC236}">
              <a16:creationId xmlns:a16="http://schemas.microsoft.com/office/drawing/2014/main" id="{F2A6E253-443A-4CCE-B706-2CA978BDFD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9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1704" name="Picture@5C\QPendientes@" descr="@5C\QPendientes@">
          <a:extLst>
            <a:ext uri="{FF2B5EF4-FFF2-40B4-BE49-F238E27FC236}">
              <a16:creationId xmlns:a16="http://schemas.microsoft.com/office/drawing/2014/main" id="{28022032-6BCA-4E88-86BB-77A163CCAF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1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1705" name="Picture@5C\QPendientes@" descr="@5C\QPendientes@">
          <a:extLst>
            <a:ext uri="{FF2B5EF4-FFF2-40B4-BE49-F238E27FC236}">
              <a16:creationId xmlns:a16="http://schemas.microsoft.com/office/drawing/2014/main" id="{252A12B0-6E07-4286-911C-1A02858B4D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1706" name="Picture@5C\QPendientes@" descr="@5C\QPendientes@">
          <a:extLst>
            <a:ext uri="{FF2B5EF4-FFF2-40B4-BE49-F238E27FC236}">
              <a16:creationId xmlns:a16="http://schemas.microsoft.com/office/drawing/2014/main" id="{6831D0EE-1F6A-4F50-B69B-1CD7A86C89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5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1707" name="Picture@5C\QPendientes@" descr="@5C\QPendientes@">
          <a:extLst>
            <a:ext uri="{FF2B5EF4-FFF2-40B4-BE49-F238E27FC236}">
              <a16:creationId xmlns:a16="http://schemas.microsoft.com/office/drawing/2014/main" id="{E015FC8F-BB1D-43E4-9520-7CD1808818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6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1708" name="Picture@5C\QPendientes@" descr="@5C\QPendientes@">
          <a:extLst>
            <a:ext uri="{FF2B5EF4-FFF2-40B4-BE49-F238E27FC236}">
              <a16:creationId xmlns:a16="http://schemas.microsoft.com/office/drawing/2014/main" id="{E635924A-CA99-473C-ACB8-F512361B3F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8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1709" name="Picture@5C\QPendientes@" descr="@5C\QPendientes@">
          <a:extLst>
            <a:ext uri="{FF2B5EF4-FFF2-40B4-BE49-F238E27FC236}">
              <a16:creationId xmlns:a16="http://schemas.microsoft.com/office/drawing/2014/main" id="{4EB10AC8-AAA8-41B3-92FF-7F80DEE10B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0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1710" name="Picture@5C\QPendientes@" descr="@5C\QPendientes@">
          <a:extLst>
            <a:ext uri="{FF2B5EF4-FFF2-40B4-BE49-F238E27FC236}">
              <a16:creationId xmlns:a16="http://schemas.microsoft.com/office/drawing/2014/main" id="{FAA52DD5-0533-4064-998C-EFFCA5B5BA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2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1711" name="Picture@5C\QPendientes@" descr="@5C\QPendientes@">
          <a:extLst>
            <a:ext uri="{FF2B5EF4-FFF2-40B4-BE49-F238E27FC236}">
              <a16:creationId xmlns:a16="http://schemas.microsoft.com/office/drawing/2014/main" id="{28E42354-104E-448B-89F4-9FFFDBDF37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4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1712" name="Picture@5C\QPendientes@" descr="@5C\QPendientes@">
          <a:extLst>
            <a:ext uri="{FF2B5EF4-FFF2-40B4-BE49-F238E27FC236}">
              <a16:creationId xmlns:a16="http://schemas.microsoft.com/office/drawing/2014/main" id="{5B5B1EDD-0F07-41F4-A8ED-E57746710A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6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1713" name="Picture@5C\QPendientes@" descr="@5C\QPendientes@">
          <a:extLst>
            <a:ext uri="{FF2B5EF4-FFF2-40B4-BE49-F238E27FC236}">
              <a16:creationId xmlns:a16="http://schemas.microsoft.com/office/drawing/2014/main" id="{448F7A72-7CB3-42BC-88D7-779B010BA0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7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1714" name="Picture@5C\QPendientes@" descr="@5C\QPendientes@">
          <a:extLst>
            <a:ext uri="{FF2B5EF4-FFF2-40B4-BE49-F238E27FC236}">
              <a16:creationId xmlns:a16="http://schemas.microsoft.com/office/drawing/2014/main" id="{9F3F7A63-F333-46BC-96DB-B99C380368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9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1715" name="Picture@5C\QPendientes@" descr="@5C\QPendientes@">
          <a:extLst>
            <a:ext uri="{FF2B5EF4-FFF2-40B4-BE49-F238E27FC236}">
              <a16:creationId xmlns:a16="http://schemas.microsoft.com/office/drawing/2014/main" id="{CE8DC2CE-6C26-41B5-9F8A-24D73F2EDF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1716" name="Picture@5C\QPendientes@" descr="@5C\QPendientes@">
          <a:extLst>
            <a:ext uri="{FF2B5EF4-FFF2-40B4-BE49-F238E27FC236}">
              <a16:creationId xmlns:a16="http://schemas.microsoft.com/office/drawing/2014/main" id="{4EB4E8D1-6DAE-4E51-A62E-0B3303BB8F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3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1717" name="Picture@5C\QPendientes@" descr="@5C\QPendientes@">
          <a:extLst>
            <a:ext uri="{FF2B5EF4-FFF2-40B4-BE49-F238E27FC236}">
              <a16:creationId xmlns:a16="http://schemas.microsoft.com/office/drawing/2014/main" id="{F8D2BC6A-E71A-462D-A7E2-864C27BC98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5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1718" name="Picture@5C\QPendientes@" descr="@5C\QPendientes@">
          <a:extLst>
            <a:ext uri="{FF2B5EF4-FFF2-40B4-BE49-F238E27FC236}">
              <a16:creationId xmlns:a16="http://schemas.microsoft.com/office/drawing/2014/main" id="{4953C8AA-6BC2-48B4-B4CB-CFF4D15F6C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7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1719" name="Picture@5C\QPendientes@" descr="@5C\QPendientes@">
          <a:extLst>
            <a:ext uri="{FF2B5EF4-FFF2-40B4-BE49-F238E27FC236}">
              <a16:creationId xmlns:a16="http://schemas.microsoft.com/office/drawing/2014/main" id="{23102214-F469-47B3-8E94-2662F533C8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8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1720" name="Picture@5C\QPendientes@" descr="@5C\QPendientes@">
          <a:extLst>
            <a:ext uri="{FF2B5EF4-FFF2-40B4-BE49-F238E27FC236}">
              <a16:creationId xmlns:a16="http://schemas.microsoft.com/office/drawing/2014/main" id="{BD87E11A-A810-46A0-A4D4-2F99FD8407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0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1721" name="Picture@5C\QPendientes@" descr="@5C\QPendientes@">
          <a:extLst>
            <a:ext uri="{FF2B5EF4-FFF2-40B4-BE49-F238E27FC236}">
              <a16:creationId xmlns:a16="http://schemas.microsoft.com/office/drawing/2014/main" id="{86A90C51-86C6-4057-9E94-08FDA842E4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2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1722" name="Picture@5C\QPendientes@" descr="@5C\QPendientes@">
          <a:extLst>
            <a:ext uri="{FF2B5EF4-FFF2-40B4-BE49-F238E27FC236}">
              <a16:creationId xmlns:a16="http://schemas.microsoft.com/office/drawing/2014/main" id="{025D8C74-712A-4803-83C4-3F4391D870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4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1723" name="Picture@5C\QPendientes@" descr="@5C\QPendientes@">
          <a:extLst>
            <a:ext uri="{FF2B5EF4-FFF2-40B4-BE49-F238E27FC236}">
              <a16:creationId xmlns:a16="http://schemas.microsoft.com/office/drawing/2014/main" id="{8A9F4892-DE46-4E85-B39E-8B487105C8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6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1724" name="Picture@5C\QPendientes@" descr="@5C\QPendientes@">
          <a:extLst>
            <a:ext uri="{FF2B5EF4-FFF2-40B4-BE49-F238E27FC236}">
              <a16:creationId xmlns:a16="http://schemas.microsoft.com/office/drawing/2014/main" id="{416987DC-8ED8-4F4A-8A8E-807662D4D7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7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1725" name="Picture@5C\QPendientes@" descr="@5C\QPendientes@">
          <a:extLst>
            <a:ext uri="{FF2B5EF4-FFF2-40B4-BE49-F238E27FC236}">
              <a16:creationId xmlns:a16="http://schemas.microsoft.com/office/drawing/2014/main" id="{E7645F1D-6E99-4801-A2E4-D4BFE4A0AF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1726" name="Picture@5C\QPendientes@" descr="@5C\QPendientes@">
          <a:extLst>
            <a:ext uri="{FF2B5EF4-FFF2-40B4-BE49-F238E27FC236}">
              <a16:creationId xmlns:a16="http://schemas.microsoft.com/office/drawing/2014/main" id="{07F2FCFF-21C0-4376-8955-534EB8A13C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1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1727" name="Picture@5C\QPendientes@" descr="@5C\QPendientes@">
          <a:extLst>
            <a:ext uri="{FF2B5EF4-FFF2-40B4-BE49-F238E27FC236}">
              <a16:creationId xmlns:a16="http://schemas.microsoft.com/office/drawing/2014/main" id="{CAFFACB7-534E-4BF7-BF4F-808B6FC728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3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1728" name="Picture@5C\QPendientes@" descr="@5C\QPendientes@">
          <a:extLst>
            <a:ext uri="{FF2B5EF4-FFF2-40B4-BE49-F238E27FC236}">
              <a16:creationId xmlns:a16="http://schemas.microsoft.com/office/drawing/2014/main" id="{F7AC6EED-FE53-4B1C-B6AD-74D1BCDB2C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5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1729" name="Picture@5C\QPendientes@" descr="@5C\QPendientes@">
          <a:extLst>
            <a:ext uri="{FF2B5EF4-FFF2-40B4-BE49-F238E27FC236}">
              <a16:creationId xmlns:a16="http://schemas.microsoft.com/office/drawing/2014/main" id="{94A61467-FC6C-4484-8991-E75C49F379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7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1730" name="Picture@5C\QPendientes@" descr="@5C\QPendientes@">
          <a:extLst>
            <a:ext uri="{FF2B5EF4-FFF2-40B4-BE49-F238E27FC236}">
              <a16:creationId xmlns:a16="http://schemas.microsoft.com/office/drawing/2014/main" id="{7D19B903-8497-4113-A2F4-098B1A9C1A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8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1731" name="Picture@5C\QPendientes@" descr="@5C\QPendientes@">
          <a:extLst>
            <a:ext uri="{FF2B5EF4-FFF2-40B4-BE49-F238E27FC236}">
              <a16:creationId xmlns:a16="http://schemas.microsoft.com/office/drawing/2014/main" id="{A53D78BF-8156-45FD-9C79-B510F49C3D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0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1732" name="Picture@5C\QPendientes@" descr="@5C\QPendientes@">
          <a:extLst>
            <a:ext uri="{FF2B5EF4-FFF2-40B4-BE49-F238E27FC236}">
              <a16:creationId xmlns:a16="http://schemas.microsoft.com/office/drawing/2014/main" id="{013009FA-A8D6-4187-9FB8-4E6CE4B8C4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2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1733" name="Picture@5C\QPendientes@" descr="@5C\QPendientes@">
          <a:extLst>
            <a:ext uri="{FF2B5EF4-FFF2-40B4-BE49-F238E27FC236}">
              <a16:creationId xmlns:a16="http://schemas.microsoft.com/office/drawing/2014/main" id="{D89C993A-04E1-4B16-BC2C-7DE39CC4F2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4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1734" name="Picture@5C\QPendientes@" descr="@5C\QPendientes@">
          <a:extLst>
            <a:ext uri="{FF2B5EF4-FFF2-40B4-BE49-F238E27FC236}">
              <a16:creationId xmlns:a16="http://schemas.microsoft.com/office/drawing/2014/main" id="{5B6764CC-BAE2-4D46-99B0-121883616A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6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1735" name="Picture@5C\QPendientes@" descr="@5C\QPendientes@">
          <a:extLst>
            <a:ext uri="{FF2B5EF4-FFF2-40B4-BE49-F238E27FC236}">
              <a16:creationId xmlns:a16="http://schemas.microsoft.com/office/drawing/2014/main" id="{1D4C8EBE-CCB1-46EF-A6B5-330EA603AF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1736" name="Picture@5C\QPendientes@" descr="@5C\QPendientes@">
          <a:extLst>
            <a:ext uri="{FF2B5EF4-FFF2-40B4-BE49-F238E27FC236}">
              <a16:creationId xmlns:a16="http://schemas.microsoft.com/office/drawing/2014/main" id="{F9D6A486-ED80-4BE9-8D53-C120914BE8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9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1737" name="Picture@5C\QPendientes@" descr="@5C\QPendientes@">
          <a:extLst>
            <a:ext uri="{FF2B5EF4-FFF2-40B4-BE49-F238E27FC236}">
              <a16:creationId xmlns:a16="http://schemas.microsoft.com/office/drawing/2014/main" id="{F46C5337-F29F-491C-A6D7-51163D5D02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1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1738" name="Picture@5C\QPendientes@" descr="@5C\QPendientes@">
          <a:extLst>
            <a:ext uri="{FF2B5EF4-FFF2-40B4-BE49-F238E27FC236}">
              <a16:creationId xmlns:a16="http://schemas.microsoft.com/office/drawing/2014/main" id="{16C3C398-D48B-4AF9-80E3-FEB685C36D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3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1739" name="Picture@5C\QPendientes@" descr="@5C\QPendientes@">
          <a:extLst>
            <a:ext uri="{FF2B5EF4-FFF2-40B4-BE49-F238E27FC236}">
              <a16:creationId xmlns:a16="http://schemas.microsoft.com/office/drawing/2014/main" id="{B0273187-AF04-48CD-9C4B-0EF3D053AF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5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1740" name="Picture@5C\QPendientes@" descr="@5C\QPendientes@">
          <a:extLst>
            <a:ext uri="{FF2B5EF4-FFF2-40B4-BE49-F238E27FC236}">
              <a16:creationId xmlns:a16="http://schemas.microsoft.com/office/drawing/2014/main" id="{667C5CD8-02D8-4449-900F-B32BF84357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7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1741" name="Picture@5C\QPendientes@" descr="@5C\QPendientes@">
          <a:extLst>
            <a:ext uri="{FF2B5EF4-FFF2-40B4-BE49-F238E27FC236}">
              <a16:creationId xmlns:a16="http://schemas.microsoft.com/office/drawing/2014/main" id="{528A6AEE-854E-48F3-87C9-CE70660CE5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9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1742" name="Picture@5C\QPendientes@" descr="@5C\QPendientes@">
          <a:extLst>
            <a:ext uri="{FF2B5EF4-FFF2-40B4-BE49-F238E27FC236}">
              <a16:creationId xmlns:a16="http://schemas.microsoft.com/office/drawing/2014/main" id="{C508C899-8D94-46A8-9540-ADCFE683DE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0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1743" name="Picture@5C\QPendientes@" descr="@5C\QPendientes@">
          <a:extLst>
            <a:ext uri="{FF2B5EF4-FFF2-40B4-BE49-F238E27FC236}">
              <a16:creationId xmlns:a16="http://schemas.microsoft.com/office/drawing/2014/main" id="{AD1CA9D8-7207-4816-9E93-984217818D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2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1744" name="Picture@5C\QPendientes@" descr="@5C\QPendientes@">
          <a:extLst>
            <a:ext uri="{FF2B5EF4-FFF2-40B4-BE49-F238E27FC236}">
              <a16:creationId xmlns:a16="http://schemas.microsoft.com/office/drawing/2014/main" id="{17C32A2D-7DF1-4A48-8B2B-3425F8A476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4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1745" name="Picture@5C\QPendientes@" descr="@5C\QPendientes@">
          <a:extLst>
            <a:ext uri="{FF2B5EF4-FFF2-40B4-BE49-F238E27FC236}">
              <a16:creationId xmlns:a16="http://schemas.microsoft.com/office/drawing/2014/main" id="{1521731C-F4FA-4EF7-B370-A3B745672B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1746" name="Picture@5C\QPendientes@" descr="@5C\QPendientes@">
          <a:extLst>
            <a:ext uri="{FF2B5EF4-FFF2-40B4-BE49-F238E27FC236}">
              <a16:creationId xmlns:a16="http://schemas.microsoft.com/office/drawing/2014/main" id="{7E605188-1729-4C71-A8A4-4C21557011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8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1747" name="Picture@5C\QPendientes@" descr="@5C\QPendientes@">
          <a:extLst>
            <a:ext uri="{FF2B5EF4-FFF2-40B4-BE49-F238E27FC236}">
              <a16:creationId xmlns:a16="http://schemas.microsoft.com/office/drawing/2014/main" id="{9C2E57A2-60AA-4BD7-8453-774CE407A5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0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1748" name="Picture@5C\QPendientes@" descr="@5C\QPendientes@">
          <a:extLst>
            <a:ext uri="{FF2B5EF4-FFF2-40B4-BE49-F238E27FC236}">
              <a16:creationId xmlns:a16="http://schemas.microsoft.com/office/drawing/2014/main" id="{A22D28F4-8AA9-47ED-8BE8-ED7772A350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1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1749" name="Picture@5C\QPendientes@" descr="@5C\QPendientes@">
          <a:extLst>
            <a:ext uri="{FF2B5EF4-FFF2-40B4-BE49-F238E27FC236}">
              <a16:creationId xmlns:a16="http://schemas.microsoft.com/office/drawing/2014/main" id="{153589D1-FBD3-4D05-9A1E-3C6BECD818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3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1750" name="Picture@5C\QPendientes@" descr="@5C\QPendientes@">
          <a:extLst>
            <a:ext uri="{FF2B5EF4-FFF2-40B4-BE49-F238E27FC236}">
              <a16:creationId xmlns:a16="http://schemas.microsoft.com/office/drawing/2014/main" id="{A713F535-C70F-4172-977A-42530E1CD0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5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1751" name="Picture@5C\QPendientes@" descr="@5C\QPendientes@">
          <a:extLst>
            <a:ext uri="{FF2B5EF4-FFF2-40B4-BE49-F238E27FC236}">
              <a16:creationId xmlns:a16="http://schemas.microsoft.com/office/drawing/2014/main" id="{961A0AB6-FFEB-4123-9B30-27317E6B92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7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1752" name="Picture@5C\QPendientes@" descr="@5C\QPendientes@">
          <a:extLst>
            <a:ext uri="{FF2B5EF4-FFF2-40B4-BE49-F238E27FC236}">
              <a16:creationId xmlns:a16="http://schemas.microsoft.com/office/drawing/2014/main" id="{7B568171-BB4B-4764-B28C-7E731EE074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9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1753" name="Picture@5C\QPendientes@" descr="@5C\QPendientes@">
          <a:extLst>
            <a:ext uri="{FF2B5EF4-FFF2-40B4-BE49-F238E27FC236}">
              <a16:creationId xmlns:a16="http://schemas.microsoft.com/office/drawing/2014/main" id="{9650218C-23AB-4E9C-A5B6-128E2D8B7F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1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1754" name="Picture@5C\QPendientes@" descr="@5C\QPendientes@">
          <a:extLst>
            <a:ext uri="{FF2B5EF4-FFF2-40B4-BE49-F238E27FC236}">
              <a16:creationId xmlns:a16="http://schemas.microsoft.com/office/drawing/2014/main" id="{A748393A-6C9B-46B4-8412-6EAB816F71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2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1755" name="Picture@5C\QPendientes@" descr="@5C\QPendientes@">
          <a:extLst>
            <a:ext uri="{FF2B5EF4-FFF2-40B4-BE49-F238E27FC236}">
              <a16:creationId xmlns:a16="http://schemas.microsoft.com/office/drawing/2014/main" id="{60289751-1C63-40DA-BB15-4F903DEBDD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1756" name="Picture@5C\QPendientes@" descr="@5C\QPendientes@">
          <a:extLst>
            <a:ext uri="{FF2B5EF4-FFF2-40B4-BE49-F238E27FC236}">
              <a16:creationId xmlns:a16="http://schemas.microsoft.com/office/drawing/2014/main" id="{50403644-EFCB-4728-8092-3F365C62D1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6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1757" name="Picture@5C\QPendientes@" descr="@5C\QPendientes@">
          <a:extLst>
            <a:ext uri="{FF2B5EF4-FFF2-40B4-BE49-F238E27FC236}">
              <a16:creationId xmlns:a16="http://schemas.microsoft.com/office/drawing/2014/main" id="{B90BE2BC-0264-4083-9C0F-52EA62CF86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8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1758" name="Picture@5C\QPendientes@" descr="@5C\QPendientes@">
          <a:extLst>
            <a:ext uri="{FF2B5EF4-FFF2-40B4-BE49-F238E27FC236}">
              <a16:creationId xmlns:a16="http://schemas.microsoft.com/office/drawing/2014/main" id="{EB33E600-F62E-45D5-9BDA-46D1D2326D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0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1759" name="Picture@5C\QPendientes@" descr="@5C\QPendientes@">
          <a:extLst>
            <a:ext uri="{FF2B5EF4-FFF2-40B4-BE49-F238E27FC236}">
              <a16:creationId xmlns:a16="http://schemas.microsoft.com/office/drawing/2014/main" id="{CA2E96B6-A030-4D92-A0F2-B5BC7E6666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1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1760" name="Picture@5C\QPendientes@" descr="@5C\QPendientes@">
          <a:extLst>
            <a:ext uri="{FF2B5EF4-FFF2-40B4-BE49-F238E27FC236}">
              <a16:creationId xmlns:a16="http://schemas.microsoft.com/office/drawing/2014/main" id="{3B5CBC05-18AB-4502-9FF2-275C9E81C4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3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1761" name="Picture@5C\QPendientes@" descr="@5C\QPendientes@">
          <a:extLst>
            <a:ext uri="{FF2B5EF4-FFF2-40B4-BE49-F238E27FC236}">
              <a16:creationId xmlns:a16="http://schemas.microsoft.com/office/drawing/2014/main" id="{5A52F5BA-4D32-48D5-B7A7-83BA8C8E54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5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1762" name="Picture@5C\QPendientes@" descr="@5C\QPendientes@">
          <a:extLst>
            <a:ext uri="{FF2B5EF4-FFF2-40B4-BE49-F238E27FC236}">
              <a16:creationId xmlns:a16="http://schemas.microsoft.com/office/drawing/2014/main" id="{44F6E958-89E2-4B0B-8CD8-606E984D53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7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1763" name="Picture@5C\QPendientes@" descr="@5C\QPendientes@">
          <a:extLst>
            <a:ext uri="{FF2B5EF4-FFF2-40B4-BE49-F238E27FC236}">
              <a16:creationId xmlns:a16="http://schemas.microsoft.com/office/drawing/2014/main" id="{6FC6A0A6-71E1-4E7C-BABC-E8E8D658FA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9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1764" name="Picture@5C\QPendientes@" descr="@5C\QPendientes@">
          <a:extLst>
            <a:ext uri="{FF2B5EF4-FFF2-40B4-BE49-F238E27FC236}">
              <a16:creationId xmlns:a16="http://schemas.microsoft.com/office/drawing/2014/main" id="{535CA9EE-406E-48F8-BA6C-4A51F24F76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1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1765" name="Picture@5C\QPendientes@" descr="@5C\QPendientes@">
          <a:extLst>
            <a:ext uri="{FF2B5EF4-FFF2-40B4-BE49-F238E27FC236}">
              <a16:creationId xmlns:a16="http://schemas.microsoft.com/office/drawing/2014/main" id="{82D2FC63-AC79-4CA7-AE7A-0D193CC471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1766" name="Picture@5C\QPendientes@" descr="@5C\QPendientes@">
          <a:extLst>
            <a:ext uri="{FF2B5EF4-FFF2-40B4-BE49-F238E27FC236}">
              <a16:creationId xmlns:a16="http://schemas.microsoft.com/office/drawing/2014/main" id="{3203BC30-C128-4966-9B13-DC1D28B375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4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1767" name="Picture@5C\QPendientes@" descr="@5C\QPendientes@">
          <a:extLst>
            <a:ext uri="{FF2B5EF4-FFF2-40B4-BE49-F238E27FC236}">
              <a16:creationId xmlns:a16="http://schemas.microsoft.com/office/drawing/2014/main" id="{E13424E8-DAE5-47C1-93E2-42DD9A1A23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6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1768" name="Picture@5C\QPendientes@" descr="@5C\QPendientes@">
          <a:extLst>
            <a:ext uri="{FF2B5EF4-FFF2-40B4-BE49-F238E27FC236}">
              <a16:creationId xmlns:a16="http://schemas.microsoft.com/office/drawing/2014/main" id="{AF0B96F3-6322-4A9D-A674-EA40079254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8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1769" name="Picture@5C\QPendientes@" descr="@5C\QPendientes@">
          <a:extLst>
            <a:ext uri="{FF2B5EF4-FFF2-40B4-BE49-F238E27FC236}">
              <a16:creationId xmlns:a16="http://schemas.microsoft.com/office/drawing/2014/main" id="{377E0C8C-4B8C-4441-B9F5-5F4A8031F4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0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1770" name="Picture@5C\QPendientes@" descr="@5C\QPendientes@">
          <a:extLst>
            <a:ext uri="{FF2B5EF4-FFF2-40B4-BE49-F238E27FC236}">
              <a16:creationId xmlns:a16="http://schemas.microsoft.com/office/drawing/2014/main" id="{95F490E9-342B-4240-83DA-C0AB1B2A97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2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1771" name="Picture@5C\QPendientes@" descr="@5C\QPendientes@">
          <a:extLst>
            <a:ext uri="{FF2B5EF4-FFF2-40B4-BE49-F238E27FC236}">
              <a16:creationId xmlns:a16="http://schemas.microsoft.com/office/drawing/2014/main" id="{CEFEDAE5-1724-4C40-B8F9-E406D95FD4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3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1772" name="Picture@5C\QPendientes@" descr="@5C\QPendientes@">
          <a:extLst>
            <a:ext uri="{FF2B5EF4-FFF2-40B4-BE49-F238E27FC236}">
              <a16:creationId xmlns:a16="http://schemas.microsoft.com/office/drawing/2014/main" id="{DC5B1466-51D2-4F91-9F52-C753ACB59D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5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1773" name="Picture@5C\QPendientes@" descr="@5C\QPendientes@">
          <a:extLst>
            <a:ext uri="{FF2B5EF4-FFF2-40B4-BE49-F238E27FC236}">
              <a16:creationId xmlns:a16="http://schemas.microsoft.com/office/drawing/2014/main" id="{0D6DE188-B78E-4479-B4DD-BFF5C7A668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7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1774" name="Picture@5C\QPendientes@" descr="@5C\QPendientes@">
          <a:extLst>
            <a:ext uri="{FF2B5EF4-FFF2-40B4-BE49-F238E27FC236}">
              <a16:creationId xmlns:a16="http://schemas.microsoft.com/office/drawing/2014/main" id="{4FC97D16-7DF8-459A-9705-F594C52311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9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1775" name="Picture@5C\QPendientes@" descr="@5C\QPendientes@">
          <a:extLst>
            <a:ext uri="{FF2B5EF4-FFF2-40B4-BE49-F238E27FC236}">
              <a16:creationId xmlns:a16="http://schemas.microsoft.com/office/drawing/2014/main" id="{81A266D9-8446-418F-AEE2-CF7D0E4C49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1776" name="Picture@5C\QPendientes@" descr="@5C\QPendientes@">
          <a:extLst>
            <a:ext uri="{FF2B5EF4-FFF2-40B4-BE49-F238E27FC236}">
              <a16:creationId xmlns:a16="http://schemas.microsoft.com/office/drawing/2014/main" id="{10DC57E4-5E5C-489A-88B7-BBC525FD5E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3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1777" name="Picture@5C\QPendientes@" descr="@5C\QPendientes@">
          <a:extLst>
            <a:ext uri="{FF2B5EF4-FFF2-40B4-BE49-F238E27FC236}">
              <a16:creationId xmlns:a16="http://schemas.microsoft.com/office/drawing/2014/main" id="{DC3D3B8D-7433-4120-BCFE-79E054E568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4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1778" name="Picture@5C\QPendientes@" descr="@5C\QPendientes@">
          <a:extLst>
            <a:ext uri="{FF2B5EF4-FFF2-40B4-BE49-F238E27FC236}">
              <a16:creationId xmlns:a16="http://schemas.microsoft.com/office/drawing/2014/main" id="{EEEAAB76-99EC-4554-AE24-58B91A7FA3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6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1779" name="Picture@5C\QPendientes@" descr="@5C\QPendientes@">
          <a:extLst>
            <a:ext uri="{FF2B5EF4-FFF2-40B4-BE49-F238E27FC236}">
              <a16:creationId xmlns:a16="http://schemas.microsoft.com/office/drawing/2014/main" id="{53A9EF7D-43F9-450A-978D-0467EE37AD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8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1780" name="Picture@5C\QPendientes@" descr="@5C\QPendientes@">
          <a:extLst>
            <a:ext uri="{FF2B5EF4-FFF2-40B4-BE49-F238E27FC236}">
              <a16:creationId xmlns:a16="http://schemas.microsoft.com/office/drawing/2014/main" id="{CC8DD2EE-9117-47A3-AB64-85793C4D8A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0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1781" name="Picture@5C\QPendientes@" descr="@5C\QPendientes@">
          <a:extLst>
            <a:ext uri="{FF2B5EF4-FFF2-40B4-BE49-F238E27FC236}">
              <a16:creationId xmlns:a16="http://schemas.microsoft.com/office/drawing/2014/main" id="{D76C2041-127A-4842-9896-3576F2FF05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2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1782" name="Picture@5C\QPendientes@" descr="@5C\QPendientes@">
          <a:extLst>
            <a:ext uri="{FF2B5EF4-FFF2-40B4-BE49-F238E27FC236}">
              <a16:creationId xmlns:a16="http://schemas.microsoft.com/office/drawing/2014/main" id="{AF0337F9-5D79-4B66-BAFE-C6A27E6245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4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1783" name="Picture@5C\QPendientes@" descr="@5C\QPendientes@">
          <a:extLst>
            <a:ext uri="{FF2B5EF4-FFF2-40B4-BE49-F238E27FC236}">
              <a16:creationId xmlns:a16="http://schemas.microsoft.com/office/drawing/2014/main" id="{0B8E8BFF-9B30-4220-B432-6DD5F4EA0A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5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1784" name="Picture@5C\QPendientes@" descr="@5C\QPendientes@">
          <a:extLst>
            <a:ext uri="{FF2B5EF4-FFF2-40B4-BE49-F238E27FC236}">
              <a16:creationId xmlns:a16="http://schemas.microsoft.com/office/drawing/2014/main" id="{FD54A248-9E7E-49E9-8591-23E202935D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7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1785" name="Picture@5C\QPendientes@" descr="@5C\QPendientes@">
          <a:extLst>
            <a:ext uri="{FF2B5EF4-FFF2-40B4-BE49-F238E27FC236}">
              <a16:creationId xmlns:a16="http://schemas.microsoft.com/office/drawing/2014/main" id="{B2D88CC2-041B-4B23-B14E-D2454B777D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1786" name="Picture@5C\QPendientes@" descr="@5C\QPendientes@">
          <a:extLst>
            <a:ext uri="{FF2B5EF4-FFF2-40B4-BE49-F238E27FC236}">
              <a16:creationId xmlns:a16="http://schemas.microsoft.com/office/drawing/2014/main" id="{363256BC-007D-4AFA-B0CE-0BD920D6C4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1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1787" name="Picture@5C\QPendientes@" descr="@5C\QPendientes@">
          <a:extLst>
            <a:ext uri="{FF2B5EF4-FFF2-40B4-BE49-F238E27FC236}">
              <a16:creationId xmlns:a16="http://schemas.microsoft.com/office/drawing/2014/main" id="{9F3C6DA8-AE4A-4D96-81E4-1B8E08ADFE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3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1788" name="Picture@5C\QPendientes@" descr="@5C\QPendientes@">
          <a:extLst>
            <a:ext uri="{FF2B5EF4-FFF2-40B4-BE49-F238E27FC236}">
              <a16:creationId xmlns:a16="http://schemas.microsoft.com/office/drawing/2014/main" id="{D9A2B52A-06CB-4D17-9FA9-23256BFC74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5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1789" name="Picture@5C\QPendientes@" descr="@5C\QPendientes@">
          <a:extLst>
            <a:ext uri="{FF2B5EF4-FFF2-40B4-BE49-F238E27FC236}">
              <a16:creationId xmlns:a16="http://schemas.microsoft.com/office/drawing/2014/main" id="{EE606102-E47A-4847-8D39-29CB87C73F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6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1790" name="Picture@5C\QPendientes@" descr="@5C\QPendientes@">
          <a:extLst>
            <a:ext uri="{FF2B5EF4-FFF2-40B4-BE49-F238E27FC236}">
              <a16:creationId xmlns:a16="http://schemas.microsoft.com/office/drawing/2014/main" id="{0EE982F0-3760-4440-A4CC-EC48894461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8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1791" name="Picture@5C\QPendientes@" descr="@5C\QPendientes@">
          <a:extLst>
            <a:ext uri="{FF2B5EF4-FFF2-40B4-BE49-F238E27FC236}">
              <a16:creationId xmlns:a16="http://schemas.microsoft.com/office/drawing/2014/main" id="{7184961A-B125-498A-A0F9-F8F756E5C8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0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1792" name="Picture@5C\QPendientes@" descr="@5C\QPendientes@">
          <a:extLst>
            <a:ext uri="{FF2B5EF4-FFF2-40B4-BE49-F238E27FC236}">
              <a16:creationId xmlns:a16="http://schemas.microsoft.com/office/drawing/2014/main" id="{1841B828-0B2E-424B-92C8-391CCC2D41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2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1793" name="Picture@5C\QPendientes@" descr="@5C\QPendientes@">
          <a:extLst>
            <a:ext uri="{FF2B5EF4-FFF2-40B4-BE49-F238E27FC236}">
              <a16:creationId xmlns:a16="http://schemas.microsoft.com/office/drawing/2014/main" id="{8ACFD288-9F5C-44B5-A388-DA8082415D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4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1794" name="Picture@5C\QPendientes@" descr="@5C\QPendientes@">
          <a:extLst>
            <a:ext uri="{FF2B5EF4-FFF2-40B4-BE49-F238E27FC236}">
              <a16:creationId xmlns:a16="http://schemas.microsoft.com/office/drawing/2014/main" id="{60573F9D-04F1-426F-BF1D-1B990BBF58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5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1795" name="Picture@5C\QPendientes@" descr="@5C\QPendientes@">
          <a:extLst>
            <a:ext uri="{FF2B5EF4-FFF2-40B4-BE49-F238E27FC236}">
              <a16:creationId xmlns:a16="http://schemas.microsoft.com/office/drawing/2014/main" id="{47EEFA77-1D32-4F7E-B1B7-0F97B4B0C0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1796" name="Picture@5C\QPendientes@" descr="@5C\QPendientes@">
          <a:extLst>
            <a:ext uri="{FF2B5EF4-FFF2-40B4-BE49-F238E27FC236}">
              <a16:creationId xmlns:a16="http://schemas.microsoft.com/office/drawing/2014/main" id="{1BC7C0DA-E533-487D-B89B-74242889CC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9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1797" name="Picture@5C\QPendientes@" descr="@5C\QPendientes@">
          <a:extLst>
            <a:ext uri="{FF2B5EF4-FFF2-40B4-BE49-F238E27FC236}">
              <a16:creationId xmlns:a16="http://schemas.microsoft.com/office/drawing/2014/main" id="{7341F26F-492F-4ADC-AF3B-AE882F3A53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1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1798" name="Picture@5C\QPendientes@" descr="@5C\QPendientes@">
          <a:extLst>
            <a:ext uri="{FF2B5EF4-FFF2-40B4-BE49-F238E27FC236}">
              <a16:creationId xmlns:a16="http://schemas.microsoft.com/office/drawing/2014/main" id="{662C0E4D-61F8-49F1-AB7D-3F4066E869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3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1799" name="Picture@5C\QPendientes@" descr="@5C\QPendientes@">
          <a:extLst>
            <a:ext uri="{FF2B5EF4-FFF2-40B4-BE49-F238E27FC236}">
              <a16:creationId xmlns:a16="http://schemas.microsoft.com/office/drawing/2014/main" id="{72323475-CF2E-4629-8A48-7B69250082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5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1800" name="Picture@5C\QPendientes@" descr="@5C\QPendientes@">
          <a:extLst>
            <a:ext uri="{FF2B5EF4-FFF2-40B4-BE49-F238E27FC236}">
              <a16:creationId xmlns:a16="http://schemas.microsoft.com/office/drawing/2014/main" id="{2D5EEB94-813F-41E8-BC45-0CAC9C2293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6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1801" name="Picture@5C\QPendientes@" descr="@5C\QPendientes@">
          <a:extLst>
            <a:ext uri="{FF2B5EF4-FFF2-40B4-BE49-F238E27FC236}">
              <a16:creationId xmlns:a16="http://schemas.microsoft.com/office/drawing/2014/main" id="{7EEDD60E-0ADB-4A5B-A20C-8CB8212F8C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8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1802" name="Picture@5C\QPendientes@" descr="@5C\QPendientes@">
          <a:extLst>
            <a:ext uri="{FF2B5EF4-FFF2-40B4-BE49-F238E27FC236}">
              <a16:creationId xmlns:a16="http://schemas.microsoft.com/office/drawing/2014/main" id="{11BD909A-E92B-4EBE-B09E-A8B90C51D4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0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1803" name="Picture@5C\QPendientes@" descr="@5C\QPendientes@">
          <a:extLst>
            <a:ext uri="{FF2B5EF4-FFF2-40B4-BE49-F238E27FC236}">
              <a16:creationId xmlns:a16="http://schemas.microsoft.com/office/drawing/2014/main" id="{45118733-40C8-4947-8990-1574C608B4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2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1804" name="Picture@5C\QPendientes@" descr="@5C\QPendientes@">
          <a:extLst>
            <a:ext uri="{FF2B5EF4-FFF2-40B4-BE49-F238E27FC236}">
              <a16:creationId xmlns:a16="http://schemas.microsoft.com/office/drawing/2014/main" id="{3F27FDC6-DBDB-49CE-B998-98E289DD67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4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1805" name="Picture@5C\QPendientes@" descr="@5C\QPendientes@">
          <a:extLst>
            <a:ext uri="{FF2B5EF4-FFF2-40B4-BE49-F238E27FC236}">
              <a16:creationId xmlns:a16="http://schemas.microsoft.com/office/drawing/2014/main" id="{BAF1894B-1A83-4733-BF56-F3E5A1D5DF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1806" name="Picture@5C\QPendientes@" descr="@5C\QPendientes@">
          <a:extLst>
            <a:ext uri="{FF2B5EF4-FFF2-40B4-BE49-F238E27FC236}">
              <a16:creationId xmlns:a16="http://schemas.microsoft.com/office/drawing/2014/main" id="{84BBE95D-1420-44C7-8397-F0035BDA4B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7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1807" name="Picture@5C\QPendientes@" descr="@5C\QPendientes@">
          <a:extLst>
            <a:ext uri="{FF2B5EF4-FFF2-40B4-BE49-F238E27FC236}">
              <a16:creationId xmlns:a16="http://schemas.microsoft.com/office/drawing/2014/main" id="{08D36C37-F198-4920-ABAD-35D3FB2CB7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9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1808" name="Picture@5C\QPendientes@" descr="@5C\QPendientes@">
          <a:extLst>
            <a:ext uri="{FF2B5EF4-FFF2-40B4-BE49-F238E27FC236}">
              <a16:creationId xmlns:a16="http://schemas.microsoft.com/office/drawing/2014/main" id="{D1C5D10A-C16C-43A0-9C16-E870EF0047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1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1809" name="Picture@5C\QPendientes@" descr="@5C\QPendientes@">
          <a:extLst>
            <a:ext uri="{FF2B5EF4-FFF2-40B4-BE49-F238E27FC236}">
              <a16:creationId xmlns:a16="http://schemas.microsoft.com/office/drawing/2014/main" id="{9C5EFD38-8634-44CD-920A-40367F4A0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3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1810" name="Picture@5C\QPendientes@" descr="@5C\QPendientes@">
          <a:extLst>
            <a:ext uri="{FF2B5EF4-FFF2-40B4-BE49-F238E27FC236}">
              <a16:creationId xmlns:a16="http://schemas.microsoft.com/office/drawing/2014/main" id="{A62DE28B-6D3E-491A-B660-0540FFCF00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5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1811" name="Picture@5C\QPendientes@" descr="@5C\QPendientes@">
          <a:extLst>
            <a:ext uri="{FF2B5EF4-FFF2-40B4-BE49-F238E27FC236}">
              <a16:creationId xmlns:a16="http://schemas.microsoft.com/office/drawing/2014/main" id="{B22C6FB1-2AE9-4BF0-B656-DD612CD2ED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7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1812" name="Picture@5C\QPendientes@" descr="@5C\QPendientes@">
          <a:extLst>
            <a:ext uri="{FF2B5EF4-FFF2-40B4-BE49-F238E27FC236}">
              <a16:creationId xmlns:a16="http://schemas.microsoft.com/office/drawing/2014/main" id="{75F6DE7B-2E29-4049-BAAE-56826A034F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8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1813" name="Picture@5C\QPendientes@" descr="@5C\QPendientes@">
          <a:extLst>
            <a:ext uri="{FF2B5EF4-FFF2-40B4-BE49-F238E27FC236}">
              <a16:creationId xmlns:a16="http://schemas.microsoft.com/office/drawing/2014/main" id="{20F1D3DF-00A2-423D-AB2B-E9D229786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0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1814" name="Picture@5C\QPendientes@" descr="@5C\QPendientes@">
          <a:extLst>
            <a:ext uri="{FF2B5EF4-FFF2-40B4-BE49-F238E27FC236}">
              <a16:creationId xmlns:a16="http://schemas.microsoft.com/office/drawing/2014/main" id="{DCEB53B1-1396-498A-A659-E094A6FD49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2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1815" name="Picture@5C\QPendientes@" descr="@5C\QPendientes@">
          <a:extLst>
            <a:ext uri="{FF2B5EF4-FFF2-40B4-BE49-F238E27FC236}">
              <a16:creationId xmlns:a16="http://schemas.microsoft.com/office/drawing/2014/main" id="{C157BC99-31B9-48D9-80D0-4E31F0665F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1816" name="Picture@5C\QPendientes@" descr="@5C\QPendientes@">
          <a:extLst>
            <a:ext uri="{FF2B5EF4-FFF2-40B4-BE49-F238E27FC236}">
              <a16:creationId xmlns:a16="http://schemas.microsoft.com/office/drawing/2014/main" id="{BEB2EE22-3403-4EF8-B272-78A1E1912E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6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1817" name="Picture@5C\QPendientes@" descr="@5C\QPendientes@">
          <a:extLst>
            <a:ext uri="{FF2B5EF4-FFF2-40B4-BE49-F238E27FC236}">
              <a16:creationId xmlns:a16="http://schemas.microsoft.com/office/drawing/2014/main" id="{A0976509-FA06-4FD6-9534-F6089EE489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8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1818" name="Picture@5C\QPendientes@" descr="@5C\QPendientes@">
          <a:extLst>
            <a:ext uri="{FF2B5EF4-FFF2-40B4-BE49-F238E27FC236}">
              <a16:creationId xmlns:a16="http://schemas.microsoft.com/office/drawing/2014/main" id="{F8A9C7F6-8FCB-4823-A25E-05B086A1F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9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1819" name="Picture@5C\QPendientes@" descr="@5C\QPendientes@">
          <a:extLst>
            <a:ext uri="{FF2B5EF4-FFF2-40B4-BE49-F238E27FC236}">
              <a16:creationId xmlns:a16="http://schemas.microsoft.com/office/drawing/2014/main" id="{24418A1E-81FD-45E0-BE14-23EEF15868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1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1820" name="Picture@5C\QPendientes@" descr="@5C\QPendientes@">
          <a:extLst>
            <a:ext uri="{FF2B5EF4-FFF2-40B4-BE49-F238E27FC236}">
              <a16:creationId xmlns:a16="http://schemas.microsoft.com/office/drawing/2014/main" id="{E48885BD-AC95-40FF-9E56-91D76FB40F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3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1821" name="Picture@5C\QPendientes@" descr="@5C\QPendientes@">
          <a:extLst>
            <a:ext uri="{FF2B5EF4-FFF2-40B4-BE49-F238E27FC236}">
              <a16:creationId xmlns:a16="http://schemas.microsoft.com/office/drawing/2014/main" id="{F24715DE-6EC4-4870-971C-66AFD290CB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5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1822" name="Picture@5C\QPendientes@" descr="@5C\QPendientes@">
          <a:extLst>
            <a:ext uri="{FF2B5EF4-FFF2-40B4-BE49-F238E27FC236}">
              <a16:creationId xmlns:a16="http://schemas.microsoft.com/office/drawing/2014/main" id="{2DCB02FE-DA96-4318-9BB6-64EA263CB6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7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1823" name="Picture@5C\QPendientes@" descr="@5C\QPendientes@">
          <a:extLst>
            <a:ext uri="{FF2B5EF4-FFF2-40B4-BE49-F238E27FC236}">
              <a16:creationId xmlns:a16="http://schemas.microsoft.com/office/drawing/2014/main" id="{D51A4EC4-C948-4357-9DC3-9FB07B3A9A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9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1824" name="Picture@5C\QPendientes@" descr="@5C\QPendientes@">
          <a:extLst>
            <a:ext uri="{FF2B5EF4-FFF2-40B4-BE49-F238E27FC236}">
              <a16:creationId xmlns:a16="http://schemas.microsoft.com/office/drawing/2014/main" id="{DFD770ED-82A7-4DD6-BF7D-7F4E66EBB3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0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1825" name="Picture@5C\QPendientes@" descr="@5C\QPendientes@">
          <a:extLst>
            <a:ext uri="{FF2B5EF4-FFF2-40B4-BE49-F238E27FC236}">
              <a16:creationId xmlns:a16="http://schemas.microsoft.com/office/drawing/2014/main" id="{FD94A599-317E-4FB4-8CA7-7451D34D91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1826" name="Picture@5C\QPendientes@" descr="@5C\QPendientes@">
          <a:extLst>
            <a:ext uri="{FF2B5EF4-FFF2-40B4-BE49-F238E27FC236}">
              <a16:creationId xmlns:a16="http://schemas.microsoft.com/office/drawing/2014/main" id="{87B68309-8E56-4245-AE7A-11A2EEFF01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4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1827" name="Picture@5C\QPendientes@" descr="@5C\QPendientes@">
          <a:extLst>
            <a:ext uri="{FF2B5EF4-FFF2-40B4-BE49-F238E27FC236}">
              <a16:creationId xmlns:a16="http://schemas.microsoft.com/office/drawing/2014/main" id="{1F4A135F-4C02-4522-9F9C-05227EC41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6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1828" name="Picture@5C\QPendientes@" descr="@5C\QPendientes@">
          <a:extLst>
            <a:ext uri="{FF2B5EF4-FFF2-40B4-BE49-F238E27FC236}">
              <a16:creationId xmlns:a16="http://schemas.microsoft.com/office/drawing/2014/main" id="{B171ACDB-25F2-4477-A1E4-1FBDB687CB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8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1829" name="Picture@5C\QPendientes@" descr="@5C\QPendientes@">
          <a:extLst>
            <a:ext uri="{FF2B5EF4-FFF2-40B4-BE49-F238E27FC236}">
              <a16:creationId xmlns:a16="http://schemas.microsoft.com/office/drawing/2014/main" id="{893D6811-39A5-4E12-A787-0BFC9264BB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0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1830" name="Picture@5C\QPendientes@" descr="@5C\QPendientes@">
          <a:extLst>
            <a:ext uri="{FF2B5EF4-FFF2-40B4-BE49-F238E27FC236}">
              <a16:creationId xmlns:a16="http://schemas.microsoft.com/office/drawing/2014/main" id="{71DA5D13-7D50-4B6E-A27C-571B3F8194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1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1831" name="Picture@5C\QPendientes@" descr="@5C\QPendientes@">
          <a:extLst>
            <a:ext uri="{FF2B5EF4-FFF2-40B4-BE49-F238E27FC236}">
              <a16:creationId xmlns:a16="http://schemas.microsoft.com/office/drawing/2014/main" id="{1FFD193B-2188-4031-B120-4ECB853DE6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3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1832" name="Picture@5C\QPendientes@" descr="@5C\QPendientes@">
          <a:extLst>
            <a:ext uri="{FF2B5EF4-FFF2-40B4-BE49-F238E27FC236}">
              <a16:creationId xmlns:a16="http://schemas.microsoft.com/office/drawing/2014/main" id="{56D69C18-4B0C-4897-B903-AA3C3C87C6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5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1833" name="Picture@5C\QPendientes@" descr="@5C\QPendientes@">
          <a:extLst>
            <a:ext uri="{FF2B5EF4-FFF2-40B4-BE49-F238E27FC236}">
              <a16:creationId xmlns:a16="http://schemas.microsoft.com/office/drawing/2014/main" id="{3BA6E792-0EB4-43BF-984D-2B0DC3ECF7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7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1834" name="Picture@5C\QPendientes@" descr="@5C\QPendientes@">
          <a:extLst>
            <a:ext uri="{FF2B5EF4-FFF2-40B4-BE49-F238E27FC236}">
              <a16:creationId xmlns:a16="http://schemas.microsoft.com/office/drawing/2014/main" id="{BB7E532D-F64F-4FBA-9588-BC18922DD8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9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1835" name="Picture@5C\QPendientes@" descr="@5C\QPendientes@">
          <a:extLst>
            <a:ext uri="{FF2B5EF4-FFF2-40B4-BE49-F238E27FC236}">
              <a16:creationId xmlns:a16="http://schemas.microsoft.com/office/drawing/2014/main" id="{E8247E04-2EED-40BB-B9EF-6DE5276923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1836" name="Picture@5C\QPendientes@" descr="@5C\QPendientes@">
          <a:extLst>
            <a:ext uri="{FF2B5EF4-FFF2-40B4-BE49-F238E27FC236}">
              <a16:creationId xmlns:a16="http://schemas.microsoft.com/office/drawing/2014/main" id="{F6239CAD-46B2-466B-939E-B80BC407D8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2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1837" name="Picture@5C\QPendientes@" descr="@5C\QPendientes@">
          <a:extLst>
            <a:ext uri="{FF2B5EF4-FFF2-40B4-BE49-F238E27FC236}">
              <a16:creationId xmlns:a16="http://schemas.microsoft.com/office/drawing/2014/main" id="{850FA9FD-FF8F-4390-B33F-F7F6D8E3DE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4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1838" name="Picture@5C\QPendientes@" descr="@5C\QPendientes@">
          <a:extLst>
            <a:ext uri="{FF2B5EF4-FFF2-40B4-BE49-F238E27FC236}">
              <a16:creationId xmlns:a16="http://schemas.microsoft.com/office/drawing/2014/main" id="{A9562EBC-FEE8-4E88-9027-6FEB0E9D85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6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1839" name="Picture@5C\QPendientes@" descr="@5C\QPendientes@">
          <a:extLst>
            <a:ext uri="{FF2B5EF4-FFF2-40B4-BE49-F238E27FC236}">
              <a16:creationId xmlns:a16="http://schemas.microsoft.com/office/drawing/2014/main" id="{D9DEE423-9E28-4A44-855F-D0A893618E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8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1840" name="Picture@5C\QPendientes@" descr="@5C\QPendientes@">
          <a:extLst>
            <a:ext uri="{FF2B5EF4-FFF2-40B4-BE49-F238E27FC236}">
              <a16:creationId xmlns:a16="http://schemas.microsoft.com/office/drawing/2014/main" id="{ED84E1A7-E4D0-4F72-A091-320858187F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0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1841" name="Picture@5C\QPendientes@" descr="@5C\QPendientes@">
          <a:extLst>
            <a:ext uri="{FF2B5EF4-FFF2-40B4-BE49-F238E27FC236}">
              <a16:creationId xmlns:a16="http://schemas.microsoft.com/office/drawing/2014/main" id="{57B416AC-8B6E-42BD-B2A6-FF8DBF5590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1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1842" name="Picture@5C\QPendientes@" descr="@5C\QPendientes@">
          <a:extLst>
            <a:ext uri="{FF2B5EF4-FFF2-40B4-BE49-F238E27FC236}">
              <a16:creationId xmlns:a16="http://schemas.microsoft.com/office/drawing/2014/main" id="{EC2969F5-2A1C-499A-9B1B-8E8EF7B624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3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1843" name="Picture@5C\QPendientes@" descr="@5C\QPendientes@">
          <a:extLst>
            <a:ext uri="{FF2B5EF4-FFF2-40B4-BE49-F238E27FC236}">
              <a16:creationId xmlns:a16="http://schemas.microsoft.com/office/drawing/2014/main" id="{C19F4C61-B792-49DA-9573-1C936B9615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5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1844" name="Picture@5C\QPendientes@" descr="@5C\QPendientes@">
          <a:extLst>
            <a:ext uri="{FF2B5EF4-FFF2-40B4-BE49-F238E27FC236}">
              <a16:creationId xmlns:a16="http://schemas.microsoft.com/office/drawing/2014/main" id="{6644C804-896B-49BA-B5EE-5E9ED969F1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7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1845" name="Picture@5C\QPendientes@" descr="@5C\QPendientes@">
          <a:extLst>
            <a:ext uri="{FF2B5EF4-FFF2-40B4-BE49-F238E27FC236}">
              <a16:creationId xmlns:a16="http://schemas.microsoft.com/office/drawing/2014/main" id="{842E7703-4D40-4F73-B11D-13C647C416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1846" name="Picture@5C\QPendientes@" descr="@5C\QPendientes@">
          <a:extLst>
            <a:ext uri="{FF2B5EF4-FFF2-40B4-BE49-F238E27FC236}">
              <a16:creationId xmlns:a16="http://schemas.microsoft.com/office/drawing/2014/main" id="{D706A3BD-25E5-4663-9198-F85432C291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1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1847" name="Picture@5C\QPendientes@" descr="@5C\QPendientes@">
          <a:extLst>
            <a:ext uri="{FF2B5EF4-FFF2-40B4-BE49-F238E27FC236}">
              <a16:creationId xmlns:a16="http://schemas.microsoft.com/office/drawing/2014/main" id="{C0ABC5DA-C161-4BD0-A4F3-18F992BBA7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2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1848" name="Picture@5C\QPendientes@" descr="@5C\QPendientes@">
          <a:extLst>
            <a:ext uri="{FF2B5EF4-FFF2-40B4-BE49-F238E27FC236}">
              <a16:creationId xmlns:a16="http://schemas.microsoft.com/office/drawing/2014/main" id="{32AD5521-F688-4362-BFE7-9AA488BC14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4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1849" name="Picture@5C\QPendientes@" descr="@5C\QPendientes@">
          <a:extLst>
            <a:ext uri="{FF2B5EF4-FFF2-40B4-BE49-F238E27FC236}">
              <a16:creationId xmlns:a16="http://schemas.microsoft.com/office/drawing/2014/main" id="{3A25F11C-4CF5-470F-87C4-A1F0106257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6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1850" name="Picture@5C\QPendientes@" descr="@5C\QPendientes@">
          <a:extLst>
            <a:ext uri="{FF2B5EF4-FFF2-40B4-BE49-F238E27FC236}">
              <a16:creationId xmlns:a16="http://schemas.microsoft.com/office/drawing/2014/main" id="{156859E0-FD16-4859-9E9F-1633371D47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8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1851" name="Picture@5C\QPendientes@" descr="@5C\QPendientes@">
          <a:extLst>
            <a:ext uri="{FF2B5EF4-FFF2-40B4-BE49-F238E27FC236}">
              <a16:creationId xmlns:a16="http://schemas.microsoft.com/office/drawing/2014/main" id="{DD230E6F-9703-4FD8-83F4-E9A4769E84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0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1852" name="Picture@5C\QPendientes@" descr="@5C\QPendientes@">
          <a:extLst>
            <a:ext uri="{FF2B5EF4-FFF2-40B4-BE49-F238E27FC236}">
              <a16:creationId xmlns:a16="http://schemas.microsoft.com/office/drawing/2014/main" id="{F6B9C600-B8EE-4E7D-ABFE-86F215793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2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1853" name="Picture@5C\QPendientes@" descr="@5C\QPendientes@">
          <a:extLst>
            <a:ext uri="{FF2B5EF4-FFF2-40B4-BE49-F238E27FC236}">
              <a16:creationId xmlns:a16="http://schemas.microsoft.com/office/drawing/2014/main" id="{80944445-DCC3-4958-9AC1-0DEED2EDDC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3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1854" name="Picture@5C\QPendientes@" descr="@5C\QPendientes@">
          <a:extLst>
            <a:ext uri="{FF2B5EF4-FFF2-40B4-BE49-F238E27FC236}">
              <a16:creationId xmlns:a16="http://schemas.microsoft.com/office/drawing/2014/main" id="{AD9559FD-58D6-4868-9E81-511C76B694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5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1855" name="Picture@5C\QPendientes@" descr="@5C\QPendientes@">
          <a:extLst>
            <a:ext uri="{FF2B5EF4-FFF2-40B4-BE49-F238E27FC236}">
              <a16:creationId xmlns:a16="http://schemas.microsoft.com/office/drawing/2014/main" id="{A25CDD4C-C700-4B7B-9303-5ADFDAD4FF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1856" name="Picture@5C\QPendientes@" descr="@5C\QPendientes@">
          <a:extLst>
            <a:ext uri="{FF2B5EF4-FFF2-40B4-BE49-F238E27FC236}">
              <a16:creationId xmlns:a16="http://schemas.microsoft.com/office/drawing/2014/main" id="{56C13FB1-852D-4428-8981-9D3B60E04F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9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1857" name="Picture@5C\QPendientes@" descr="@5C\QPendientes@">
          <a:extLst>
            <a:ext uri="{FF2B5EF4-FFF2-40B4-BE49-F238E27FC236}">
              <a16:creationId xmlns:a16="http://schemas.microsoft.com/office/drawing/2014/main" id="{EEDF49FF-59E3-457C-9194-F5F74C56CD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12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1858" name="Picture@5C\QPendientes@" descr="@5C\QPendientes@">
          <a:extLst>
            <a:ext uri="{FF2B5EF4-FFF2-40B4-BE49-F238E27FC236}">
              <a16:creationId xmlns:a16="http://schemas.microsoft.com/office/drawing/2014/main" id="{00EC8105-2E2D-4DF7-B0FE-7F2F309E8F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30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1859" name="Picture@5C\QPendientes@" descr="@5C\QPendientes@">
          <a:extLst>
            <a:ext uri="{FF2B5EF4-FFF2-40B4-BE49-F238E27FC236}">
              <a16:creationId xmlns:a16="http://schemas.microsoft.com/office/drawing/2014/main" id="{BD051679-D41E-4B60-8050-975C08AB9D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48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1860" name="Picture@5C\QPendientes@" descr="@5C\QPendientes@">
          <a:extLst>
            <a:ext uri="{FF2B5EF4-FFF2-40B4-BE49-F238E27FC236}">
              <a16:creationId xmlns:a16="http://schemas.microsoft.com/office/drawing/2014/main" id="{255A69C6-E972-47D4-953B-E4E2F38F7C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66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1861" name="Picture@5C\QPendientes@" descr="@5C\QPendientes@">
          <a:extLst>
            <a:ext uri="{FF2B5EF4-FFF2-40B4-BE49-F238E27FC236}">
              <a16:creationId xmlns:a16="http://schemas.microsoft.com/office/drawing/2014/main" id="{EFA813E2-E0D2-46C9-8EFF-024E39745B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85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1862" name="Picture@5C\QPendientes@" descr="@5C\QPendientes@">
          <a:extLst>
            <a:ext uri="{FF2B5EF4-FFF2-40B4-BE49-F238E27FC236}">
              <a16:creationId xmlns:a16="http://schemas.microsoft.com/office/drawing/2014/main" id="{BF45B1B7-2C24-4F35-8DAA-09865F6281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03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1863" name="Picture@5C\QPendientes@" descr="@5C\QPendientes@">
          <a:extLst>
            <a:ext uri="{FF2B5EF4-FFF2-40B4-BE49-F238E27FC236}">
              <a16:creationId xmlns:a16="http://schemas.microsoft.com/office/drawing/2014/main" id="{6E6E9F22-D992-4006-8D8B-E46B13B81A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21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1864" name="Picture@5C\QPendientes@" descr="@5C\QPendientes@">
          <a:extLst>
            <a:ext uri="{FF2B5EF4-FFF2-40B4-BE49-F238E27FC236}">
              <a16:creationId xmlns:a16="http://schemas.microsoft.com/office/drawing/2014/main" id="{0FD21850-7452-4844-8B9F-3338BD8196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40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1865" name="Picture@5C\QPendientes@" descr="@5C\QPendientes@">
          <a:extLst>
            <a:ext uri="{FF2B5EF4-FFF2-40B4-BE49-F238E27FC236}">
              <a16:creationId xmlns:a16="http://schemas.microsoft.com/office/drawing/2014/main" id="{06592603-5BC2-44F5-8E69-17D24814E9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1866" name="Picture@5C\QPendientes@" descr="@5C\QPendientes@">
          <a:extLst>
            <a:ext uri="{FF2B5EF4-FFF2-40B4-BE49-F238E27FC236}">
              <a16:creationId xmlns:a16="http://schemas.microsoft.com/office/drawing/2014/main" id="{E4D57C0E-4862-4541-BB5C-7B11FA0A69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76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1867" name="Picture@5C\QPendientes@" descr="@5C\QPendientes@">
          <a:extLst>
            <a:ext uri="{FF2B5EF4-FFF2-40B4-BE49-F238E27FC236}">
              <a16:creationId xmlns:a16="http://schemas.microsoft.com/office/drawing/2014/main" id="{71930C45-F5C7-43F2-8B32-F9A6BAE5DF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94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1868" name="Picture@5C\QPendientes@" descr="@5C\QPendientes@">
          <a:extLst>
            <a:ext uri="{FF2B5EF4-FFF2-40B4-BE49-F238E27FC236}">
              <a16:creationId xmlns:a16="http://schemas.microsoft.com/office/drawing/2014/main" id="{E0001C47-9377-4290-92FA-AF8FCC24B3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13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1869" name="Picture@5C\QPendientes@" descr="@5C\QPendientes@">
          <a:extLst>
            <a:ext uri="{FF2B5EF4-FFF2-40B4-BE49-F238E27FC236}">
              <a16:creationId xmlns:a16="http://schemas.microsoft.com/office/drawing/2014/main" id="{24EA4230-5F84-460D-A23C-ACD59B28E6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31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1870" name="Picture@5C\QPendientes@" descr="@5C\QPendientes@">
          <a:extLst>
            <a:ext uri="{FF2B5EF4-FFF2-40B4-BE49-F238E27FC236}">
              <a16:creationId xmlns:a16="http://schemas.microsoft.com/office/drawing/2014/main" id="{EA251FBA-1E81-4616-80BC-4E4FD273C2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49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1871" name="Picture@5C\QPendientes@" descr="@5C\QPendientes@">
          <a:extLst>
            <a:ext uri="{FF2B5EF4-FFF2-40B4-BE49-F238E27FC236}">
              <a16:creationId xmlns:a16="http://schemas.microsoft.com/office/drawing/2014/main" id="{C71CA41F-6536-49AF-9074-58F42633DB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68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1872" name="Picture@5C\QPendientes@" descr="@5C\QPendientes@">
          <a:extLst>
            <a:ext uri="{FF2B5EF4-FFF2-40B4-BE49-F238E27FC236}">
              <a16:creationId xmlns:a16="http://schemas.microsoft.com/office/drawing/2014/main" id="{13DBFA33-AFBD-44D6-A88F-896C9B82DA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86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1873" name="Picture@5C\QPendientes@" descr="@5C\QPendientes@">
          <a:extLst>
            <a:ext uri="{FF2B5EF4-FFF2-40B4-BE49-F238E27FC236}">
              <a16:creationId xmlns:a16="http://schemas.microsoft.com/office/drawing/2014/main" id="{2D8B4676-B0E9-439C-91EF-13B4FF28D6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04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1874" name="Picture@5C\QPendientes@" descr="@5C\QPendientes@">
          <a:extLst>
            <a:ext uri="{FF2B5EF4-FFF2-40B4-BE49-F238E27FC236}">
              <a16:creationId xmlns:a16="http://schemas.microsoft.com/office/drawing/2014/main" id="{C01323A6-A9B0-46F9-BB0F-314F04F13B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22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1875" name="Picture@5C\QPendientes@" descr="@5C\QPendientes@">
          <a:extLst>
            <a:ext uri="{FF2B5EF4-FFF2-40B4-BE49-F238E27FC236}">
              <a16:creationId xmlns:a16="http://schemas.microsoft.com/office/drawing/2014/main" id="{B80F1A2E-1776-428A-BB57-AA90DA0751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1876" name="Picture@5C\QPendientes@" descr="@5C\QPendientes@">
          <a:extLst>
            <a:ext uri="{FF2B5EF4-FFF2-40B4-BE49-F238E27FC236}">
              <a16:creationId xmlns:a16="http://schemas.microsoft.com/office/drawing/2014/main" id="{D1CF261F-AF17-4913-AE3D-7D125F8C39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59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1877" name="Picture@5C\QPendientes@" descr="@5C\QPendientes@">
          <a:extLst>
            <a:ext uri="{FF2B5EF4-FFF2-40B4-BE49-F238E27FC236}">
              <a16:creationId xmlns:a16="http://schemas.microsoft.com/office/drawing/2014/main" id="{06810349-61A6-432C-85ED-6B99ABD7FF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77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1878" name="Picture@5C\QPendientes@" descr="@5C\QPendientes@">
          <a:extLst>
            <a:ext uri="{FF2B5EF4-FFF2-40B4-BE49-F238E27FC236}">
              <a16:creationId xmlns:a16="http://schemas.microsoft.com/office/drawing/2014/main" id="{E539EB37-115E-430A-9864-D02B3A44D9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96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1879" name="Picture@5C\QPendientes@" descr="@5C\QPendientes@">
          <a:extLst>
            <a:ext uri="{FF2B5EF4-FFF2-40B4-BE49-F238E27FC236}">
              <a16:creationId xmlns:a16="http://schemas.microsoft.com/office/drawing/2014/main" id="{0988DD51-F33E-42CD-B4A0-D70AD08881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14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1880" name="Picture@5C\QPendientes@" descr="@5C\QPendientes@">
          <a:extLst>
            <a:ext uri="{FF2B5EF4-FFF2-40B4-BE49-F238E27FC236}">
              <a16:creationId xmlns:a16="http://schemas.microsoft.com/office/drawing/2014/main" id="{6BC1ABE5-09DC-4AE5-B67F-1DA18B285F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32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1881" name="Picture@5C\QPendientes@" descr="@5C\QPendientes@">
          <a:extLst>
            <a:ext uri="{FF2B5EF4-FFF2-40B4-BE49-F238E27FC236}">
              <a16:creationId xmlns:a16="http://schemas.microsoft.com/office/drawing/2014/main" id="{C5A26528-917A-4AD5-9EA3-80C8D3721E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51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1882" name="Picture@5C\QPendientes@" descr="@5C\QPendientes@">
          <a:extLst>
            <a:ext uri="{FF2B5EF4-FFF2-40B4-BE49-F238E27FC236}">
              <a16:creationId xmlns:a16="http://schemas.microsoft.com/office/drawing/2014/main" id="{9600133E-EC90-4572-9E38-212C25A852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69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1883" name="Picture@5C\QPendientes@" descr="@5C\QPendientes@">
          <a:extLst>
            <a:ext uri="{FF2B5EF4-FFF2-40B4-BE49-F238E27FC236}">
              <a16:creationId xmlns:a16="http://schemas.microsoft.com/office/drawing/2014/main" id="{B8758C40-D5D0-4D4B-AD79-F46D4DCE3A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87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1884" name="Picture@5C\QPendientes@" descr="@5C\QPendientes@">
          <a:extLst>
            <a:ext uri="{FF2B5EF4-FFF2-40B4-BE49-F238E27FC236}">
              <a16:creationId xmlns:a16="http://schemas.microsoft.com/office/drawing/2014/main" id="{3CDF72C5-D039-419F-BD20-2A1EBA9C4C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05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1885" name="Picture@5C\QPendientes@" descr="@5C\QPendientes@">
          <a:extLst>
            <a:ext uri="{FF2B5EF4-FFF2-40B4-BE49-F238E27FC236}">
              <a16:creationId xmlns:a16="http://schemas.microsoft.com/office/drawing/2014/main" id="{3ECB3735-5692-4126-8216-C7C7187799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1886" name="Picture@5C\QPendientes@" descr="@5C\QPendientes@">
          <a:extLst>
            <a:ext uri="{FF2B5EF4-FFF2-40B4-BE49-F238E27FC236}">
              <a16:creationId xmlns:a16="http://schemas.microsoft.com/office/drawing/2014/main" id="{2D9B54E9-7468-42E7-B4D0-3DBAEC52D5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42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1887" name="Picture@5C\QPendientes@" descr="@5C\QPendientes@">
          <a:extLst>
            <a:ext uri="{FF2B5EF4-FFF2-40B4-BE49-F238E27FC236}">
              <a16:creationId xmlns:a16="http://schemas.microsoft.com/office/drawing/2014/main" id="{19B60DAA-8F4C-4217-A552-689D9600C3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60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1888" name="Picture@5C\QPendientes@" descr="@5C\QPendientes@">
          <a:extLst>
            <a:ext uri="{FF2B5EF4-FFF2-40B4-BE49-F238E27FC236}">
              <a16:creationId xmlns:a16="http://schemas.microsoft.com/office/drawing/2014/main" id="{39804076-79BF-4686-B7F1-A87CC46A5C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79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1889" name="Picture@5C\QPendientes@" descr="@5C\QPendientes@">
          <a:extLst>
            <a:ext uri="{FF2B5EF4-FFF2-40B4-BE49-F238E27FC236}">
              <a16:creationId xmlns:a16="http://schemas.microsoft.com/office/drawing/2014/main" id="{80FE4A18-259D-4C30-9133-013D745504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97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1890" name="Picture@5C\QPendientes@" descr="@5C\QPendientes@">
          <a:extLst>
            <a:ext uri="{FF2B5EF4-FFF2-40B4-BE49-F238E27FC236}">
              <a16:creationId xmlns:a16="http://schemas.microsoft.com/office/drawing/2014/main" id="{D9FE5E6F-E66F-4AB8-A628-7AB3EEBC6D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15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1891" name="Picture@5C\QPendientes@" descr="@5C\QPendientes@">
          <a:extLst>
            <a:ext uri="{FF2B5EF4-FFF2-40B4-BE49-F238E27FC236}">
              <a16:creationId xmlns:a16="http://schemas.microsoft.com/office/drawing/2014/main" id="{4ADD2FEE-B157-4D3F-A30A-66B11D7734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33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1892" name="Picture@5C\QPendientes@" descr="@5C\QPendientes@">
          <a:extLst>
            <a:ext uri="{FF2B5EF4-FFF2-40B4-BE49-F238E27FC236}">
              <a16:creationId xmlns:a16="http://schemas.microsoft.com/office/drawing/2014/main" id="{FBEA070A-D872-49C3-8C34-EC2F7026A9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52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1893" name="Picture@5C\QPendientes@" descr="@5C\QPendientes@">
          <a:extLst>
            <a:ext uri="{FF2B5EF4-FFF2-40B4-BE49-F238E27FC236}">
              <a16:creationId xmlns:a16="http://schemas.microsoft.com/office/drawing/2014/main" id="{A033E93C-1865-4375-95EF-67EC32D2D3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70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1894" name="Picture@5C\QPendientes@" descr="@5C\QPendientes@">
          <a:extLst>
            <a:ext uri="{FF2B5EF4-FFF2-40B4-BE49-F238E27FC236}">
              <a16:creationId xmlns:a16="http://schemas.microsoft.com/office/drawing/2014/main" id="{716DD436-D9F8-4AD1-98F3-2F9A0C4B70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88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1895" name="Picture@5C\QPendientes@" descr="@5C\QPendientes@">
          <a:extLst>
            <a:ext uri="{FF2B5EF4-FFF2-40B4-BE49-F238E27FC236}">
              <a16:creationId xmlns:a16="http://schemas.microsoft.com/office/drawing/2014/main" id="{C6EFF71E-D3EE-41F8-B32C-E1A37C615B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1896" name="Picture@5C\QPendientes@" descr="@5C\QPendientes@">
          <a:extLst>
            <a:ext uri="{FF2B5EF4-FFF2-40B4-BE49-F238E27FC236}">
              <a16:creationId xmlns:a16="http://schemas.microsoft.com/office/drawing/2014/main" id="{1B68E18E-E5E5-4EB1-B987-926BD75F39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25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1897" name="Picture@5C\QPendientes@" descr="@5C\QPendientes@">
          <a:extLst>
            <a:ext uri="{FF2B5EF4-FFF2-40B4-BE49-F238E27FC236}">
              <a16:creationId xmlns:a16="http://schemas.microsoft.com/office/drawing/2014/main" id="{44DA80E8-39FA-438F-BF3C-26C4003030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43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1898" name="Picture@5C\QPendientes@" descr="@5C\QPendientes@">
          <a:extLst>
            <a:ext uri="{FF2B5EF4-FFF2-40B4-BE49-F238E27FC236}">
              <a16:creationId xmlns:a16="http://schemas.microsoft.com/office/drawing/2014/main" id="{A250EEF9-D5AD-4C1E-94FE-546D8DFDB4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61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1899" name="Picture@5C\QPendientes@" descr="@5C\QPendientes@">
          <a:extLst>
            <a:ext uri="{FF2B5EF4-FFF2-40B4-BE49-F238E27FC236}">
              <a16:creationId xmlns:a16="http://schemas.microsoft.com/office/drawing/2014/main" id="{C9B4FAB6-D51F-41BB-A6C9-C7343ACF59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80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1900" name="Picture@5C\QPendientes@" descr="@5C\QPendientes@">
          <a:extLst>
            <a:ext uri="{FF2B5EF4-FFF2-40B4-BE49-F238E27FC236}">
              <a16:creationId xmlns:a16="http://schemas.microsoft.com/office/drawing/2014/main" id="{A9C9C2F2-6ABA-4858-9C09-D37783883C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98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1901" name="Picture@5C\QPendientes@" descr="@5C\QPendientes@">
          <a:extLst>
            <a:ext uri="{FF2B5EF4-FFF2-40B4-BE49-F238E27FC236}">
              <a16:creationId xmlns:a16="http://schemas.microsoft.com/office/drawing/2014/main" id="{066277CB-5BAC-4C2D-B32B-B006E49B7E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16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1902" name="Picture@5C\QPendientes@" descr="@5C\QPendientes@">
          <a:extLst>
            <a:ext uri="{FF2B5EF4-FFF2-40B4-BE49-F238E27FC236}">
              <a16:creationId xmlns:a16="http://schemas.microsoft.com/office/drawing/2014/main" id="{93297009-1BF0-4CE3-8E30-4E0F74F8AE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35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1903" name="Picture@5C\QPendientes@" descr="@5C\QPendientes@">
          <a:extLst>
            <a:ext uri="{FF2B5EF4-FFF2-40B4-BE49-F238E27FC236}">
              <a16:creationId xmlns:a16="http://schemas.microsoft.com/office/drawing/2014/main" id="{A76BE5B6-7611-438E-9217-45881AD2E8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53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1904" name="Picture@5C\QPendientes@" descr="@5C\QPendientes@">
          <a:extLst>
            <a:ext uri="{FF2B5EF4-FFF2-40B4-BE49-F238E27FC236}">
              <a16:creationId xmlns:a16="http://schemas.microsoft.com/office/drawing/2014/main" id="{342B56F2-83DB-4DB5-A353-BFB6C6FB17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71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1905" name="Picture@5C\QPendientes@" descr="@5C\QPendientes@">
          <a:extLst>
            <a:ext uri="{FF2B5EF4-FFF2-40B4-BE49-F238E27FC236}">
              <a16:creationId xmlns:a16="http://schemas.microsoft.com/office/drawing/2014/main" id="{BBAE9FE4-4EC5-4E32-B923-EC10B80D30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1906" name="Picture@5C\QPendientes@" descr="@5C\QPendientes@">
          <a:extLst>
            <a:ext uri="{FF2B5EF4-FFF2-40B4-BE49-F238E27FC236}">
              <a16:creationId xmlns:a16="http://schemas.microsoft.com/office/drawing/2014/main" id="{F50D92EF-F288-4B6E-AE2C-12132F73F9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08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1907" name="Picture@5C\QPendientes@" descr="@5C\QPendientes@">
          <a:extLst>
            <a:ext uri="{FF2B5EF4-FFF2-40B4-BE49-F238E27FC236}">
              <a16:creationId xmlns:a16="http://schemas.microsoft.com/office/drawing/2014/main" id="{ADD7EEED-C185-44F8-9267-207F504F38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26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1908" name="Picture@5C\QPendientes@" descr="@5C\QPendientes@">
          <a:extLst>
            <a:ext uri="{FF2B5EF4-FFF2-40B4-BE49-F238E27FC236}">
              <a16:creationId xmlns:a16="http://schemas.microsoft.com/office/drawing/2014/main" id="{393340AC-53B3-4560-9585-C9AF04E2A3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44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1909" name="Picture@5C\QPendientes@" descr="@5C\QPendientes@">
          <a:extLst>
            <a:ext uri="{FF2B5EF4-FFF2-40B4-BE49-F238E27FC236}">
              <a16:creationId xmlns:a16="http://schemas.microsoft.com/office/drawing/2014/main" id="{24434108-2479-41E5-8E4A-819274A604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63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1910" name="Picture@5C\QPendientes@" descr="@5C\QPendientes@">
          <a:extLst>
            <a:ext uri="{FF2B5EF4-FFF2-40B4-BE49-F238E27FC236}">
              <a16:creationId xmlns:a16="http://schemas.microsoft.com/office/drawing/2014/main" id="{79CD45ED-A6EE-4F49-BA18-6DADA1322D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81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1911" name="Picture@5C\QPendientes@" descr="@5C\QPendientes@">
          <a:extLst>
            <a:ext uri="{FF2B5EF4-FFF2-40B4-BE49-F238E27FC236}">
              <a16:creationId xmlns:a16="http://schemas.microsoft.com/office/drawing/2014/main" id="{2F814DB6-B96F-4D84-965B-24F2066520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99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1912" name="Picture@5C\QPendientes@" descr="@5C\QPendientes@">
          <a:extLst>
            <a:ext uri="{FF2B5EF4-FFF2-40B4-BE49-F238E27FC236}">
              <a16:creationId xmlns:a16="http://schemas.microsoft.com/office/drawing/2014/main" id="{8B2DAA73-7D36-4577-938F-48AC76FE6A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17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1913" name="Picture@5C\QPendientes@" descr="@5C\QPendientes@">
          <a:extLst>
            <a:ext uri="{FF2B5EF4-FFF2-40B4-BE49-F238E27FC236}">
              <a16:creationId xmlns:a16="http://schemas.microsoft.com/office/drawing/2014/main" id="{17DDD6A5-33A6-4E74-9566-9D35041E4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36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1914" name="Picture@5C\QPendientes@" descr="@5C\QPendientes@">
          <a:extLst>
            <a:ext uri="{FF2B5EF4-FFF2-40B4-BE49-F238E27FC236}">
              <a16:creationId xmlns:a16="http://schemas.microsoft.com/office/drawing/2014/main" id="{B0E45372-2229-4928-A484-39403A0A8D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54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1915" name="Picture@5C\QPendientes@" descr="@5C\QPendientes@">
          <a:extLst>
            <a:ext uri="{FF2B5EF4-FFF2-40B4-BE49-F238E27FC236}">
              <a16:creationId xmlns:a16="http://schemas.microsoft.com/office/drawing/2014/main" id="{1909770A-AF20-41FE-8AA4-FAC7C32F5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1916" name="Picture@5C\QPendientes@" descr="@5C\QPendientes@">
          <a:extLst>
            <a:ext uri="{FF2B5EF4-FFF2-40B4-BE49-F238E27FC236}">
              <a16:creationId xmlns:a16="http://schemas.microsoft.com/office/drawing/2014/main" id="{F4D8E449-C52E-4054-B61A-D169BEBCC9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91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1917" name="Picture@5C\QPendientes@" descr="@5C\QPendientes@">
          <a:extLst>
            <a:ext uri="{FF2B5EF4-FFF2-40B4-BE49-F238E27FC236}">
              <a16:creationId xmlns:a16="http://schemas.microsoft.com/office/drawing/2014/main" id="{E09375F0-6854-45F6-AC2C-329786CB4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09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1918" name="Picture@5C\QPendientes@" descr="@5C\QPendientes@">
          <a:extLst>
            <a:ext uri="{FF2B5EF4-FFF2-40B4-BE49-F238E27FC236}">
              <a16:creationId xmlns:a16="http://schemas.microsoft.com/office/drawing/2014/main" id="{59A23DFD-1FB9-4E51-9BBE-59EB7C442E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27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1919" name="Picture@5C\QPendientes@" descr="@5C\QPendientes@">
          <a:extLst>
            <a:ext uri="{FF2B5EF4-FFF2-40B4-BE49-F238E27FC236}">
              <a16:creationId xmlns:a16="http://schemas.microsoft.com/office/drawing/2014/main" id="{9A733A38-1251-4B74-9CA7-77E06E6CC6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45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1920" name="Picture@5C\QPendientes@" descr="@5C\QPendientes@">
          <a:extLst>
            <a:ext uri="{FF2B5EF4-FFF2-40B4-BE49-F238E27FC236}">
              <a16:creationId xmlns:a16="http://schemas.microsoft.com/office/drawing/2014/main" id="{2F849ABC-8F09-4236-ACEB-179101AFC9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64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1921" name="Picture@5C\QPendientes@" descr="@5C\QPendientes@">
          <a:extLst>
            <a:ext uri="{FF2B5EF4-FFF2-40B4-BE49-F238E27FC236}">
              <a16:creationId xmlns:a16="http://schemas.microsoft.com/office/drawing/2014/main" id="{39D93A16-76AA-4456-ACF9-5BD378E5A1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82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1922" name="Picture@5C\QPendientes@" descr="@5C\QPendientes@">
          <a:extLst>
            <a:ext uri="{FF2B5EF4-FFF2-40B4-BE49-F238E27FC236}">
              <a16:creationId xmlns:a16="http://schemas.microsoft.com/office/drawing/2014/main" id="{31717908-C6BE-45F6-9AAE-1F24575405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00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1923" name="Picture@5C\QPendientes@" descr="@5C\QPendientes@">
          <a:extLst>
            <a:ext uri="{FF2B5EF4-FFF2-40B4-BE49-F238E27FC236}">
              <a16:creationId xmlns:a16="http://schemas.microsoft.com/office/drawing/2014/main" id="{8E9C1687-2C1B-461B-B1B4-F389815F7C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19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1924" name="Picture@5C\QPendientes@" descr="@5C\QPendientes@">
          <a:extLst>
            <a:ext uri="{FF2B5EF4-FFF2-40B4-BE49-F238E27FC236}">
              <a16:creationId xmlns:a16="http://schemas.microsoft.com/office/drawing/2014/main" id="{9EAA82E2-C612-4784-B146-BDA379F9E4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37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1925" name="Picture@5C\QPendientes@" descr="@5C\QPendientes@">
          <a:extLst>
            <a:ext uri="{FF2B5EF4-FFF2-40B4-BE49-F238E27FC236}">
              <a16:creationId xmlns:a16="http://schemas.microsoft.com/office/drawing/2014/main" id="{54C53A7D-F69A-4D09-88F6-EB78EC4069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1926" name="Picture@5C\QPendientes@" descr="@5C\QPendientes@">
          <a:extLst>
            <a:ext uri="{FF2B5EF4-FFF2-40B4-BE49-F238E27FC236}">
              <a16:creationId xmlns:a16="http://schemas.microsoft.com/office/drawing/2014/main" id="{4084CCE2-6A85-4F23-AC2E-1B6795A9C6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73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1927" name="Picture@5C\QPendientes@" descr="@5C\QPendientes@">
          <a:extLst>
            <a:ext uri="{FF2B5EF4-FFF2-40B4-BE49-F238E27FC236}">
              <a16:creationId xmlns:a16="http://schemas.microsoft.com/office/drawing/2014/main" id="{4924D5D0-1D89-4F29-B50E-E4658CC2C1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92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1928" name="Picture@5C\QPendientes@" descr="@5C\QPendientes@">
          <a:extLst>
            <a:ext uri="{FF2B5EF4-FFF2-40B4-BE49-F238E27FC236}">
              <a16:creationId xmlns:a16="http://schemas.microsoft.com/office/drawing/2014/main" id="{50392ABD-F534-4AFB-AA0A-959115A820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10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1929" name="Picture@5C\QPendientes@" descr="@5C\QPendientes@">
          <a:extLst>
            <a:ext uri="{FF2B5EF4-FFF2-40B4-BE49-F238E27FC236}">
              <a16:creationId xmlns:a16="http://schemas.microsoft.com/office/drawing/2014/main" id="{B309BA8D-6A77-426D-9A2C-373A3E3800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28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1930" name="Picture@5C\QPendientes@" descr="@5C\QPendientes@">
          <a:extLst>
            <a:ext uri="{FF2B5EF4-FFF2-40B4-BE49-F238E27FC236}">
              <a16:creationId xmlns:a16="http://schemas.microsoft.com/office/drawing/2014/main" id="{3A9970FB-7D37-49B3-99B3-C6492742FB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47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1931" name="Picture@5C\QPendientes@" descr="@5C\QPendientes@">
          <a:extLst>
            <a:ext uri="{FF2B5EF4-FFF2-40B4-BE49-F238E27FC236}">
              <a16:creationId xmlns:a16="http://schemas.microsoft.com/office/drawing/2014/main" id="{1642E277-361A-4B4C-AB41-81C3D59E9E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65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1932" name="Picture@5C\QPendientes@" descr="@5C\QPendientes@">
          <a:extLst>
            <a:ext uri="{FF2B5EF4-FFF2-40B4-BE49-F238E27FC236}">
              <a16:creationId xmlns:a16="http://schemas.microsoft.com/office/drawing/2014/main" id="{3612F388-5845-4E8A-84F1-B8115257C8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83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1933" name="Picture@5C\QPendientes@" descr="@5C\QPendientes@">
          <a:extLst>
            <a:ext uri="{FF2B5EF4-FFF2-40B4-BE49-F238E27FC236}">
              <a16:creationId xmlns:a16="http://schemas.microsoft.com/office/drawing/2014/main" id="{042B5AB7-3E16-4C96-8816-BA3BD72100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01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1934" name="Picture@5C\QPendientes@" descr="@5C\QPendientes@">
          <a:extLst>
            <a:ext uri="{FF2B5EF4-FFF2-40B4-BE49-F238E27FC236}">
              <a16:creationId xmlns:a16="http://schemas.microsoft.com/office/drawing/2014/main" id="{3E8E48D1-18EA-4433-AF90-1F588B54E6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20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1935" name="Picture@5C\QPendientes@" descr="@5C\QPendientes@">
          <a:extLst>
            <a:ext uri="{FF2B5EF4-FFF2-40B4-BE49-F238E27FC236}">
              <a16:creationId xmlns:a16="http://schemas.microsoft.com/office/drawing/2014/main" id="{7B3C356C-6516-4DFF-9A4B-031B804E94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1936" name="Picture@5C\QPendientes@" descr="@5C\QPendientes@">
          <a:extLst>
            <a:ext uri="{FF2B5EF4-FFF2-40B4-BE49-F238E27FC236}">
              <a16:creationId xmlns:a16="http://schemas.microsoft.com/office/drawing/2014/main" id="{EE2E1F45-B0D3-4D17-996C-8FE471D544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56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1937" name="Picture@5C\QPendientes@" descr="@5C\QPendientes@">
          <a:extLst>
            <a:ext uri="{FF2B5EF4-FFF2-40B4-BE49-F238E27FC236}">
              <a16:creationId xmlns:a16="http://schemas.microsoft.com/office/drawing/2014/main" id="{73602663-FCC2-4E67-923E-085AE6D67F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75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1938" name="Picture@5C\QPendientes@" descr="@5C\QPendientes@">
          <a:extLst>
            <a:ext uri="{FF2B5EF4-FFF2-40B4-BE49-F238E27FC236}">
              <a16:creationId xmlns:a16="http://schemas.microsoft.com/office/drawing/2014/main" id="{89BFA1F7-EF3A-443B-9591-C52D5FD776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93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1939" name="Picture@5C\QPendientes@" descr="@5C\QPendientes@">
          <a:extLst>
            <a:ext uri="{FF2B5EF4-FFF2-40B4-BE49-F238E27FC236}">
              <a16:creationId xmlns:a16="http://schemas.microsoft.com/office/drawing/2014/main" id="{9BA56F76-187D-4D92-9F86-01521A4E09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11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1940" name="Picture@5C\QPendientes@" descr="@5C\QPendientes@">
          <a:extLst>
            <a:ext uri="{FF2B5EF4-FFF2-40B4-BE49-F238E27FC236}">
              <a16:creationId xmlns:a16="http://schemas.microsoft.com/office/drawing/2014/main" id="{27F821CD-763C-4703-8B9E-B2315730CD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30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1941" name="Picture@5C\QPendientes@" descr="@5C\QPendientes@">
          <a:extLst>
            <a:ext uri="{FF2B5EF4-FFF2-40B4-BE49-F238E27FC236}">
              <a16:creationId xmlns:a16="http://schemas.microsoft.com/office/drawing/2014/main" id="{10286664-04D4-4223-8A09-EC2F74849E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4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1942" name="Picture@5C\QPendientes@" descr="@5C\QPendientes@">
          <a:extLst>
            <a:ext uri="{FF2B5EF4-FFF2-40B4-BE49-F238E27FC236}">
              <a16:creationId xmlns:a16="http://schemas.microsoft.com/office/drawing/2014/main" id="{2BE2AC82-FED2-4311-B224-F4689A47F7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6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1943" name="Picture@5C\QPendientes@" descr="@5C\QPendientes@">
          <a:extLst>
            <a:ext uri="{FF2B5EF4-FFF2-40B4-BE49-F238E27FC236}">
              <a16:creationId xmlns:a16="http://schemas.microsoft.com/office/drawing/2014/main" id="{D9BFBCF9-F454-450B-8D1F-46575D4AD8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8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1944" name="Picture@5C\QPendientes@" descr="@5C\QPendientes@">
          <a:extLst>
            <a:ext uri="{FF2B5EF4-FFF2-40B4-BE49-F238E27FC236}">
              <a16:creationId xmlns:a16="http://schemas.microsoft.com/office/drawing/2014/main" id="{185F8443-91AE-404F-857F-C8D10FC9E2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0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1945" name="Picture@5C\QPendientes@" descr="@5C\QPendientes@">
          <a:extLst>
            <a:ext uri="{FF2B5EF4-FFF2-40B4-BE49-F238E27FC236}">
              <a16:creationId xmlns:a16="http://schemas.microsoft.com/office/drawing/2014/main" id="{25C460AB-8084-4EBE-849B-DF8E080C4F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1946" name="Picture@5C\QPendientes@" descr="@5C\QPendientes@">
          <a:extLst>
            <a:ext uri="{FF2B5EF4-FFF2-40B4-BE49-F238E27FC236}">
              <a16:creationId xmlns:a16="http://schemas.microsoft.com/office/drawing/2014/main" id="{198A49E6-0F53-4EC9-B394-5C40EFDC14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3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1947" name="Picture@5C\QPendientes@" descr="@5C\QPendientes@">
          <a:extLst>
            <a:ext uri="{FF2B5EF4-FFF2-40B4-BE49-F238E27FC236}">
              <a16:creationId xmlns:a16="http://schemas.microsoft.com/office/drawing/2014/main" id="{BB964944-2E3A-47BE-8706-C26744E8FA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5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1948" name="Picture@5C\QPendientes@" descr="@5C\QPendientes@">
          <a:extLst>
            <a:ext uri="{FF2B5EF4-FFF2-40B4-BE49-F238E27FC236}">
              <a16:creationId xmlns:a16="http://schemas.microsoft.com/office/drawing/2014/main" id="{BDCD65A6-A1ED-4EB3-9217-100AD52BEB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7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1949" name="Picture@5C\QPendientes@" descr="@5C\QPendientes@">
          <a:extLst>
            <a:ext uri="{FF2B5EF4-FFF2-40B4-BE49-F238E27FC236}">
              <a16:creationId xmlns:a16="http://schemas.microsoft.com/office/drawing/2014/main" id="{EC7684C4-2156-4C89-814F-423E96AA73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9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1950" name="Picture@5C\QPendientes@" descr="@5C\QPendientes@">
          <a:extLst>
            <a:ext uri="{FF2B5EF4-FFF2-40B4-BE49-F238E27FC236}">
              <a16:creationId xmlns:a16="http://schemas.microsoft.com/office/drawing/2014/main" id="{6180F9DB-A258-4298-B50E-55FF49A427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1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1951" name="Picture@5C\QPendientes@" descr="@5C\QPendientes@">
          <a:extLst>
            <a:ext uri="{FF2B5EF4-FFF2-40B4-BE49-F238E27FC236}">
              <a16:creationId xmlns:a16="http://schemas.microsoft.com/office/drawing/2014/main" id="{1871BD91-1CF0-47DE-A1D7-9B626EA4C7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3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1952" name="Picture@5C\QPendientes@" descr="@5C\QPendientes@">
          <a:extLst>
            <a:ext uri="{FF2B5EF4-FFF2-40B4-BE49-F238E27FC236}">
              <a16:creationId xmlns:a16="http://schemas.microsoft.com/office/drawing/2014/main" id="{74C7DA13-2483-4E61-8B38-C76CCF67B7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4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1953" name="Picture@5C\QPendientes@" descr="@5C\QPendientes@">
          <a:extLst>
            <a:ext uri="{FF2B5EF4-FFF2-40B4-BE49-F238E27FC236}">
              <a16:creationId xmlns:a16="http://schemas.microsoft.com/office/drawing/2014/main" id="{35B3629E-0B86-445A-ADEB-6D544E051E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6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1954" name="Picture@5C\QPendientes@" descr="@5C\QPendientes@">
          <a:extLst>
            <a:ext uri="{FF2B5EF4-FFF2-40B4-BE49-F238E27FC236}">
              <a16:creationId xmlns:a16="http://schemas.microsoft.com/office/drawing/2014/main" id="{6D78715B-6809-4967-BB00-664164DAA6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8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1955" name="Picture@5C\QPendientes@" descr="@5C\QPendientes@">
          <a:extLst>
            <a:ext uri="{FF2B5EF4-FFF2-40B4-BE49-F238E27FC236}">
              <a16:creationId xmlns:a16="http://schemas.microsoft.com/office/drawing/2014/main" id="{83C41852-F589-4B36-A83F-D04D3AAC79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1956" name="Picture@5C\QPendientes@" descr="@5C\QPendientes@">
          <a:extLst>
            <a:ext uri="{FF2B5EF4-FFF2-40B4-BE49-F238E27FC236}">
              <a16:creationId xmlns:a16="http://schemas.microsoft.com/office/drawing/2014/main" id="{21262C56-9070-4DE0-9076-A130065066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2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1957" name="Picture@5C\QPendientes@" descr="@5C\QPendientes@">
          <a:extLst>
            <a:ext uri="{FF2B5EF4-FFF2-40B4-BE49-F238E27FC236}">
              <a16:creationId xmlns:a16="http://schemas.microsoft.com/office/drawing/2014/main" id="{3A7C8707-327B-4B72-9792-22F9FEB13C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4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1958" name="Picture@5C\QPendientes@" descr="@5C\QPendientes@">
          <a:extLst>
            <a:ext uri="{FF2B5EF4-FFF2-40B4-BE49-F238E27FC236}">
              <a16:creationId xmlns:a16="http://schemas.microsoft.com/office/drawing/2014/main" id="{5B392DBC-786F-4214-9DE4-4E8C72BFF8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5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1959" name="Picture@5C\QPendientes@" descr="@5C\QPendientes@">
          <a:extLst>
            <a:ext uri="{FF2B5EF4-FFF2-40B4-BE49-F238E27FC236}">
              <a16:creationId xmlns:a16="http://schemas.microsoft.com/office/drawing/2014/main" id="{A46433ED-FF9D-453C-AA02-21E0A84CDA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7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1960" name="Picture@5C\QPendientes@" descr="@5C\QPendientes@">
          <a:extLst>
            <a:ext uri="{FF2B5EF4-FFF2-40B4-BE49-F238E27FC236}">
              <a16:creationId xmlns:a16="http://schemas.microsoft.com/office/drawing/2014/main" id="{62019D63-630E-4D1A-AB3A-D7ACDB0561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9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1961" name="Picture@5C\QPendientes@" descr="@5C\QPendientes@">
          <a:extLst>
            <a:ext uri="{FF2B5EF4-FFF2-40B4-BE49-F238E27FC236}">
              <a16:creationId xmlns:a16="http://schemas.microsoft.com/office/drawing/2014/main" id="{E3BD7639-1A0E-4825-933F-C491E267E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1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1962" name="Picture@5C\QPendientes@" descr="@5C\QPendientes@">
          <a:extLst>
            <a:ext uri="{FF2B5EF4-FFF2-40B4-BE49-F238E27FC236}">
              <a16:creationId xmlns:a16="http://schemas.microsoft.com/office/drawing/2014/main" id="{FD09E6A3-2310-4649-9126-770E17A974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3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1963" name="Picture@5C\QPendientes@" descr="@5C\QPendientes@">
          <a:extLst>
            <a:ext uri="{FF2B5EF4-FFF2-40B4-BE49-F238E27FC236}">
              <a16:creationId xmlns:a16="http://schemas.microsoft.com/office/drawing/2014/main" id="{ACDA36A6-6225-4A96-99BA-F582C412C9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5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1964" name="Picture@5C\QPendientes@" descr="@5C\QPendientes@">
          <a:extLst>
            <a:ext uri="{FF2B5EF4-FFF2-40B4-BE49-F238E27FC236}">
              <a16:creationId xmlns:a16="http://schemas.microsoft.com/office/drawing/2014/main" id="{56F421A8-088E-42B4-93F8-1D4DD62E05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6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1965" name="Picture@5C\QPendientes@" descr="@5C\QPendientes@">
          <a:extLst>
            <a:ext uri="{FF2B5EF4-FFF2-40B4-BE49-F238E27FC236}">
              <a16:creationId xmlns:a16="http://schemas.microsoft.com/office/drawing/2014/main" id="{9ECBB2CD-7892-4EC6-9AAD-B0D59CEF41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1966" name="Picture@5C\QPendientes@" descr="@5C\QPendientes@">
          <a:extLst>
            <a:ext uri="{FF2B5EF4-FFF2-40B4-BE49-F238E27FC236}">
              <a16:creationId xmlns:a16="http://schemas.microsoft.com/office/drawing/2014/main" id="{07C93EA7-392F-4866-AA4C-CE0F3DCDEF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0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1967" name="Picture@5C\QPendientes@" descr="@5C\QPendientes@">
          <a:extLst>
            <a:ext uri="{FF2B5EF4-FFF2-40B4-BE49-F238E27FC236}">
              <a16:creationId xmlns:a16="http://schemas.microsoft.com/office/drawing/2014/main" id="{81C9FCF1-6E49-4342-9890-FC3F1CB5D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2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1968" name="Picture@5C\QPendientes@" descr="@5C\QPendientes@">
          <a:extLst>
            <a:ext uri="{FF2B5EF4-FFF2-40B4-BE49-F238E27FC236}">
              <a16:creationId xmlns:a16="http://schemas.microsoft.com/office/drawing/2014/main" id="{5A2617CD-EE59-407A-842A-F7857AAEF5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4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1969" name="Picture@5C\QPendientes@" descr="@5C\QPendientes@">
          <a:extLst>
            <a:ext uri="{FF2B5EF4-FFF2-40B4-BE49-F238E27FC236}">
              <a16:creationId xmlns:a16="http://schemas.microsoft.com/office/drawing/2014/main" id="{5B0FDE65-F5EF-4E27-8B17-8E11D8C260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6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1970" name="Picture@5C\QPendientes@" descr="@5C\QPendientes@">
          <a:extLst>
            <a:ext uri="{FF2B5EF4-FFF2-40B4-BE49-F238E27FC236}">
              <a16:creationId xmlns:a16="http://schemas.microsoft.com/office/drawing/2014/main" id="{D4109B8C-49F5-4538-B43E-8DFD1379CB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7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1971" name="Picture@5C\QPendientes@" descr="@5C\QPendientes@">
          <a:extLst>
            <a:ext uri="{FF2B5EF4-FFF2-40B4-BE49-F238E27FC236}">
              <a16:creationId xmlns:a16="http://schemas.microsoft.com/office/drawing/2014/main" id="{3F85F227-0D98-435D-B21D-0331874E3B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9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1972" name="Picture@5C\QPendientes@" descr="@5C\QPendientes@">
          <a:extLst>
            <a:ext uri="{FF2B5EF4-FFF2-40B4-BE49-F238E27FC236}">
              <a16:creationId xmlns:a16="http://schemas.microsoft.com/office/drawing/2014/main" id="{D4B0CE00-FD4F-457B-8CC8-B0A79EFF3A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1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1973" name="Picture@5C\QPendientes@" descr="@5C\QPendientes@">
          <a:extLst>
            <a:ext uri="{FF2B5EF4-FFF2-40B4-BE49-F238E27FC236}">
              <a16:creationId xmlns:a16="http://schemas.microsoft.com/office/drawing/2014/main" id="{EC1D8CEC-B233-4011-851B-1BF81985AF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3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1974" name="Picture@5C\QPendientes@" descr="@5C\QPendientes@">
          <a:extLst>
            <a:ext uri="{FF2B5EF4-FFF2-40B4-BE49-F238E27FC236}">
              <a16:creationId xmlns:a16="http://schemas.microsoft.com/office/drawing/2014/main" id="{DDE6EA44-72A5-4F04-9992-11606D1E9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5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1975" name="Picture@5C\QPendientes@" descr="@5C\QPendientes@">
          <a:extLst>
            <a:ext uri="{FF2B5EF4-FFF2-40B4-BE49-F238E27FC236}">
              <a16:creationId xmlns:a16="http://schemas.microsoft.com/office/drawing/2014/main" id="{383F1EE3-9C0F-4694-8BC8-598492F5CF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1976" name="Picture@5C\QPendientes@" descr="@5C\QPendientes@">
          <a:extLst>
            <a:ext uri="{FF2B5EF4-FFF2-40B4-BE49-F238E27FC236}">
              <a16:creationId xmlns:a16="http://schemas.microsoft.com/office/drawing/2014/main" id="{D5A5733F-BC28-482C-987A-0C092E1BA4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8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1977" name="Picture@5C\QPendientes@" descr="@5C\QPendientes@">
          <a:extLst>
            <a:ext uri="{FF2B5EF4-FFF2-40B4-BE49-F238E27FC236}">
              <a16:creationId xmlns:a16="http://schemas.microsoft.com/office/drawing/2014/main" id="{B1A5722B-D031-479A-BBA0-78FE36B726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0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1978" name="Picture@5C\QPendientes@" descr="@5C\QPendientes@">
          <a:extLst>
            <a:ext uri="{FF2B5EF4-FFF2-40B4-BE49-F238E27FC236}">
              <a16:creationId xmlns:a16="http://schemas.microsoft.com/office/drawing/2014/main" id="{160D975C-6376-450F-885F-AEA33AB497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2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1979" name="Picture@5C\QPendientes@" descr="@5C\QPendientes@">
          <a:extLst>
            <a:ext uri="{FF2B5EF4-FFF2-40B4-BE49-F238E27FC236}">
              <a16:creationId xmlns:a16="http://schemas.microsoft.com/office/drawing/2014/main" id="{D013DA82-7B3F-458B-8010-99181EB3AF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4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1980" name="Picture@5C\QPendientes@" descr="@5C\QPendientes@">
          <a:extLst>
            <a:ext uri="{FF2B5EF4-FFF2-40B4-BE49-F238E27FC236}">
              <a16:creationId xmlns:a16="http://schemas.microsoft.com/office/drawing/2014/main" id="{13C6C4BB-CDF9-401B-9E84-B19A7F49CF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6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1981" name="Picture@5C\QPendientes@" descr="@5C\QPendientes@">
          <a:extLst>
            <a:ext uri="{FF2B5EF4-FFF2-40B4-BE49-F238E27FC236}">
              <a16:creationId xmlns:a16="http://schemas.microsoft.com/office/drawing/2014/main" id="{E6AEE8D6-B045-4AD9-B62C-62310076BC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7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1982" name="Picture@5C\QPendientes@" descr="@5C\QPendientes@">
          <a:extLst>
            <a:ext uri="{FF2B5EF4-FFF2-40B4-BE49-F238E27FC236}">
              <a16:creationId xmlns:a16="http://schemas.microsoft.com/office/drawing/2014/main" id="{E3C4FEDA-0091-4590-BDF0-081632E029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9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1983" name="Picture@5C\QPendientes@" descr="@5C\QPendientes@">
          <a:extLst>
            <a:ext uri="{FF2B5EF4-FFF2-40B4-BE49-F238E27FC236}">
              <a16:creationId xmlns:a16="http://schemas.microsoft.com/office/drawing/2014/main" id="{9A0226BA-084A-4597-9154-AA3E2994FA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1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1984" name="Picture@5C\QPendientes@" descr="@5C\QPendientes@">
          <a:extLst>
            <a:ext uri="{FF2B5EF4-FFF2-40B4-BE49-F238E27FC236}">
              <a16:creationId xmlns:a16="http://schemas.microsoft.com/office/drawing/2014/main" id="{CE436BB9-A173-4DFB-909C-C6CBC43F18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3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1985" name="Picture@5C\QPendientes@" descr="@5C\QPendientes@">
          <a:extLst>
            <a:ext uri="{FF2B5EF4-FFF2-40B4-BE49-F238E27FC236}">
              <a16:creationId xmlns:a16="http://schemas.microsoft.com/office/drawing/2014/main" id="{0CC969F3-D53D-4474-A3D8-B1AD5029FC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1986" name="Picture@5C\QPendientes@" descr="@5C\QPendientes@">
          <a:extLst>
            <a:ext uri="{FF2B5EF4-FFF2-40B4-BE49-F238E27FC236}">
              <a16:creationId xmlns:a16="http://schemas.microsoft.com/office/drawing/2014/main" id="{153B76DA-82B9-4C5D-BBE1-FBEC6F8A40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7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1987" name="Picture@5C\QPendientes@" descr="@5C\QPendientes@">
          <a:extLst>
            <a:ext uri="{FF2B5EF4-FFF2-40B4-BE49-F238E27FC236}">
              <a16:creationId xmlns:a16="http://schemas.microsoft.com/office/drawing/2014/main" id="{D6BB4BC5-556A-4552-9CD6-51BAD7DA31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8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1988" name="Picture@5C\QPendientes@" descr="@5C\QPendientes@">
          <a:extLst>
            <a:ext uri="{FF2B5EF4-FFF2-40B4-BE49-F238E27FC236}">
              <a16:creationId xmlns:a16="http://schemas.microsoft.com/office/drawing/2014/main" id="{AF53C125-69E6-4941-8612-F2E6185EB5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0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1989" name="Picture@5C\QPendientes@" descr="@5C\QPendientes@">
          <a:extLst>
            <a:ext uri="{FF2B5EF4-FFF2-40B4-BE49-F238E27FC236}">
              <a16:creationId xmlns:a16="http://schemas.microsoft.com/office/drawing/2014/main" id="{FA37EC94-AEEC-4D9F-A232-6BA80A0B47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2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1990" name="Picture@5C\QPendientes@" descr="@5C\QPendientes@">
          <a:extLst>
            <a:ext uri="{FF2B5EF4-FFF2-40B4-BE49-F238E27FC236}">
              <a16:creationId xmlns:a16="http://schemas.microsoft.com/office/drawing/2014/main" id="{0031E5C2-0C1A-4B6E-A3BE-E82643B75A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4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1991" name="Picture@5C\QPendientes@" descr="@5C\QPendientes@">
          <a:extLst>
            <a:ext uri="{FF2B5EF4-FFF2-40B4-BE49-F238E27FC236}">
              <a16:creationId xmlns:a16="http://schemas.microsoft.com/office/drawing/2014/main" id="{9761E8C8-2B5A-4045-98E8-6E4C59DD38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6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1992" name="Picture@5C\QPendientes@" descr="@5C\QPendientes@">
          <a:extLst>
            <a:ext uri="{FF2B5EF4-FFF2-40B4-BE49-F238E27FC236}">
              <a16:creationId xmlns:a16="http://schemas.microsoft.com/office/drawing/2014/main" id="{D0F0C1EA-EB34-473F-9F23-B80200D58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8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1993" name="Picture@5C\QPendientes@" descr="@5C\QPendientes@">
          <a:extLst>
            <a:ext uri="{FF2B5EF4-FFF2-40B4-BE49-F238E27FC236}">
              <a16:creationId xmlns:a16="http://schemas.microsoft.com/office/drawing/2014/main" id="{6D930896-634B-4456-9B5D-76EE125619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9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1994" name="Picture@5C\QPendientes@" descr="@5C\QPendientes@">
          <a:extLst>
            <a:ext uri="{FF2B5EF4-FFF2-40B4-BE49-F238E27FC236}">
              <a16:creationId xmlns:a16="http://schemas.microsoft.com/office/drawing/2014/main" id="{355ABD56-E003-4BBE-BA24-96A9333F77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1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1995" name="Picture@5C\QPendientes@" descr="@5C\QPendientes@">
          <a:extLst>
            <a:ext uri="{FF2B5EF4-FFF2-40B4-BE49-F238E27FC236}">
              <a16:creationId xmlns:a16="http://schemas.microsoft.com/office/drawing/2014/main" id="{91CB10CA-0993-496E-954D-1DF2E3D3E3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1996" name="Picture@5C\QPendientes@" descr="@5C\QPendientes@">
          <a:extLst>
            <a:ext uri="{FF2B5EF4-FFF2-40B4-BE49-F238E27FC236}">
              <a16:creationId xmlns:a16="http://schemas.microsoft.com/office/drawing/2014/main" id="{B2726823-E1DB-4268-9268-25EEFAD9EC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5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1997" name="Picture@5C\QPendientes@" descr="@5C\QPendientes@">
          <a:extLst>
            <a:ext uri="{FF2B5EF4-FFF2-40B4-BE49-F238E27FC236}">
              <a16:creationId xmlns:a16="http://schemas.microsoft.com/office/drawing/2014/main" id="{E0DD427B-CDEB-4D47-8FAE-274063639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7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1998" name="Picture@5C\QPendientes@" descr="@5C\QPendientes@">
          <a:extLst>
            <a:ext uri="{FF2B5EF4-FFF2-40B4-BE49-F238E27FC236}">
              <a16:creationId xmlns:a16="http://schemas.microsoft.com/office/drawing/2014/main" id="{A7C6C1AD-9A8F-4C1A-9B16-12A94A3EBE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9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1999" name="Picture@5C\QPendientes@" descr="@5C\QPendientes@">
          <a:extLst>
            <a:ext uri="{FF2B5EF4-FFF2-40B4-BE49-F238E27FC236}">
              <a16:creationId xmlns:a16="http://schemas.microsoft.com/office/drawing/2014/main" id="{5C741DD0-D59A-42E0-A962-AC2ADED45C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0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2000" name="Picture@5C\QPendientes@" descr="@5C\QPendientes@">
          <a:extLst>
            <a:ext uri="{FF2B5EF4-FFF2-40B4-BE49-F238E27FC236}">
              <a16:creationId xmlns:a16="http://schemas.microsoft.com/office/drawing/2014/main" id="{247FBA4F-DC75-4007-9E23-8A9B857682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2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2001" name="Picture@5C\QPendientes@" descr="@5C\QPendientes@">
          <a:extLst>
            <a:ext uri="{FF2B5EF4-FFF2-40B4-BE49-F238E27FC236}">
              <a16:creationId xmlns:a16="http://schemas.microsoft.com/office/drawing/2014/main" id="{AB4C0EE2-301B-42A8-8274-3223C0D580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4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2002" name="Picture@5C\QPendientes@" descr="@5C\QPendientes@">
          <a:extLst>
            <a:ext uri="{FF2B5EF4-FFF2-40B4-BE49-F238E27FC236}">
              <a16:creationId xmlns:a16="http://schemas.microsoft.com/office/drawing/2014/main" id="{4976BEDB-6F30-4B24-8841-65EE7496A1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6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2003" name="Picture@5C\QPendientes@" descr="@5C\QPendientes@">
          <a:extLst>
            <a:ext uri="{FF2B5EF4-FFF2-40B4-BE49-F238E27FC236}">
              <a16:creationId xmlns:a16="http://schemas.microsoft.com/office/drawing/2014/main" id="{44D1E58E-BC7F-49A5-8552-F455E1B3EE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8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2004" name="Picture@5C\QPendientes@" descr="@5C\QPendientes@">
          <a:extLst>
            <a:ext uri="{FF2B5EF4-FFF2-40B4-BE49-F238E27FC236}">
              <a16:creationId xmlns:a16="http://schemas.microsoft.com/office/drawing/2014/main" id="{B25B829F-715D-4574-BC00-AEF17B572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0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2005" name="Picture@5C\QPendientes@" descr="@5C\QPendientes@">
          <a:extLst>
            <a:ext uri="{FF2B5EF4-FFF2-40B4-BE49-F238E27FC236}">
              <a16:creationId xmlns:a16="http://schemas.microsoft.com/office/drawing/2014/main" id="{5A8024A9-62BE-4333-947B-9CFAE8B4AC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2006" name="Picture@5C\QPendientes@" descr="@5C\QPendientes@">
          <a:extLst>
            <a:ext uri="{FF2B5EF4-FFF2-40B4-BE49-F238E27FC236}">
              <a16:creationId xmlns:a16="http://schemas.microsoft.com/office/drawing/2014/main" id="{6550A0D7-F72E-41A4-9785-2FE4D726FC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3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2007" name="Picture@5C\QPendientes@" descr="@5C\QPendientes@">
          <a:extLst>
            <a:ext uri="{FF2B5EF4-FFF2-40B4-BE49-F238E27FC236}">
              <a16:creationId xmlns:a16="http://schemas.microsoft.com/office/drawing/2014/main" id="{37C59F0B-4FA8-4F0B-ABB9-A8624ED1A3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5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693</xdr:row>
      <xdr:rowOff>0</xdr:rowOff>
    </xdr:from>
    <xdr:to>
      <xdr:col>0</xdr:col>
      <xdr:colOff>171450</xdr:colOff>
      <xdr:row>693</xdr:row>
      <xdr:rowOff>133350</xdr:rowOff>
    </xdr:to>
    <xdr:pic>
      <xdr:nvPicPr>
        <xdr:cNvPr id="2008" name="Picture@5C\QPendientes@" descr="@5C\QPendientes@">
          <a:extLst>
            <a:ext uri="{FF2B5EF4-FFF2-40B4-BE49-F238E27FC236}">
              <a16:creationId xmlns:a16="http://schemas.microsoft.com/office/drawing/2014/main" id="{61424A44-3648-41E8-8FA0-31AAA8A5A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7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694</xdr:row>
      <xdr:rowOff>0</xdr:rowOff>
    </xdr:from>
    <xdr:to>
      <xdr:col>0</xdr:col>
      <xdr:colOff>171450</xdr:colOff>
      <xdr:row>694</xdr:row>
      <xdr:rowOff>133350</xdr:rowOff>
    </xdr:to>
    <xdr:pic>
      <xdr:nvPicPr>
        <xdr:cNvPr id="2009" name="Picture@5C\QPendientes@" descr="@5C\QPendientes@">
          <a:extLst>
            <a:ext uri="{FF2B5EF4-FFF2-40B4-BE49-F238E27FC236}">
              <a16:creationId xmlns:a16="http://schemas.microsoft.com/office/drawing/2014/main" id="{5C5FEB15-58C9-47D4-9624-ED076B786D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9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695</xdr:row>
      <xdr:rowOff>0</xdr:rowOff>
    </xdr:from>
    <xdr:to>
      <xdr:col>0</xdr:col>
      <xdr:colOff>171450</xdr:colOff>
      <xdr:row>695</xdr:row>
      <xdr:rowOff>133350</xdr:rowOff>
    </xdr:to>
    <xdr:pic>
      <xdr:nvPicPr>
        <xdr:cNvPr id="2010" name="Picture@5C\QPendientes@" descr="@5C\QPendientes@">
          <a:extLst>
            <a:ext uri="{FF2B5EF4-FFF2-40B4-BE49-F238E27FC236}">
              <a16:creationId xmlns:a16="http://schemas.microsoft.com/office/drawing/2014/main" id="{9EBCEF17-AD8A-4BBD-8ED6-51460CB673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1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696</xdr:row>
      <xdr:rowOff>0</xdr:rowOff>
    </xdr:from>
    <xdr:to>
      <xdr:col>0</xdr:col>
      <xdr:colOff>171450</xdr:colOff>
      <xdr:row>696</xdr:row>
      <xdr:rowOff>133350</xdr:rowOff>
    </xdr:to>
    <xdr:pic>
      <xdr:nvPicPr>
        <xdr:cNvPr id="2011" name="Picture@5C\QPendientes@" descr="@5C\QPendientes@">
          <a:extLst>
            <a:ext uri="{FF2B5EF4-FFF2-40B4-BE49-F238E27FC236}">
              <a16:creationId xmlns:a16="http://schemas.microsoft.com/office/drawing/2014/main" id="{1530C754-B045-4C2D-B29E-3A8F211552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2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697</xdr:row>
      <xdr:rowOff>0</xdr:rowOff>
    </xdr:from>
    <xdr:to>
      <xdr:col>0</xdr:col>
      <xdr:colOff>171450</xdr:colOff>
      <xdr:row>697</xdr:row>
      <xdr:rowOff>133350</xdr:rowOff>
    </xdr:to>
    <xdr:pic>
      <xdr:nvPicPr>
        <xdr:cNvPr id="2012" name="Picture@5C\QPendientes@" descr="@5C\QPendientes@">
          <a:extLst>
            <a:ext uri="{FF2B5EF4-FFF2-40B4-BE49-F238E27FC236}">
              <a16:creationId xmlns:a16="http://schemas.microsoft.com/office/drawing/2014/main" id="{C04978E6-67A5-40E3-B768-D37031358C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4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698</xdr:row>
      <xdr:rowOff>0</xdr:rowOff>
    </xdr:from>
    <xdr:to>
      <xdr:col>0</xdr:col>
      <xdr:colOff>171450</xdr:colOff>
      <xdr:row>698</xdr:row>
      <xdr:rowOff>133350</xdr:rowOff>
    </xdr:to>
    <xdr:pic>
      <xdr:nvPicPr>
        <xdr:cNvPr id="2013" name="Picture@5C\QPendientes@" descr="@5C\QPendientes@">
          <a:extLst>
            <a:ext uri="{FF2B5EF4-FFF2-40B4-BE49-F238E27FC236}">
              <a16:creationId xmlns:a16="http://schemas.microsoft.com/office/drawing/2014/main" id="{5E8ECF5B-87C8-4B3B-A965-AD402ECBE8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6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699</xdr:row>
      <xdr:rowOff>0</xdr:rowOff>
    </xdr:from>
    <xdr:to>
      <xdr:col>0</xdr:col>
      <xdr:colOff>171450</xdr:colOff>
      <xdr:row>699</xdr:row>
      <xdr:rowOff>133350</xdr:rowOff>
    </xdr:to>
    <xdr:pic>
      <xdr:nvPicPr>
        <xdr:cNvPr id="2014" name="Picture@5C\QPendientes@" descr="@5C\QPendientes@">
          <a:extLst>
            <a:ext uri="{FF2B5EF4-FFF2-40B4-BE49-F238E27FC236}">
              <a16:creationId xmlns:a16="http://schemas.microsoft.com/office/drawing/2014/main" id="{69D90D2C-42AC-4B07-883E-18E752135F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78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700</xdr:row>
      <xdr:rowOff>0</xdr:rowOff>
    </xdr:from>
    <xdr:to>
      <xdr:col>0</xdr:col>
      <xdr:colOff>171450</xdr:colOff>
      <xdr:row>700</xdr:row>
      <xdr:rowOff>133350</xdr:rowOff>
    </xdr:to>
    <xdr:pic>
      <xdr:nvPicPr>
        <xdr:cNvPr id="2015" name="Picture@5C\QPendientes@" descr="@5C\QPendientes@">
          <a:extLst>
            <a:ext uri="{FF2B5EF4-FFF2-40B4-BE49-F238E27FC236}">
              <a16:creationId xmlns:a16="http://schemas.microsoft.com/office/drawing/2014/main" id="{7CF7C0D8-D443-4014-99EC-323DCACD3B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701</xdr:row>
      <xdr:rowOff>0</xdr:rowOff>
    </xdr:from>
    <xdr:to>
      <xdr:col>0</xdr:col>
      <xdr:colOff>171450</xdr:colOff>
      <xdr:row>701</xdr:row>
      <xdr:rowOff>133350</xdr:rowOff>
    </xdr:to>
    <xdr:pic>
      <xdr:nvPicPr>
        <xdr:cNvPr id="2016" name="Picture@5C\QPendientes@" descr="@5C\QPendientes@">
          <a:extLst>
            <a:ext uri="{FF2B5EF4-FFF2-40B4-BE49-F238E27FC236}">
              <a16:creationId xmlns:a16="http://schemas.microsoft.com/office/drawing/2014/main" id="{5054E1FC-5A24-4BC3-837E-BD27C9503E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1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702</xdr:row>
      <xdr:rowOff>0</xdr:rowOff>
    </xdr:from>
    <xdr:to>
      <xdr:col>0</xdr:col>
      <xdr:colOff>171450</xdr:colOff>
      <xdr:row>702</xdr:row>
      <xdr:rowOff>133350</xdr:rowOff>
    </xdr:to>
    <xdr:pic>
      <xdr:nvPicPr>
        <xdr:cNvPr id="2017" name="Picture@5C\QPendientes@" descr="@5C\QPendientes@">
          <a:extLst>
            <a:ext uri="{FF2B5EF4-FFF2-40B4-BE49-F238E27FC236}">
              <a16:creationId xmlns:a16="http://schemas.microsoft.com/office/drawing/2014/main" id="{D0269236-1261-436D-B3D9-6B9500730B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3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703</xdr:row>
      <xdr:rowOff>0</xdr:rowOff>
    </xdr:from>
    <xdr:to>
      <xdr:col>0</xdr:col>
      <xdr:colOff>171450</xdr:colOff>
      <xdr:row>703</xdr:row>
      <xdr:rowOff>133350</xdr:rowOff>
    </xdr:to>
    <xdr:pic>
      <xdr:nvPicPr>
        <xdr:cNvPr id="2018" name="Picture@5C\QPendientes@" descr="@5C\QPendientes@">
          <a:extLst>
            <a:ext uri="{FF2B5EF4-FFF2-40B4-BE49-F238E27FC236}">
              <a16:creationId xmlns:a16="http://schemas.microsoft.com/office/drawing/2014/main" id="{25DA3B81-0407-4A16-92A1-312A546BA3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704</xdr:row>
      <xdr:rowOff>0</xdr:rowOff>
    </xdr:from>
    <xdr:to>
      <xdr:col>0</xdr:col>
      <xdr:colOff>171450</xdr:colOff>
      <xdr:row>704</xdr:row>
      <xdr:rowOff>133350</xdr:rowOff>
    </xdr:to>
    <xdr:pic>
      <xdr:nvPicPr>
        <xdr:cNvPr id="2019" name="Picture@5C\QPendientes@" descr="@5C\QPendientes@">
          <a:extLst>
            <a:ext uri="{FF2B5EF4-FFF2-40B4-BE49-F238E27FC236}">
              <a16:creationId xmlns:a16="http://schemas.microsoft.com/office/drawing/2014/main" id="{B8BEDC7D-09F5-44EE-BACA-64275E9643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7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705</xdr:row>
      <xdr:rowOff>0</xdr:rowOff>
    </xdr:from>
    <xdr:to>
      <xdr:col>0</xdr:col>
      <xdr:colOff>171450</xdr:colOff>
      <xdr:row>705</xdr:row>
      <xdr:rowOff>133350</xdr:rowOff>
    </xdr:to>
    <xdr:pic>
      <xdr:nvPicPr>
        <xdr:cNvPr id="2020" name="Picture@5C\QPendientes@" descr="@5C\QPendientes@">
          <a:extLst>
            <a:ext uri="{FF2B5EF4-FFF2-40B4-BE49-F238E27FC236}">
              <a16:creationId xmlns:a16="http://schemas.microsoft.com/office/drawing/2014/main" id="{6CDA73B5-37A3-4DE4-8D41-32DF15901A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9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706</xdr:row>
      <xdr:rowOff>0</xdr:rowOff>
    </xdr:from>
    <xdr:to>
      <xdr:col>0</xdr:col>
      <xdr:colOff>171450</xdr:colOff>
      <xdr:row>706</xdr:row>
      <xdr:rowOff>133350</xdr:rowOff>
    </xdr:to>
    <xdr:pic>
      <xdr:nvPicPr>
        <xdr:cNvPr id="2021" name="Picture@5C\QPendientes@" descr="@5C\QPendientes@">
          <a:extLst>
            <a:ext uri="{FF2B5EF4-FFF2-40B4-BE49-F238E27FC236}">
              <a16:creationId xmlns:a16="http://schemas.microsoft.com/office/drawing/2014/main" id="{50B98360-DB84-43F8-8691-CE82215ADC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1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707</xdr:row>
      <xdr:rowOff>0</xdr:rowOff>
    </xdr:from>
    <xdr:to>
      <xdr:col>0</xdr:col>
      <xdr:colOff>171450</xdr:colOff>
      <xdr:row>707</xdr:row>
      <xdr:rowOff>133350</xdr:rowOff>
    </xdr:to>
    <xdr:pic>
      <xdr:nvPicPr>
        <xdr:cNvPr id="2022" name="Picture@5C\QPendientes@" descr="@5C\QPendientes@">
          <a:extLst>
            <a:ext uri="{FF2B5EF4-FFF2-40B4-BE49-F238E27FC236}">
              <a16:creationId xmlns:a16="http://schemas.microsoft.com/office/drawing/2014/main" id="{B943D4AD-5236-48F4-8DAD-1F5E507B2F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2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708</xdr:row>
      <xdr:rowOff>0</xdr:rowOff>
    </xdr:from>
    <xdr:to>
      <xdr:col>0</xdr:col>
      <xdr:colOff>171450</xdr:colOff>
      <xdr:row>708</xdr:row>
      <xdr:rowOff>133350</xdr:rowOff>
    </xdr:to>
    <xdr:pic>
      <xdr:nvPicPr>
        <xdr:cNvPr id="2023" name="Picture@5C\QPendientes@" descr="@5C\QPendientes@">
          <a:extLst>
            <a:ext uri="{FF2B5EF4-FFF2-40B4-BE49-F238E27FC236}">
              <a16:creationId xmlns:a16="http://schemas.microsoft.com/office/drawing/2014/main" id="{5663D169-68FB-492B-9E1E-52C0946B9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4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709</xdr:row>
      <xdr:rowOff>0</xdr:rowOff>
    </xdr:from>
    <xdr:to>
      <xdr:col>0</xdr:col>
      <xdr:colOff>171450</xdr:colOff>
      <xdr:row>709</xdr:row>
      <xdr:rowOff>133350</xdr:rowOff>
    </xdr:to>
    <xdr:pic>
      <xdr:nvPicPr>
        <xdr:cNvPr id="2024" name="Picture@5C\QPendientes@" descr="@5C\QPendientes@">
          <a:extLst>
            <a:ext uri="{FF2B5EF4-FFF2-40B4-BE49-F238E27FC236}">
              <a16:creationId xmlns:a16="http://schemas.microsoft.com/office/drawing/2014/main" id="{1F2B1C4A-FF51-40B5-920A-7F5EFCB417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6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710</xdr:row>
      <xdr:rowOff>0</xdr:rowOff>
    </xdr:from>
    <xdr:to>
      <xdr:col>0</xdr:col>
      <xdr:colOff>171450</xdr:colOff>
      <xdr:row>710</xdr:row>
      <xdr:rowOff>133350</xdr:rowOff>
    </xdr:to>
    <xdr:pic>
      <xdr:nvPicPr>
        <xdr:cNvPr id="2025" name="Picture@5C\QPendientes@" descr="@5C\QPendientes@">
          <a:extLst>
            <a:ext uri="{FF2B5EF4-FFF2-40B4-BE49-F238E27FC236}">
              <a16:creationId xmlns:a16="http://schemas.microsoft.com/office/drawing/2014/main" id="{F8557ED6-BC44-45B9-9613-7F91EC1645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711</xdr:row>
      <xdr:rowOff>0</xdr:rowOff>
    </xdr:from>
    <xdr:to>
      <xdr:col>0</xdr:col>
      <xdr:colOff>171450</xdr:colOff>
      <xdr:row>711</xdr:row>
      <xdr:rowOff>133350</xdr:rowOff>
    </xdr:to>
    <xdr:pic>
      <xdr:nvPicPr>
        <xdr:cNvPr id="2026" name="Picture@5C\QPendientes@" descr="@5C\QPendientes@">
          <a:extLst>
            <a:ext uri="{FF2B5EF4-FFF2-40B4-BE49-F238E27FC236}">
              <a16:creationId xmlns:a16="http://schemas.microsoft.com/office/drawing/2014/main" id="{6C8161EB-B52A-4474-93C4-042E7E43EF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0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712</xdr:row>
      <xdr:rowOff>0</xdr:rowOff>
    </xdr:from>
    <xdr:to>
      <xdr:col>0</xdr:col>
      <xdr:colOff>171450</xdr:colOff>
      <xdr:row>712</xdr:row>
      <xdr:rowOff>133350</xdr:rowOff>
    </xdr:to>
    <xdr:pic>
      <xdr:nvPicPr>
        <xdr:cNvPr id="2027" name="Picture@5C\QPendientes@" descr="@5C\QPendientes@">
          <a:extLst>
            <a:ext uri="{FF2B5EF4-FFF2-40B4-BE49-F238E27FC236}">
              <a16:creationId xmlns:a16="http://schemas.microsoft.com/office/drawing/2014/main" id="{52DE76CC-4F4E-4C93-9E13-6160EE8955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2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713</xdr:row>
      <xdr:rowOff>0</xdr:rowOff>
    </xdr:from>
    <xdr:to>
      <xdr:col>0</xdr:col>
      <xdr:colOff>171450</xdr:colOff>
      <xdr:row>713</xdr:row>
      <xdr:rowOff>133350</xdr:rowOff>
    </xdr:to>
    <xdr:pic>
      <xdr:nvPicPr>
        <xdr:cNvPr id="2028" name="Picture@5C\QPendientes@" descr="@5C\QPendientes@">
          <a:extLst>
            <a:ext uri="{FF2B5EF4-FFF2-40B4-BE49-F238E27FC236}">
              <a16:creationId xmlns:a16="http://schemas.microsoft.com/office/drawing/2014/main" id="{8E17532F-5338-4A9F-82AF-6F66B5046D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3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714</xdr:row>
      <xdr:rowOff>0</xdr:rowOff>
    </xdr:from>
    <xdr:to>
      <xdr:col>0</xdr:col>
      <xdr:colOff>171450</xdr:colOff>
      <xdr:row>714</xdr:row>
      <xdr:rowOff>133350</xdr:rowOff>
    </xdr:to>
    <xdr:pic>
      <xdr:nvPicPr>
        <xdr:cNvPr id="2029" name="Picture@5C\QPendientes@" descr="@5C\QPendientes@">
          <a:extLst>
            <a:ext uri="{FF2B5EF4-FFF2-40B4-BE49-F238E27FC236}">
              <a16:creationId xmlns:a16="http://schemas.microsoft.com/office/drawing/2014/main" id="{02A22DDB-F05A-400C-9CE6-BA8D64CDE4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5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715</xdr:row>
      <xdr:rowOff>0</xdr:rowOff>
    </xdr:from>
    <xdr:to>
      <xdr:col>0</xdr:col>
      <xdr:colOff>171450</xdr:colOff>
      <xdr:row>715</xdr:row>
      <xdr:rowOff>133350</xdr:rowOff>
    </xdr:to>
    <xdr:pic>
      <xdr:nvPicPr>
        <xdr:cNvPr id="2030" name="Picture@5C\QPendientes@" descr="@5C\QPendientes@">
          <a:extLst>
            <a:ext uri="{FF2B5EF4-FFF2-40B4-BE49-F238E27FC236}">
              <a16:creationId xmlns:a16="http://schemas.microsoft.com/office/drawing/2014/main" id="{C9741160-3A16-408C-AFB3-CEC676EC16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7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716</xdr:row>
      <xdr:rowOff>0</xdr:rowOff>
    </xdr:from>
    <xdr:to>
      <xdr:col>0</xdr:col>
      <xdr:colOff>171450</xdr:colOff>
      <xdr:row>716</xdr:row>
      <xdr:rowOff>133350</xdr:rowOff>
    </xdr:to>
    <xdr:pic>
      <xdr:nvPicPr>
        <xdr:cNvPr id="2031" name="Picture@5C\QPendientes@" descr="@5C\QPendientes@">
          <a:extLst>
            <a:ext uri="{FF2B5EF4-FFF2-40B4-BE49-F238E27FC236}">
              <a16:creationId xmlns:a16="http://schemas.microsoft.com/office/drawing/2014/main" id="{7ADFD63A-5C02-4D62-B506-B03BDF2CD0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9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717</xdr:row>
      <xdr:rowOff>0</xdr:rowOff>
    </xdr:from>
    <xdr:to>
      <xdr:col>0</xdr:col>
      <xdr:colOff>171450</xdr:colOff>
      <xdr:row>717</xdr:row>
      <xdr:rowOff>133350</xdr:rowOff>
    </xdr:to>
    <xdr:pic>
      <xdr:nvPicPr>
        <xdr:cNvPr id="2032" name="Picture@5C\QPendientes@" descr="@5C\QPendientes@">
          <a:extLst>
            <a:ext uri="{FF2B5EF4-FFF2-40B4-BE49-F238E27FC236}">
              <a16:creationId xmlns:a16="http://schemas.microsoft.com/office/drawing/2014/main" id="{C4B6443F-C368-4C93-9AFA-6CDA364681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1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718</xdr:row>
      <xdr:rowOff>0</xdr:rowOff>
    </xdr:from>
    <xdr:to>
      <xdr:col>0</xdr:col>
      <xdr:colOff>171450</xdr:colOff>
      <xdr:row>718</xdr:row>
      <xdr:rowOff>133350</xdr:rowOff>
    </xdr:to>
    <xdr:pic>
      <xdr:nvPicPr>
        <xdr:cNvPr id="2033" name="Picture@5C\QPendientes@" descr="@5C\QPendientes@">
          <a:extLst>
            <a:ext uri="{FF2B5EF4-FFF2-40B4-BE49-F238E27FC236}">
              <a16:creationId xmlns:a16="http://schemas.microsoft.com/office/drawing/2014/main" id="{194BE77A-481D-4E41-AA06-8ACDBB5B8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3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719</xdr:row>
      <xdr:rowOff>0</xdr:rowOff>
    </xdr:from>
    <xdr:to>
      <xdr:col>0</xdr:col>
      <xdr:colOff>171450</xdr:colOff>
      <xdr:row>719</xdr:row>
      <xdr:rowOff>133350</xdr:rowOff>
    </xdr:to>
    <xdr:pic>
      <xdr:nvPicPr>
        <xdr:cNvPr id="2034" name="Picture@5C\QPendientes@" descr="@5C\QPendientes@">
          <a:extLst>
            <a:ext uri="{FF2B5EF4-FFF2-40B4-BE49-F238E27FC236}">
              <a16:creationId xmlns:a16="http://schemas.microsoft.com/office/drawing/2014/main" id="{5A546D32-5200-4247-BE66-40B72AC7B8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4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720</xdr:row>
      <xdr:rowOff>0</xdr:rowOff>
    </xdr:from>
    <xdr:to>
      <xdr:col>0</xdr:col>
      <xdr:colOff>171450</xdr:colOff>
      <xdr:row>720</xdr:row>
      <xdr:rowOff>133350</xdr:rowOff>
    </xdr:to>
    <xdr:pic>
      <xdr:nvPicPr>
        <xdr:cNvPr id="2035" name="Picture@5C\QPendientes@" descr="@5C\QPendientes@">
          <a:extLst>
            <a:ext uri="{FF2B5EF4-FFF2-40B4-BE49-F238E27FC236}">
              <a16:creationId xmlns:a16="http://schemas.microsoft.com/office/drawing/2014/main" id="{298FC5A9-E81A-4340-AEB2-F75B0BC021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721</xdr:row>
      <xdr:rowOff>0</xdr:rowOff>
    </xdr:from>
    <xdr:to>
      <xdr:col>0</xdr:col>
      <xdr:colOff>171450</xdr:colOff>
      <xdr:row>721</xdr:row>
      <xdr:rowOff>133350</xdr:rowOff>
    </xdr:to>
    <xdr:pic>
      <xdr:nvPicPr>
        <xdr:cNvPr id="2036" name="Picture@5C\QPendientes@" descr="@5C\QPendientes@">
          <a:extLst>
            <a:ext uri="{FF2B5EF4-FFF2-40B4-BE49-F238E27FC236}">
              <a16:creationId xmlns:a16="http://schemas.microsoft.com/office/drawing/2014/main" id="{81DA143F-E2D4-4DBC-9BE4-EAFB46E437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8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722</xdr:row>
      <xdr:rowOff>0</xdr:rowOff>
    </xdr:from>
    <xdr:to>
      <xdr:col>0</xdr:col>
      <xdr:colOff>171450</xdr:colOff>
      <xdr:row>722</xdr:row>
      <xdr:rowOff>133350</xdr:rowOff>
    </xdr:to>
    <xdr:pic>
      <xdr:nvPicPr>
        <xdr:cNvPr id="2037" name="Picture@5C\QPendientes@" descr="@5C\QPendientes@">
          <a:extLst>
            <a:ext uri="{FF2B5EF4-FFF2-40B4-BE49-F238E27FC236}">
              <a16:creationId xmlns:a16="http://schemas.microsoft.com/office/drawing/2014/main" id="{316305DB-125D-4870-AA6A-075A9C8F73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0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723</xdr:row>
      <xdr:rowOff>0</xdr:rowOff>
    </xdr:from>
    <xdr:to>
      <xdr:col>0</xdr:col>
      <xdr:colOff>171450</xdr:colOff>
      <xdr:row>723</xdr:row>
      <xdr:rowOff>133350</xdr:rowOff>
    </xdr:to>
    <xdr:pic>
      <xdr:nvPicPr>
        <xdr:cNvPr id="2038" name="Picture@5C\QPendientes@" descr="@5C\QPendientes@">
          <a:extLst>
            <a:ext uri="{FF2B5EF4-FFF2-40B4-BE49-F238E27FC236}">
              <a16:creationId xmlns:a16="http://schemas.microsoft.com/office/drawing/2014/main" id="{310FBBA4-7D32-457F-85E6-B142E8481E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2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724</xdr:row>
      <xdr:rowOff>0</xdr:rowOff>
    </xdr:from>
    <xdr:to>
      <xdr:col>0</xdr:col>
      <xdr:colOff>171450</xdr:colOff>
      <xdr:row>724</xdr:row>
      <xdr:rowOff>133350</xdr:rowOff>
    </xdr:to>
    <xdr:pic>
      <xdr:nvPicPr>
        <xdr:cNvPr id="2039" name="Picture@5C\QPendientes@" descr="@5C\QPendientes@">
          <a:extLst>
            <a:ext uri="{FF2B5EF4-FFF2-40B4-BE49-F238E27FC236}">
              <a16:creationId xmlns:a16="http://schemas.microsoft.com/office/drawing/2014/main" id="{3C7C532A-C8EE-4FB3-AB97-8B62567EFC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4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725</xdr:row>
      <xdr:rowOff>0</xdr:rowOff>
    </xdr:from>
    <xdr:to>
      <xdr:col>0</xdr:col>
      <xdr:colOff>171450</xdr:colOff>
      <xdr:row>725</xdr:row>
      <xdr:rowOff>133350</xdr:rowOff>
    </xdr:to>
    <xdr:pic>
      <xdr:nvPicPr>
        <xdr:cNvPr id="2040" name="Picture@5C\QPendientes@" descr="@5C\QPendientes@">
          <a:extLst>
            <a:ext uri="{FF2B5EF4-FFF2-40B4-BE49-F238E27FC236}">
              <a16:creationId xmlns:a16="http://schemas.microsoft.com/office/drawing/2014/main" id="{D441ED2F-E4A9-4E86-8666-319F15144A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5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726</xdr:row>
      <xdr:rowOff>0</xdr:rowOff>
    </xdr:from>
    <xdr:to>
      <xdr:col>0</xdr:col>
      <xdr:colOff>171450</xdr:colOff>
      <xdr:row>726</xdr:row>
      <xdr:rowOff>133350</xdr:rowOff>
    </xdr:to>
    <xdr:pic>
      <xdr:nvPicPr>
        <xdr:cNvPr id="2041" name="Picture@5C\QPendientes@" descr="@5C\QPendientes@">
          <a:extLst>
            <a:ext uri="{FF2B5EF4-FFF2-40B4-BE49-F238E27FC236}">
              <a16:creationId xmlns:a16="http://schemas.microsoft.com/office/drawing/2014/main" id="{F7942AFC-4EC8-4BD8-B7B4-826DCDD49A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7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727</xdr:row>
      <xdr:rowOff>0</xdr:rowOff>
    </xdr:from>
    <xdr:to>
      <xdr:col>0</xdr:col>
      <xdr:colOff>171450</xdr:colOff>
      <xdr:row>727</xdr:row>
      <xdr:rowOff>133350</xdr:rowOff>
    </xdr:to>
    <xdr:pic>
      <xdr:nvPicPr>
        <xdr:cNvPr id="2042" name="Picture@5C\QPendientes@" descr="@5C\QPendientes@">
          <a:extLst>
            <a:ext uri="{FF2B5EF4-FFF2-40B4-BE49-F238E27FC236}">
              <a16:creationId xmlns:a16="http://schemas.microsoft.com/office/drawing/2014/main" id="{FB181B5F-3027-4359-99D3-75888EAC81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9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728</xdr:row>
      <xdr:rowOff>0</xdr:rowOff>
    </xdr:from>
    <xdr:to>
      <xdr:col>0</xdr:col>
      <xdr:colOff>171450</xdr:colOff>
      <xdr:row>728</xdr:row>
      <xdr:rowOff>133350</xdr:rowOff>
    </xdr:to>
    <xdr:pic>
      <xdr:nvPicPr>
        <xdr:cNvPr id="2043" name="Picture@5C\QPendientes@" descr="@5C\QPendientes@">
          <a:extLst>
            <a:ext uri="{FF2B5EF4-FFF2-40B4-BE49-F238E27FC236}">
              <a16:creationId xmlns:a16="http://schemas.microsoft.com/office/drawing/2014/main" id="{3124E15B-AF43-422A-99CD-713E0620BF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1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729</xdr:row>
      <xdr:rowOff>0</xdr:rowOff>
    </xdr:from>
    <xdr:to>
      <xdr:col>0</xdr:col>
      <xdr:colOff>171450</xdr:colOff>
      <xdr:row>729</xdr:row>
      <xdr:rowOff>133350</xdr:rowOff>
    </xdr:to>
    <xdr:pic>
      <xdr:nvPicPr>
        <xdr:cNvPr id="2044" name="Picture@5C\QPendientes@" descr="@5C\QPendientes@">
          <a:extLst>
            <a:ext uri="{FF2B5EF4-FFF2-40B4-BE49-F238E27FC236}">
              <a16:creationId xmlns:a16="http://schemas.microsoft.com/office/drawing/2014/main" id="{547DAC95-6C20-4902-8D60-5384CF9D69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3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730</xdr:row>
      <xdr:rowOff>0</xdr:rowOff>
    </xdr:from>
    <xdr:to>
      <xdr:col>0</xdr:col>
      <xdr:colOff>171450</xdr:colOff>
      <xdr:row>730</xdr:row>
      <xdr:rowOff>133350</xdr:rowOff>
    </xdr:to>
    <xdr:pic>
      <xdr:nvPicPr>
        <xdr:cNvPr id="2045" name="Picture@5C\QPendientes@" descr="@5C\QPendientes@">
          <a:extLst>
            <a:ext uri="{FF2B5EF4-FFF2-40B4-BE49-F238E27FC236}">
              <a16:creationId xmlns:a16="http://schemas.microsoft.com/office/drawing/2014/main" id="{11A208D3-7B54-480C-A7D5-DAD5E03EE7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731</xdr:row>
      <xdr:rowOff>0</xdr:rowOff>
    </xdr:from>
    <xdr:to>
      <xdr:col>0</xdr:col>
      <xdr:colOff>171450</xdr:colOff>
      <xdr:row>731</xdr:row>
      <xdr:rowOff>133350</xdr:rowOff>
    </xdr:to>
    <xdr:pic>
      <xdr:nvPicPr>
        <xdr:cNvPr id="2046" name="Picture@5C\QPendientes@" descr="@5C\QPendientes@">
          <a:extLst>
            <a:ext uri="{FF2B5EF4-FFF2-40B4-BE49-F238E27FC236}">
              <a16:creationId xmlns:a16="http://schemas.microsoft.com/office/drawing/2014/main" id="{98F90B5A-D0E4-4829-81AE-B70B03DAAA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6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732</xdr:row>
      <xdr:rowOff>0</xdr:rowOff>
    </xdr:from>
    <xdr:to>
      <xdr:col>0</xdr:col>
      <xdr:colOff>171450</xdr:colOff>
      <xdr:row>732</xdr:row>
      <xdr:rowOff>133350</xdr:rowOff>
    </xdr:to>
    <xdr:pic>
      <xdr:nvPicPr>
        <xdr:cNvPr id="2047" name="Picture@5C\QPendientes@" descr="@5C\QPendientes@">
          <a:extLst>
            <a:ext uri="{FF2B5EF4-FFF2-40B4-BE49-F238E27FC236}">
              <a16:creationId xmlns:a16="http://schemas.microsoft.com/office/drawing/2014/main" id="{922A703F-4706-4F21-B58F-5C27B42247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8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733</xdr:row>
      <xdr:rowOff>0</xdr:rowOff>
    </xdr:from>
    <xdr:to>
      <xdr:col>0</xdr:col>
      <xdr:colOff>171450</xdr:colOff>
      <xdr:row>733</xdr:row>
      <xdr:rowOff>133350</xdr:rowOff>
    </xdr:to>
    <xdr:pic>
      <xdr:nvPicPr>
        <xdr:cNvPr id="2048" name="Picture@5C\QPendientes@" descr="@5C\QPendientes@">
          <a:extLst>
            <a:ext uri="{FF2B5EF4-FFF2-40B4-BE49-F238E27FC236}">
              <a16:creationId xmlns:a16="http://schemas.microsoft.com/office/drawing/2014/main" id="{CFC53900-A820-43B6-9277-AE3EF5B1D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0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734</xdr:row>
      <xdr:rowOff>0</xdr:rowOff>
    </xdr:from>
    <xdr:to>
      <xdr:col>0</xdr:col>
      <xdr:colOff>171450</xdr:colOff>
      <xdr:row>734</xdr:row>
      <xdr:rowOff>133350</xdr:rowOff>
    </xdr:to>
    <xdr:pic>
      <xdr:nvPicPr>
        <xdr:cNvPr id="2049" name="Picture@5C\QPendientes@" descr="@5C\QPendientes@">
          <a:extLst>
            <a:ext uri="{FF2B5EF4-FFF2-40B4-BE49-F238E27FC236}">
              <a16:creationId xmlns:a16="http://schemas.microsoft.com/office/drawing/2014/main" id="{0AAAABBE-AC20-41C2-9060-BB4AA3F306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2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735</xdr:row>
      <xdr:rowOff>0</xdr:rowOff>
    </xdr:from>
    <xdr:to>
      <xdr:col>0</xdr:col>
      <xdr:colOff>171450</xdr:colOff>
      <xdr:row>735</xdr:row>
      <xdr:rowOff>133350</xdr:rowOff>
    </xdr:to>
    <xdr:pic>
      <xdr:nvPicPr>
        <xdr:cNvPr id="2050" name="Picture@5C\QPendientes@" descr="@5C\QPendientes@">
          <a:extLst>
            <a:ext uri="{FF2B5EF4-FFF2-40B4-BE49-F238E27FC236}">
              <a16:creationId xmlns:a16="http://schemas.microsoft.com/office/drawing/2014/main" id="{262793BD-D6E8-401E-ABC6-5381D6AFE6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4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736</xdr:row>
      <xdr:rowOff>0</xdr:rowOff>
    </xdr:from>
    <xdr:to>
      <xdr:col>0</xdr:col>
      <xdr:colOff>171450</xdr:colOff>
      <xdr:row>736</xdr:row>
      <xdr:rowOff>133350</xdr:rowOff>
    </xdr:to>
    <xdr:pic>
      <xdr:nvPicPr>
        <xdr:cNvPr id="2051" name="Picture@5C\QPendientes@" descr="@5C\QPendientes@">
          <a:extLst>
            <a:ext uri="{FF2B5EF4-FFF2-40B4-BE49-F238E27FC236}">
              <a16:creationId xmlns:a16="http://schemas.microsoft.com/office/drawing/2014/main" id="{7AB882B7-F4EA-4F10-826D-8699248556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5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737</xdr:row>
      <xdr:rowOff>0</xdr:rowOff>
    </xdr:from>
    <xdr:to>
      <xdr:col>0</xdr:col>
      <xdr:colOff>171450</xdr:colOff>
      <xdr:row>737</xdr:row>
      <xdr:rowOff>133350</xdr:rowOff>
    </xdr:to>
    <xdr:pic>
      <xdr:nvPicPr>
        <xdr:cNvPr id="2052" name="Picture@5C\QPendientes@" descr="@5C\QPendientes@">
          <a:extLst>
            <a:ext uri="{FF2B5EF4-FFF2-40B4-BE49-F238E27FC236}">
              <a16:creationId xmlns:a16="http://schemas.microsoft.com/office/drawing/2014/main" id="{8DA568EC-4113-459B-B79D-46282CD860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7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738</xdr:row>
      <xdr:rowOff>0</xdr:rowOff>
    </xdr:from>
    <xdr:to>
      <xdr:col>0</xdr:col>
      <xdr:colOff>171450</xdr:colOff>
      <xdr:row>738</xdr:row>
      <xdr:rowOff>133350</xdr:rowOff>
    </xdr:to>
    <xdr:pic>
      <xdr:nvPicPr>
        <xdr:cNvPr id="2053" name="Picture@5C\QPendientes@" descr="@5C\QPendientes@">
          <a:extLst>
            <a:ext uri="{FF2B5EF4-FFF2-40B4-BE49-F238E27FC236}">
              <a16:creationId xmlns:a16="http://schemas.microsoft.com/office/drawing/2014/main" id="{FE630BB1-939B-44E2-B78B-26C426471D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49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739</xdr:row>
      <xdr:rowOff>0</xdr:rowOff>
    </xdr:from>
    <xdr:to>
      <xdr:col>0</xdr:col>
      <xdr:colOff>171450</xdr:colOff>
      <xdr:row>739</xdr:row>
      <xdr:rowOff>133350</xdr:rowOff>
    </xdr:to>
    <xdr:pic>
      <xdr:nvPicPr>
        <xdr:cNvPr id="2054" name="Picture@5C\QPendientes@" descr="@5C\QPendientes@">
          <a:extLst>
            <a:ext uri="{FF2B5EF4-FFF2-40B4-BE49-F238E27FC236}">
              <a16:creationId xmlns:a16="http://schemas.microsoft.com/office/drawing/2014/main" id="{A133D705-004F-4132-BF60-AA381E1EE9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1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740</xdr:row>
      <xdr:rowOff>0</xdr:rowOff>
    </xdr:from>
    <xdr:to>
      <xdr:col>0</xdr:col>
      <xdr:colOff>171450</xdr:colOff>
      <xdr:row>740</xdr:row>
      <xdr:rowOff>133350</xdr:rowOff>
    </xdr:to>
    <xdr:pic>
      <xdr:nvPicPr>
        <xdr:cNvPr id="2055" name="Picture@5C\QPendientes@" descr="@5C\QPendientes@">
          <a:extLst>
            <a:ext uri="{FF2B5EF4-FFF2-40B4-BE49-F238E27FC236}">
              <a16:creationId xmlns:a16="http://schemas.microsoft.com/office/drawing/2014/main" id="{263EECD6-776D-4674-81D0-AC593671E8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741</xdr:row>
      <xdr:rowOff>0</xdr:rowOff>
    </xdr:from>
    <xdr:to>
      <xdr:col>0</xdr:col>
      <xdr:colOff>171450</xdr:colOff>
      <xdr:row>741</xdr:row>
      <xdr:rowOff>133350</xdr:rowOff>
    </xdr:to>
    <xdr:pic>
      <xdr:nvPicPr>
        <xdr:cNvPr id="2056" name="Picture@5C\QPendientes@" descr="@5C\QPendientes@">
          <a:extLst>
            <a:ext uri="{FF2B5EF4-FFF2-40B4-BE49-F238E27FC236}">
              <a16:creationId xmlns:a16="http://schemas.microsoft.com/office/drawing/2014/main" id="{CE4F4E1C-A878-497E-9035-5661C3ECA2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5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742</xdr:row>
      <xdr:rowOff>0</xdr:rowOff>
    </xdr:from>
    <xdr:to>
      <xdr:col>0</xdr:col>
      <xdr:colOff>171450</xdr:colOff>
      <xdr:row>742</xdr:row>
      <xdr:rowOff>133350</xdr:rowOff>
    </xdr:to>
    <xdr:pic>
      <xdr:nvPicPr>
        <xdr:cNvPr id="2057" name="Picture@5C\QPendientes@" descr="@5C\QPendientes@">
          <a:extLst>
            <a:ext uri="{FF2B5EF4-FFF2-40B4-BE49-F238E27FC236}">
              <a16:creationId xmlns:a16="http://schemas.microsoft.com/office/drawing/2014/main" id="{9A3D1366-C736-4C9B-B079-01ED6B1FFD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6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743</xdr:row>
      <xdr:rowOff>0</xdr:rowOff>
    </xdr:from>
    <xdr:to>
      <xdr:col>0</xdr:col>
      <xdr:colOff>171450</xdr:colOff>
      <xdr:row>743</xdr:row>
      <xdr:rowOff>133350</xdr:rowOff>
    </xdr:to>
    <xdr:pic>
      <xdr:nvPicPr>
        <xdr:cNvPr id="2058" name="Picture@5C\QPendientes@" descr="@5C\QPendientes@">
          <a:extLst>
            <a:ext uri="{FF2B5EF4-FFF2-40B4-BE49-F238E27FC236}">
              <a16:creationId xmlns:a16="http://schemas.microsoft.com/office/drawing/2014/main" id="{BED912E4-3F95-4CC8-8EB2-99912083ED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8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744</xdr:row>
      <xdr:rowOff>0</xdr:rowOff>
    </xdr:from>
    <xdr:to>
      <xdr:col>0</xdr:col>
      <xdr:colOff>171450</xdr:colOff>
      <xdr:row>744</xdr:row>
      <xdr:rowOff>133350</xdr:rowOff>
    </xdr:to>
    <xdr:pic>
      <xdr:nvPicPr>
        <xdr:cNvPr id="2059" name="Picture@5C\QPendientes@" descr="@5C\QPendientes@">
          <a:extLst>
            <a:ext uri="{FF2B5EF4-FFF2-40B4-BE49-F238E27FC236}">
              <a16:creationId xmlns:a16="http://schemas.microsoft.com/office/drawing/2014/main" id="{5EBF2AB8-D9B2-4B54-833E-9696777707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60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5"/>
  <sheetViews>
    <sheetView tabSelected="1" topLeftCell="K1" workbookViewId="0">
      <pane ySplit="1" topLeftCell="A109" activePane="bottomLeft" state="frozen"/>
      <selection pane="bottomLeft" activeCell="S110" sqref="S110"/>
    </sheetView>
  </sheetViews>
  <sheetFormatPr baseColWidth="10" defaultColWidth="8.88671875" defaultRowHeight="14.4" x14ac:dyDescent="0.3"/>
  <cols>
    <col min="1" max="1" width="26" bestFit="1" customWidth="1"/>
    <col min="2" max="2" width="11" bestFit="1" customWidth="1"/>
    <col min="3" max="3" width="13" bestFit="1" customWidth="1"/>
    <col min="4" max="4" width="9" bestFit="1" customWidth="1"/>
    <col min="5" max="6" width="19" bestFit="1" customWidth="1"/>
    <col min="7" max="7" width="18" bestFit="1" customWidth="1"/>
    <col min="8" max="8" width="24" bestFit="1" customWidth="1"/>
    <col min="9" max="9" width="13" bestFit="1" customWidth="1"/>
    <col min="10" max="10" width="20" bestFit="1" customWidth="1"/>
    <col min="11" max="11" width="17" bestFit="1" customWidth="1"/>
    <col min="12" max="12" width="36" bestFit="1" customWidth="1"/>
    <col min="13" max="13" width="19" bestFit="1" customWidth="1"/>
    <col min="14" max="14" width="18" bestFit="1" customWidth="1"/>
    <col min="15" max="15" width="9" bestFit="1" customWidth="1"/>
    <col min="16" max="16" width="21.77734375" customWidth="1"/>
    <col min="17" max="17" width="16.33203125" style="7" customWidth="1"/>
    <col min="19" max="19" width="37.5546875" customWidth="1"/>
    <col min="20" max="20" width="15.109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582</v>
      </c>
      <c r="Q1" s="1" t="s">
        <v>583</v>
      </c>
      <c r="R1" s="1" t="s">
        <v>584</v>
      </c>
      <c r="S1" s="1" t="s">
        <v>585</v>
      </c>
      <c r="T1" t="s">
        <v>703</v>
      </c>
    </row>
    <row r="2" spans="1:20" x14ac:dyDescent="0.3">
      <c r="A2" s="2" t="s">
        <v>15</v>
      </c>
      <c r="B2" s="3" t="s">
        <v>15</v>
      </c>
      <c r="C2" s="3" t="s">
        <v>16</v>
      </c>
      <c r="D2" s="3" t="s">
        <v>15</v>
      </c>
      <c r="E2" s="3" t="s">
        <v>17</v>
      </c>
      <c r="F2" s="4">
        <v>45945</v>
      </c>
      <c r="G2" s="3" t="s">
        <v>18</v>
      </c>
      <c r="H2" s="5">
        <v>64000</v>
      </c>
      <c r="I2" s="3" t="s">
        <v>19</v>
      </c>
      <c r="J2" s="3" t="s">
        <v>20</v>
      </c>
      <c r="K2" s="3" t="s">
        <v>15</v>
      </c>
      <c r="L2" s="3" t="s">
        <v>21</v>
      </c>
      <c r="M2" s="4">
        <v>45966</v>
      </c>
      <c r="N2" s="3" t="s">
        <v>22</v>
      </c>
      <c r="O2" s="3" t="s">
        <v>23</v>
      </c>
      <c r="P2" t="str">
        <f>_xlfn.CONCAT(N2:O2)</f>
        <v>450011066540</v>
      </c>
      <c r="Q2" s="7" cm="1">
        <f t="array" ref="Q2:S2">VLOOKUP(P2,Hoja1!C:F,{2,3,4},FALSE)</f>
        <v>45959</v>
      </c>
      <c r="R2" t="str">
        <v>AGV</v>
      </c>
      <c r="S2" t="str">
        <v>1000007571 SERVICAM REPUESTOS S.R.L.</v>
      </c>
      <c r="T2" t="str">
        <f>VLOOKUP(P2,Hoja2!C:D,2,FALSE)</f>
        <v>MREY</v>
      </c>
    </row>
    <row r="3" spans="1:20" x14ac:dyDescent="0.3">
      <c r="A3" s="2" t="s">
        <v>15</v>
      </c>
      <c r="B3" s="3" t="s">
        <v>15</v>
      </c>
      <c r="C3" s="3" t="s">
        <v>24</v>
      </c>
      <c r="D3" s="3" t="s">
        <v>25</v>
      </c>
      <c r="E3" s="3" t="s">
        <v>17</v>
      </c>
      <c r="F3" s="4">
        <v>46104</v>
      </c>
      <c r="G3" s="3" t="s">
        <v>18</v>
      </c>
      <c r="H3" s="5">
        <v>127627.5</v>
      </c>
      <c r="I3" s="3" t="s">
        <v>19</v>
      </c>
      <c r="J3" s="3" t="s">
        <v>20</v>
      </c>
      <c r="K3" s="3" t="s">
        <v>15</v>
      </c>
      <c r="L3" s="3" t="s">
        <v>26</v>
      </c>
      <c r="M3" s="4">
        <v>46104</v>
      </c>
      <c r="N3" s="3" t="s">
        <v>27</v>
      </c>
      <c r="O3" s="3" t="s">
        <v>28</v>
      </c>
      <c r="P3" t="str">
        <f t="shared" ref="P3:P66" si="0">_xlfn.CONCAT(N3:O3)</f>
        <v>450012307220</v>
      </c>
      <c r="Q3" s="7" cm="1">
        <f t="array" ref="Q3:S3">VLOOKUP(P3,Hoja1!C:F,{2,3,4},FALSE)</f>
        <v>46108</v>
      </c>
      <c r="R3" t="str">
        <v>C27</v>
      </c>
      <c r="S3" t="str">
        <v>1000007460 ORESTE ENRIQUE FIORI S.R.L.</v>
      </c>
      <c r="T3" t="str">
        <f>VLOOKUP(P3,Hoja2!C:D,2,FALSE)</f>
        <v>JESPARZA</v>
      </c>
    </row>
    <row r="4" spans="1:20" x14ac:dyDescent="0.3">
      <c r="A4" s="2" t="s">
        <v>15</v>
      </c>
      <c r="B4" s="3" t="s">
        <v>15</v>
      </c>
      <c r="C4" s="3" t="s">
        <v>29</v>
      </c>
      <c r="D4" s="3" t="s">
        <v>25</v>
      </c>
      <c r="E4" s="3" t="s">
        <v>17</v>
      </c>
      <c r="F4" s="4">
        <v>46112</v>
      </c>
      <c r="G4" s="3" t="s">
        <v>18</v>
      </c>
      <c r="H4" s="5">
        <v>230199.23</v>
      </c>
      <c r="I4" s="3" t="s">
        <v>19</v>
      </c>
      <c r="J4" s="3" t="s">
        <v>20</v>
      </c>
      <c r="K4" s="3" t="s">
        <v>15</v>
      </c>
      <c r="L4" s="3" t="s">
        <v>30</v>
      </c>
      <c r="M4" s="4">
        <v>46113</v>
      </c>
      <c r="N4" s="3" t="s">
        <v>31</v>
      </c>
      <c r="O4" s="3" t="s">
        <v>32</v>
      </c>
      <c r="P4" t="str">
        <f t="shared" si="0"/>
        <v>450010411610</v>
      </c>
      <c r="Q4" s="7" cm="1">
        <f t="array" ref="Q4:S4">VLOOKUP(P4,Hoja1!C:F,{2,3,4},FALSE)</f>
        <v>46387</v>
      </c>
      <c r="R4" t="str">
        <v>C04</v>
      </c>
      <c r="S4" t="str">
        <v>1000003545 SCANIA ARGENTINA S A</v>
      </c>
      <c r="T4" t="str">
        <f>VLOOKUP(P4,Hoja2!C:D,2,FALSE)</f>
        <v>EREGALADO</v>
      </c>
    </row>
    <row r="5" spans="1:20" x14ac:dyDescent="0.3">
      <c r="A5" s="2" t="s">
        <v>15</v>
      </c>
      <c r="B5" s="3" t="s">
        <v>15</v>
      </c>
      <c r="C5" s="3" t="s">
        <v>33</v>
      </c>
      <c r="D5" s="3" t="s">
        <v>15</v>
      </c>
      <c r="E5" s="3" t="s">
        <v>17</v>
      </c>
      <c r="F5" s="4">
        <v>45796</v>
      </c>
      <c r="G5" s="3" t="s">
        <v>18</v>
      </c>
      <c r="H5" s="5">
        <v>177224.8</v>
      </c>
      <c r="I5" s="3" t="s">
        <v>19</v>
      </c>
      <c r="J5" s="3" t="s">
        <v>20</v>
      </c>
      <c r="K5" s="3" t="s">
        <v>15</v>
      </c>
      <c r="L5" s="3" t="s">
        <v>34</v>
      </c>
      <c r="M5" s="4">
        <v>45944</v>
      </c>
      <c r="N5" s="3" t="s">
        <v>35</v>
      </c>
      <c r="O5" s="3" t="s">
        <v>32</v>
      </c>
      <c r="P5" t="str">
        <f t="shared" si="0"/>
        <v>450009947610</v>
      </c>
      <c r="Q5" s="7" cm="1">
        <f t="array" ref="Q5:S5">VLOOKUP(P5,Hoja1!C:F,{2,3,4},FALSE)</f>
        <v>45894</v>
      </c>
      <c r="R5" t="str">
        <v>C29</v>
      </c>
      <c r="S5" t="str">
        <v>1000001123 HAULOTTE ARGENTINA S.A.</v>
      </c>
      <c r="T5" t="str">
        <f>VLOOKUP(P5,Hoja2!C:D,2,FALSE)</f>
        <v>RPEREZ</v>
      </c>
    </row>
    <row r="6" spans="1:20" x14ac:dyDescent="0.3">
      <c r="A6" s="2" t="s">
        <v>15</v>
      </c>
      <c r="B6" s="3" t="s">
        <v>15</v>
      </c>
      <c r="C6" s="3" t="s">
        <v>33</v>
      </c>
      <c r="D6" s="3" t="s">
        <v>15</v>
      </c>
      <c r="E6" s="3" t="s">
        <v>17</v>
      </c>
      <c r="F6" s="4">
        <v>45796</v>
      </c>
      <c r="G6" s="3" t="s">
        <v>18</v>
      </c>
      <c r="H6" s="5">
        <v>113946.8</v>
      </c>
      <c r="I6" s="3" t="s">
        <v>19</v>
      </c>
      <c r="J6" s="3" t="s">
        <v>20</v>
      </c>
      <c r="K6" s="3" t="s">
        <v>15</v>
      </c>
      <c r="L6" s="3" t="s">
        <v>34</v>
      </c>
      <c r="M6" s="4">
        <v>45944</v>
      </c>
      <c r="N6" s="3" t="s">
        <v>35</v>
      </c>
      <c r="O6" s="3" t="s">
        <v>28</v>
      </c>
      <c r="P6" t="str">
        <f t="shared" si="0"/>
        <v>450009947620</v>
      </c>
      <c r="Q6" s="7" cm="1">
        <f t="array" ref="Q6:S6">VLOOKUP(P6,Hoja1!C:F,{2,3,4},FALSE)</f>
        <v>45894</v>
      </c>
      <c r="R6" t="str">
        <v>C29</v>
      </c>
      <c r="S6" t="str">
        <v>1000001123 HAULOTTE ARGENTINA S.A.</v>
      </c>
      <c r="T6" t="str">
        <f>VLOOKUP(P6,Hoja2!C:D,2,FALSE)</f>
        <v>RPEREZ</v>
      </c>
    </row>
    <row r="7" spans="1:20" x14ac:dyDescent="0.3">
      <c r="A7" s="2" t="s">
        <v>15</v>
      </c>
      <c r="B7" s="3" t="s">
        <v>15</v>
      </c>
      <c r="C7" s="3" t="s">
        <v>36</v>
      </c>
      <c r="D7" s="3" t="s">
        <v>15</v>
      </c>
      <c r="E7" s="3" t="s">
        <v>17</v>
      </c>
      <c r="F7" s="4">
        <v>45947</v>
      </c>
      <c r="G7" s="3" t="s">
        <v>18</v>
      </c>
      <c r="H7" s="5">
        <v>326812.2</v>
      </c>
      <c r="I7" s="3" t="s">
        <v>19</v>
      </c>
      <c r="J7" s="3" t="s">
        <v>20</v>
      </c>
      <c r="K7" s="3" t="s">
        <v>15</v>
      </c>
      <c r="L7" s="3" t="s">
        <v>37</v>
      </c>
      <c r="M7" s="4">
        <v>45950</v>
      </c>
      <c r="N7" s="3" t="s">
        <v>38</v>
      </c>
      <c r="O7" s="3" t="s">
        <v>39</v>
      </c>
      <c r="P7" t="str">
        <f t="shared" si="0"/>
        <v>4500111062390</v>
      </c>
      <c r="Q7" s="7" cm="1">
        <f t="array" ref="Q7:S7">VLOOKUP(P7,Hoja1!C:F,{2,3,4},FALSE)</f>
        <v>45968</v>
      </c>
      <c r="R7" t="str">
        <v>AGV</v>
      </c>
      <c r="S7" t="str">
        <v>1000012141 BRAMAQ SRL</v>
      </c>
      <c r="T7" t="str">
        <f>VLOOKUP(P7,Hoja2!C:D,2,FALSE)</f>
        <v>MREY</v>
      </c>
    </row>
    <row r="8" spans="1:20" x14ac:dyDescent="0.3">
      <c r="A8" s="2" t="s">
        <v>15</v>
      </c>
      <c r="B8" s="3" t="s">
        <v>15</v>
      </c>
      <c r="C8" s="3" t="s">
        <v>36</v>
      </c>
      <c r="D8" s="3" t="s">
        <v>15</v>
      </c>
      <c r="E8" s="3" t="s">
        <v>17</v>
      </c>
      <c r="F8" s="4">
        <v>45947</v>
      </c>
      <c r="G8" s="3" t="s">
        <v>18</v>
      </c>
      <c r="H8" s="5">
        <v>871499.2</v>
      </c>
      <c r="I8" s="3" t="s">
        <v>19</v>
      </c>
      <c r="J8" s="3" t="s">
        <v>20</v>
      </c>
      <c r="K8" s="3" t="s">
        <v>15</v>
      </c>
      <c r="L8" s="3" t="s">
        <v>37</v>
      </c>
      <c r="M8" s="4">
        <v>45950</v>
      </c>
      <c r="N8" s="3" t="s">
        <v>38</v>
      </c>
      <c r="O8" s="3" t="s">
        <v>40</v>
      </c>
      <c r="P8" t="str">
        <f t="shared" si="0"/>
        <v>4500111062470</v>
      </c>
      <c r="Q8" s="7" cm="1">
        <f t="array" ref="Q8:S8">VLOOKUP(P8,Hoja1!C:F,{2,3,4},FALSE)</f>
        <v>45968</v>
      </c>
      <c r="R8" t="str">
        <v>AGV</v>
      </c>
      <c r="S8" t="str">
        <v>1000012141 BRAMAQ SRL</v>
      </c>
      <c r="T8" t="str">
        <f>VLOOKUP(P8,Hoja2!C:D,2,FALSE)</f>
        <v>MREY</v>
      </c>
    </row>
    <row r="9" spans="1:20" x14ac:dyDescent="0.3">
      <c r="A9" s="2" t="s">
        <v>15</v>
      </c>
      <c r="B9" s="3" t="s">
        <v>15</v>
      </c>
      <c r="C9" s="3" t="s">
        <v>41</v>
      </c>
      <c r="D9" s="3" t="s">
        <v>15</v>
      </c>
      <c r="E9" s="3" t="s">
        <v>17</v>
      </c>
      <c r="F9" s="4">
        <v>45947</v>
      </c>
      <c r="G9" s="3" t="s">
        <v>18</v>
      </c>
      <c r="H9" s="5">
        <v>5763400.5</v>
      </c>
      <c r="I9" s="3" t="s">
        <v>19</v>
      </c>
      <c r="J9" s="3" t="s">
        <v>20</v>
      </c>
      <c r="K9" s="3" t="s">
        <v>15</v>
      </c>
      <c r="L9" s="3" t="s">
        <v>37</v>
      </c>
      <c r="M9" s="4">
        <v>45951</v>
      </c>
      <c r="N9" s="3" t="s">
        <v>42</v>
      </c>
      <c r="O9" s="3" t="s">
        <v>43</v>
      </c>
      <c r="P9" t="str">
        <f t="shared" si="0"/>
        <v>4500111070210</v>
      </c>
      <c r="Q9" s="7" cm="1">
        <f t="array" ref="Q9:S9">VLOOKUP(P9,Hoja1!C:F,{2,3,4},FALSE)</f>
        <v>45971</v>
      </c>
      <c r="R9" t="str">
        <v>AGV</v>
      </c>
      <c r="S9" t="str">
        <v>1000012141 BRAMAQ SRL</v>
      </c>
      <c r="T9" t="str">
        <f>VLOOKUP(P9,Hoja2!C:D,2,FALSE)</f>
        <v>MREY</v>
      </c>
    </row>
    <row r="10" spans="1:20" x14ac:dyDescent="0.3">
      <c r="A10" s="2" t="s">
        <v>15</v>
      </c>
      <c r="B10" s="3" t="s">
        <v>15</v>
      </c>
      <c r="C10" s="3" t="s">
        <v>41</v>
      </c>
      <c r="D10" s="3" t="s">
        <v>15</v>
      </c>
      <c r="E10" s="3" t="s">
        <v>17</v>
      </c>
      <c r="F10" s="4">
        <v>45947</v>
      </c>
      <c r="G10" s="3" t="s">
        <v>18</v>
      </c>
      <c r="H10" s="5">
        <v>421077</v>
      </c>
      <c r="I10" s="3" t="s">
        <v>19</v>
      </c>
      <c r="J10" s="3" t="s">
        <v>20</v>
      </c>
      <c r="K10" s="3" t="s">
        <v>15</v>
      </c>
      <c r="L10" s="3" t="s">
        <v>37</v>
      </c>
      <c r="M10" s="4">
        <v>45951</v>
      </c>
      <c r="N10" s="3" t="s">
        <v>42</v>
      </c>
      <c r="O10" s="3" t="s">
        <v>44</v>
      </c>
      <c r="P10" t="str">
        <f t="shared" si="0"/>
        <v>4500111070220</v>
      </c>
      <c r="Q10" s="7" cm="1">
        <f t="array" ref="Q10:S10">VLOOKUP(P10,Hoja1!C:F,{2,3,4},FALSE)</f>
        <v>45971</v>
      </c>
      <c r="R10" t="str">
        <v>AGV</v>
      </c>
      <c r="S10" t="str">
        <v>1000012141 BRAMAQ SRL</v>
      </c>
      <c r="T10" t="str">
        <f>VLOOKUP(P10,Hoja2!C:D,2,FALSE)</f>
        <v>MREY</v>
      </c>
    </row>
    <row r="11" spans="1:20" x14ac:dyDescent="0.3">
      <c r="A11" s="2" t="s">
        <v>15</v>
      </c>
      <c r="B11" s="3" t="s">
        <v>15</v>
      </c>
      <c r="C11" s="3" t="s">
        <v>45</v>
      </c>
      <c r="D11" s="3" t="s">
        <v>15</v>
      </c>
      <c r="E11" s="3" t="s">
        <v>17</v>
      </c>
      <c r="F11" s="4">
        <v>45915</v>
      </c>
      <c r="G11" s="3" t="s">
        <v>18</v>
      </c>
      <c r="H11" s="5">
        <v>83634.679999999993</v>
      </c>
      <c r="I11" s="3" t="s">
        <v>19</v>
      </c>
      <c r="J11" s="3" t="s">
        <v>20</v>
      </c>
      <c r="K11" s="3" t="s">
        <v>15</v>
      </c>
      <c r="L11" s="3" t="s">
        <v>46</v>
      </c>
      <c r="M11" s="4">
        <v>45951</v>
      </c>
      <c r="N11" s="3" t="s">
        <v>47</v>
      </c>
      <c r="O11" s="3" t="s">
        <v>48</v>
      </c>
      <c r="P11" t="str">
        <f t="shared" si="0"/>
        <v>4500108431490</v>
      </c>
      <c r="Q11" s="7" cm="1">
        <f t="array" ref="Q11:S11">VLOOKUP(P11,Hoja1!C:F,{2,3,4},FALSE)</f>
        <v>45930</v>
      </c>
      <c r="R11" t="str">
        <v>AGV</v>
      </c>
      <c r="S11" t="str">
        <v>1000000572 GRUAS SAN BLAS S.A</v>
      </c>
      <c r="T11" t="str">
        <f>VLOOKUP(P11,Hoja2!C:D,2,FALSE)</f>
        <v>MREY</v>
      </c>
    </row>
    <row r="12" spans="1:20" x14ac:dyDescent="0.3">
      <c r="A12" s="2" t="s">
        <v>15</v>
      </c>
      <c r="B12" s="3" t="s">
        <v>15</v>
      </c>
      <c r="C12" s="3" t="s">
        <v>49</v>
      </c>
      <c r="D12" s="3" t="s">
        <v>25</v>
      </c>
      <c r="E12" s="3" t="s">
        <v>17</v>
      </c>
      <c r="F12" s="4">
        <v>45979</v>
      </c>
      <c r="G12" s="3" t="s">
        <v>50</v>
      </c>
      <c r="H12" s="6">
        <v>-203588.85</v>
      </c>
      <c r="I12" s="3" t="s">
        <v>19</v>
      </c>
      <c r="J12" s="3" t="s">
        <v>20</v>
      </c>
      <c r="K12" s="3" t="s">
        <v>15</v>
      </c>
      <c r="L12" s="3" t="s">
        <v>51</v>
      </c>
      <c r="M12" s="4">
        <v>46134</v>
      </c>
      <c r="N12" s="3" t="s">
        <v>52</v>
      </c>
      <c r="O12" s="3" t="s">
        <v>32</v>
      </c>
      <c r="P12" t="str">
        <f t="shared" si="0"/>
        <v>450011013510</v>
      </c>
      <c r="Q12" s="7" cm="1">
        <f t="array" ref="Q12:S12">VLOOKUP(P12,Hoja1!C:F,{2,3,4},FALSE)</f>
        <v>45954</v>
      </c>
      <c r="R12" t="str">
        <v>C27</v>
      </c>
      <c r="S12" t="str">
        <v>1000007607 TUKUY S.R.L.</v>
      </c>
      <c r="T12" t="str">
        <f>VLOOKUP(P12,Hoja2!C:D,2,FALSE)</f>
        <v>JESPARZA</v>
      </c>
    </row>
    <row r="13" spans="1:20" x14ac:dyDescent="0.3">
      <c r="A13" s="2" t="s">
        <v>15</v>
      </c>
      <c r="B13" s="3" t="s">
        <v>15</v>
      </c>
      <c r="C13" s="3" t="s">
        <v>49</v>
      </c>
      <c r="D13" s="3" t="s">
        <v>25</v>
      </c>
      <c r="E13" s="3" t="s">
        <v>17</v>
      </c>
      <c r="F13" s="4">
        <v>45979</v>
      </c>
      <c r="G13" s="3" t="s">
        <v>50</v>
      </c>
      <c r="H13" s="6">
        <v>-366644</v>
      </c>
      <c r="I13" s="3" t="s">
        <v>19</v>
      </c>
      <c r="J13" s="3" t="s">
        <v>20</v>
      </c>
      <c r="K13" s="3" t="s">
        <v>15</v>
      </c>
      <c r="L13" s="3" t="s">
        <v>51</v>
      </c>
      <c r="M13" s="4">
        <v>46134</v>
      </c>
      <c r="N13" s="3" t="s">
        <v>52</v>
      </c>
      <c r="O13" s="3" t="s">
        <v>28</v>
      </c>
      <c r="P13" t="str">
        <f t="shared" si="0"/>
        <v>450011013520</v>
      </c>
      <c r="Q13" s="7" cm="1">
        <f t="array" ref="Q13:S13">VLOOKUP(P13,Hoja1!C:F,{2,3,4},FALSE)</f>
        <v>45959</v>
      </c>
      <c r="R13" t="str">
        <v>C27</v>
      </c>
      <c r="S13" t="str">
        <v>1000007607 TUKUY S.R.L.</v>
      </c>
      <c r="T13" t="str">
        <f>VLOOKUP(P13,Hoja2!C:D,2,FALSE)</f>
        <v>JESPARZA</v>
      </c>
    </row>
    <row r="14" spans="1:20" x14ac:dyDescent="0.3">
      <c r="A14" s="2" t="s">
        <v>15</v>
      </c>
      <c r="B14" s="3" t="s">
        <v>15</v>
      </c>
      <c r="C14" s="3" t="s">
        <v>56</v>
      </c>
      <c r="D14" s="3" t="s">
        <v>25</v>
      </c>
      <c r="E14" s="3" t="s">
        <v>17</v>
      </c>
      <c r="F14" s="4">
        <v>46233</v>
      </c>
      <c r="G14" s="3" t="s">
        <v>18</v>
      </c>
      <c r="H14" s="5">
        <v>366250</v>
      </c>
      <c r="I14" s="3" t="s">
        <v>19</v>
      </c>
      <c r="J14" s="3" t="s">
        <v>20</v>
      </c>
      <c r="K14" s="3" t="s">
        <v>15</v>
      </c>
      <c r="L14" s="3" t="s">
        <v>57</v>
      </c>
      <c r="M14" s="4">
        <v>46276</v>
      </c>
      <c r="N14" s="3" t="s">
        <v>58</v>
      </c>
      <c r="O14" s="3" t="s">
        <v>23</v>
      </c>
      <c r="P14" t="str">
        <f t="shared" si="0"/>
        <v>450012757340</v>
      </c>
      <c r="Q14" s="7" cm="1">
        <f t="array" ref="Q14:S14">VLOOKUP(P14,Hoja1!C:F,{2,3,4},FALSE)</f>
        <v>46537</v>
      </c>
      <c r="R14" t="str">
        <v>C25</v>
      </c>
      <c r="S14" t="str">
        <v>1000002283 TECNICA Y SISTEMAS SRL</v>
      </c>
      <c r="T14" t="str">
        <f>VLOOKUP(P14,Hoja2!C:D,2,FALSE)</f>
        <v>MPITTIA</v>
      </c>
    </row>
    <row r="15" spans="1:20" x14ac:dyDescent="0.3">
      <c r="A15" s="2" t="s">
        <v>15</v>
      </c>
      <c r="B15" s="3" t="s">
        <v>15</v>
      </c>
      <c r="C15" s="3" t="s">
        <v>59</v>
      </c>
      <c r="D15" s="3" t="s">
        <v>25</v>
      </c>
      <c r="E15" s="3" t="s">
        <v>17</v>
      </c>
      <c r="F15" s="4">
        <v>46266</v>
      </c>
      <c r="G15" s="3" t="s">
        <v>18</v>
      </c>
      <c r="H15" s="5">
        <v>2005750</v>
      </c>
      <c r="I15" s="3" t="s">
        <v>19</v>
      </c>
      <c r="J15" s="3" t="s">
        <v>20</v>
      </c>
      <c r="K15" s="3" t="s">
        <v>15</v>
      </c>
      <c r="L15" s="3" t="s">
        <v>57</v>
      </c>
      <c r="M15" s="4">
        <v>46276</v>
      </c>
      <c r="N15" s="3" t="s">
        <v>58</v>
      </c>
      <c r="O15" s="3" t="s">
        <v>23</v>
      </c>
      <c r="P15" t="str">
        <f t="shared" si="0"/>
        <v>450012757340</v>
      </c>
      <c r="Q15" s="7" cm="1">
        <f t="array" ref="Q15:S15">VLOOKUP(P15,Hoja1!C:F,{2,3,4},FALSE)</f>
        <v>46537</v>
      </c>
      <c r="R15" t="str">
        <v>C25</v>
      </c>
      <c r="S15" t="str">
        <v>1000002283 TECNICA Y SISTEMAS SRL</v>
      </c>
      <c r="T15" t="str">
        <f>VLOOKUP(P15,Hoja2!C:D,2,FALSE)</f>
        <v>MPITTIA</v>
      </c>
    </row>
    <row r="16" spans="1:20" x14ac:dyDescent="0.3">
      <c r="A16" s="2" t="s">
        <v>15</v>
      </c>
      <c r="B16" s="3" t="s">
        <v>15</v>
      </c>
      <c r="C16" s="3" t="s">
        <v>60</v>
      </c>
      <c r="D16" s="3" t="s">
        <v>25</v>
      </c>
      <c r="E16" s="3" t="s">
        <v>17</v>
      </c>
      <c r="F16" s="4">
        <v>46266</v>
      </c>
      <c r="G16" s="3" t="s">
        <v>18</v>
      </c>
      <c r="H16" s="5">
        <v>866500</v>
      </c>
      <c r="I16" s="3" t="s">
        <v>19</v>
      </c>
      <c r="J16" s="3" t="s">
        <v>20</v>
      </c>
      <c r="K16" s="3" t="s">
        <v>15</v>
      </c>
      <c r="L16" s="3" t="s">
        <v>57</v>
      </c>
      <c r="M16" s="4">
        <v>46276</v>
      </c>
      <c r="N16" s="3" t="s">
        <v>58</v>
      </c>
      <c r="O16" s="3" t="s">
        <v>23</v>
      </c>
      <c r="P16" t="str">
        <f t="shared" si="0"/>
        <v>450012757340</v>
      </c>
      <c r="Q16" s="7" cm="1">
        <f t="array" ref="Q16:S16">VLOOKUP(P16,Hoja1!C:F,{2,3,4},FALSE)</f>
        <v>46537</v>
      </c>
      <c r="R16" t="str">
        <v>C25</v>
      </c>
      <c r="S16" t="str">
        <v>1000002283 TECNICA Y SISTEMAS SRL</v>
      </c>
      <c r="T16" t="str">
        <f>VLOOKUP(P16,Hoja2!C:D,2,FALSE)</f>
        <v>MPITTIA</v>
      </c>
    </row>
    <row r="17" spans="1:20" x14ac:dyDescent="0.3">
      <c r="A17" s="2" t="s">
        <v>15</v>
      </c>
      <c r="B17" s="3" t="s">
        <v>15</v>
      </c>
      <c r="C17" s="3" t="s">
        <v>61</v>
      </c>
      <c r="D17" s="3" t="s">
        <v>15</v>
      </c>
      <c r="E17" s="3" t="s">
        <v>17</v>
      </c>
      <c r="F17" s="4">
        <v>46254</v>
      </c>
      <c r="G17" s="3" t="s">
        <v>50</v>
      </c>
      <c r="H17" s="6">
        <v>-580743.80000000005</v>
      </c>
      <c r="I17" s="3" t="s">
        <v>19</v>
      </c>
      <c r="J17" s="3" t="s">
        <v>20</v>
      </c>
      <c r="K17" s="3" t="s">
        <v>15</v>
      </c>
      <c r="L17" s="3" t="s">
        <v>62</v>
      </c>
      <c r="M17" s="4">
        <v>46272</v>
      </c>
      <c r="N17" s="3" t="s">
        <v>63</v>
      </c>
      <c r="O17" s="3" t="s">
        <v>32</v>
      </c>
      <c r="P17" t="str">
        <f t="shared" si="0"/>
        <v>450013630410</v>
      </c>
      <c r="Q17" s="7" cm="1">
        <f t="array" ref="Q17:S17">VLOOKUP(P17,Hoja1!C:F,{2,3,4},FALSE)</f>
        <v>46258</v>
      </c>
      <c r="R17" t="str">
        <v>C35</v>
      </c>
      <c r="S17" t="str">
        <v>1000000566 AUTOLUX SA</v>
      </c>
      <c r="T17" t="str">
        <f>VLOOKUP(P17,Hoja2!C:D,2,FALSE)</f>
        <v>FSOTO</v>
      </c>
    </row>
    <row r="18" spans="1:20" x14ac:dyDescent="0.3">
      <c r="A18" s="2" t="s">
        <v>15</v>
      </c>
      <c r="B18" s="3" t="s">
        <v>15</v>
      </c>
      <c r="C18" s="3" t="s">
        <v>117</v>
      </c>
      <c r="D18" s="3" t="s">
        <v>15</v>
      </c>
      <c r="E18" s="3" t="s">
        <v>17</v>
      </c>
      <c r="F18" s="4">
        <v>46276</v>
      </c>
      <c r="G18" s="3" t="s">
        <v>18</v>
      </c>
      <c r="H18" s="5">
        <v>67800.28</v>
      </c>
      <c r="I18" s="3" t="s">
        <v>19</v>
      </c>
      <c r="J18" s="3" t="s">
        <v>20</v>
      </c>
      <c r="K18" s="3" t="s">
        <v>15</v>
      </c>
      <c r="L18" s="3" t="s">
        <v>118</v>
      </c>
      <c r="M18" s="4">
        <v>46296</v>
      </c>
      <c r="N18" s="3" t="s">
        <v>119</v>
      </c>
      <c r="O18" s="3" t="s">
        <v>55</v>
      </c>
      <c r="P18" t="str">
        <f t="shared" si="0"/>
        <v>450013502150</v>
      </c>
      <c r="Q18" s="7" cm="1">
        <f t="array" ref="Q18:S18">VLOOKUP(P18,Hoja1!C:F,{2,3,4},FALSE)</f>
        <v>46279</v>
      </c>
      <c r="R18" t="str">
        <v>C03</v>
      </c>
      <c r="S18" t="str">
        <v>1000001470 SUDAMERICANA CAMIONES SA</v>
      </c>
      <c r="T18" t="str">
        <f>VLOOKUP(P18,Hoja2!C:D,2,FALSE)</f>
        <v>FBERARDO</v>
      </c>
    </row>
    <row r="19" spans="1:20" x14ac:dyDescent="0.3">
      <c r="A19" s="2" t="s">
        <v>15</v>
      </c>
      <c r="B19" s="3" t="s">
        <v>15</v>
      </c>
      <c r="C19" s="3" t="s">
        <v>136</v>
      </c>
      <c r="D19" s="3" t="s">
        <v>25</v>
      </c>
      <c r="E19" s="3" t="s">
        <v>17</v>
      </c>
      <c r="F19" s="4">
        <v>46296</v>
      </c>
      <c r="G19" s="3" t="s">
        <v>18</v>
      </c>
      <c r="H19" s="5">
        <v>20661.2</v>
      </c>
      <c r="I19" s="3" t="s">
        <v>19</v>
      </c>
      <c r="J19" s="3" t="s">
        <v>20</v>
      </c>
      <c r="K19" s="3" t="s">
        <v>15</v>
      </c>
      <c r="L19" s="3" t="s">
        <v>137</v>
      </c>
      <c r="M19" s="4">
        <v>46296</v>
      </c>
      <c r="N19" s="3" t="s">
        <v>138</v>
      </c>
      <c r="O19" s="3" t="s">
        <v>54</v>
      </c>
      <c r="P19" t="str">
        <f t="shared" si="0"/>
        <v>450013988430</v>
      </c>
      <c r="Q19" s="7" cm="1">
        <f t="array" ref="Q19:S19">VLOOKUP(P19,Hoja1!C:F,{2,3,4},FALSE)</f>
        <v>46300</v>
      </c>
      <c r="R19" t="str">
        <v>C35</v>
      </c>
      <c r="S19" t="str">
        <v>1000010363 SERGOMINT S.R.L.</v>
      </c>
      <c r="T19" t="str">
        <f>VLOOKUP(P19,Hoja2!C:D,2,FALSE)</f>
        <v>FSOTO</v>
      </c>
    </row>
    <row r="20" spans="1:20" x14ac:dyDescent="0.3">
      <c r="A20" s="2" t="s">
        <v>15</v>
      </c>
      <c r="B20" s="3" t="s">
        <v>15</v>
      </c>
      <c r="C20" s="3" t="s">
        <v>136</v>
      </c>
      <c r="D20" s="3" t="s">
        <v>25</v>
      </c>
      <c r="E20" s="3" t="s">
        <v>17</v>
      </c>
      <c r="F20" s="4">
        <v>46296</v>
      </c>
      <c r="G20" s="3" t="s">
        <v>18</v>
      </c>
      <c r="H20" s="5">
        <v>92727.360000000001</v>
      </c>
      <c r="I20" s="3" t="s">
        <v>19</v>
      </c>
      <c r="J20" s="3" t="s">
        <v>20</v>
      </c>
      <c r="K20" s="3" t="s">
        <v>15</v>
      </c>
      <c r="L20" s="3" t="s">
        <v>137</v>
      </c>
      <c r="M20" s="4">
        <v>46296</v>
      </c>
      <c r="N20" s="3" t="s">
        <v>138</v>
      </c>
      <c r="O20" s="3" t="s">
        <v>23</v>
      </c>
      <c r="P20" t="str">
        <f t="shared" si="0"/>
        <v>450013988440</v>
      </c>
      <c r="Q20" s="7" cm="1">
        <f t="array" ref="Q20:S20">VLOOKUP(P20,Hoja1!C:F,{2,3,4},FALSE)</f>
        <v>46300</v>
      </c>
      <c r="R20" t="str">
        <v>C35</v>
      </c>
      <c r="S20" t="str">
        <v>1000010363 SERGOMINT S.R.L.</v>
      </c>
      <c r="T20" t="str">
        <f>VLOOKUP(P20,Hoja2!C:D,2,FALSE)</f>
        <v>FSOTO</v>
      </c>
    </row>
    <row r="21" spans="1:20" x14ac:dyDescent="0.3">
      <c r="A21" s="2" t="s">
        <v>15</v>
      </c>
      <c r="B21" s="3" t="s">
        <v>15</v>
      </c>
      <c r="C21" s="3" t="s">
        <v>136</v>
      </c>
      <c r="D21" s="3" t="s">
        <v>25</v>
      </c>
      <c r="E21" s="3" t="s">
        <v>17</v>
      </c>
      <c r="F21" s="4">
        <v>46296</v>
      </c>
      <c r="G21" s="3" t="s">
        <v>18</v>
      </c>
      <c r="H21" s="5">
        <v>144628</v>
      </c>
      <c r="I21" s="3" t="s">
        <v>19</v>
      </c>
      <c r="J21" s="3" t="s">
        <v>20</v>
      </c>
      <c r="K21" s="3" t="s">
        <v>15</v>
      </c>
      <c r="L21" s="3" t="s">
        <v>137</v>
      </c>
      <c r="M21" s="4">
        <v>46296</v>
      </c>
      <c r="N21" s="3" t="s">
        <v>138</v>
      </c>
      <c r="O21" s="3" t="s">
        <v>55</v>
      </c>
      <c r="P21" t="str">
        <f t="shared" si="0"/>
        <v>450013988450</v>
      </c>
      <c r="Q21" s="7" cm="1">
        <f t="array" ref="Q21:S21">VLOOKUP(P21,Hoja1!C:F,{2,3,4},FALSE)</f>
        <v>46300</v>
      </c>
      <c r="R21" t="str">
        <v>C35</v>
      </c>
      <c r="S21" t="str">
        <v>1000010363 SERGOMINT S.R.L.</v>
      </c>
      <c r="T21" t="str">
        <f>VLOOKUP(P21,Hoja2!C:D,2,FALSE)</f>
        <v>FSOTO</v>
      </c>
    </row>
    <row r="22" spans="1:20" x14ac:dyDescent="0.3">
      <c r="A22" s="2" t="s">
        <v>15</v>
      </c>
      <c r="B22" s="3" t="s">
        <v>15</v>
      </c>
      <c r="C22" s="3" t="s">
        <v>848</v>
      </c>
      <c r="D22" s="3" t="s">
        <v>25</v>
      </c>
      <c r="E22" s="3" t="s">
        <v>17</v>
      </c>
      <c r="F22" s="4">
        <v>46245</v>
      </c>
      <c r="G22" s="3" t="s">
        <v>18</v>
      </c>
      <c r="H22" s="5">
        <v>295500</v>
      </c>
      <c r="I22" s="3" t="s">
        <v>19</v>
      </c>
      <c r="J22" s="3" t="s">
        <v>20</v>
      </c>
      <c r="K22" s="3" t="s">
        <v>15</v>
      </c>
      <c r="L22" s="3" t="s">
        <v>548</v>
      </c>
      <c r="M22" s="4">
        <v>46298</v>
      </c>
      <c r="N22" s="3" t="s">
        <v>549</v>
      </c>
      <c r="O22" s="3" t="s">
        <v>32</v>
      </c>
      <c r="P22" t="str">
        <f t="shared" si="0"/>
        <v>450014012810</v>
      </c>
      <c r="Q22" s="7" cm="1">
        <f t="array" ref="Q22:S22">VLOOKUP(P22,Hoja1!C:F,{2,3,4},FALSE)</f>
        <v>46311</v>
      </c>
      <c r="R22" t="str">
        <v>C01</v>
      </c>
      <c r="S22" t="str">
        <v>1000007510 LABTEC S. R. L.</v>
      </c>
      <c r="T22" t="str">
        <f>VLOOKUP(P22,Hoja2!C:D,2,FALSE)</f>
        <v>MFALERO</v>
      </c>
    </row>
    <row r="23" spans="1:20" x14ac:dyDescent="0.3">
      <c r="A23" s="2" t="s">
        <v>15</v>
      </c>
      <c r="B23" s="3" t="s">
        <v>15</v>
      </c>
      <c r="C23" s="3" t="s">
        <v>849</v>
      </c>
      <c r="D23" s="3" t="s">
        <v>25</v>
      </c>
      <c r="E23" s="3" t="s">
        <v>17</v>
      </c>
      <c r="F23" s="4">
        <v>46276</v>
      </c>
      <c r="G23" s="3" t="s">
        <v>18</v>
      </c>
      <c r="H23" s="5">
        <v>407500</v>
      </c>
      <c r="I23" s="3" t="s">
        <v>19</v>
      </c>
      <c r="J23" s="3" t="s">
        <v>20</v>
      </c>
      <c r="K23" s="3" t="s">
        <v>15</v>
      </c>
      <c r="L23" s="3" t="s">
        <v>548</v>
      </c>
      <c r="M23" s="4">
        <v>46298</v>
      </c>
      <c r="N23" s="3" t="s">
        <v>549</v>
      </c>
      <c r="O23" s="3" t="s">
        <v>28</v>
      </c>
      <c r="P23" t="str">
        <f t="shared" si="0"/>
        <v>450014012820</v>
      </c>
      <c r="Q23" s="7" cm="1">
        <f t="array" ref="Q23:S23">VLOOKUP(P23,Hoja1!C:F,{2,3,4},FALSE)</f>
        <v>46311</v>
      </c>
      <c r="R23" t="str">
        <v>C01</v>
      </c>
      <c r="S23" t="str">
        <v>1000007510 LABTEC S. R. L.</v>
      </c>
      <c r="T23" t="str">
        <f>VLOOKUP(P23,Hoja2!C:D,2,FALSE)</f>
        <v>MFALERO</v>
      </c>
    </row>
    <row r="24" spans="1:20" x14ac:dyDescent="0.3">
      <c r="A24" s="2" t="s">
        <v>15</v>
      </c>
      <c r="B24" s="3" t="s">
        <v>15</v>
      </c>
      <c r="C24" s="3" t="s">
        <v>850</v>
      </c>
      <c r="D24" s="3" t="s">
        <v>15</v>
      </c>
      <c r="E24" s="3" t="s">
        <v>17</v>
      </c>
      <c r="F24" s="4">
        <v>46286</v>
      </c>
      <c r="G24" s="3" t="s">
        <v>18</v>
      </c>
      <c r="H24" s="5">
        <v>818298</v>
      </c>
      <c r="I24" s="3" t="s">
        <v>19</v>
      </c>
      <c r="J24" s="3" t="s">
        <v>20</v>
      </c>
      <c r="K24" s="3" t="s">
        <v>15</v>
      </c>
      <c r="L24" s="3" t="s">
        <v>70</v>
      </c>
      <c r="M24" s="4">
        <v>46298</v>
      </c>
      <c r="N24" s="3" t="s">
        <v>478</v>
      </c>
      <c r="O24" s="3" t="s">
        <v>32</v>
      </c>
      <c r="P24" t="str">
        <f t="shared" si="0"/>
        <v>450013875010</v>
      </c>
      <c r="Q24" s="7" cm="1">
        <f t="array" ref="Q24:S24">VLOOKUP(P24,Hoja1!C:F,{2,3,4},FALSE)</f>
        <v>46286</v>
      </c>
      <c r="R24" t="str">
        <v>C35</v>
      </c>
      <c r="S24" t="str">
        <v>1000011519 SALLAGO FEDERICO MIGUEL</v>
      </c>
      <c r="T24" t="str">
        <f>VLOOKUP(P24,Hoja2!C:D,2,FALSE)</f>
        <v>FSOTO</v>
      </c>
    </row>
    <row r="25" spans="1:20" x14ac:dyDescent="0.3">
      <c r="A25" s="2" t="s">
        <v>15</v>
      </c>
      <c r="B25" s="3" t="s">
        <v>15</v>
      </c>
      <c r="C25" s="3" t="s">
        <v>851</v>
      </c>
      <c r="D25" s="3" t="s">
        <v>25</v>
      </c>
      <c r="E25" s="3" t="s">
        <v>17</v>
      </c>
      <c r="F25" s="4">
        <v>46297</v>
      </c>
      <c r="G25" s="3" t="s">
        <v>18</v>
      </c>
      <c r="H25" s="5">
        <v>638986</v>
      </c>
      <c r="I25" s="3" t="s">
        <v>19</v>
      </c>
      <c r="J25" s="3" t="s">
        <v>20</v>
      </c>
      <c r="K25" s="3" t="s">
        <v>15</v>
      </c>
      <c r="L25" s="3" t="s">
        <v>513</v>
      </c>
      <c r="M25" s="4">
        <v>46298</v>
      </c>
      <c r="N25" s="3" t="s">
        <v>514</v>
      </c>
      <c r="O25" s="3" t="s">
        <v>32</v>
      </c>
      <c r="P25" t="str">
        <f t="shared" si="0"/>
        <v>450013958810</v>
      </c>
      <c r="Q25" s="7" cm="1">
        <f t="array" ref="Q25:S25">VLOOKUP(P25,Hoja1!C:F,{2,3,4},FALSE)</f>
        <v>46297</v>
      </c>
      <c r="R25" t="str">
        <v>C35</v>
      </c>
      <c r="S25" t="str">
        <v>1000002751 WORKLIFT SA</v>
      </c>
      <c r="T25" t="str">
        <f>VLOOKUP(P25,Hoja2!C:D,2,FALSE)</f>
        <v>FSOTO</v>
      </c>
    </row>
    <row r="26" spans="1:20" x14ac:dyDescent="0.3">
      <c r="A26" s="2" t="s">
        <v>15</v>
      </c>
      <c r="B26" s="3" t="s">
        <v>15</v>
      </c>
      <c r="C26" s="3" t="s">
        <v>851</v>
      </c>
      <c r="D26" s="3" t="s">
        <v>25</v>
      </c>
      <c r="E26" s="3" t="s">
        <v>17</v>
      </c>
      <c r="F26" s="4">
        <v>46297</v>
      </c>
      <c r="G26" s="3" t="s">
        <v>18</v>
      </c>
      <c r="H26" s="5">
        <v>130000</v>
      </c>
      <c r="I26" s="3" t="s">
        <v>19</v>
      </c>
      <c r="J26" s="3" t="s">
        <v>20</v>
      </c>
      <c r="K26" s="3" t="s">
        <v>15</v>
      </c>
      <c r="L26" s="3" t="s">
        <v>513</v>
      </c>
      <c r="M26" s="4">
        <v>46298</v>
      </c>
      <c r="N26" s="3" t="s">
        <v>514</v>
      </c>
      <c r="O26" s="3" t="s">
        <v>28</v>
      </c>
      <c r="P26" t="str">
        <f t="shared" si="0"/>
        <v>450013958820</v>
      </c>
      <c r="Q26" s="7" cm="1">
        <f t="array" ref="Q26:S26">VLOOKUP(P26,Hoja1!C:F,{2,3,4},FALSE)</f>
        <v>46297</v>
      </c>
      <c r="R26" t="str">
        <v>C35</v>
      </c>
      <c r="S26" t="str">
        <v>1000002751 WORKLIFT SA</v>
      </c>
      <c r="T26" t="str">
        <f>VLOOKUP(P26,Hoja2!C:D,2,FALSE)</f>
        <v>FSOTO</v>
      </c>
    </row>
    <row r="27" spans="1:20" x14ac:dyDescent="0.3">
      <c r="A27" s="2" t="s">
        <v>15</v>
      </c>
      <c r="B27" s="3" t="s">
        <v>15</v>
      </c>
      <c r="C27" s="3" t="s">
        <v>852</v>
      </c>
      <c r="D27" s="3" t="s">
        <v>15</v>
      </c>
      <c r="E27" s="3" t="s">
        <v>17</v>
      </c>
      <c r="F27" s="4">
        <v>46296</v>
      </c>
      <c r="G27" s="3" t="s">
        <v>18</v>
      </c>
      <c r="H27" s="5">
        <v>1817084.5</v>
      </c>
      <c r="I27" s="3" t="s">
        <v>19</v>
      </c>
      <c r="J27" s="3" t="s">
        <v>20</v>
      </c>
      <c r="K27" s="3" t="s">
        <v>15</v>
      </c>
      <c r="L27" s="3" t="s">
        <v>70</v>
      </c>
      <c r="M27" s="4">
        <v>46298</v>
      </c>
      <c r="N27" s="3" t="s">
        <v>565</v>
      </c>
      <c r="O27" s="3" t="s">
        <v>32</v>
      </c>
      <c r="P27" t="str">
        <f t="shared" si="0"/>
        <v>450013877210</v>
      </c>
      <c r="Q27" s="7" cm="1">
        <f t="array" ref="Q27:S27">VLOOKUP(P27,Hoja1!C:F,{2,3,4},FALSE)</f>
        <v>46288</v>
      </c>
      <c r="R27" t="str">
        <v>C35</v>
      </c>
      <c r="S27" t="str">
        <v>1000011519 SALLAGO FEDERICO MIGUEL</v>
      </c>
      <c r="T27" t="str">
        <f>VLOOKUP(P27,Hoja2!C:D,2,FALSE)</f>
        <v>FSOTO</v>
      </c>
    </row>
    <row r="28" spans="1:20" x14ac:dyDescent="0.3">
      <c r="A28" s="2" t="s">
        <v>15</v>
      </c>
      <c r="B28" s="3" t="s">
        <v>15</v>
      </c>
      <c r="C28" s="3" t="s">
        <v>853</v>
      </c>
      <c r="D28" s="3" t="s">
        <v>25</v>
      </c>
      <c r="E28" s="3" t="s">
        <v>17</v>
      </c>
      <c r="F28" s="4">
        <v>46291</v>
      </c>
      <c r="G28" s="3" t="s">
        <v>18</v>
      </c>
      <c r="H28" s="5">
        <v>37190</v>
      </c>
      <c r="I28" s="3" t="s">
        <v>19</v>
      </c>
      <c r="J28" s="3" t="s">
        <v>20</v>
      </c>
      <c r="K28" s="3" t="s">
        <v>15</v>
      </c>
      <c r="L28" s="3" t="s">
        <v>560</v>
      </c>
      <c r="M28" s="4">
        <v>46300</v>
      </c>
      <c r="N28" s="3" t="s">
        <v>561</v>
      </c>
      <c r="O28" s="3" t="s">
        <v>32</v>
      </c>
      <c r="P28" t="str">
        <f t="shared" si="0"/>
        <v>450013958610</v>
      </c>
      <c r="Q28" s="7" cm="1">
        <f t="array" ref="Q28:S28">VLOOKUP(P28,Hoja1!C:F,{2,3,4},FALSE)</f>
        <v>46294</v>
      </c>
      <c r="R28" t="str">
        <v>C35</v>
      </c>
      <c r="S28" t="str">
        <v>1000006352 SUAREZ BASALO RICARDO FEDERICO</v>
      </c>
      <c r="T28" t="str">
        <f>VLOOKUP(P28,Hoja2!C:D,2,FALSE)</f>
        <v>FSOTO</v>
      </c>
    </row>
    <row r="29" spans="1:20" x14ac:dyDescent="0.3">
      <c r="A29" s="2" t="s">
        <v>15</v>
      </c>
      <c r="B29" s="3" t="s">
        <v>15</v>
      </c>
      <c r="C29" s="3" t="s">
        <v>147</v>
      </c>
      <c r="D29" s="3" t="s">
        <v>25</v>
      </c>
      <c r="E29" s="3" t="s">
        <v>17</v>
      </c>
      <c r="F29" s="4">
        <v>46290</v>
      </c>
      <c r="G29" s="3" t="s">
        <v>50</v>
      </c>
      <c r="H29" s="6">
        <v>-1257000</v>
      </c>
      <c r="I29" s="3" t="s">
        <v>19</v>
      </c>
      <c r="J29" s="3" t="s">
        <v>20</v>
      </c>
      <c r="K29" s="3" t="s">
        <v>15</v>
      </c>
      <c r="L29" s="3" t="s">
        <v>139</v>
      </c>
      <c r="M29" s="4">
        <v>46296</v>
      </c>
      <c r="N29" s="3" t="s">
        <v>140</v>
      </c>
      <c r="O29" s="3" t="s">
        <v>32</v>
      </c>
      <c r="P29" t="str">
        <f t="shared" si="0"/>
        <v>450013813510</v>
      </c>
      <c r="Q29" s="7" cm="1">
        <f t="array" ref="Q29:S29">VLOOKUP(P29,Hoja1!C:F,{2,3,4},FALSE)</f>
        <v>46285</v>
      </c>
      <c r="R29" t="str">
        <v>C27</v>
      </c>
      <c r="S29" t="str">
        <v>1000000086 SUMIAGRO SANTA FE S.A.</v>
      </c>
      <c r="T29" t="str">
        <f>VLOOKUP(P29,Hoja2!C:D,2,FALSE)</f>
        <v>PRODRIGUEZ</v>
      </c>
    </row>
    <row r="30" spans="1:20" x14ac:dyDescent="0.3">
      <c r="A30" s="2" t="s">
        <v>15</v>
      </c>
      <c r="B30" s="3" t="s">
        <v>15</v>
      </c>
      <c r="C30" s="3" t="s">
        <v>147</v>
      </c>
      <c r="D30" s="3" t="s">
        <v>25</v>
      </c>
      <c r="E30" s="3" t="s">
        <v>17</v>
      </c>
      <c r="F30" s="4">
        <v>46290</v>
      </c>
      <c r="G30" s="3" t="s">
        <v>50</v>
      </c>
      <c r="H30" s="6">
        <v>-2474000</v>
      </c>
      <c r="I30" s="3" t="s">
        <v>19</v>
      </c>
      <c r="J30" s="3" t="s">
        <v>20</v>
      </c>
      <c r="K30" s="3" t="s">
        <v>15</v>
      </c>
      <c r="L30" s="3" t="s">
        <v>139</v>
      </c>
      <c r="M30" s="4">
        <v>46296</v>
      </c>
      <c r="N30" s="3" t="s">
        <v>140</v>
      </c>
      <c r="O30" s="3" t="s">
        <v>28</v>
      </c>
      <c r="P30" t="str">
        <f t="shared" si="0"/>
        <v>450013813520</v>
      </c>
      <c r="Q30" s="7" cm="1">
        <f t="array" ref="Q30:S30">VLOOKUP(P30,Hoja1!C:F,{2,3,4},FALSE)</f>
        <v>46285</v>
      </c>
      <c r="R30" t="str">
        <v>C27</v>
      </c>
      <c r="S30" t="str">
        <v>1000000086 SUMIAGRO SANTA FE S.A.</v>
      </c>
      <c r="T30" t="str">
        <f>VLOOKUP(P30,Hoja2!C:D,2,FALSE)</f>
        <v>PRODRIGUEZ</v>
      </c>
    </row>
    <row r="31" spans="1:20" x14ac:dyDescent="0.3">
      <c r="A31" s="2" t="s">
        <v>15</v>
      </c>
      <c r="B31" s="3" t="s">
        <v>15</v>
      </c>
      <c r="C31" s="3" t="s">
        <v>147</v>
      </c>
      <c r="D31" s="3" t="s">
        <v>25</v>
      </c>
      <c r="E31" s="3" t="s">
        <v>17</v>
      </c>
      <c r="F31" s="4">
        <v>46290</v>
      </c>
      <c r="G31" s="3" t="s">
        <v>50</v>
      </c>
      <c r="H31" s="6">
        <v>-1195000</v>
      </c>
      <c r="I31" s="3" t="s">
        <v>19</v>
      </c>
      <c r="J31" s="3" t="s">
        <v>20</v>
      </c>
      <c r="K31" s="3" t="s">
        <v>15</v>
      </c>
      <c r="L31" s="3" t="s">
        <v>139</v>
      </c>
      <c r="M31" s="4">
        <v>46296</v>
      </c>
      <c r="N31" s="3" t="s">
        <v>140</v>
      </c>
      <c r="O31" s="3" t="s">
        <v>54</v>
      </c>
      <c r="P31" t="str">
        <f t="shared" si="0"/>
        <v>450013813530</v>
      </c>
      <c r="Q31" s="7" cm="1">
        <f t="array" ref="Q31:S31">VLOOKUP(P31,Hoja1!C:F,{2,3,4},FALSE)</f>
        <v>46285</v>
      </c>
      <c r="R31" t="str">
        <v>C27</v>
      </c>
      <c r="S31" t="str">
        <v>1000000086 SUMIAGRO SANTA FE S.A.</v>
      </c>
      <c r="T31" t="str">
        <f>VLOOKUP(P31,Hoja2!C:D,2,FALSE)</f>
        <v>PRODRIGUEZ</v>
      </c>
    </row>
    <row r="32" spans="1:20" x14ac:dyDescent="0.3">
      <c r="A32" s="2" t="s">
        <v>15</v>
      </c>
      <c r="B32" s="3" t="s">
        <v>15</v>
      </c>
      <c r="C32" s="3" t="s">
        <v>147</v>
      </c>
      <c r="D32" s="3" t="s">
        <v>25</v>
      </c>
      <c r="E32" s="3" t="s">
        <v>17</v>
      </c>
      <c r="F32" s="4">
        <v>46290</v>
      </c>
      <c r="G32" s="3" t="s">
        <v>50</v>
      </c>
      <c r="H32" s="6">
        <v>-81000</v>
      </c>
      <c r="I32" s="3" t="s">
        <v>19</v>
      </c>
      <c r="J32" s="3" t="s">
        <v>20</v>
      </c>
      <c r="K32" s="3" t="s">
        <v>15</v>
      </c>
      <c r="L32" s="3" t="s">
        <v>139</v>
      </c>
      <c r="M32" s="4">
        <v>46296</v>
      </c>
      <c r="N32" s="3" t="s">
        <v>140</v>
      </c>
      <c r="O32" s="3" t="s">
        <v>80</v>
      </c>
      <c r="P32" t="str">
        <f t="shared" si="0"/>
        <v>450013813560</v>
      </c>
      <c r="Q32" s="7" cm="1">
        <f t="array" ref="Q32:S32">VLOOKUP(P32,Hoja1!C:F,{2,3,4},FALSE)</f>
        <v>46285</v>
      </c>
      <c r="R32" t="str">
        <v>C27</v>
      </c>
      <c r="S32" t="str">
        <v>1000000086 SUMIAGRO SANTA FE S.A.</v>
      </c>
      <c r="T32" t="str">
        <f>VLOOKUP(P32,Hoja2!C:D,2,FALSE)</f>
        <v>PRODRIGUEZ</v>
      </c>
    </row>
    <row r="33" spans="1:20" x14ac:dyDescent="0.3">
      <c r="A33" s="2" t="s">
        <v>15</v>
      </c>
      <c r="B33" s="3" t="s">
        <v>15</v>
      </c>
      <c r="C33" s="3" t="s">
        <v>147</v>
      </c>
      <c r="D33" s="3" t="s">
        <v>25</v>
      </c>
      <c r="E33" s="3" t="s">
        <v>17</v>
      </c>
      <c r="F33" s="4">
        <v>46290</v>
      </c>
      <c r="G33" s="3" t="s">
        <v>50</v>
      </c>
      <c r="H33" s="6">
        <v>-185000</v>
      </c>
      <c r="I33" s="3" t="s">
        <v>19</v>
      </c>
      <c r="J33" s="3" t="s">
        <v>20</v>
      </c>
      <c r="K33" s="3" t="s">
        <v>15</v>
      </c>
      <c r="L33" s="3" t="s">
        <v>139</v>
      </c>
      <c r="M33" s="4">
        <v>46296</v>
      </c>
      <c r="N33" s="3" t="s">
        <v>140</v>
      </c>
      <c r="O33" s="3" t="s">
        <v>81</v>
      </c>
      <c r="P33" t="str">
        <f t="shared" si="0"/>
        <v>450013813570</v>
      </c>
      <c r="Q33" s="7" cm="1">
        <f t="array" ref="Q33:S33">VLOOKUP(P33,Hoja1!C:F,{2,3,4},FALSE)</f>
        <v>46285</v>
      </c>
      <c r="R33" t="str">
        <v>C27</v>
      </c>
      <c r="S33" t="str">
        <v>1000000086 SUMIAGRO SANTA FE S.A.</v>
      </c>
      <c r="T33" t="str">
        <f>VLOOKUP(P33,Hoja2!C:D,2,FALSE)</f>
        <v>PRODRIGUEZ</v>
      </c>
    </row>
    <row r="34" spans="1:20" x14ac:dyDescent="0.3">
      <c r="A34" s="2" t="s">
        <v>15</v>
      </c>
      <c r="B34" s="3" t="s">
        <v>15</v>
      </c>
      <c r="C34" s="3" t="s">
        <v>728</v>
      </c>
      <c r="D34" s="3" t="s">
        <v>15</v>
      </c>
      <c r="E34" s="3" t="s">
        <v>17</v>
      </c>
      <c r="F34" s="4">
        <v>46248</v>
      </c>
      <c r="G34" s="3" t="s">
        <v>18</v>
      </c>
      <c r="H34" s="5">
        <v>40284</v>
      </c>
      <c r="I34" s="3" t="s">
        <v>19</v>
      </c>
      <c r="J34" s="3" t="s">
        <v>20</v>
      </c>
      <c r="K34" s="3" t="s">
        <v>15</v>
      </c>
      <c r="L34" s="3" t="s">
        <v>279</v>
      </c>
      <c r="M34" s="4">
        <v>46300</v>
      </c>
      <c r="N34" s="3" t="s">
        <v>280</v>
      </c>
      <c r="O34" s="3" t="s">
        <v>67</v>
      </c>
      <c r="P34" t="str">
        <f t="shared" si="0"/>
        <v>4500134715170</v>
      </c>
      <c r="Q34" s="7" cm="1">
        <f t="array" ref="Q34:S34">VLOOKUP(P34,Hoja1!C:F,{2,3,4},FALSE)</f>
        <v>46240</v>
      </c>
      <c r="R34" t="str">
        <v>AGV</v>
      </c>
      <c r="S34" t="str">
        <v>1000000190 FERNANDEZ INSUA S.A.</v>
      </c>
      <c r="T34" t="str">
        <f>VLOOKUP(P34,Hoja2!C:D,2,FALSE)</f>
        <v>ILAHORGUE</v>
      </c>
    </row>
    <row r="35" spans="1:20" x14ac:dyDescent="0.3">
      <c r="A35" s="2" t="s">
        <v>15</v>
      </c>
      <c r="B35" s="3" t="s">
        <v>15</v>
      </c>
      <c r="C35" s="3" t="s">
        <v>728</v>
      </c>
      <c r="D35" s="3" t="s">
        <v>15</v>
      </c>
      <c r="E35" s="3" t="s">
        <v>17</v>
      </c>
      <c r="F35" s="4">
        <v>46248</v>
      </c>
      <c r="G35" s="3" t="s">
        <v>18</v>
      </c>
      <c r="H35" s="5">
        <v>26856</v>
      </c>
      <c r="I35" s="3" t="s">
        <v>19</v>
      </c>
      <c r="J35" s="3" t="s">
        <v>20</v>
      </c>
      <c r="K35" s="3" t="s">
        <v>15</v>
      </c>
      <c r="L35" s="3" t="s">
        <v>279</v>
      </c>
      <c r="M35" s="4">
        <v>46300</v>
      </c>
      <c r="N35" s="3" t="s">
        <v>280</v>
      </c>
      <c r="O35" s="3" t="s">
        <v>125</v>
      </c>
      <c r="P35" t="str">
        <f t="shared" si="0"/>
        <v>4500134715180</v>
      </c>
      <c r="Q35" s="7" cm="1">
        <f t="array" ref="Q35:S35">VLOOKUP(P35,Hoja1!C:F,{2,3,4},FALSE)</f>
        <v>46240</v>
      </c>
      <c r="R35" t="str">
        <v>AGV</v>
      </c>
      <c r="S35" t="str">
        <v>1000000190 FERNANDEZ INSUA S.A.</v>
      </c>
      <c r="T35" t="str">
        <f>VLOOKUP(P35,Hoja2!C:D,2,FALSE)</f>
        <v>ILAHORGUE</v>
      </c>
    </row>
    <row r="36" spans="1:20" x14ac:dyDescent="0.3">
      <c r="A36" s="2" t="s">
        <v>15</v>
      </c>
      <c r="B36" s="3" t="s">
        <v>15</v>
      </c>
      <c r="C36" s="3" t="s">
        <v>728</v>
      </c>
      <c r="D36" s="3" t="s">
        <v>15</v>
      </c>
      <c r="E36" s="3" t="s">
        <v>17</v>
      </c>
      <c r="F36" s="4">
        <v>46248</v>
      </c>
      <c r="G36" s="3" t="s">
        <v>18</v>
      </c>
      <c r="H36" s="5">
        <v>41776</v>
      </c>
      <c r="I36" s="3" t="s">
        <v>19</v>
      </c>
      <c r="J36" s="3" t="s">
        <v>20</v>
      </c>
      <c r="K36" s="3" t="s">
        <v>15</v>
      </c>
      <c r="L36" s="3" t="s">
        <v>279</v>
      </c>
      <c r="M36" s="4">
        <v>46300</v>
      </c>
      <c r="N36" s="3" t="s">
        <v>280</v>
      </c>
      <c r="O36" s="3" t="s">
        <v>281</v>
      </c>
      <c r="P36" t="str">
        <f t="shared" si="0"/>
        <v>45001347151340</v>
      </c>
      <c r="Q36" s="7" cm="1">
        <f t="array" ref="Q36:S36">VLOOKUP(P36,Hoja1!C:F,{2,3,4},FALSE)</f>
        <v>46240</v>
      </c>
      <c r="R36" t="str">
        <v>AGV</v>
      </c>
      <c r="S36" t="str">
        <v>1000000190 FERNANDEZ INSUA S.A.</v>
      </c>
      <c r="T36" t="str">
        <f>VLOOKUP(P36,Hoja2!C:D,2,FALSE)</f>
        <v>ILAHORGUE</v>
      </c>
    </row>
    <row r="37" spans="1:20" x14ac:dyDescent="0.3">
      <c r="A37" s="2" t="s">
        <v>15</v>
      </c>
      <c r="B37" s="3" t="s">
        <v>15</v>
      </c>
      <c r="C37" s="3" t="s">
        <v>728</v>
      </c>
      <c r="D37" s="3" t="s">
        <v>15</v>
      </c>
      <c r="E37" s="3" t="s">
        <v>17</v>
      </c>
      <c r="F37" s="4">
        <v>46248</v>
      </c>
      <c r="G37" s="3" t="s">
        <v>18</v>
      </c>
      <c r="H37" s="5">
        <v>26856</v>
      </c>
      <c r="I37" s="3" t="s">
        <v>19</v>
      </c>
      <c r="J37" s="3" t="s">
        <v>20</v>
      </c>
      <c r="K37" s="3" t="s">
        <v>15</v>
      </c>
      <c r="L37" s="3" t="s">
        <v>279</v>
      </c>
      <c r="M37" s="4">
        <v>46300</v>
      </c>
      <c r="N37" s="3" t="s">
        <v>280</v>
      </c>
      <c r="O37" s="3" t="s">
        <v>282</v>
      </c>
      <c r="P37" t="str">
        <f t="shared" si="0"/>
        <v>45001347151350</v>
      </c>
      <c r="Q37" s="7" cm="1">
        <f t="array" ref="Q37:S37">VLOOKUP(P37,Hoja1!C:F,{2,3,4},FALSE)</f>
        <v>46240</v>
      </c>
      <c r="R37" t="str">
        <v>AGV</v>
      </c>
      <c r="S37" t="str">
        <v>1000000190 FERNANDEZ INSUA S.A.</v>
      </c>
      <c r="T37" t="str">
        <f>VLOOKUP(P37,Hoja2!C:D,2,FALSE)</f>
        <v>ILAHORGUE</v>
      </c>
    </row>
    <row r="38" spans="1:20" x14ac:dyDescent="0.3">
      <c r="A38" s="2" t="s">
        <v>15</v>
      </c>
      <c r="B38" s="3" t="s">
        <v>15</v>
      </c>
      <c r="C38" s="3" t="s">
        <v>854</v>
      </c>
      <c r="D38" s="3" t="s">
        <v>25</v>
      </c>
      <c r="E38" s="3" t="s">
        <v>17</v>
      </c>
      <c r="F38" s="4">
        <v>46297</v>
      </c>
      <c r="G38" s="3" t="s">
        <v>18</v>
      </c>
      <c r="H38" s="5">
        <v>398208</v>
      </c>
      <c r="I38" s="3" t="s">
        <v>19</v>
      </c>
      <c r="J38" s="3" t="s">
        <v>20</v>
      </c>
      <c r="K38" s="3" t="s">
        <v>15</v>
      </c>
      <c r="L38" s="3" t="s">
        <v>73</v>
      </c>
      <c r="M38" s="4">
        <v>46300</v>
      </c>
      <c r="N38" s="3" t="s">
        <v>575</v>
      </c>
      <c r="O38" s="3" t="s">
        <v>83</v>
      </c>
      <c r="P38" t="str">
        <f t="shared" si="0"/>
        <v>450013929090</v>
      </c>
      <c r="Q38" s="7" cm="1">
        <f t="array" ref="Q38:S38">VLOOKUP(P38,Hoja1!C:F,{2,3,4},FALSE)</f>
        <v>46295</v>
      </c>
      <c r="R38" t="str">
        <v>C27</v>
      </c>
      <c r="S38" t="str">
        <v>1000007451 FLORES CARLOS FELIPE Y OTROS S H</v>
      </c>
      <c r="T38" t="str">
        <f>VLOOKUP(P38,Hoja2!C:D,2,FALSE)</f>
        <v>PRODRIGUEZ</v>
      </c>
    </row>
    <row r="39" spans="1:20" x14ac:dyDescent="0.3">
      <c r="A39" s="2" t="s">
        <v>15</v>
      </c>
      <c r="B39" s="3" t="s">
        <v>15</v>
      </c>
      <c r="C39" s="3" t="s">
        <v>855</v>
      </c>
      <c r="D39" s="3" t="s">
        <v>15</v>
      </c>
      <c r="E39" s="3" t="s">
        <v>17</v>
      </c>
      <c r="F39" s="4">
        <v>46293</v>
      </c>
      <c r="G39" s="3" t="s">
        <v>18</v>
      </c>
      <c r="H39" s="5">
        <v>69114.399999999994</v>
      </c>
      <c r="I39" s="3" t="s">
        <v>19</v>
      </c>
      <c r="J39" s="3" t="s">
        <v>20</v>
      </c>
      <c r="K39" s="3" t="s">
        <v>15</v>
      </c>
      <c r="L39" s="3" t="s">
        <v>224</v>
      </c>
      <c r="M39" s="4">
        <v>46300</v>
      </c>
      <c r="N39" s="3" t="s">
        <v>482</v>
      </c>
      <c r="O39" s="3" t="s">
        <v>32</v>
      </c>
      <c r="P39" t="str">
        <f t="shared" si="0"/>
        <v>450013951810</v>
      </c>
      <c r="Q39" s="7" cm="1">
        <f t="array" ref="Q39:S39">VLOOKUP(P39,Hoja1!C:F,{2,3,4},FALSE)</f>
        <v>46269</v>
      </c>
      <c r="R39" t="str">
        <v>AGV</v>
      </c>
      <c r="S39" t="str">
        <v>1000007668 TADEMAQ EQUIPOS PESADOS S.R.L.</v>
      </c>
      <c r="T39" t="str">
        <f>VLOOKUP(P39,Hoja2!C:D,2,FALSE)</f>
        <v>ILAHORGUE</v>
      </c>
    </row>
    <row r="40" spans="1:20" x14ac:dyDescent="0.3">
      <c r="A40" s="2" t="s">
        <v>15</v>
      </c>
      <c r="B40" s="3" t="s">
        <v>15</v>
      </c>
      <c r="C40" s="3" t="s">
        <v>855</v>
      </c>
      <c r="D40" s="3" t="s">
        <v>15</v>
      </c>
      <c r="E40" s="3" t="s">
        <v>17</v>
      </c>
      <c r="F40" s="4">
        <v>46293</v>
      </c>
      <c r="G40" s="3" t="s">
        <v>18</v>
      </c>
      <c r="H40" s="5">
        <v>1102912</v>
      </c>
      <c r="I40" s="3" t="s">
        <v>19</v>
      </c>
      <c r="J40" s="3" t="s">
        <v>20</v>
      </c>
      <c r="K40" s="3" t="s">
        <v>15</v>
      </c>
      <c r="L40" s="3" t="s">
        <v>224</v>
      </c>
      <c r="M40" s="4">
        <v>46300</v>
      </c>
      <c r="N40" s="3" t="s">
        <v>482</v>
      </c>
      <c r="O40" s="3" t="s">
        <v>28</v>
      </c>
      <c r="P40" t="str">
        <f t="shared" si="0"/>
        <v>450013951820</v>
      </c>
      <c r="Q40" s="7" cm="1">
        <f t="array" ref="Q40:S40">VLOOKUP(P40,Hoja1!C:F,{2,3,4},FALSE)</f>
        <v>46284</v>
      </c>
      <c r="R40" t="str">
        <v>AGV</v>
      </c>
      <c r="S40" t="str">
        <v>1000007668 TADEMAQ EQUIPOS PESADOS S.R.L.</v>
      </c>
      <c r="T40" t="str">
        <f>VLOOKUP(P40,Hoja2!C:D,2,FALSE)</f>
        <v>ILAHORGUE</v>
      </c>
    </row>
    <row r="41" spans="1:20" x14ac:dyDescent="0.3">
      <c r="A41" s="2" t="s">
        <v>15</v>
      </c>
      <c r="B41" s="3" t="s">
        <v>15</v>
      </c>
      <c r="C41" s="3" t="s">
        <v>855</v>
      </c>
      <c r="D41" s="3" t="s">
        <v>15</v>
      </c>
      <c r="E41" s="3" t="s">
        <v>17</v>
      </c>
      <c r="F41" s="4">
        <v>46293</v>
      </c>
      <c r="G41" s="3" t="s">
        <v>18</v>
      </c>
      <c r="H41" s="5">
        <v>380030.4</v>
      </c>
      <c r="I41" s="3" t="s">
        <v>19</v>
      </c>
      <c r="J41" s="3" t="s">
        <v>20</v>
      </c>
      <c r="K41" s="3" t="s">
        <v>15</v>
      </c>
      <c r="L41" s="3" t="s">
        <v>224</v>
      </c>
      <c r="M41" s="4">
        <v>46300</v>
      </c>
      <c r="N41" s="3" t="s">
        <v>482</v>
      </c>
      <c r="O41" s="3" t="s">
        <v>54</v>
      </c>
      <c r="P41" t="str">
        <f t="shared" si="0"/>
        <v>450013951830</v>
      </c>
      <c r="Q41" s="7" cm="1">
        <f t="array" ref="Q41:S41">VLOOKUP(P41,Hoja1!C:F,{2,3,4},FALSE)</f>
        <v>46286</v>
      </c>
      <c r="R41" t="str">
        <v>AGV</v>
      </c>
      <c r="S41" t="str">
        <v>1000007668 TADEMAQ EQUIPOS PESADOS S.R.L.</v>
      </c>
      <c r="T41" t="str">
        <f>VLOOKUP(P41,Hoja2!C:D,2,FALSE)</f>
        <v>ILAHORGUE</v>
      </c>
    </row>
    <row r="42" spans="1:20" x14ac:dyDescent="0.3">
      <c r="A42" s="2" t="s">
        <v>15</v>
      </c>
      <c r="B42" s="3" t="s">
        <v>15</v>
      </c>
      <c r="C42" s="3" t="s">
        <v>855</v>
      </c>
      <c r="D42" s="3" t="s">
        <v>15</v>
      </c>
      <c r="E42" s="3" t="s">
        <v>17</v>
      </c>
      <c r="F42" s="4">
        <v>46293</v>
      </c>
      <c r="G42" s="3" t="s">
        <v>18</v>
      </c>
      <c r="H42" s="5">
        <v>380030.4</v>
      </c>
      <c r="I42" s="3" t="s">
        <v>19</v>
      </c>
      <c r="J42" s="3" t="s">
        <v>20</v>
      </c>
      <c r="K42" s="3" t="s">
        <v>15</v>
      </c>
      <c r="L42" s="3" t="s">
        <v>224</v>
      </c>
      <c r="M42" s="4">
        <v>46300</v>
      </c>
      <c r="N42" s="3" t="s">
        <v>482</v>
      </c>
      <c r="O42" s="3" t="s">
        <v>23</v>
      </c>
      <c r="P42" t="str">
        <f t="shared" si="0"/>
        <v>450013951840</v>
      </c>
      <c r="Q42" s="7" cm="1">
        <f t="array" ref="Q42:S42">VLOOKUP(P42,Hoja1!C:F,{2,3,4},FALSE)</f>
        <v>46286</v>
      </c>
      <c r="R42" t="str">
        <v>AGV</v>
      </c>
      <c r="S42" t="str">
        <v>1000007668 TADEMAQ EQUIPOS PESADOS S.R.L.</v>
      </c>
      <c r="T42" t="str">
        <f>VLOOKUP(P42,Hoja2!C:D,2,FALSE)</f>
        <v>ILAHORGUE</v>
      </c>
    </row>
    <row r="43" spans="1:20" x14ac:dyDescent="0.3">
      <c r="A43" s="2" t="s">
        <v>15</v>
      </c>
      <c r="B43" s="3" t="s">
        <v>15</v>
      </c>
      <c r="C43" s="3" t="s">
        <v>855</v>
      </c>
      <c r="D43" s="3" t="s">
        <v>15</v>
      </c>
      <c r="E43" s="3" t="s">
        <v>17</v>
      </c>
      <c r="F43" s="4">
        <v>46293</v>
      </c>
      <c r="G43" s="3" t="s">
        <v>18</v>
      </c>
      <c r="H43" s="5">
        <v>119168</v>
      </c>
      <c r="I43" s="3" t="s">
        <v>19</v>
      </c>
      <c r="J43" s="3" t="s">
        <v>20</v>
      </c>
      <c r="K43" s="3" t="s">
        <v>15</v>
      </c>
      <c r="L43" s="3" t="s">
        <v>224</v>
      </c>
      <c r="M43" s="4">
        <v>46300</v>
      </c>
      <c r="N43" s="3" t="s">
        <v>482</v>
      </c>
      <c r="O43" s="3" t="s">
        <v>80</v>
      </c>
      <c r="P43" t="str">
        <f t="shared" si="0"/>
        <v>450013951860</v>
      </c>
      <c r="Q43" s="7" cm="1">
        <f t="array" ref="Q43:S43">VLOOKUP(P43,Hoja1!C:F,{2,3,4},FALSE)</f>
        <v>46302</v>
      </c>
      <c r="R43" t="str">
        <v>AGV</v>
      </c>
      <c r="S43" t="str">
        <v>1000007668 TADEMAQ EQUIPOS PESADOS S.R.L.</v>
      </c>
      <c r="T43" t="str">
        <f>VLOOKUP(P43,Hoja2!C:D,2,FALSE)</f>
        <v>ILAHORGUE</v>
      </c>
    </row>
    <row r="44" spans="1:20" x14ac:dyDescent="0.3">
      <c r="A44" s="2" t="s">
        <v>15</v>
      </c>
      <c r="B44" s="3" t="s">
        <v>15</v>
      </c>
      <c r="C44" s="3" t="s">
        <v>855</v>
      </c>
      <c r="D44" s="3" t="s">
        <v>15</v>
      </c>
      <c r="E44" s="3" t="s">
        <v>17</v>
      </c>
      <c r="F44" s="4">
        <v>46293</v>
      </c>
      <c r="G44" s="3" t="s">
        <v>18</v>
      </c>
      <c r="H44" s="5">
        <v>178341.6</v>
      </c>
      <c r="I44" s="3" t="s">
        <v>19</v>
      </c>
      <c r="J44" s="3" t="s">
        <v>20</v>
      </c>
      <c r="K44" s="3" t="s">
        <v>15</v>
      </c>
      <c r="L44" s="3" t="s">
        <v>224</v>
      </c>
      <c r="M44" s="4">
        <v>46300</v>
      </c>
      <c r="N44" s="3" t="s">
        <v>482</v>
      </c>
      <c r="O44" s="3" t="s">
        <v>81</v>
      </c>
      <c r="P44" t="str">
        <f t="shared" si="0"/>
        <v>450013951870</v>
      </c>
      <c r="Q44" s="7" cm="1">
        <f t="array" ref="Q44:S44">VLOOKUP(P44,Hoja1!C:F,{2,3,4},FALSE)</f>
        <v>46302</v>
      </c>
      <c r="R44" t="str">
        <v>AGV</v>
      </c>
      <c r="S44" t="str">
        <v>1000007668 TADEMAQ EQUIPOS PESADOS S.R.L.</v>
      </c>
      <c r="T44" t="str">
        <f>VLOOKUP(P44,Hoja2!C:D,2,FALSE)</f>
        <v>ILAHORGUE</v>
      </c>
    </row>
    <row r="45" spans="1:20" x14ac:dyDescent="0.3">
      <c r="A45" s="2" t="s">
        <v>15</v>
      </c>
      <c r="B45" s="3" t="s">
        <v>15</v>
      </c>
      <c r="C45" s="3" t="s">
        <v>855</v>
      </c>
      <c r="D45" s="3" t="s">
        <v>15</v>
      </c>
      <c r="E45" s="3" t="s">
        <v>17</v>
      </c>
      <c r="F45" s="4">
        <v>46293</v>
      </c>
      <c r="G45" s="3" t="s">
        <v>18</v>
      </c>
      <c r="H45" s="5">
        <v>413592</v>
      </c>
      <c r="I45" s="3" t="s">
        <v>19</v>
      </c>
      <c r="J45" s="3" t="s">
        <v>20</v>
      </c>
      <c r="K45" s="3" t="s">
        <v>15</v>
      </c>
      <c r="L45" s="3" t="s">
        <v>224</v>
      </c>
      <c r="M45" s="4">
        <v>46300</v>
      </c>
      <c r="N45" s="3" t="s">
        <v>482</v>
      </c>
      <c r="O45" s="3" t="s">
        <v>82</v>
      </c>
      <c r="P45" t="str">
        <f t="shared" si="0"/>
        <v>450013951880</v>
      </c>
      <c r="Q45" s="7" cm="1">
        <f t="array" ref="Q45:S45">VLOOKUP(P45,Hoja1!C:F,{2,3,4},FALSE)</f>
        <v>46313</v>
      </c>
      <c r="R45" t="str">
        <v>AGV</v>
      </c>
      <c r="S45" t="str">
        <v>1000007668 TADEMAQ EQUIPOS PESADOS S.R.L.</v>
      </c>
      <c r="T45" t="str">
        <f>VLOOKUP(P45,Hoja2!C:D,2,FALSE)</f>
        <v>ILAHORGUE</v>
      </c>
    </row>
    <row r="46" spans="1:20" x14ac:dyDescent="0.3">
      <c r="A46" s="2" t="s">
        <v>15</v>
      </c>
      <c r="B46" s="3" t="s">
        <v>15</v>
      </c>
      <c r="C46" s="3" t="s">
        <v>855</v>
      </c>
      <c r="D46" s="3" t="s">
        <v>15</v>
      </c>
      <c r="E46" s="3" t="s">
        <v>17</v>
      </c>
      <c r="F46" s="4">
        <v>46293</v>
      </c>
      <c r="G46" s="3" t="s">
        <v>18</v>
      </c>
      <c r="H46" s="5">
        <v>167929.60000000001</v>
      </c>
      <c r="I46" s="3" t="s">
        <v>19</v>
      </c>
      <c r="J46" s="3" t="s">
        <v>20</v>
      </c>
      <c r="K46" s="3" t="s">
        <v>15</v>
      </c>
      <c r="L46" s="3" t="s">
        <v>224</v>
      </c>
      <c r="M46" s="4">
        <v>46300</v>
      </c>
      <c r="N46" s="3" t="s">
        <v>482</v>
      </c>
      <c r="O46" s="3" t="s">
        <v>83</v>
      </c>
      <c r="P46" t="str">
        <f t="shared" si="0"/>
        <v>450013951890</v>
      </c>
      <c r="Q46" s="7" cm="1">
        <f t="array" ref="Q46:S46">VLOOKUP(P46,Hoja1!C:F,{2,3,4},FALSE)</f>
        <v>46316</v>
      </c>
      <c r="R46" t="str">
        <v>AGV</v>
      </c>
      <c r="S46" t="str">
        <v>1000007668 TADEMAQ EQUIPOS PESADOS S.R.L.</v>
      </c>
      <c r="T46" t="str">
        <f>VLOOKUP(P46,Hoja2!C:D,2,FALSE)</f>
        <v>ILAHORGUE</v>
      </c>
    </row>
    <row r="47" spans="1:20" x14ac:dyDescent="0.3">
      <c r="A47" s="2" t="s">
        <v>15</v>
      </c>
      <c r="B47" s="3" t="s">
        <v>15</v>
      </c>
      <c r="C47" s="3" t="s">
        <v>855</v>
      </c>
      <c r="D47" s="3" t="s">
        <v>15</v>
      </c>
      <c r="E47" s="3" t="s">
        <v>17</v>
      </c>
      <c r="F47" s="4">
        <v>46293</v>
      </c>
      <c r="G47" s="3" t="s">
        <v>18</v>
      </c>
      <c r="H47" s="5">
        <v>61848.800000000003</v>
      </c>
      <c r="I47" s="3" t="s">
        <v>19</v>
      </c>
      <c r="J47" s="3" t="s">
        <v>20</v>
      </c>
      <c r="K47" s="3" t="s">
        <v>15</v>
      </c>
      <c r="L47" s="3" t="s">
        <v>224</v>
      </c>
      <c r="M47" s="4">
        <v>46300</v>
      </c>
      <c r="N47" s="3" t="s">
        <v>482</v>
      </c>
      <c r="O47" s="3" t="s">
        <v>84</v>
      </c>
      <c r="P47" t="str">
        <f t="shared" si="0"/>
        <v>4500139518100</v>
      </c>
      <c r="Q47" s="7" cm="1">
        <f t="array" ref="Q47:S47">VLOOKUP(P47,Hoja1!C:F,{2,3,4},FALSE)</f>
        <v>46316</v>
      </c>
      <c r="R47" t="str">
        <v>AGV</v>
      </c>
      <c r="S47" t="str">
        <v>1000007668 TADEMAQ EQUIPOS PESADOS S.R.L.</v>
      </c>
      <c r="T47" t="str">
        <f>VLOOKUP(P47,Hoja2!C:D,2,FALSE)</f>
        <v>ILAHORGUE</v>
      </c>
    </row>
    <row r="48" spans="1:20" x14ac:dyDescent="0.3">
      <c r="A48" s="2" t="s">
        <v>15</v>
      </c>
      <c r="B48" s="3" t="s">
        <v>15</v>
      </c>
      <c r="C48" s="3" t="s">
        <v>855</v>
      </c>
      <c r="D48" s="3" t="s">
        <v>15</v>
      </c>
      <c r="E48" s="3" t="s">
        <v>17</v>
      </c>
      <c r="F48" s="4">
        <v>46293</v>
      </c>
      <c r="G48" s="3" t="s">
        <v>18</v>
      </c>
      <c r="H48" s="5">
        <v>20368</v>
      </c>
      <c r="I48" s="3" t="s">
        <v>19</v>
      </c>
      <c r="J48" s="3" t="s">
        <v>20</v>
      </c>
      <c r="K48" s="3" t="s">
        <v>15</v>
      </c>
      <c r="L48" s="3" t="s">
        <v>224</v>
      </c>
      <c r="M48" s="4">
        <v>46300</v>
      </c>
      <c r="N48" s="3" t="s">
        <v>483</v>
      </c>
      <c r="O48" s="3" t="s">
        <v>32</v>
      </c>
      <c r="P48" t="str">
        <f t="shared" si="0"/>
        <v>450013951310</v>
      </c>
      <c r="Q48" s="7" cm="1">
        <f t="array" ref="Q48:S48">VLOOKUP(P48,Hoja1!C:F,{2,3,4},FALSE)</f>
        <v>46269</v>
      </c>
      <c r="R48" t="str">
        <v>AGV</v>
      </c>
      <c r="S48" t="str">
        <v>1000007668 TADEMAQ EQUIPOS PESADOS S.R.L.</v>
      </c>
      <c r="T48" t="str">
        <f>VLOOKUP(P48,Hoja2!C:D,2,FALSE)</f>
        <v>ILAHORGUE</v>
      </c>
    </row>
    <row r="49" spans="1:20" x14ac:dyDescent="0.3">
      <c r="A49" s="2" t="s">
        <v>15</v>
      </c>
      <c r="B49" s="3" t="s">
        <v>15</v>
      </c>
      <c r="C49" s="3" t="s">
        <v>855</v>
      </c>
      <c r="D49" s="3" t="s">
        <v>15</v>
      </c>
      <c r="E49" s="3" t="s">
        <v>17</v>
      </c>
      <c r="F49" s="4">
        <v>46293</v>
      </c>
      <c r="G49" s="3" t="s">
        <v>18</v>
      </c>
      <c r="H49" s="5">
        <v>22389.599999999999</v>
      </c>
      <c r="I49" s="3" t="s">
        <v>19</v>
      </c>
      <c r="J49" s="3" t="s">
        <v>20</v>
      </c>
      <c r="K49" s="3" t="s">
        <v>15</v>
      </c>
      <c r="L49" s="3" t="s">
        <v>224</v>
      </c>
      <c r="M49" s="4">
        <v>46300</v>
      </c>
      <c r="N49" s="3" t="s">
        <v>483</v>
      </c>
      <c r="O49" s="3" t="s">
        <v>28</v>
      </c>
      <c r="P49" t="str">
        <f t="shared" si="0"/>
        <v>450013951320</v>
      </c>
      <c r="Q49" s="7" cm="1">
        <f t="array" ref="Q49:S49">VLOOKUP(P49,Hoja1!C:F,{2,3,4},FALSE)</f>
        <v>46269</v>
      </c>
      <c r="R49" t="str">
        <v>AGV</v>
      </c>
      <c r="S49" t="str">
        <v>1000007668 TADEMAQ EQUIPOS PESADOS S.R.L.</v>
      </c>
      <c r="T49" t="str">
        <f>VLOOKUP(P49,Hoja2!C:D,2,FALSE)</f>
        <v>ILAHORGUE</v>
      </c>
    </row>
    <row r="50" spans="1:20" x14ac:dyDescent="0.3">
      <c r="A50" s="2" t="s">
        <v>15</v>
      </c>
      <c r="B50" s="3" t="s">
        <v>15</v>
      </c>
      <c r="C50" s="3" t="s">
        <v>855</v>
      </c>
      <c r="D50" s="3" t="s">
        <v>15</v>
      </c>
      <c r="E50" s="3" t="s">
        <v>17</v>
      </c>
      <c r="F50" s="4">
        <v>46293</v>
      </c>
      <c r="G50" s="3" t="s">
        <v>18</v>
      </c>
      <c r="H50" s="5">
        <v>91200</v>
      </c>
      <c r="I50" s="3" t="s">
        <v>19</v>
      </c>
      <c r="J50" s="3" t="s">
        <v>20</v>
      </c>
      <c r="K50" s="3" t="s">
        <v>15</v>
      </c>
      <c r="L50" s="3" t="s">
        <v>224</v>
      </c>
      <c r="M50" s="4">
        <v>46300</v>
      </c>
      <c r="N50" s="3" t="s">
        <v>483</v>
      </c>
      <c r="O50" s="3" t="s">
        <v>54</v>
      </c>
      <c r="P50" t="str">
        <f t="shared" si="0"/>
        <v>450013951330</v>
      </c>
      <c r="Q50" s="7" cm="1">
        <f t="array" ref="Q50:S50">VLOOKUP(P50,Hoja1!C:F,{2,3,4},FALSE)</f>
        <v>46304</v>
      </c>
      <c r="R50" t="str">
        <v>AGV</v>
      </c>
      <c r="S50" t="str">
        <v>1000007668 TADEMAQ EQUIPOS PESADOS S.R.L.</v>
      </c>
      <c r="T50" t="str">
        <f>VLOOKUP(P50,Hoja2!C:D,2,FALSE)</f>
        <v>ILAHORGUE</v>
      </c>
    </row>
    <row r="51" spans="1:20" x14ac:dyDescent="0.3">
      <c r="A51" s="2" t="s">
        <v>15</v>
      </c>
      <c r="B51" s="3" t="s">
        <v>15</v>
      </c>
      <c r="C51" s="3" t="s">
        <v>855</v>
      </c>
      <c r="D51" s="3" t="s">
        <v>15</v>
      </c>
      <c r="E51" s="3" t="s">
        <v>17</v>
      </c>
      <c r="F51" s="4">
        <v>46293</v>
      </c>
      <c r="G51" s="3" t="s">
        <v>18</v>
      </c>
      <c r="H51" s="5">
        <v>145920</v>
      </c>
      <c r="I51" s="3" t="s">
        <v>19</v>
      </c>
      <c r="J51" s="3" t="s">
        <v>20</v>
      </c>
      <c r="K51" s="3" t="s">
        <v>15</v>
      </c>
      <c r="L51" s="3" t="s">
        <v>224</v>
      </c>
      <c r="M51" s="4">
        <v>46300</v>
      </c>
      <c r="N51" s="3" t="s">
        <v>483</v>
      </c>
      <c r="O51" s="3" t="s">
        <v>23</v>
      </c>
      <c r="P51" t="str">
        <f t="shared" si="0"/>
        <v>450013951340</v>
      </c>
      <c r="Q51" s="7" cm="1">
        <f t="array" ref="Q51:S51">VLOOKUP(P51,Hoja1!C:F,{2,3,4},FALSE)</f>
        <v>46304</v>
      </c>
      <c r="R51" t="str">
        <v>AGV</v>
      </c>
      <c r="S51" t="str">
        <v>1000007668 TADEMAQ EQUIPOS PESADOS S.R.L.</v>
      </c>
      <c r="T51" t="str">
        <f>VLOOKUP(P51,Hoja2!C:D,2,FALSE)</f>
        <v>ILAHORGUE</v>
      </c>
    </row>
    <row r="52" spans="1:20" x14ac:dyDescent="0.3">
      <c r="A52" s="2" t="s">
        <v>15</v>
      </c>
      <c r="B52" s="3" t="s">
        <v>15</v>
      </c>
      <c r="C52" s="3" t="s">
        <v>855</v>
      </c>
      <c r="D52" s="3" t="s">
        <v>15</v>
      </c>
      <c r="E52" s="3" t="s">
        <v>17</v>
      </c>
      <c r="F52" s="4">
        <v>46293</v>
      </c>
      <c r="G52" s="3" t="s">
        <v>18</v>
      </c>
      <c r="H52" s="5">
        <v>103390.39999999999</v>
      </c>
      <c r="I52" s="3" t="s">
        <v>19</v>
      </c>
      <c r="J52" s="3" t="s">
        <v>20</v>
      </c>
      <c r="K52" s="3" t="s">
        <v>15</v>
      </c>
      <c r="L52" s="3" t="s">
        <v>224</v>
      </c>
      <c r="M52" s="4">
        <v>46300</v>
      </c>
      <c r="N52" s="3" t="s">
        <v>483</v>
      </c>
      <c r="O52" s="3" t="s">
        <v>55</v>
      </c>
      <c r="P52" t="str">
        <f t="shared" si="0"/>
        <v>450013951350</v>
      </c>
      <c r="Q52" s="7" cm="1">
        <f t="array" ref="Q52:S52">VLOOKUP(P52,Hoja1!C:F,{2,3,4},FALSE)</f>
        <v>46304</v>
      </c>
      <c r="R52" t="str">
        <v>AGV</v>
      </c>
      <c r="S52" t="str">
        <v>1000007668 TADEMAQ EQUIPOS PESADOS S.R.L.</v>
      </c>
      <c r="T52" t="str">
        <f>VLOOKUP(P52,Hoja2!C:D,2,FALSE)</f>
        <v>ILAHORGUE</v>
      </c>
    </row>
    <row r="53" spans="1:20" x14ac:dyDescent="0.3">
      <c r="A53" s="2" t="s">
        <v>15</v>
      </c>
      <c r="B53" s="3" t="s">
        <v>15</v>
      </c>
      <c r="C53" s="3" t="s">
        <v>855</v>
      </c>
      <c r="D53" s="3" t="s">
        <v>15</v>
      </c>
      <c r="E53" s="3" t="s">
        <v>17</v>
      </c>
      <c r="F53" s="4">
        <v>46293</v>
      </c>
      <c r="G53" s="3" t="s">
        <v>18</v>
      </c>
      <c r="H53" s="5">
        <v>32923.199999999997</v>
      </c>
      <c r="I53" s="3" t="s">
        <v>19</v>
      </c>
      <c r="J53" s="3" t="s">
        <v>20</v>
      </c>
      <c r="K53" s="3" t="s">
        <v>15</v>
      </c>
      <c r="L53" s="3" t="s">
        <v>224</v>
      </c>
      <c r="M53" s="4">
        <v>46300</v>
      </c>
      <c r="N53" s="3" t="s">
        <v>483</v>
      </c>
      <c r="O53" s="3" t="s">
        <v>80</v>
      </c>
      <c r="P53" t="str">
        <f t="shared" si="0"/>
        <v>450013951360</v>
      </c>
      <c r="Q53" s="7" cm="1">
        <f t="array" ref="Q53:S53">VLOOKUP(P53,Hoja1!C:F,{2,3,4},FALSE)</f>
        <v>46304</v>
      </c>
      <c r="R53" t="str">
        <v>AGV</v>
      </c>
      <c r="S53" t="str">
        <v>1000007668 TADEMAQ EQUIPOS PESADOS S.R.L.</v>
      </c>
      <c r="T53" t="str">
        <f>VLOOKUP(P53,Hoja2!C:D,2,FALSE)</f>
        <v>ILAHORGUE</v>
      </c>
    </row>
    <row r="54" spans="1:20" x14ac:dyDescent="0.3">
      <c r="A54" s="2" t="s">
        <v>15</v>
      </c>
      <c r="B54" s="3" t="s">
        <v>15</v>
      </c>
      <c r="C54" s="3" t="s">
        <v>856</v>
      </c>
      <c r="D54" s="3" t="s">
        <v>15</v>
      </c>
      <c r="E54" s="3" t="s">
        <v>17</v>
      </c>
      <c r="F54" s="4">
        <v>46294</v>
      </c>
      <c r="G54" s="3" t="s">
        <v>18</v>
      </c>
      <c r="H54" s="5">
        <v>652809.6</v>
      </c>
      <c r="I54" s="3" t="s">
        <v>19</v>
      </c>
      <c r="J54" s="3" t="s">
        <v>20</v>
      </c>
      <c r="K54" s="3" t="s">
        <v>15</v>
      </c>
      <c r="L54" s="3" t="s">
        <v>224</v>
      </c>
      <c r="M54" s="4">
        <v>46300</v>
      </c>
      <c r="N54" s="3" t="s">
        <v>492</v>
      </c>
      <c r="O54" s="3" t="s">
        <v>32</v>
      </c>
      <c r="P54" t="str">
        <f t="shared" si="0"/>
        <v>450013976910</v>
      </c>
      <c r="Q54" s="7" cm="1">
        <f t="array" ref="Q54:S54">VLOOKUP(P54,Hoja1!C:F,{2,3,4},FALSE)</f>
        <v>46313</v>
      </c>
      <c r="R54" t="str">
        <v>AGV</v>
      </c>
      <c r="S54" t="str">
        <v>1000007668 TADEMAQ EQUIPOS PESADOS S.R.L.</v>
      </c>
      <c r="T54" t="str">
        <f>VLOOKUP(P54,Hoja2!C:D,2,FALSE)</f>
        <v>ILAHORGUE</v>
      </c>
    </row>
    <row r="55" spans="1:20" x14ac:dyDescent="0.3">
      <c r="A55" s="2" t="s">
        <v>15</v>
      </c>
      <c r="B55" s="3" t="s">
        <v>15</v>
      </c>
      <c r="C55" s="3" t="s">
        <v>856</v>
      </c>
      <c r="D55" s="3" t="s">
        <v>15</v>
      </c>
      <c r="E55" s="3" t="s">
        <v>17</v>
      </c>
      <c r="F55" s="4">
        <v>46294</v>
      </c>
      <c r="G55" s="3" t="s">
        <v>18</v>
      </c>
      <c r="H55" s="5">
        <v>334384.8</v>
      </c>
      <c r="I55" s="3" t="s">
        <v>19</v>
      </c>
      <c r="J55" s="3" t="s">
        <v>20</v>
      </c>
      <c r="K55" s="3" t="s">
        <v>15</v>
      </c>
      <c r="L55" s="3" t="s">
        <v>224</v>
      </c>
      <c r="M55" s="4">
        <v>46300</v>
      </c>
      <c r="N55" s="3" t="s">
        <v>492</v>
      </c>
      <c r="O55" s="3" t="s">
        <v>28</v>
      </c>
      <c r="P55" t="str">
        <f t="shared" si="0"/>
        <v>450013976920</v>
      </c>
      <c r="Q55" s="7" cm="1">
        <f t="array" ref="Q55:S55">VLOOKUP(P55,Hoja1!C:F,{2,3,4},FALSE)</f>
        <v>46305</v>
      </c>
      <c r="R55" t="str">
        <v>AGV</v>
      </c>
      <c r="S55" t="str">
        <v>1000007668 TADEMAQ EQUIPOS PESADOS S.R.L.</v>
      </c>
      <c r="T55" t="str">
        <f>VLOOKUP(P55,Hoja2!C:D,2,FALSE)</f>
        <v>ILAHORGUE</v>
      </c>
    </row>
    <row r="56" spans="1:20" x14ac:dyDescent="0.3">
      <c r="A56" s="2" t="s">
        <v>15</v>
      </c>
      <c r="B56" s="3" t="s">
        <v>15</v>
      </c>
      <c r="C56" s="3" t="s">
        <v>857</v>
      </c>
      <c r="D56" s="3" t="s">
        <v>15</v>
      </c>
      <c r="E56" s="3" t="s">
        <v>17</v>
      </c>
      <c r="F56" s="4">
        <v>46283</v>
      </c>
      <c r="G56" s="3" t="s">
        <v>18</v>
      </c>
      <c r="H56" s="5">
        <v>758772</v>
      </c>
      <c r="I56" s="3" t="s">
        <v>19</v>
      </c>
      <c r="J56" s="3" t="s">
        <v>20</v>
      </c>
      <c r="K56" s="3" t="s">
        <v>15</v>
      </c>
      <c r="L56" s="3" t="s">
        <v>224</v>
      </c>
      <c r="M56" s="4">
        <v>46300</v>
      </c>
      <c r="N56" s="3" t="s">
        <v>432</v>
      </c>
      <c r="O56" s="3" t="s">
        <v>32</v>
      </c>
      <c r="P56" t="str">
        <f t="shared" si="0"/>
        <v>450013889710</v>
      </c>
      <c r="Q56" s="7" cm="1">
        <f t="array" ref="Q56:S56">VLOOKUP(P56,Hoja1!C:F,{2,3,4},FALSE)</f>
        <v>46295</v>
      </c>
      <c r="R56" t="str">
        <v>AGV</v>
      </c>
      <c r="S56" t="str">
        <v>1000007668 TADEMAQ EQUIPOS PESADOS S.R.L.</v>
      </c>
      <c r="T56" t="str">
        <f>VLOOKUP(P56,Hoja2!C:D,2,FALSE)</f>
        <v>ILAHORGUE</v>
      </c>
    </row>
    <row r="57" spans="1:20" x14ac:dyDescent="0.3">
      <c r="A57" s="2" t="s">
        <v>15</v>
      </c>
      <c r="B57" s="3" t="s">
        <v>15</v>
      </c>
      <c r="C57" s="3" t="s">
        <v>857</v>
      </c>
      <c r="D57" s="3" t="s">
        <v>15</v>
      </c>
      <c r="E57" s="3" t="s">
        <v>17</v>
      </c>
      <c r="F57" s="4">
        <v>46283</v>
      </c>
      <c r="G57" s="3" t="s">
        <v>18</v>
      </c>
      <c r="H57" s="5">
        <v>2484075</v>
      </c>
      <c r="I57" s="3" t="s">
        <v>19</v>
      </c>
      <c r="J57" s="3" t="s">
        <v>20</v>
      </c>
      <c r="K57" s="3" t="s">
        <v>15</v>
      </c>
      <c r="L57" s="3" t="s">
        <v>224</v>
      </c>
      <c r="M57" s="4">
        <v>46300</v>
      </c>
      <c r="N57" s="3" t="s">
        <v>432</v>
      </c>
      <c r="O57" s="3" t="s">
        <v>28</v>
      </c>
      <c r="P57" t="str">
        <f t="shared" si="0"/>
        <v>450013889720</v>
      </c>
      <c r="Q57" s="7" cm="1">
        <f t="array" ref="Q57:S57">VLOOKUP(P57,Hoja1!C:F,{2,3,4},FALSE)</f>
        <v>46295</v>
      </c>
      <c r="R57" t="str">
        <v>AGV</v>
      </c>
      <c r="S57" t="str">
        <v>1000007668 TADEMAQ EQUIPOS PESADOS S.R.L.</v>
      </c>
      <c r="T57" t="str">
        <f>VLOOKUP(P57,Hoja2!C:D,2,FALSE)</f>
        <v>ILAHORGUE</v>
      </c>
    </row>
    <row r="58" spans="1:20" x14ac:dyDescent="0.3">
      <c r="A58" s="2" t="s">
        <v>15</v>
      </c>
      <c r="B58" s="3" t="s">
        <v>15</v>
      </c>
      <c r="C58" s="3" t="s">
        <v>858</v>
      </c>
      <c r="D58" s="3" t="s">
        <v>15</v>
      </c>
      <c r="E58" s="3" t="s">
        <v>17</v>
      </c>
      <c r="F58" s="4">
        <v>46281</v>
      </c>
      <c r="G58" s="3" t="s">
        <v>18</v>
      </c>
      <c r="H58" s="5">
        <v>376000</v>
      </c>
      <c r="I58" s="3" t="s">
        <v>19</v>
      </c>
      <c r="J58" s="3" t="s">
        <v>20</v>
      </c>
      <c r="K58" s="3" t="s">
        <v>15</v>
      </c>
      <c r="L58" s="3" t="s">
        <v>224</v>
      </c>
      <c r="M58" s="4">
        <v>46300</v>
      </c>
      <c r="N58" s="3" t="s">
        <v>392</v>
      </c>
      <c r="O58" s="3" t="s">
        <v>32</v>
      </c>
      <c r="P58" t="str">
        <f t="shared" si="0"/>
        <v>450013847310</v>
      </c>
      <c r="Q58" s="7" cm="1">
        <f t="array" ref="Q58:S58">VLOOKUP(P58,Hoja1!C:F,{2,3,4},FALSE)</f>
        <v>46285</v>
      </c>
      <c r="R58" t="str">
        <v>AGV</v>
      </c>
      <c r="S58" t="str">
        <v>1000007668 TADEMAQ EQUIPOS PESADOS S.R.L.</v>
      </c>
      <c r="T58" t="str">
        <f>VLOOKUP(P58,Hoja2!C:D,2,FALSE)</f>
        <v>ILAHORGUE</v>
      </c>
    </row>
    <row r="59" spans="1:20" x14ac:dyDescent="0.3">
      <c r="A59" s="2" t="s">
        <v>15</v>
      </c>
      <c r="B59" s="3" t="s">
        <v>15</v>
      </c>
      <c r="C59" s="3" t="s">
        <v>858</v>
      </c>
      <c r="D59" s="3" t="s">
        <v>15</v>
      </c>
      <c r="E59" s="3" t="s">
        <v>17</v>
      </c>
      <c r="F59" s="4">
        <v>46281</v>
      </c>
      <c r="G59" s="3" t="s">
        <v>18</v>
      </c>
      <c r="H59" s="5">
        <v>36998.400000000001</v>
      </c>
      <c r="I59" s="3" t="s">
        <v>19</v>
      </c>
      <c r="J59" s="3" t="s">
        <v>20</v>
      </c>
      <c r="K59" s="3" t="s">
        <v>15</v>
      </c>
      <c r="L59" s="3" t="s">
        <v>224</v>
      </c>
      <c r="M59" s="4">
        <v>46300</v>
      </c>
      <c r="N59" s="3" t="s">
        <v>392</v>
      </c>
      <c r="O59" s="3" t="s">
        <v>28</v>
      </c>
      <c r="P59" t="str">
        <f t="shared" si="0"/>
        <v>450013847320</v>
      </c>
      <c r="Q59" s="7" cm="1">
        <f t="array" ref="Q59:S59">VLOOKUP(P59,Hoja1!C:F,{2,3,4},FALSE)</f>
        <v>46285</v>
      </c>
      <c r="R59" t="str">
        <v>AGV</v>
      </c>
      <c r="S59" t="str">
        <v>1000007668 TADEMAQ EQUIPOS PESADOS S.R.L.</v>
      </c>
      <c r="T59" t="str">
        <f>VLOOKUP(P59,Hoja2!C:D,2,FALSE)</f>
        <v>ILAHORGUE</v>
      </c>
    </row>
    <row r="60" spans="1:20" x14ac:dyDescent="0.3">
      <c r="A60" s="2" t="s">
        <v>15</v>
      </c>
      <c r="B60" s="3" t="s">
        <v>15</v>
      </c>
      <c r="C60" s="3" t="s">
        <v>859</v>
      </c>
      <c r="D60" s="3" t="s">
        <v>15</v>
      </c>
      <c r="E60" s="3" t="s">
        <v>17</v>
      </c>
      <c r="F60" s="4">
        <v>46272</v>
      </c>
      <c r="G60" s="3" t="s">
        <v>18</v>
      </c>
      <c r="H60" s="5">
        <v>88195.31</v>
      </c>
      <c r="I60" s="3" t="s">
        <v>19</v>
      </c>
      <c r="J60" s="3" t="s">
        <v>20</v>
      </c>
      <c r="K60" s="3" t="s">
        <v>15</v>
      </c>
      <c r="L60" s="3" t="s">
        <v>224</v>
      </c>
      <c r="M60" s="4">
        <v>46300</v>
      </c>
      <c r="N60" s="3" t="s">
        <v>348</v>
      </c>
      <c r="O60" s="3" t="s">
        <v>32</v>
      </c>
      <c r="P60" t="str">
        <f t="shared" si="0"/>
        <v>450013782710</v>
      </c>
      <c r="Q60" s="7" cm="1">
        <f t="array" ref="Q60:S60">VLOOKUP(P60,Hoja1!C:F,{2,3,4},FALSE)</f>
        <v>46275</v>
      </c>
      <c r="R60" t="str">
        <v>AGV</v>
      </c>
      <c r="S60" t="str">
        <v>1000007668 TADEMAQ EQUIPOS PESADOS S.R.L.</v>
      </c>
      <c r="T60" t="str">
        <f>VLOOKUP(P60,Hoja2!C:D,2,FALSE)</f>
        <v>ILAHORGUE</v>
      </c>
    </row>
    <row r="61" spans="1:20" x14ac:dyDescent="0.3">
      <c r="A61" s="2" t="s">
        <v>15</v>
      </c>
      <c r="B61" s="3" t="s">
        <v>15</v>
      </c>
      <c r="C61" s="3" t="s">
        <v>859</v>
      </c>
      <c r="D61" s="3" t="s">
        <v>15</v>
      </c>
      <c r="E61" s="3" t="s">
        <v>17</v>
      </c>
      <c r="F61" s="4">
        <v>46272</v>
      </c>
      <c r="G61" s="3" t="s">
        <v>18</v>
      </c>
      <c r="H61" s="5">
        <v>44097.66</v>
      </c>
      <c r="I61" s="3" t="s">
        <v>19</v>
      </c>
      <c r="J61" s="3" t="s">
        <v>20</v>
      </c>
      <c r="K61" s="3" t="s">
        <v>15</v>
      </c>
      <c r="L61" s="3" t="s">
        <v>224</v>
      </c>
      <c r="M61" s="4">
        <v>46300</v>
      </c>
      <c r="N61" s="3" t="s">
        <v>348</v>
      </c>
      <c r="O61" s="3" t="s">
        <v>28</v>
      </c>
      <c r="P61" t="str">
        <f t="shared" si="0"/>
        <v>450013782720</v>
      </c>
      <c r="Q61" s="7" cm="1">
        <f t="array" ref="Q61:S61">VLOOKUP(P61,Hoja1!C:F,{2,3,4},FALSE)</f>
        <v>46275</v>
      </c>
      <c r="R61" t="str">
        <v>AGV</v>
      </c>
      <c r="S61" t="str">
        <v>1000007668 TADEMAQ EQUIPOS PESADOS S.R.L.</v>
      </c>
      <c r="T61" t="str">
        <f>VLOOKUP(P61,Hoja2!C:D,2,FALSE)</f>
        <v>ILAHORGUE</v>
      </c>
    </row>
    <row r="62" spans="1:20" x14ac:dyDescent="0.3">
      <c r="A62" s="2" t="s">
        <v>15</v>
      </c>
      <c r="B62" s="3" t="s">
        <v>15</v>
      </c>
      <c r="C62" s="3" t="s">
        <v>860</v>
      </c>
      <c r="D62" s="3" t="s">
        <v>15</v>
      </c>
      <c r="E62" s="3" t="s">
        <v>17</v>
      </c>
      <c r="F62" s="4">
        <v>46244</v>
      </c>
      <c r="G62" s="3" t="s">
        <v>18</v>
      </c>
      <c r="H62" s="5">
        <v>453719</v>
      </c>
      <c r="I62" s="3" t="s">
        <v>19</v>
      </c>
      <c r="J62" s="3" t="s">
        <v>20</v>
      </c>
      <c r="K62" s="3" t="s">
        <v>15</v>
      </c>
      <c r="L62" s="3" t="s">
        <v>284</v>
      </c>
      <c r="M62" s="4">
        <v>46300</v>
      </c>
      <c r="N62" s="3" t="s">
        <v>285</v>
      </c>
      <c r="O62" s="3" t="s">
        <v>32</v>
      </c>
      <c r="P62" t="str">
        <f t="shared" si="0"/>
        <v>450013518510</v>
      </c>
      <c r="Q62" s="7" cm="1">
        <f t="array" ref="Q62:S62">VLOOKUP(P62,Hoja1!C:F,{2,3,4},FALSE)</f>
        <v>46255</v>
      </c>
      <c r="R62" t="str">
        <v>AGV</v>
      </c>
      <c r="S62" t="str">
        <v>1000012954 AGROABESAN SRL</v>
      </c>
      <c r="T62" t="str">
        <f>VLOOKUP(P62,Hoja2!C:D,2,FALSE)</f>
        <v>ILAHORGUE</v>
      </c>
    </row>
    <row r="63" spans="1:20" x14ac:dyDescent="0.3">
      <c r="A63" s="2" t="s">
        <v>15</v>
      </c>
      <c r="B63" s="3" t="s">
        <v>15</v>
      </c>
      <c r="C63" s="3" t="s">
        <v>860</v>
      </c>
      <c r="D63" s="3" t="s">
        <v>15</v>
      </c>
      <c r="E63" s="3" t="s">
        <v>17</v>
      </c>
      <c r="F63" s="4">
        <v>46244</v>
      </c>
      <c r="G63" s="3" t="s">
        <v>18</v>
      </c>
      <c r="H63" s="5">
        <v>36198.35</v>
      </c>
      <c r="I63" s="3" t="s">
        <v>19</v>
      </c>
      <c r="J63" s="3" t="s">
        <v>20</v>
      </c>
      <c r="K63" s="3" t="s">
        <v>15</v>
      </c>
      <c r="L63" s="3" t="s">
        <v>284</v>
      </c>
      <c r="M63" s="4">
        <v>46300</v>
      </c>
      <c r="N63" s="3" t="s">
        <v>285</v>
      </c>
      <c r="O63" s="3" t="s">
        <v>28</v>
      </c>
      <c r="P63" t="str">
        <f t="shared" si="0"/>
        <v>450013518520</v>
      </c>
      <c r="Q63" s="7" cm="1">
        <f t="array" ref="Q63:S63">VLOOKUP(P63,Hoja1!C:F,{2,3,4},FALSE)</f>
        <v>46269</v>
      </c>
      <c r="R63" t="str">
        <v>AGV</v>
      </c>
      <c r="S63" t="str">
        <v>1000012954 AGROABESAN SRL</v>
      </c>
      <c r="T63" t="str">
        <f>VLOOKUP(P63,Hoja2!C:D,2,FALSE)</f>
        <v>ILAHORGUE</v>
      </c>
    </row>
    <row r="64" spans="1:20" x14ac:dyDescent="0.3">
      <c r="A64" s="2" t="s">
        <v>15</v>
      </c>
      <c r="B64" s="3" t="s">
        <v>15</v>
      </c>
      <c r="C64" s="3" t="s">
        <v>729</v>
      </c>
      <c r="D64" s="3" t="s">
        <v>15</v>
      </c>
      <c r="E64" s="3" t="s">
        <v>17</v>
      </c>
      <c r="F64" s="4">
        <v>46301</v>
      </c>
      <c r="G64" s="3" t="s">
        <v>18</v>
      </c>
      <c r="H64" s="5">
        <v>231000</v>
      </c>
      <c r="I64" s="3" t="s">
        <v>19</v>
      </c>
      <c r="J64" s="3" t="s">
        <v>20</v>
      </c>
      <c r="K64" s="3" t="s">
        <v>15</v>
      </c>
      <c r="L64" s="3" t="s">
        <v>150</v>
      </c>
      <c r="M64" s="4">
        <v>46301</v>
      </c>
      <c r="N64" s="3" t="s">
        <v>730</v>
      </c>
      <c r="O64" s="3" t="s">
        <v>66</v>
      </c>
      <c r="P64" t="str">
        <f t="shared" si="0"/>
        <v>4500136112140</v>
      </c>
      <c r="Q64" s="7" cm="1">
        <f t="array" ref="Q64:S64">VLOOKUP(P64,Hoja1!C:F,{2,3,4},FALSE)</f>
        <v>46320</v>
      </c>
      <c r="R64" t="str">
        <v>AGV</v>
      </c>
      <c r="S64" t="str">
        <v>1000002077 DBT S.A.</v>
      </c>
      <c r="T64" t="str">
        <f>VLOOKUP(P64,Hoja2!C:D,2,FALSE)</f>
        <v>EFUNES</v>
      </c>
    </row>
    <row r="65" spans="1:20" x14ac:dyDescent="0.3">
      <c r="A65" s="2" t="s">
        <v>15</v>
      </c>
      <c r="B65" s="3" t="s">
        <v>15</v>
      </c>
      <c r="C65" s="3" t="s">
        <v>861</v>
      </c>
      <c r="D65" s="3" t="s">
        <v>25</v>
      </c>
      <c r="E65" s="3" t="s">
        <v>17</v>
      </c>
      <c r="F65" s="4">
        <v>46298</v>
      </c>
      <c r="G65" s="3" t="s">
        <v>18</v>
      </c>
      <c r="H65" s="5">
        <v>785124</v>
      </c>
      <c r="I65" s="3" t="s">
        <v>19</v>
      </c>
      <c r="J65" s="3" t="s">
        <v>20</v>
      </c>
      <c r="K65" s="3" t="s">
        <v>15</v>
      </c>
      <c r="L65" s="3" t="s">
        <v>112</v>
      </c>
      <c r="M65" s="4">
        <v>46301</v>
      </c>
      <c r="N65" s="3" t="s">
        <v>578</v>
      </c>
      <c r="O65" s="3" t="s">
        <v>32</v>
      </c>
      <c r="P65" t="str">
        <f t="shared" si="0"/>
        <v>450013982210</v>
      </c>
      <c r="Q65" s="7" cm="1">
        <f t="array" ref="Q65:S65">VLOOKUP(P65,Hoja1!C:F,{2,3,4},FALSE)</f>
        <v>46300</v>
      </c>
      <c r="R65" t="str">
        <v>C35</v>
      </c>
      <c r="S65" t="str">
        <v>1000010025 RAMOS MARIO SEBASTIAN</v>
      </c>
      <c r="T65" t="str">
        <f>VLOOKUP(P65,Hoja2!C:D,2,FALSE)</f>
        <v>FSOTO</v>
      </c>
    </row>
    <row r="66" spans="1:20" x14ac:dyDescent="0.3">
      <c r="A66" s="2" t="s">
        <v>15</v>
      </c>
      <c r="B66" s="3" t="s">
        <v>15</v>
      </c>
      <c r="C66" s="3" t="s">
        <v>862</v>
      </c>
      <c r="D66" s="3" t="s">
        <v>15</v>
      </c>
      <c r="E66" s="3" t="s">
        <v>17</v>
      </c>
      <c r="F66" s="4">
        <v>46296</v>
      </c>
      <c r="G66" s="3" t="s">
        <v>18</v>
      </c>
      <c r="H66" s="5">
        <v>818370</v>
      </c>
      <c r="I66" s="3" t="s">
        <v>19</v>
      </c>
      <c r="J66" s="3" t="s">
        <v>20</v>
      </c>
      <c r="K66" s="3" t="s">
        <v>15</v>
      </c>
      <c r="L66" s="3" t="s">
        <v>70</v>
      </c>
      <c r="M66" s="4">
        <v>46301</v>
      </c>
      <c r="N66" s="3" t="s">
        <v>781</v>
      </c>
      <c r="O66" s="3" t="s">
        <v>32</v>
      </c>
      <c r="P66" t="str">
        <f t="shared" si="0"/>
        <v>450014000310</v>
      </c>
      <c r="Q66" s="7" cm="1">
        <f t="array" ref="Q66:S66">VLOOKUP(P66,Hoja1!C:F,{2,3,4},FALSE)</f>
        <v>46301</v>
      </c>
      <c r="R66" t="str">
        <v>C35</v>
      </c>
      <c r="S66" t="str">
        <v>1000011519 SALLAGO FEDERICO MIGUEL</v>
      </c>
      <c r="T66" t="str">
        <f>VLOOKUP(P66,Hoja2!C:D,2,FALSE)</f>
        <v>FSOTO</v>
      </c>
    </row>
    <row r="67" spans="1:20" x14ac:dyDescent="0.3">
      <c r="A67" s="2" t="s">
        <v>15</v>
      </c>
      <c r="B67" s="3" t="s">
        <v>15</v>
      </c>
      <c r="C67" s="3" t="s">
        <v>863</v>
      </c>
      <c r="D67" s="3" t="s">
        <v>15</v>
      </c>
      <c r="E67" s="3" t="s">
        <v>17</v>
      </c>
      <c r="F67" s="4">
        <v>46297</v>
      </c>
      <c r="G67" s="3" t="s">
        <v>18</v>
      </c>
      <c r="H67" s="5">
        <v>1678752</v>
      </c>
      <c r="I67" s="3" t="s">
        <v>19</v>
      </c>
      <c r="J67" s="3" t="s">
        <v>20</v>
      </c>
      <c r="K67" s="3" t="s">
        <v>15</v>
      </c>
      <c r="L67" s="3" t="s">
        <v>51</v>
      </c>
      <c r="M67" s="4">
        <v>46301</v>
      </c>
      <c r="N67" s="3" t="s">
        <v>556</v>
      </c>
      <c r="O67" s="3" t="s">
        <v>28</v>
      </c>
      <c r="P67" t="str">
        <f t="shared" ref="P67:P130" si="1">_xlfn.CONCAT(N67:O67)</f>
        <v>450013995420</v>
      </c>
      <c r="Q67" s="7" cm="1">
        <f t="array" ref="Q67:S67">VLOOKUP(P67,Hoja1!C:F,{2,3,4},FALSE)</f>
        <v>46317</v>
      </c>
      <c r="R67" t="str">
        <v>C27</v>
      </c>
      <c r="S67" t="str">
        <v>1000007607 TUKUY S.R.L.</v>
      </c>
      <c r="T67" t="str">
        <f>VLOOKUP(P67,Hoja2!C:D,2,FALSE)</f>
        <v>PRODRIGUEZ</v>
      </c>
    </row>
    <row r="68" spans="1:20" x14ac:dyDescent="0.3">
      <c r="A68" s="2" t="s">
        <v>15</v>
      </c>
      <c r="B68" s="3" t="s">
        <v>15</v>
      </c>
      <c r="C68" s="3" t="s">
        <v>864</v>
      </c>
      <c r="D68" s="3" t="s">
        <v>25</v>
      </c>
      <c r="E68" s="3" t="s">
        <v>17</v>
      </c>
      <c r="F68" s="4">
        <v>46289</v>
      </c>
      <c r="G68" s="3" t="s">
        <v>18</v>
      </c>
      <c r="H68" s="5">
        <v>28595.040000000001</v>
      </c>
      <c r="I68" s="3" t="s">
        <v>19</v>
      </c>
      <c r="J68" s="3" t="s">
        <v>20</v>
      </c>
      <c r="K68" s="3" t="s">
        <v>15</v>
      </c>
      <c r="L68" s="3" t="s">
        <v>560</v>
      </c>
      <c r="M68" s="4">
        <v>46301</v>
      </c>
      <c r="N68" s="3" t="s">
        <v>581</v>
      </c>
      <c r="O68" s="3" t="s">
        <v>32</v>
      </c>
      <c r="P68" t="str">
        <f t="shared" si="1"/>
        <v>450013942110</v>
      </c>
      <c r="Q68" s="7" cm="1">
        <f t="array" ref="Q68:S68">VLOOKUP(P68,Hoja1!C:F,{2,3,4},FALSE)</f>
        <v>46297</v>
      </c>
      <c r="R68" t="str">
        <v>C27</v>
      </c>
      <c r="S68" t="str">
        <v>1000006352 SUAREZ BASALO RICARDO FEDERICO</v>
      </c>
      <c r="T68" t="str">
        <f>VLOOKUP(P68,Hoja2!C:D,2,FALSE)</f>
        <v>PRODRIGUEZ</v>
      </c>
    </row>
    <row r="69" spans="1:20" x14ac:dyDescent="0.3">
      <c r="A69" s="2" t="s">
        <v>15</v>
      </c>
      <c r="B69" s="3" t="s">
        <v>15</v>
      </c>
      <c r="C69" s="3" t="s">
        <v>865</v>
      </c>
      <c r="D69" s="3" t="s">
        <v>25</v>
      </c>
      <c r="E69" s="3" t="s">
        <v>17</v>
      </c>
      <c r="F69" s="4">
        <v>46296</v>
      </c>
      <c r="G69" s="3" t="s">
        <v>18</v>
      </c>
      <c r="H69" s="5">
        <v>764155</v>
      </c>
      <c r="I69" s="3" t="s">
        <v>19</v>
      </c>
      <c r="J69" s="3" t="s">
        <v>20</v>
      </c>
      <c r="K69" s="3" t="s">
        <v>15</v>
      </c>
      <c r="L69" s="3" t="s">
        <v>341</v>
      </c>
      <c r="M69" s="4">
        <v>46301</v>
      </c>
      <c r="N69" s="3" t="s">
        <v>342</v>
      </c>
      <c r="O69" s="3" t="s">
        <v>32</v>
      </c>
      <c r="P69" t="str">
        <f t="shared" si="1"/>
        <v>450013271710</v>
      </c>
      <c r="Q69" s="7" cm="1">
        <f t="array" ref="Q69:S69">VLOOKUP(P69,Hoja1!C:F,{2,3,4},FALSE)</f>
        <v>46366</v>
      </c>
      <c r="R69" t="str">
        <v>C25</v>
      </c>
      <c r="S69" t="str">
        <v>1000008772 MORON ARANSAY OSCAR ALFREDO</v>
      </c>
      <c r="T69" t="str">
        <f>VLOOKUP(P69,Hoja2!C:D,2,FALSE)</f>
        <v>ALOPEZ</v>
      </c>
    </row>
    <row r="70" spans="1:20" x14ac:dyDescent="0.3">
      <c r="A70" s="2" t="s">
        <v>15</v>
      </c>
      <c r="B70" s="3" t="s">
        <v>15</v>
      </c>
      <c r="C70" s="3" t="s">
        <v>731</v>
      </c>
      <c r="D70" s="3" t="s">
        <v>15</v>
      </c>
      <c r="E70" s="3" t="s">
        <v>17</v>
      </c>
      <c r="F70" s="4">
        <v>46275</v>
      </c>
      <c r="G70" s="3" t="s">
        <v>18</v>
      </c>
      <c r="H70" s="5">
        <v>192439.35</v>
      </c>
      <c r="I70" s="3" t="s">
        <v>19</v>
      </c>
      <c r="J70" s="3" t="s">
        <v>20</v>
      </c>
      <c r="K70" s="3" t="s">
        <v>15</v>
      </c>
      <c r="L70" s="3" t="s">
        <v>372</v>
      </c>
      <c r="M70" s="4">
        <v>46301</v>
      </c>
      <c r="N70" s="3" t="s">
        <v>373</v>
      </c>
      <c r="O70" s="3" t="s">
        <v>32</v>
      </c>
      <c r="P70" t="str">
        <f t="shared" si="1"/>
        <v>450013494910</v>
      </c>
      <c r="Q70" s="7" cm="1">
        <f t="array" ref="Q70:S70">VLOOKUP(P70,Hoja1!C:F,{2,3,4},FALSE)</f>
        <v>46274</v>
      </c>
      <c r="R70" t="str">
        <v>C29</v>
      </c>
      <c r="S70" t="str">
        <v>1000001871 ROMAGNOLI SILVANA LORENA</v>
      </c>
      <c r="T70" t="str">
        <f>VLOOKUP(P70,Hoja2!C:D,2,FALSE)</f>
        <v>RPEREZ</v>
      </c>
    </row>
    <row r="71" spans="1:20" x14ac:dyDescent="0.3">
      <c r="A71" s="2" t="s">
        <v>15</v>
      </c>
      <c r="B71" s="3" t="s">
        <v>15</v>
      </c>
      <c r="C71" s="3" t="s">
        <v>731</v>
      </c>
      <c r="D71" s="3" t="s">
        <v>15</v>
      </c>
      <c r="E71" s="3" t="s">
        <v>17</v>
      </c>
      <c r="F71" s="4">
        <v>46275</v>
      </c>
      <c r="G71" s="3" t="s">
        <v>18</v>
      </c>
      <c r="H71" s="5">
        <v>76978.759999999995</v>
      </c>
      <c r="I71" s="3" t="s">
        <v>19</v>
      </c>
      <c r="J71" s="3" t="s">
        <v>20</v>
      </c>
      <c r="K71" s="3" t="s">
        <v>15</v>
      </c>
      <c r="L71" s="3" t="s">
        <v>372</v>
      </c>
      <c r="M71" s="4">
        <v>46301</v>
      </c>
      <c r="N71" s="3" t="s">
        <v>373</v>
      </c>
      <c r="O71" s="3" t="s">
        <v>28</v>
      </c>
      <c r="P71" t="str">
        <f t="shared" si="1"/>
        <v>450013494920</v>
      </c>
      <c r="Q71" s="7" cm="1">
        <f t="array" ref="Q71:S71">VLOOKUP(P71,Hoja1!C:F,{2,3,4},FALSE)</f>
        <v>46274</v>
      </c>
      <c r="R71" t="str">
        <v>C29</v>
      </c>
      <c r="S71" t="str">
        <v>1000001871 ROMAGNOLI SILVANA LORENA</v>
      </c>
      <c r="T71" t="str">
        <f>VLOOKUP(P71,Hoja2!C:D,2,FALSE)</f>
        <v>RPEREZ</v>
      </c>
    </row>
    <row r="72" spans="1:20" x14ac:dyDescent="0.3">
      <c r="A72" s="2" t="s">
        <v>15</v>
      </c>
      <c r="B72" s="3" t="s">
        <v>15</v>
      </c>
      <c r="C72" s="3" t="s">
        <v>866</v>
      </c>
      <c r="D72" s="3" t="s">
        <v>25</v>
      </c>
      <c r="E72" s="3" t="s">
        <v>17</v>
      </c>
      <c r="F72" s="4">
        <v>46287</v>
      </c>
      <c r="G72" s="3" t="s">
        <v>18</v>
      </c>
      <c r="H72" s="5">
        <v>441384.2</v>
      </c>
      <c r="I72" s="3" t="s">
        <v>19</v>
      </c>
      <c r="J72" s="3" t="s">
        <v>20</v>
      </c>
      <c r="K72" s="3" t="s">
        <v>15</v>
      </c>
      <c r="L72" s="3" t="s">
        <v>444</v>
      </c>
      <c r="M72" s="4">
        <v>46301</v>
      </c>
      <c r="N72" s="3" t="s">
        <v>445</v>
      </c>
      <c r="O72" s="3" t="s">
        <v>28</v>
      </c>
      <c r="P72" t="str">
        <f t="shared" si="1"/>
        <v>450013892020</v>
      </c>
      <c r="Q72" s="7" cm="1">
        <f t="array" ref="Q72:S72">VLOOKUP(P72,Hoja1!C:F,{2,3,4},FALSE)</f>
        <v>46289</v>
      </c>
      <c r="R72" t="str">
        <v>C27</v>
      </c>
      <c r="S72" t="str">
        <v>1000007610 IMPLEMENTOS INDUSTRIALES S R L</v>
      </c>
      <c r="T72" t="str">
        <f>VLOOKUP(P72,Hoja2!C:D,2,FALSE)</f>
        <v>PRODRIGUEZ</v>
      </c>
    </row>
    <row r="73" spans="1:20" x14ac:dyDescent="0.3">
      <c r="A73" s="2" t="s">
        <v>15</v>
      </c>
      <c r="B73" s="3" t="s">
        <v>15</v>
      </c>
      <c r="C73" s="3" t="s">
        <v>867</v>
      </c>
      <c r="D73" s="3" t="s">
        <v>25</v>
      </c>
      <c r="E73" s="3" t="s">
        <v>17</v>
      </c>
      <c r="F73" s="4">
        <v>46289</v>
      </c>
      <c r="G73" s="3" t="s">
        <v>18</v>
      </c>
      <c r="H73" s="5">
        <v>53183.25</v>
      </c>
      <c r="I73" s="3" t="s">
        <v>19</v>
      </c>
      <c r="J73" s="3" t="s">
        <v>20</v>
      </c>
      <c r="K73" s="3" t="s">
        <v>15</v>
      </c>
      <c r="L73" s="3" t="s">
        <v>444</v>
      </c>
      <c r="M73" s="4">
        <v>46301</v>
      </c>
      <c r="N73" s="3" t="s">
        <v>461</v>
      </c>
      <c r="O73" s="3" t="s">
        <v>32</v>
      </c>
      <c r="P73" t="str">
        <f t="shared" si="1"/>
        <v>450013930310</v>
      </c>
      <c r="Q73" s="7" cm="1">
        <f t="array" ref="Q73:S73">VLOOKUP(P73,Hoja1!C:F,{2,3,4},FALSE)</f>
        <v>46295</v>
      </c>
      <c r="R73" t="str">
        <v>C27</v>
      </c>
      <c r="S73" t="str">
        <v>1000007610 IMPLEMENTOS INDUSTRIALES S R L</v>
      </c>
      <c r="T73" t="str">
        <f>VLOOKUP(P73,Hoja2!C:D,2,FALSE)</f>
        <v>PRODRIGUEZ</v>
      </c>
    </row>
    <row r="74" spans="1:20" x14ac:dyDescent="0.3">
      <c r="A74" s="2" t="s">
        <v>15</v>
      </c>
      <c r="B74" s="3" t="s">
        <v>15</v>
      </c>
      <c r="C74" s="3" t="s">
        <v>867</v>
      </c>
      <c r="D74" s="3" t="s">
        <v>15</v>
      </c>
      <c r="E74" s="3" t="s">
        <v>17</v>
      </c>
      <c r="F74" s="4">
        <v>46289</v>
      </c>
      <c r="G74" s="3" t="s">
        <v>18</v>
      </c>
      <c r="H74" s="5">
        <v>4979.8999999999996</v>
      </c>
      <c r="I74" s="3" t="s">
        <v>19</v>
      </c>
      <c r="J74" s="3" t="s">
        <v>20</v>
      </c>
      <c r="K74" s="3" t="s">
        <v>15</v>
      </c>
      <c r="L74" s="3" t="s">
        <v>444</v>
      </c>
      <c r="M74" s="4">
        <v>46301</v>
      </c>
      <c r="N74" s="3" t="s">
        <v>461</v>
      </c>
      <c r="O74" s="3" t="s">
        <v>23</v>
      </c>
      <c r="P74" t="str">
        <f t="shared" si="1"/>
        <v>450013930340</v>
      </c>
      <c r="Q74" s="7" cm="1">
        <f t="array" ref="Q74:S74">VLOOKUP(P74,Hoja1!C:F,{2,3,4},FALSE)</f>
        <v>46295</v>
      </c>
      <c r="R74" t="str">
        <v>C27</v>
      </c>
      <c r="S74" t="str">
        <v>1000007610 IMPLEMENTOS INDUSTRIALES S R L</v>
      </c>
      <c r="T74" t="str">
        <f>VLOOKUP(P74,Hoja2!C:D,2,FALSE)</f>
        <v>PRODRIGUEZ</v>
      </c>
    </row>
    <row r="75" spans="1:20" x14ac:dyDescent="0.3">
      <c r="A75" s="2" t="s">
        <v>15</v>
      </c>
      <c r="B75" s="3" t="s">
        <v>15</v>
      </c>
      <c r="C75" s="3" t="s">
        <v>867</v>
      </c>
      <c r="D75" s="3" t="s">
        <v>25</v>
      </c>
      <c r="E75" s="3" t="s">
        <v>17</v>
      </c>
      <c r="F75" s="4">
        <v>46289</v>
      </c>
      <c r="G75" s="3" t="s">
        <v>18</v>
      </c>
      <c r="H75" s="5">
        <v>27095.39</v>
      </c>
      <c r="I75" s="3" t="s">
        <v>19</v>
      </c>
      <c r="J75" s="3" t="s">
        <v>20</v>
      </c>
      <c r="K75" s="3" t="s">
        <v>15</v>
      </c>
      <c r="L75" s="3" t="s">
        <v>444</v>
      </c>
      <c r="M75" s="4">
        <v>46301</v>
      </c>
      <c r="N75" s="3" t="s">
        <v>461</v>
      </c>
      <c r="O75" s="3" t="s">
        <v>81</v>
      </c>
      <c r="P75" t="str">
        <f t="shared" si="1"/>
        <v>450013930370</v>
      </c>
      <c r="Q75" s="7" cm="1">
        <f t="array" ref="Q75:S75">VLOOKUP(P75,Hoja1!C:F,{2,3,4},FALSE)</f>
        <v>46295</v>
      </c>
      <c r="R75" t="str">
        <v>C27</v>
      </c>
      <c r="S75" t="str">
        <v>1000007610 IMPLEMENTOS INDUSTRIALES S R L</v>
      </c>
      <c r="T75" t="str">
        <f>VLOOKUP(P75,Hoja2!C:D,2,FALSE)</f>
        <v>PRODRIGUEZ</v>
      </c>
    </row>
    <row r="76" spans="1:20" x14ac:dyDescent="0.3">
      <c r="A76" s="2" t="s">
        <v>15</v>
      </c>
      <c r="B76" s="3" t="s">
        <v>15</v>
      </c>
      <c r="C76" s="3" t="s">
        <v>868</v>
      </c>
      <c r="D76" s="3" t="s">
        <v>15</v>
      </c>
      <c r="E76" s="3" t="s">
        <v>17</v>
      </c>
      <c r="F76" s="4">
        <v>46300</v>
      </c>
      <c r="G76" s="3" t="s">
        <v>18</v>
      </c>
      <c r="H76" s="5">
        <v>38479.32</v>
      </c>
      <c r="I76" s="3" t="s">
        <v>19</v>
      </c>
      <c r="J76" s="3" t="s">
        <v>20</v>
      </c>
      <c r="K76" s="3" t="s">
        <v>15</v>
      </c>
      <c r="L76" s="3" t="s">
        <v>114</v>
      </c>
      <c r="M76" s="4">
        <v>46302</v>
      </c>
      <c r="N76" s="3" t="s">
        <v>787</v>
      </c>
      <c r="O76" s="3" t="s">
        <v>32</v>
      </c>
      <c r="P76" t="str">
        <f t="shared" si="1"/>
        <v>450014017410</v>
      </c>
      <c r="Q76" s="7" cm="1">
        <f t="array" ref="Q76:S76">VLOOKUP(P76,Hoja1!C:F,{2,3,4},FALSE)</f>
        <v>46335</v>
      </c>
      <c r="R76" t="str">
        <v>C17</v>
      </c>
      <c r="S76" t="str">
        <v>1000007766 HERSAPEL SOCIEDAD DE RESPONSABILIDA</v>
      </c>
      <c r="T76" t="str">
        <f>VLOOKUP(P76,Hoja2!C:D,2,FALSE)</f>
        <v>GDIAZ</v>
      </c>
    </row>
    <row r="77" spans="1:20" x14ac:dyDescent="0.3">
      <c r="A77" s="2" t="s">
        <v>15</v>
      </c>
      <c r="B77" s="3" t="s">
        <v>15</v>
      </c>
      <c r="C77" s="3" t="s">
        <v>732</v>
      </c>
      <c r="D77" s="3" t="s">
        <v>25</v>
      </c>
      <c r="E77" s="3" t="s">
        <v>17</v>
      </c>
      <c r="F77" s="4">
        <v>46217</v>
      </c>
      <c r="G77" s="3" t="s">
        <v>18</v>
      </c>
      <c r="H77" s="5">
        <v>175053</v>
      </c>
      <c r="I77" s="3" t="s">
        <v>19</v>
      </c>
      <c r="J77" s="3" t="s">
        <v>20</v>
      </c>
      <c r="K77" s="3" t="s">
        <v>15</v>
      </c>
      <c r="L77" s="3" t="s">
        <v>233</v>
      </c>
      <c r="M77" s="4">
        <v>46302</v>
      </c>
      <c r="N77" s="3" t="s">
        <v>234</v>
      </c>
      <c r="O77" s="3" t="s">
        <v>32</v>
      </c>
      <c r="P77" t="str">
        <f t="shared" si="1"/>
        <v>450013137110</v>
      </c>
      <c r="Q77" s="7" cm="1">
        <f t="array" ref="Q77:S77">VLOOKUP(P77,Hoja1!C:F,{2,3,4},FALSE)</f>
        <v>46206</v>
      </c>
      <c r="R77" t="str">
        <v>C27</v>
      </c>
      <c r="S77" t="str">
        <v>1000000418 HILTI ARGENTINA SRL</v>
      </c>
      <c r="T77" t="str">
        <f>VLOOKUP(P77,Hoja2!C:D,2,FALSE)</f>
        <v>PRODRIGUEZ</v>
      </c>
    </row>
    <row r="78" spans="1:20" x14ac:dyDescent="0.3">
      <c r="A78" s="2" t="s">
        <v>15</v>
      </c>
      <c r="B78" s="3" t="s">
        <v>15</v>
      </c>
      <c r="C78" s="3" t="s">
        <v>732</v>
      </c>
      <c r="D78" s="3" t="s">
        <v>25</v>
      </c>
      <c r="E78" s="3" t="s">
        <v>17</v>
      </c>
      <c r="F78" s="4">
        <v>46217</v>
      </c>
      <c r="G78" s="3" t="s">
        <v>18</v>
      </c>
      <c r="H78" s="5">
        <v>184814.43</v>
      </c>
      <c r="I78" s="3" t="s">
        <v>19</v>
      </c>
      <c r="J78" s="3" t="s">
        <v>20</v>
      </c>
      <c r="K78" s="3" t="s">
        <v>15</v>
      </c>
      <c r="L78" s="3" t="s">
        <v>233</v>
      </c>
      <c r="M78" s="4">
        <v>46302</v>
      </c>
      <c r="N78" s="3" t="s">
        <v>234</v>
      </c>
      <c r="O78" s="3" t="s">
        <v>28</v>
      </c>
      <c r="P78" t="str">
        <f t="shared" si="1"/>
        <v>450013137120</v>
      </c>
      <c r="Q78" s="7" cm="1">
        <f t="array" ref="Q78:S78">VLOOKUP(P78,Hoja1!C:F,{2,3,4},FALSE)</f>
        <v>46206</v>
      </c>
      <c r="R78" t="str">
        <v>C27</v>
      </c>
      <c r="S78" t="str">
        <v>1000000418 HILTI ARGENTINA SRL</v>
      </c>
      <c r="T78" t="str">
        <f>VLOOKUP(P78,Hoja2!C:D,2,FALSE)</f>
        <v>PRODRIGUEZ</v>
      </c>
    </row>
    <row r="79" spans="1:20" x14ac:dyDescent="0.3">
      <c r="A79" s="2" t="s">
        <v>15</v>
      </c>
      <c r="B79" s="3" t="s">
        <v>15</v>
      </c>
      <c r="C79" s="3" t="s">
        <v>733</v>
      </c>
      <c r="D79" s="3" t="s">
        <v>15</v>
      </c>
      <c r="E79" s="3" t="s">
        <v>17</v>
      </c>
      <c r="F79" s="4">
        <v>46295</v>
      </c>
      <c r="G79" s="3" t="s">
        <v>18</v>
      </c>
      <c r="H79" s="5">
        <v>59682</v>
      </c>
      <c r="I79" s="3" t="s">
        <v>19</v>
      </c>
      <c r="J79" s="3" t="s">
        <v>20</v>
      </c>
      <c r="K79" s="3" t="s">
        <v>15</v>
      </c>
      <c r="L79" s="3" t="s">
        <v>734</v>
      </c>
      <c r="M79" s="4">
        <v>46302</v>
      </c>
      <c r="N79" s="3" t="s">
        <v>735</v>
      </c>
      <c r="O79" s="3" t="s">
        <v>32</v>
      </c>
      <c r="P79" t="str">
        <f t="shared" si="1"/>
        <v>450013933710</v>
      </c>
      <c r="Q79" s="7" cm="1">
        <f t="array" ref="Q79:S79">VLOOKUP(P79,Hoja1!C:F,{2,3,4},FALSE)</f>
        <v>46304</v>
      </c>
      <c r="R79" t="str">
        <v>C17</v>
      </c>
      <c r="S79" t="str">
        <v>1000000003 ARROYITO MAQUINARIAS S.R.L.</v>
      </c>
      <c r="T79" t="str">
        <f>VLOOKUP(P79,Hoja2!C:D,2,FALSE)</f>
        <v>GJULIANI</v>
      </c>
    </row>
    <row r="80" spans="1:20" x14ac:dyDescent="0.3">
      <c r="A80" s="2" t="s">
        <v>15</v>
      </c>
      <c r="B80" s="3" t="s">
        <v>15</v>
      </c>
      <c r="C80" s="3" t="s">
        <v>733</v>
      </c>
      <c r="D80" s="3" t="s">
        <v>15</v>
      </c>
      <c r="E80" s="3" t="s">
        <v>17</v>
      </c>
      <c r="F80" s="4">
        <v>46295</v>
      </c>
      <c r="G80" s="3" t="s">
        <v>18</v>
      </c>
      <c r="H80" s="5">
        <v>178500</v>
      </c>
      <c r="I80" s="3" t="s">
        <v>19</v>
      </c>
      <c r="J80" s="3" t="s">
        <v>20</v>
      </c>
      <c r="K80" s="3" t="s">
        <v>15</v>
      </c>
      <c r="L80" s="3" t="s">
        <v>734</v>
      </c>
      <c r="M80" s="4">
        <v>46302</v>
      </c>
      <c r="N80" s="3" t="s">
        <v>735</v>
      </c>
      <c r="O80" s="3" t="s">
        <v>28</v>
      </c>
      <c r="P80" t="str">
        <f t="shared" si="1"/>
        <v>450013933720</v>
      </c>
      <c r="Q80" s="7" cm="1">
        <f t="array" ref="Q80:S80">VLOOKUP(P80,Hoja1!C:F,{2,3,4},FALSE)</f>
        <v>46304</v>
      </c>
      <c r="R80" t="str">
        <v>C17</v>
      </c>
      <c r="S80" t="str">
        <v>1000000003 ARROYITO MAQUINARIAS S.R.L.</v>
      </c>
      <c r="T80" t="str">
        <f>VLOOKUP(P80,Hoja2!C:D,2,FALSE)</f>
        <v>GJULIANI</v>
      </c>
    </row>
    <row r="81" spans="1:20" x14ac:dyDescent="0.3">
      <c r="A81" s="2" t="s">
        <v>15</v>
      </c>
      <c r="B81" s="3" t="s">
        <v>15</v>
      </c>
      <c r="C81" s="3" t="s">
        <v>736</v>
      </c>
      <c r="D81" s="3" t="s">
        <v>15</v>
      </c>
      <c r="E81" s="3" t="s">
        <v>17</v>
      </c>
      <c r="F81" s="4">
        <v>46258</v>
      </c>
      <c r="G81" s="3" t="s">
        <v>18</v>
      </c>
      <c r="H81" s="5">
        <v>65981.91</v>
      </c>
      <c r="I81" s="3" t="s">
        <v>19</v>
      </c>
      <c r="J81" s="3" t="s">
        <v>20</v>
      </c>
      <c r="K81" s="3" t="s">
        <v>15</v>
      </c>
      <c r="L81" s="3" t="s">
        <v>380</v>
      </c>
      <c r="M81" s="4">
        <v>46302</v>
      </c>
      <c r="N81" s="3" t="s">
        <v>381</v>
      </c>
      <c r="O81" s="3" t="s">
        <v>32</v>
      </c>
      <c r="P81" t="str">
        <f t="shared" si="1"/>
        <v>450013624010</v>
      </c>
      <c r="Q81" s="7" cm="1">
        <f t="array" ref="Q81:S81">VLOOKUP(P81,Hoja1!C:F,{2,3,4},FALSE)</f>
        <v>46258</v>
      </c>
      <c r="R81" t="str">
        <v>C35</v>
      </c>
      <c r="S81" t="str">
        <v>1000000189 POBERAJ S.A.</v>
      </c>
      <c r="T81" t="str">
        <f>VLOOKUP(P81,Hoja2!C:D,2,FALSE)</f>
        <v>FSOTO</v>
      </c>
    </row>
    <row r="82" spans="1:20" x14ac:dyDescent="0.3">
      <c r="A82" s="2" t="s">
        <v>15</v>
      </c>
      <c r="B82" s="3" t="s">
        <v>15</v>
      </c>
      <c r="C82" s="3" t="s">
        <v>737</v>
      </c>
      <c r="D82" s="3" t="s">
        <v>15</v>
      </c>
      <c r="E82" s="3" t="s">
        <v>17</v>
      </c>
      <c r="F82" s="4">
        <v>46269</v>
      </c>
      <c r="G82" s="3" t="s">
        <v>50</v>
      </c>
      <c r="H82" s="6">
        <v>-415454.54</v>
      </c>
      <c r="I82" s="3" t="s">
        <v>19</v>
      </c>
      <c r="J82" s="3" t="s">
        <v>20</v>
      </c>
      <c r="K82" s="3" t="s">
        <v>15</v>
      </c>
      <c r="L82" s="3" t="s">
        <v>62</v>
      </c>
      <c r="M82" s="4">
        <v>46276</v>
      </c>
      <c r="N82" s="3" t="s">
        <v>738</v>
      </c>
      <c r="O82" s="3" t="s">
        <v>32</v>
      </c>
      <c r="P82" t="str">
        <f t="shared" si="1"/>
        <v>450013795410</v>
      </c>
      <c r="Q82" s="7" cm="1">
        <f t="array" ref="Q82:S82">VLOOKUP(P82,Hoja1!C:F,{2,3,4},FALSE)</f>
        <v>46274</v>
      </c>
      <c r="R82" t="str">
        <v>C35</v>
      </c>
      <c r="S82" t="str">
        <v>1000000566 AUTOLUX SA</v>
      </c>
      <c r="T82" t="str">
        <f>VLOOKUP(P82,Hoja2!C:D,2,FALSE)</f>
        <v>FSOTO</v>
      </c>
    </row>
    <row r="83" spans="1:20" x14ac:dyDescent="0.3">
      <c r="A83" s="2" t="s">
        <v>15</v>
      </c>
      <c r="B83" s="3" t="s">
        <v>15</v>
      </c>
      <c r="C83" s="3" t="s">
        <v>739</v>
      </c>
      <c r="D83" s="3" t="s">
        <v>15</v>
      </c>
      <c r="E83" s="3" t="s">
        <v>17</v>
      </c>
      <c r="F83" s="4">
        <v>46276</v>
      </c>
      <c r="G83" s="3" t="s">
        <v>18</v>
      </c>
      <c r="H83" s="5">
        <v>3429120</v>
      </c>
      <c r="I83" s="3" t="s">
        <v>19</v>
      </c>
      <c r="J83" s="3" t="s">
        <v>20</v>
      </c>
      <c r="K83" s="3" t="s">
        <v>15</v>
      </c>
      <c r="L83" s="3" t="s">
        <v>383</v>
      </c>
      <c r="M83" s="4">
        <v>46302</v>
      </c>
      <c r="N83" s="3" t="s">
        <v>384</v>
      </c>
      <c r="O83" s="3" t="s">
        <v>32</v>
      </c>
      <c r="P83" t="str">
        <f t="shared" si="1"/>
        <v>450013457010</v>
      </c>
      <c r="Q83" s="7" cm="1">
        <f t="array" ref="Q83:S83">VLOOKUP(P83,Hoja1!C:F,{2,3,4},FALSE)</f>
        <v>46280</v>
      </c>
      <c r="R83" t="str">
        <v>C29</v>
      </c>
      <c r="S83" t="str">
        <v>1000000125 SYLWAN S.A. BOMBAS</v>
      </c>
      <c r="T83" t="str">
        <f>VLOOKUP(P83,Hoja2!C:D,2,FALSE)</f>
        <v>MFREIJOMIL</v>
      </c>
    </row>
    <row r="84" spans="1:20" x14ac:dyDescent="0.3">
      <c r="A84" s="2" t="s">
        <v>15</v>
      </c>
      <c r="B84" s="3" t="s">
        <v>15</v>
      </c>
      <c r="C84" s="3" t="s">
        <v>869</v>
      </c>
      <c r="D84" s="3" t="s">
        <v>15</v>
      </c>
      <c r="E84" s="3" t="s">
        <v>17</v>
      </c>
      <c r="F84" s="4">
        <v>46297</v>
      </c>
      <c r="G84" s="3" t="s">
        <v>18</v>
      </c>
      <c r="H84" s="5">
        <v>64220</v>
      </c>
      <c r="I84" s="3" t="s">
        <v>19</v>
      </c>
      <c r="J84" s="3" t="s">
        <v>20</v>
      </c>
      <c r="K84" s="3" t="s">
        <v>15</v>
      </c>
      <c r="L84" s="3" t="s">
        <v>73</v>
      </c>
      <c r="M84" s="4">
        <v>46302</v>
      </c>
      <c r="N84" s="3" t="s">
        <v>537</v>
      </c>
      <c r="O84" s="3" t="s">
        <v>32</v>
      </c>
      <c r="P84" t="str">
        <f t="shared" si="1"/>
        <v>450013974210</v>
      </c>
      <c r="Q84" s="7" cm="1">
        <f t="array" ref="Q84:S84">VLOOKUP(P84,Hoja1!C:F,{2,3,4},FALSE)</f>
        <v>46318</v>
      </c>
      <c r="R84" t="str">
        <v>C28</v>
      </c>
      <c r="S84" t="str">
        <v>1000007451 FLORES CARLOS FELIPE Y OTROS S H</v>
      </c>
      <c r="T84" t="str">
        <f>VLOOKUP(P84,Hoja2!C:D,2,FALSE)</f>
        <v>GJULIANI</v>
      </c>
    </row>
    <row r="85" spans="1:20" x14ac:dyDescent="0.3">
      <c r="A85" s="2" t="s">
        <v>15</v>
      </c>
      <c r="B85" s="3" t="s">
        <v>15</v>
      </c>
      <c r="C85" s="3" t="s">
        <v>869</v>
      </c>
      <c r="D85" s="3" t="s">
        <v>15</v>
      </c>
      <c r="E85" s="3" t="s">
        <v>17</v>
      </c>
      <c r="F85" s="4">
        <v>46297</v>
      </c>
      <c r="G85" s="3" t="s">
        <v>18</v>
      </c>
      <c r="H85" s="5">
        <v>22024.799999999999</v>
      </c>
      <c r="I85" s="3" t="s">
        <v>19</v>
      </c>
      <c r="J85" s="3" t="s">
        <v>20</v>
      </c>
      <c r="K85" s="3" t="s">
        <v>15</v>
      </c>
      <c r="L85" s="3" t="s">
        <v>73</v>
      </c>
      <c r="M85" s="4">
        <v>46302</v>
      </c>
      <c r="N85" s="3" t="s">
        <v>537</v>
      </c>
      <c r="O85" s="3" t="s">
        <v>28</v>
      </c>
      <c r="P85" t="str">
        <f t="shared" si="1"/>
        <v>450013974220</v>
      </c>
      <c r="Q85" s="7" cm="1">
        <f t="array" ref="Q85:S85">VLOOKUP(P85,Hoja1!C:F,{2,3,4},FALSE)</f>
        <v>46318</v>
      </c>
      <c r="R85" t="str">
        <v>C28</v>
      </c>
      <c r="S85" t="str">
        <v>1000007451 FLORES CARLOS FELIPE Y OTROS S H</v>
      </c>
      <c r="T85" t="str">
        <f>VLOOKUP(P85,Hoja2!C:D,2,FALSE)</f>
        <v>GJULIANI</v>
      </c>
    </row>
    <row r="86" spans="1:20" x14ac:dyDescent="0.3">
      <c r="A86" s="2" t="s">
        <v>15</v>
      </c>
      <c r="B86" s="3" t="s">
        <v>15</v>
      </c>
      <c r="C86" s="3" t="s">
        <v>869</v>
      </c>
      <c r="D86" s="3" t="s">
        <v>15</v>
      </c>
      <c r="E86" s="3" t="s">
        <v>17</v>
      </c>
      <c r="F86" s="4">
        <v>46297</v>
      </c>
      <c r="G86" s="3" t="s">
        <v>18</v>
      </c>
      <c r="H86" s="5">
        <v>157684.79999999999</v>
      </c>
      <c r="I86" s="3" t="s">
        <v>19</v>
      </c>
      <c r="J86" s="3" t="s">
        <v>20</v>
      </c>
      <c r="K86" s="3" t="s">
        <v>15</v>
      </c>
      <c r="L86" s="3" t="s">
        <v>73</v>
      </c>
      <c r="M86" s="4">
        <v>46302</v>
      </c>
      <c r="N86" s="3" t="s">
        <v>537</v>
      </c>
      <c r="O86" s="3" t="s">
        <v>23</v>
      </c>
      <c r="P86" t="str">
        <f t="shared" si="1"/>
        <v>450013974240</v>
      </c>
      <c r="Q86" s="7" cm="1">
        <f t="array" ref="Q86:S86">VLOOKUP(P86,Hoja1!C:F,{2,3,4},FALSE)</f>
        <v>46318</v>
      </c>
      <c r="R86" t="str">
        <v>C28</v>
      </c>
      <c r="S86" t="str">
        <v>1000007451 FLORES CARLOS FELIPE Y OTROS S H</v>
      </c>
      <c r="T86" t="str">
        <f>VLOOKUP(P86,Hoja2!C:D,2,FALSE)</f>
        <v>GJULIANI</v>
      </c>
    </row>
    <row r="87" spans="1:20" x14ac:dyDescent="0.3">
      <c r="A87" s="2" t="s">
        <v>15</v>
      </c>
      <c r="B87" s="3" t="s">
        <v>15</v>
      </c>
      <c r="C87" s="3" t="s">
        <v>869</v>
      </c>
      <c r="D87" s="3" t="s">
        <v>15</v>
      </c>
      <c r="E87" s="3" t="s">
        <v>17</v>
      </c>
      <c r="F87" s="4">
        <v>46297</v>
      </c>
      <c r="G87" s="3" t="s">
        <v>18</v>
      </c>
      <c r="H87" s="5">
        <v>620437.57999999996</v>
      </c>
      <c r="I87" s="3" t="s">
        <v>19</v>
      </c>
      <c r="J87" s="3" t="s">
        <v>20</v>
      </c>
      <c r="K87" s="3" t="s">
        <v>15</v>
      </c>
      <c r="L87" s="3" t="s">
        <v>73</v>
      </c>
      <c r="M87" s="4">
        <v>46302</v>
      </c>
      <c r="N87" s="3" t="s">
        <v>537</v>
      </c>
      <c r="O87" s="3" t="s">
        <v>55</v>
      </c>
      <c r="P87" t="str">
        <f t="shared" si="1"/>
        <v>450013974250</v>
      </c>
      <c r="Q87" s="7" cm="1">
        <f t="array" ref="Q87:S87">VLOOKUP(P87,Hoja1!C:F,{2,3,4},FALSE)</f>
        <v>46318</v>
      </c>
      <c r="R87" t="str">
        <v>C28</v>
      </c>
      <c r="S87" t="str">
        <v>1000007451 FLORES CARLOS FELIPE Y OTROS S H</v>
      </c>
      <c r="T87" t="str">
        <f>VLOOKUP(P87,Hoja2!C:D,2,FALSE)</f>
        <v>GJULIANI</v>
      </c>
    </row>
    <row r="88" spans="1:20" x14ac:dyDescent="0.3">
      <c r="A88" s="2" t="s">
        <v>15</v>
      </c>
      <c r="B88" s="3" t="s">
        <v>15</v>
      </c>
      <c r="C88" s="3" t="s">
        <v>870</v>
      </c>
      <c r="D88" s="3" t="s">
        <v>15</v>
      </c>
      <c r="E88" s="3" t="s">
        <v>17</v>
      </c>
      <c r="F88" s="4">
        <v>46301</v>
      </c>
      <c r="G88" s="3" t="s">
        <v>18</v>
      </c>
      <c r="H88" s="5">
        <v>3252597.02</v>
      </c>
      <c r="I88" s="3" t="s">
        <v>19</v>
      </c>
      <c r="J88" s="3" t="s">
        <v>20</v>
      </c>
      <c r="K88" s="3" t="s">
        <v>15</v>
      </c>
      <c r="L88" s="3" t="s">
        <v>73</v>
      </c>
      <c r="M88" s="4">
        <v>46302</v>
      </c>
      <c r="N88" s="3" t="s">
        <v>537</v>
      </c>
      <c r="O88" s="3" t="s">
        <v>55</v>
      </c>
      <c r="P88" t="str">
        <f t="shared" si="1"/>
        <v>450013974250</v>
      </c>
      <c r="Q88" s="7" cm="1">
        <f t="array" ref="Q88:S88">VLOOKUP(P88,Hoja1!C:F,{2,3,4},FALSE)</f>
        <v>46318</v>
      </c>
      <c r="R88" t="str">
        <v>C28</v>
      </c>
      <c r="S88" t="str">
        <v>1000007451 FLORES CARLOS FELIPE Y OTROS S H</v>
      </c>
      <c r="T88" t="str">
        <f>VLOOKUP(P88,Hoja2!C:D,2,FALSE)</f>
        <v>GJULIANI</v>
      </c>
    </row>
    <row r="89" spans="1:20" x14ac:dyDescent="0.3">
      <c r="A89" s="2" t="s">
        <v>15</v>
      </c>
      <c r="B89" s="3" t="s">
        <v>15</v>
      </c>
      <c r="C89" s="3" t="s">
        <v>740</v>
      </c>
      <c r="D89" s="3" t="s">
        <v>15</v>
      </c>
      <c r="E89" s="3" t="s">
        <v>17</v>
      </c>
      <c r="F89" s="4">
        <v>46275</v>
      </c>
      <c r="G89" s="3" t="s">
        <v>18</v>
      </c>
      <c r="H89" s="5">
        <v>739622.06</v>
      </c>
      <c r="I89" s="3" t="s">
        <v>19</v>
      </c>
      <c r="J89" s="3" t="s">
        <v>20</v>
      </c>
      <c r="K89" s="3" t="s">
        <v>15</v>
      </c>
      <c r="L89" s="3" t="s">
        <v>217</v>
      </c>
      <c r="M89" s="4">
        <v>46302</v>
      </c>
      <c r="N89" s="3" t="s">
        <v>386</v>
      </c>
      <c r="O89" s="3" t="s">
        <v>32</v>
      </c>
      <c r="P89" t="str">
        <f t="shared" si="1"/>
        <v>450013816510</v>
      </c>
      <c r="Q89" s="7" cm="1">
        <f t="array" ref="Q89:S89">VLOOKUP(P89,Hoja1!C:F,{2,3,4},FALSE)</f>
        <v>46321</v>
      </c>
      <c r="R89" t="str">
        <v>C29</v>
      </c>
      <c r="S89" t="str">
        <v>1000000012 IGARRETA MAQUINAS S.A.</v>
      </c>
      <c r="T89" t="str">
        <f>VLOOKUP(P89,Hoja2!C:D,2,FALSE)</f>
        <v>RPEREZ</v>
      </c>
    </row>
    <row r="90" spans="1:20" x14ac:dyDescent="0.3">
      <c r="A90" s="2" t="s">
        <v>15</v>
      </c>
      <c r="B90" s="3" t="s">
        <v>15</v>
      </c>
      <c r="C90" s="3" t="s">
        <v>871</v>
      </c>
      <c r="D90" s="3" t="s">
        <v>25</v>
      </c>
      <c r="E90" s="3" t="s">
        <v>17</v>
      </c>
      <c r="F90" s="4">
        <v>46301</v>
      </c>
      <c r="G90" s="3" t="s">
        <v>18</v>
      </c>
      <c r="H90" s="5">
        <v>63651</v>
      </c>
      <c r="I90" s="3" t="s">
        <v>19</v>
      </c>
      <c r="J90" s="3" t="s">
        <v>20</v>
      </c>
      <c r="K90" s="3" t="s">
        <v>15</v>
      </c>
      <c r="L90" s="3" t="s">
        <v>447</v>
      </c>
      <c r="M90" s="4">
        <v>46302</v>
      </c>
      <c r="N90" s="3" t="s">
        <v>567</v>
      </c>
      <c r="O90" s="3" t="s">
        <v>32</v>
      </c>
      <c r="P90" t="str">
        <f t="shared" si="1"/>
        <v>450013982510</v>
      </c>
      <c r="Q90" s="7" cm="1">
        <f t="array" ref="Q90:S90">VLOOKUP(P90,Hoja1!C:F,{2,3,4},FALSE)</f>
        <v>46303</v>
      </c>
      <c r="R90" t="str">
        <v>C35</v>
      </c>
      <c r="S90" t="str">
        <v>1000011893 BEVACQUA CARLOS IVAN LEONARDO</v>
      </c>
      <c r="T90" t="str">
        <f>VLOOKUP(P90,Hoja2!C:D,2,FALSE)</f>
        <v>FSOTO</v>
      </c>
    </row>
    <row r="91" spans="1:20" x14ac:dyDescent="0.3">
      <c r="A91" s="2" t="s">
        <v>15</v>
      </c>
      <c r="B91" s="3" t="s">
        <v>15</v>
      </c>
      <c r="C91" s="3" t="s">
        <v>872</v>
      </c>
      <c r="D91" s="3" t="s">
        <v>25</v>
      </c>
      <c r="E91" s="3" t="s">
        <v>17</v>
      </c>
      <c r="F91" s="4">
        <v>46300</v>
      </c>
      <c r="G91" s="3" t="s">
        <v>18</v>
      </c>
      <c r="H91" s="5">
        <v>185950</v>
      </c>
      <c r="I91" s="3" t="s">
        <v>19</v>
      </c>
      <c r="J91" s="3" t="s">
        <v>20</v>
      </c>
      <c r="K91" s="3" t="s">
        <v>15</v>
      </c>
      <c r="L91" s="3" t="s">
        <v>560</v>
      </c>
      <c r="M91" s="4">
        <v>46302</v>
      </c>
      <c r="N91" s="3" t="s">
        <v>816</v>
      </c>
      <c r="O91" s="3" t="s">
        <v>32</v>
      </c>
      <c r="P91" t="str">
        <f t="shared" si="1"/>
        <v>450014015810</v>
      </c>
      <c r="Q91" s="7" cm="1">
        <f t="array" ref="Q91:S91">VLOOKUP(P91,Hoja1!C:F,{2,3,4},FALSE)</f>
        <v>46304</v>
      </c>
      <c r="R91" t="str">
        <v>C35</v>
      </c>
      <c r="S91" t="str">
        <v>1000006352 SUAREZ BASALO RICARDO FEDERICO</v>
      </c>
      <c r="T91" t="str">
        <f>VLOOKUP(P91,Hoja2!C:D,2,FALSE)</f>
        <v>FSOTO</v>
      </c>
    </row>
    <row r="92" spans="1:20" x14ac:dyDescent="0.3">
      <c r="A92" s="2" t="s">
        <v>15</v>
      </c>
      <c r="B92" s="3" t="s">
        <v>15</v>
      </c>
      <c r="C92" s="3" t="s">
        <v>873</v>
      </c>
      <c r="D92" s="3" t="s">
        <v>25</v>
      </c>
      <c r="E92" s="3" t="s">
        <v>17</v>
      </c>
      <c r="F92" s="4">
        <v>46301</v>
      </c>
      <c r="G92" s="3" t="s">
        <v>18</v>
      </c>
      <c r="H92" s="5">
        <v>272700</v>
      </c>
      <c r="I92" s="3" t="s">
        <v>19</v>
      </c>
      <c r="J92" s="3" t="s">
        <v>20</v>
      </c>
      <c r="K92" s="3" t="s">
        <v>15</v>
      </c>
      <c r="L92" s="3" t="s">
        <v>447</v>
      </c>
      <c r="M92" s="4">
        <v>46302</v>
      </c>
      <c r="N92" s="3" t="s">
        <v>466</v>
      </c>
      <c r="O92" s="3" t="s">
        <v>32</v>
      </c>
      <c r="P92" t="str">
        <f t="shared" si="1"/>
        <v>450013951410</v>
      </c>
      <c r="Q92" s="7" cm="1">
        <f t="array" ref="Q92:S92">VLOOKUP(P92,Hoja1!C:F,{2,3,4},FALSE)</f>
        <v>46301</v>
      </c>
      <c r="R92" t="str">
        <v>C19</v>
      </c>
      <c r="S92" t="str">
        <v>1000011893 BEVACQUA CARLOS IVAN LEONARDO</v>
      </c>
      <c r="T92" t="str">
        <f>VLOOKUP(P92,Hoja2!C:D,2,FALSE)</f>
        <v>JPUPULIN</v>
      </c>
    </row>
    <row r="93" spans="1:20" x14ac:dyDescent="0.3">
      <c r="A93" s="2" t="s">
        <v>15</v>
      </c>
      <c r="B93" s="3" t="s">
        <v>15</v>
      </c>
      <c r="C93" s="3" t="s">
        <v>874</v>
      </c>
      <c r="D93" s="3" t="s">
        <v>25</v>
      </c>
      <c r="E93" s="3" t="s">
        <v>17</v>
      </c>
      <c r="F93" s="4">
        <v>46293</v>
      </c>
      <c r="G93" s="3" t="s">
        <v>18</v>
      </c>
      <c r="H93" s="5">
        <v>3402000</v>
      </c>
      <c r="I93" s="3" t="s">
        <v>19</v>
      </c>
      <c r="J93" s="3" t="s">
        <v>20</v>
      </c>
      <c r="K93" s="3" t="s">
        <v>15</v>
      </c>
      <c r="L93" s="3" t="s">
        <v>545</v>
      </c>
      <c r="M93" s="4">
        <v>46303</v>
      </c>
      <c r="N93" s="3" t="s">
        <v>546</v>
      </c>
      <c r="O93" s="3" t="s">
        <v>32</v>
      </c>
      <c r="P93" t="str">
        <f t="shared" si="1"/>
        <v>450013924610</v>
      </c>
      <c r="Q93" s="7" cm="1">
        <f t="array" ref="Q93:S93">VLOOKUP(P93,Hoja1!C:F,{2,3,4},FALSE)</f>
        <v>46466</v>
      </c>
      <c r="R93" t="str">
        <v>C25</v>
      </c>
      <c r="S93" t="str">
        <v>1000012228 MED LAB SALTA S.R.L.</v>
      </c>
      <c r="T93" t="str">
        <f>VLOOKUP(P93,Hoja2!C:D,2,FALSE)</f>
        <v>MPITTIA</v>
      </c>
    </row>
    <row r="94" spans="1:20" x14ac:dyDescent="0.3">
      <c r="A94" s="2" t="s">
        <v>15</v>
      </c>
      <c r="B94" s="3" t="s">
        <v>15</v>
      </c>
      <c r="C94" s="3" t="s">
        <v>875</v>
      </c>
      <c r="D94" s="3" t="s">
        <v>25</v>
      </c>
      <c r="E94" s="3" t="s">
        <v>17</v>
      </c>
      <c r="F94" s="4">
        <v>46296</v>
      </c>
      <c r="G94" s="3" t="s">
        <v>18</v>
      </c>
      <c r="H94" s="5">
        <v>1512000</v>
      </c>
      <c r="I94" s="3" t="s">
        <v>19</v>
      </c>
      <c r="J94" s="3" t="s">
        <v>20</v>
      </c>
      <c r="K94" s="3" t="s">
        <v>15</v>
      </c>
      <c r="L94" s="3" t="s">
        <v>545</v>
      </c>
      <c r="M94" s="4">
        <v>46303</v>
      </c>
      <c r="N94" s="3" t="s">
        <v>546</v>
      </c>
      <c r="O94" s="3" t="s">
        <v>32</v>
      </c>
      <c r="P94" t="str">
        <f t="shared" si="1"/>
        <v>450013924610</v>
      </c>
      <c r="Q94" s="7" cm="1">
        <f t="array" ref="Q94:S94">VLOOKUP(P94,Hoja1!C:F,{2,3,4},FALSE)</f>
        <v>46466</v>
      </c>
      <c r="R94" t="str">
        <v>C25</v>
      </c>
      <c r="S94" t="str">
        <v>1000012228 MED LAB SALTA S.R.L.</v>
      </c>
      <c r="T94" t="str">
        <f>VLOOKUP(P94,Hoja2!C:D,2,FALSE)</f>
        <v>MPITTIA</v>
      </c>
    </row>
    <row r="95" spans="1:20" x14ac:dyDescent="0.3">
      <c r="A95" s="2" t="s">
        <v>15</v>
      </c>
      <c r="B95" s="3" t="s">
        <v>15</v>
      </c>
      <c r="C95" s="3" t="s">
        <v>876</v>
      </c>
      <c r="D95" s="3" t="s">
        <v>15</v>
      </c>
      <c r="E95" s="3" t="s">
        <v>17</v>
      </c>
      <c r="F95" s="4">
        <v>46296</v>
      </c>
      <c r="G95" s="3" t="s">
        <v>18</v>
      </c>
      <c r="H95" s="5">
        <v>74376</v>
      </c>
      <c r="I95" s="3" t="s">
        <v>19</v>
      </c>
      <c r="J95" s="3" t="s">
        <v>20</v>
      </c>
      <c r="K95" s="3" t="s">
        <v>15</v>
      </c>
      <c r="L95" s="3" t="s">
        <v>99</v>
      </c>
      <c r="M95" s="4">
        <v>46303</v>
      </c>
      <c r="N95" s="3" t="s">
        <v>821</v>
      </c>
      <c r="O95" s="3" t="s">
        <v>32</v>
      </c>
      <c r="P95" t="str">
        <f t="shared" si="1"/>
        <v>450013997510</v>
      </c>
      <c r="Q95" s="7" cm="1">
        <f t="array" ref="Q95:S95">VLOOKUP(P95,Hoja1!C:F,{2,3,4},FALSE)</f>
        <v>46311</v>
      </c>
      <c r="R95" t="str">
        <v>C17</v>
      </c>
      <c r="S95" t="str">
        <v>1000012333 GO CLEAN S.A.S.</v>
      </c>
      <c r="T95" t="str">
        <f>VLOOKUP(P95,Hoja2!C:D,2,FALSE)</f>
        <v>GJULIANI</v>
      </c>
    </row>
    <row r="96" spans="1:20" x14ac:dyDescent="0.3">
      <c r="A96" s="2" t="s">
        <v>15</v>
      </c>
      <c r="B96" s="3" t="s">
        <v>15</v>
      </c>
      <c r="C96" s="3" t="s">
        <v>877</v>
      </c>
      <c r="D96" s="3" t="s">
        <v>25</v>
      </c>
      <c r="E96" s="3" t="s">
        <v>17</v>
      </c>
      <c r="F96" s="4">
        <v>46303</v>
      </c>
      <c r="G96" s="3" t="s">
        <v>18</v>
      </c>
      <c r="H96" s="5">
        <v>2646000</v>
      </c>
      <c r="I96" s="3" t="s">
        <v>19</v>
      </c>
      <c r="J96" s="3" t="s">
        <v>20</v>
      </c>
      <c r="K96" s="3" t="s">
        <v>15</v>
      </c>
      <c r="L96" s="3" t="s">
        <v>545</v>
      </c>
      <c r="M96" s="4">
        <v>46303</v>
      </c>
      <c r="N96" s="3" t="s">
        <v>546</v>
      </c>
      <c r="O96" s="3" t="s">
        <v>32</v>
      </c>
      <c r="P96" t="str">
        <f t="shared" si="1"/>
        <v>450013924610</v>
      </c>
      <c r="Q96" s="7" cm="1">
        <f t="array" ref="Q96:S96">VLOOKUP(P96,Hoja1!C:F,{2,3,4},FALSE)</f>
        <v>46466</v>
      </c>
      <c r="R96" t="str">
        <v>C25</v>
      </c>
      <c r="S96" t="str">
        <v>1000012228 MED LAB SALTA S.R.L.</v>
      </c>
      <c r="T96" t="str">
        <f>VLOOKUP(P96,Hoja2!C:D,2,FALSE)</f>
        <v>MPITTIA</v>
      </c>
    </row>
    <row r="97" spans="1:20" x14ac:dyDescent="0.3">
      <c r="A97" s="2" t="s">
        <v>15</v>
      </c>
      <c r="B97" s="3" t="s">
        <v>15</v>
      </c>
      <c r="C97" s="3" t="s">
        <v>878</v>
      </c>
      <c r="D97" s="3" t="s">
        <v>25</v>
      </c>
      <c r="E97" s="3" t="s">
        <v>17</v>
      </c>
      <c r="F97" s="4">
        <v>46296</v>
      </c>
      <c r="G97" s="3" t="s">
        <v>18</v>
      </c>
      <c r="H97" s="5">
        <v>26000</v>
      </c>
      <c r="I97" s="3" t="s">
        <v>19</v>
      </c>
      <c r="J97" s="3" t="s">
        <v>20</v>
      </c>
      <c r="K97" s="3" t="s">
        <v>15</v>
      </c>
      <c r="L97" s="3" t="s">
        <v>548</v>
      </c>
      <c r="M97" s="4">
        <v>46303</v>
      </c>
      <c r="N97" s="3" t="s">
        <v>829</v>
      </c>
      <c r="O97" s="3" t="s">
        <v>32</v>
      </c>
      <c r="P97" t="str">
        <f t="shared" si="1"/>
        <v>450014040310</v>
      </c>
      <c r="Q97" s="7" cm="1">
        <f t="array" ref="Q97:S97">VLOOKUP(P97,Hoja1!C:F,{2,3,4},FALSE)</f>
        <v>46310</v>
      </c>
      <c r="R97" t="str">
        <v>C25</v>
      </c>
      <c r="S97" t="str">
        <v>1000007510 LABTEC S. R. L.</v>
      </c>
      <c r="T97" t="str">
        <f>VLOOKUP(P97,Hoja2!C:D,2,FALSE)</f>
        <v>LHANCEVICH</v>
      </c>
    </row>
    <row r="98" spans="1:20" x14ac:dyDescent="0.3">
      <c r="A98" s="2" t="s">
        <v>15</v>
      </c>
      <c r="B98" s="3" t="s">
        <v>15</v>
      </c>
      <c r="C98" s="3" t="s">
        <v>878</v>
      </c>
      <c r="D98" s="3" t="s">
        <v>25</v>
      </c>
      <c r="E98" s="3" t="s">
        <v>17</v>
      </c>
      <c r="F98" s="4">
        <v>46296</v>
      </c>
      <c r="G98" s="3" t="s">
        <v>18</v>
      </c>
      <c r="H98" s="5">
        <v>16000</v>
      </c>
      <c r="I98" s="3" t="s">
        <v>19</v>
      </c>
      <c r="J98" s="3" t="s">
        <v>20</v>
      </c>
      <c r="K98" s="3" t="s">
        <v>15</v>
      </c>
      <c r="L98" s="3" t="s">
        <v>548</v>
      </c>
      <c r="M98" s="4">
        <v>46303</v>
      </c>
      <c r="N98" s="3" t="s">
        <v>829</v>
      </c>
      <c r="O98" s="3" t="s">
        <v>28</v>
      </c>
      <c r="P98" t="str">
        <f t="shared" si="1"/>
        <v>450014040320</v>
      </c>
      <c r="Q98" s="7" cm="1">
        <f t="array" ref="Q98:S98">VLOOKUP(P98,Hoja1!C:F,{2,3,4},FALSE)</f>
        <v>46310</v>
      </c>
      <c r="R98" t="str">
        <v>C25</v>
      </c>
      <c r="S98" t="str">
        <v>1000007510 LABTEC S. R. L.</v>
      </c>
      <c r="T98" t="str">
        <f>VLOOKUP(P98,Hoja2!C:D,2,FALSE)</f>
        <v>LHANCEVICH</v>
      </c>
    </row>
    <row r="99" spans="1:20" x14ac:dyDescent="0.3">
      <c r="A99" s="2" t="s">
        <v>15</v>
      </c>
      <c r="B99" s="3" t="s">
        <v>15</v>
      </c>
      <c r="C99" s="3" t="s">
        <v>878</v>
      </c>
      <c r="D99" s="3" t="s">
        <v>25</v>
      </c>
      <c r="E99" s="3" t="s">
        <v>17</v>
      </c>
      <c r="F99" s="4">
        <v>46296</v>
      </c>
      <c r="G99" s="3" t="s">
        <v>18</v>
      </c>
      <c r="H99" s="5">
        <v>66000</v>
      </c>
      <c r="I99" s="3" t="s">
        <v>19</v>
      </c>
      <c r="J99" s="3" t="s">
        <v>20</v>
      </c>
      <c r="K99" s="3" t="s">
        <v>15</v>
      </c>
      <c r="L99" s="3" t="s">
        <v>548</v>
      </c>
      <c r="M99" s="4">
        <v>46303</v>
      </c>
      <c r="N99" s="3" t="s">
        <v>829</v>
      </c>
      <c r="O99" s="3" t="s">
        <v>54</v>
      </c>
      <c r="P99" t="str">
        <f t="shared" si="1"/>
        <v>450014040330</v>
      </c>
      <c r="Q99" s="7" cm="1">
        <f t="array" ref="Q99:S99">VLOOKUP(P99,Hoja1!C:F,{2,3,4},FALSE)</f>
        <v>46310</v>
      </c>
      <c r="R99" t="str">
        <v>C25</v>
      </c>
      <c r="S99" t="str">
        <v>1000007510 LABTEC S. R. L.</v>
      </c>
      <c r="T99" t="str">
        <f>VLOOKUP(P99,Hoja2!C:D,2,FALSE)</f>
        <v>LHANCEVICH</v>
      </c>
    </row>
    <row r="100" spans="1:20" x14ac:dyDescent="0.3">
      <c r="A100" s="2" t="s">
        <v>15</v>
      </c>
      <c r="B100" s="3" t="s">
        <v>15</v>
      </c>
      <c r="C100" s="3" t="s">
        <v>878</v>
      </c>
      <c r="D100" s="3" t="s">
        <v>25</v>
      </c>
      <c r="E100" s="3" t="s">
        <v>17</v>
      </c>
      <c r="F100" s="4">
        <v>46296</v>
      </c>
      <c r="G100" s="3" t="s">
        <v>18</v>
      </c>
      <c r="H100" s="5">
        <v>66000</v>
      </c>
      <c r="I100" s="3" t="s">
        <v>19</v>
      </c>
      <c r="J100" s="3" t="s">
        <v>20</v>
      </c>
      <c r="K100" s="3" t="s">
        <v>15</v>
      </c>
      <c r="L100" s="3" t="s">
        <v>548</v>
      </c>
      <c r="M100" s="4">
        <v>46303</v>
      </c>
      <c r="N100" s="3" t="s">
        <v>829</v>
      </c>
      <c r="O100" s="3" t="s">
        <v>23</v>
      </c>
      <c r="P100" t="str">
        <f t="shared" si="1"/>
        <v>450014040340</v>
      </c>
      <c r="Q100" s="7" cm="1">
        <f t="array" ref="Q100:S100">VLOOKUP(P100,Hoja1!C:F,{2,3,4},FALSE)</f>
        <v>46310</v>
      </c>
      <c r="R100" t="str">
        <v>C25</v>
      </c>
      <c r="S100" t="str">
        <v>1000007510 LABTEC S. R. L.</v>
      </c>
      <c r="T100" t="str">
        <f>VLOOKUP(P100,Hoja2!C:D,2,FALSE)</f>
        <v>LHANCEVICH</v>
      </c>
    </row>
    <row r="101" spans="1:20" x14ac:dyDescent="0.3">
      <c r="A101" s="2" t="s">
        <v>15</v>
      </c>
      <c r="B101" s="3" t="s">
        <v>15</v>
      </c>
      <c r="C101" s="3" t="s">
        <v>879</v>
      </c>
      <c r="D101" s="3" t="s">
        <v>25</v>
      </c>
      <c r="E101" s="3" t="s">
        <v>17</v>
      </c>
      <c r="F101" s="4">
        <v>46303</v>
      </c>
      <c r="G101" s="3" t="s">
        <v>18</v>
      </c>
      <c r="H101" s="5">
        <v>1400000</v>
      </c>
      <c r="I101" s="3" t="s">
        <v>19</v>
      </c>
      <c r="J101" s="3" t="s">
        <v>20</v>
      </c>
      <c r="K101" s="3" t="s">
        <v>15</v>
      </c>
      <c r="L101" s="3" t="s">
        <v>68</v>
      </c>
      <c r="M101" s="4">
        <v>46303</v>
      </c>
      <c r="N101" s="3" t="s">
        <v>789</v>
      </c>
      <c r="O101" s="3" t="s">
        <v>32</v>
      </c>
      <c r="P101" t="str">
        <f t="shared" si="1"/>
        <v>450014008710</v>
      </c>
      <c r="Q101" s="7" cm="1">
        <f t="array" ref="Q101:S101">VLOOKUP(P101,Hoja1!C:F,{2,3,4},FALSE)</f>
        <v>46311</v>
      </c>
      <c r="R101" t="str">
        <v>C28</v>
      </c>
      <c r="S101" t="str">
        <v>1000007611 ANTONIO B ATENOR E HIJOS S R L</v>
      </c>
      <c r="T101" t="str">
        <f>VLOOKUP(P101,Hoja2!C:D,2,FALSE)</f>
        <v>GJULIANI</v>
      </c>
    </row>
    <row r="102" spans="1:20" x14ac:dyDescent="0.3">
      <c r="A102" s="2" t="s">
        <v>15</v>
      </c>
      <c r="B102" s="3" t="s">
        <v>15</v>
      </c>
      <c r="C102" s="3" t="s">
        <v>879</v>
      </c>
      <c r="D102" s="3" t="s">
        <v>15</v>
      </c>
      <c r="E102" s="3" t="s">
        <v>17</v>
      </c>
      <c r="F102" s="4">
        <v>46303</v>
      </c>
      <c r="G102" s="3" t="s">
        <v>18</v>
      </c>
      <c r="H102" s="5">
        <v>875000</v>
      </c>
      <c r="I102" s="3" t="s">
        <v>19</v>
      </c>
      <c r="J102" s="3" t="s">
        <v>20</v>
      </c>
      <c r="K102" s="3" t="s">
        <v>15</v>
      </c>
      <c r="L102" s="3" t="s">
        <v>68</v>
      </c>
      <c r="M102" s="4">
        <v>46303</v>
      </c>
      <c r="N102" s="3" t="s">
        <v>789</v>
      </c>
      <c r="O102" s="3" t="s">
        <v>28</v>
      </c>
      <c r="P102" t="str">
        <f t="shared" si="1"/>
        <v>450014008720</v>
      </c>
      <c r="Q102" s="7" cm="1">
        <f t="array" ref="Q102:S102">VLOOKUP(P102,Hoja1!C:F,{2,3,4},FALSE)</f>
        <v>46311</v>
      </c>
      <c r="R102" t="str">
        <v>C28</v>
      </c>
      <c r="S102" t="str">
        <v>1000007611 ANTONIO B ATENOR E HIJOS S R L</v>
      </c>
      <c r="T102" t="str">
        <f>VLOOKUP(P102,Hoja2!C:D,2,FALSE)</f>
        <v>GJULIANI</v>
      </c>
    </row>
    <row r="103" spans="1:20" x14ac:dyDescent="0.3">
      <c r="A103" s="2" t="s">
        <v>15</v>
      </c>
      <c r="B103" s="3" t="s">
        <v>15</v>
      </c>
      <c r="C103" s="3" t="s">
        <v>879</v>
      </c>
      <c r="D103" s="3" t="s">
        <v>15</v>
      </c>
      <c r="E103" s="3" t="s">
        <v>17</v>
      </c>
      <c r="F103" s="4">
        <v>46303</v>
      </c>
      <c r="G103" s="3" t="s">
        <v>18</v>
      </c>
      <c r="H103" s="5">
        <v>3679706.64</v>
      </c>
      <c r="I103" s="3" t="s">
        <v>19</v>
      </c>
      <c r="J103" s="3" t="s">
        <v>20</v>
      </c>
      <c r="K103" s="3" t="s">
        <v>15</v>
      </c>
      <c r="L103" s="3" t="s">
        <v>68</v>
      </c>
      <c r="M103" s="4">
        <v>46303</v>
      </c>
      <c r="N103" s="3" t="s">
        <v>789</v>
      </c>
      <c r="O103" s="3" t="s">
        <v>54</v>
      </c>
      <c r="P103" t="str">
        <f t="shared" si="1"/>
        <v>450014008730</v>
      </c>
      <c r="Q103" s="7" cm="1">
        <f t="array" ref="Q103:S103">VLOOKUP(P103,Hoja1!C:F,{2,3,4},FALSE)</f>
        <v>46311</v>
      </c>
      <c r="R103" t="str">
        <v>C28</v>
      </c>
      <c r="S103" t="str">
        <v>1000007611 ANTONIO B ATENOR E HIJOS S R L</v>
      </c>
      <c r="T103" t="str">
        <f>VLOOKUP(P103,Hoja2!C:D,2,FALSE)</f>
        <v>GJULIANI</v>
      </c>
    </row>
    <row r="104" spans="1:20" x14ac:dyDescent="0.3">
      <c r="A104" s="2" t="s">
        <v>15</v>
      </c>
      <c r="B104" s="3" t="s">
        <v>15</v>
      </c>
      <c r="C104" s="3" t="s">
        <v>879</v>
      </c>
      <c r="D104" s="3" t="s">
        <v>15</v>
      </c>
      <c r="E104" s="3" t="s">
        <v>17</v>
      </c>
      <c r="F104" s="4">
        <v>46303</v>
      </c>
      <c r="G104" s="3" t="s">
        <v>18</v>
      </c>
      <c r="H104" s="5">
        <v>3430.94</v>
      </c>
      <c r="I104" s="3" t="s">
        <v>19</v>
      </c>
      <c r="J104" s="3" t="s">
        <v>20</v>
      </c>
      <c r="K104" s="3" t="s">
        <v>15</v>
      </c>
      <c r="L104" s="3" t="s">
        <v>68</v>
      </c>
      <c r="M104" s="4">
        <v>46303</v>
      </c>
      <c r="N104" s="3" t="s">
        <v>789</v>
      </c>
      <c r="O104" s="3" t="s">
        <v>23</v>
      </c>
      <c r="P104" t="str">
        <f t="shared" si="1"/>
        <v>450014008740</v>
      </c>
      <c r="Q104" s="7" cm="1">
        <f t="array" ref="Q104:S104">VLOOKUP(P104,Hoja1!C:F,{2,3,4},FALSE)</f>
        <v>46311</v>
      </c>
      <c r="R104" t="str">
        <v>C28</v>
      </c>
      <c r="S104" t="str">
        <v>1000007611 ANTONIO B ATENOR E HIJOS S R L</v>
      </c>
      <c r="T104" t="str">
        <f>VLOOKUP(P104,Hoja2!C:D,2,FALSE)</f>
        <v>GJULIANI</v>
      </c>
    </row>
    <row r="105" spans="1:20" x14ac:dyDescent="0.3">
      <c r="A105" s="2" t="s">
        <v>15</v>
      </c>
      <c r="B105" s="3" t="s">
        <v>15</v>
      </c>
      <c r="C105" s="3" t="s">
        <v>880</v>
      </c>
      <c r="D105" s="3" t="s">
        <v>15</v>
      </c>
      <c r="E105" s="3" t="s">
        <v>17</v>
      </c>
      <c r="F105" s="4">
        <v>46303</v>
      </c>
      <c r="G105" s="3" t="s">
        <v>18</v>
      </c>
      <c r="H105" s="5">
        <v>337350.3</v>
      </c>
      <c r="I105" s="3" t="s">
        <v>19</v>
      </c>
      <c r="J105" s="3" t="s">
        <v>20</v>
      </c>
      <c r="K105" s="3" t="s">
        <v>15</v>
      </c>
      <c r="L105" s="3" t="s">
        <v>73</v>
      </c>
      <c r="M105" s="4">
        <v>46303</v>
      </c>
      <c r="N105" s="3" t="s">
        <v>801</v>
      </c>
      <c r="O105" s="3" t="s">
        <v>28</v>
      </c>
      <c r="P105" t="str">
        <f t="shared" si="1"/>
        <v>450013902920</v>
      </c>
      <c r="Q105" s="7" cm="1">
        <f t="array" ref="Q105:S105">VLOOKUP(P105,Hoja1!C:F,{2,3,4},FALSE)</f>
        <v>46311</v>
      </c>
      <c r="R105" t="str">
        <v>C28</v>
      </c>
      <c r="S105" t="str">
        <v>1000007451 FLORES CARLOS FELIPE Y OTROS S H</v>
      </c>
      <c r="T105" t="str">
        <f>VLOOKUP(P105,Hoja2!C:D,2,FALSE)</f>
        <v>GJULIANI</v>
      </c>
    </row>
    <row r="106" spans="1:20" x14ac:dyDescent="0.3">
      <c r="A106" s="2" t="s">
        <v>15</v>
      </c>
      <c r="B106" s="3" t="s">
        <v>15</v>
      </c>
      <c r="C106" s="3" t="s">
        <v>881</v>
      </c>
      <c r="D106" s="3" t="s">
        <v>15</v>
      </c>
      <c r="E106" s="3" t="s">
        <v>17</v>
      </c>
      <c r="F106" s="4">
        <v>46294</v>
      </c>
      <c r="G106" s="3" t="s">
        <v>18</v>
      </c>
      <c r="H106" s="5">
        <v>482486.4</v>
      </c>
      <c r="I106" s="3" t="s">
        <v>19</v>
      </c>
      <c r="J106" s="3" t="s">
        <v>20</v>
      </c>
      <c r="K106" s="3" t="s">
        <v>15</v>
      </c>
      <c r="L106" s="3" t="s">
        <v>106</v>
      </c>
      <c r="M106" s="4">
        <v>46303</v>
      </c>
      <c r="N106" s="3" t="s">
        <v>498</v>
      </c>
      <c r="O106" s="3" t="s">
        <v>28</v>
      </c>
      <c r="P106" t="str">
        <f t="shared" si="1"/>
        <v>450013653020</v>
      </c>
      <c r="Q106" s="7" cm="1">
        <f t="array" ref="Q106:S106">VLOOKUP(P106,Hoja1!C:F,{2,3,4},FALSE)</f>
        <v>46301</v>
      </c>
      <c r="R106" t="str">
        <v>C29</v>
      </c>
      <c r="S106" t="str">
        <v>1000001154 TRAVEL FILTERS SRL</v>
      </c>
      <c r="T106" t="str">
        <f>VLOOKUP(P106,Hoja2!C:D,2,FALSE)</f>
        <v>RPEREZ</v>
      </c>
    </row>
    <row r="107" spans="1:20" x14ac:dyDescent="0.3">
      <c r="A107" s="2" t="s">
        <v>15</v>
      </c>
      <c r="B107" s="3" t="s">
        <v>15</v>
      </c>
      <c r="C107" s="3" t="s">
        <v>882</v>
      </c>
      <c r="D107" s="3" t="s">
        <v>15</v>
      </c>
      <c r="E107" s="3" t="s">
        <v>17</v>
      </c>
      <c r="F107" s="4">
        <v>46303</v>
      </c>
      <c r="G107" s="3" t="s">
        <v>18</v>
      </c>
      <c r="H107" s="5">
        <v>2023798.7</v>
      </c>
      <c r="I107" s="3" t="s">
        <v>19</v>
      </c>
      <c r="J107" s="3" t="s">
        <v>20</v>
      </c>
      <c r="K107" s="3" t="s">
        <v>15</v>
      </c>
      <c r="L107" s="3" t="s">
        <v>73</v>
      </c>
      <c r="M107" s="4">
        <v>46303</v>
      </c>
      <c r="N107" s="3" t="s">
        <v>145</v>
      </c>
      <c r="O107" s="3" t="s">
        <v>28</v>
      </c>
      <c r="P107" t="str">
        <f t="shared" si="1"/>
        <v>450013628420</v>
      </c>
      <c r="Q107" s="7" cm="1">
        <f t="array" ref="Q107:S107">VLOOKUP(P107,Hoja1!C:F,{2,3,4},FALSE)</f>
        <v>46276</v>
      </c>
      <c r="R107" t="str">
        <v>C28</v>
      </c>
      <c r="S107" t="str">
        <v>1000007451 FLORES CARLOS FELIPE Y OTROS S H</v>
      </c>
      <c r="T107" t="str">
        <f>VLOOKUP(P107,Hoja2!C:D,2,FALSE)</f>
        <v>GJULIANI</v>
      </c>
    </row>
    <row r="108" spans="1:20" x14ac:dyDescent="0.3">
      <c r="A108" s="2" t="s">
        <v>15</v>
      </c>
      <c r="B108" s="3" t="s">
        <v>15</v>
      </c>
      <c r="C108" s="3" t="s">
        <v>883</v>
      </c>
      <c r="D108" s="3" t="s">
        <v>15</v>
      </c>
      <c r="E108" s="3" t="s">
        <v>17</v>
      </c>
      <c r="F108" s="4">
        <v>46301</v>
      </c>
      <c r="G108" s="3" t="s">
        <v>18</v>
      </c>
      <c r="H108" s="5">
        <v>357000</v>
      </c>
      <c r="I108" s="3" t="s">
        <v>19</v>
      </c>
      <c r="J108" s="3" t="s">
        <v>20</v>
      </c>
      <c r="K108" s="3" t="s">
        <v>15</v>
      </c>
      <c r="L108" s="3" t="s">
        <v>734</v>
      </c>
      <c r="M108" s="4">
        <v>46304</v>
      </c>
      <c r="N108" s="3" t="s">
        <v>735</v>
      </c>
      <c r="O108" s="3" t="s">
        <v>28</v>
      </c>
      <c r="P108" t="str">
        <f t="shared" si="1"/>
        <v>450013933720</v>
      </c>
      <c r="Q108" s="7" cm="1">
        <f t="array" ref="Q108:S108">VLOOKUP(P108,Hoja1!C:F,{2,3,4},FALSE)</f>
        <v>46304</v>
      </c>
      <c r="R108" t="str">
        <v>C17</v>
      </c>
      <c r="S108" t="str">
        <v>1000000003 ARROYITO MAQUINARIAS S.R.L.</v>
      </c>
      <c r="T108" t="str">
        <f>VLOOKUP(P108,Hoja2!C:D,2,FALSE)</f>
        <v>GJULIANI</v>
      </c>
    </row>
    <row r="109" spans="1:20" x14ac:dyDescent="0.3">
      <c r="A109" s="2" t="s">
        <v>15</v>
      </c>
      <c r="B109" s="3" t="s">
        <v>15</v>
      </c>
      <c r="C109" s="3" t="s">
        <v>884</v>
      </c>
      <c r="D109" s="3" t="s">
        <v>25</v>
      </c>
      <c r="E109" s="3" t="s">
        <v>17</v>
      </c>
      <c r="F109" s="4">
        <v>46298</v>
      </c>
      <c r="G109" s="3" t="s">
        <v>18</v>
      </c>
      <c r="H109" s="5">
        <v>435000</v>
      </c>
      <c r="I109" s="3" t="s">
        <v>19</v>
      </c>
      <c r="J109" s="3" t="s">
        <v>885</v>
      </c>
      <c r="K109" s="3" t="s">
        <v>15</v>
      </c>
      <c r="L109" s="3" t="s">
        <v>886</v>
      </c>
      <c r="M109" s="4">
        <v>46304</v>
      </c>
      <c r="N109" s="3" t="s">
        <v>887</v>
      </c>
      <c r="O109" s="3" t="s">
        <v>32</v>
      </c>
      <c r="P109" t="str">
        <f t="shared" si="1"/>
        <v>450014013210</v>
      </c>
      <c r="Q109" s="7" cm="1">
        <f t="array" ref="Q109:S109">VLOOKUP(P109,Hoja1!C:F,{2,3,4},FALSE)</f>
        <v>46303</v>
      </c>
      <c r="R109" t="str">
        <v>C35</v>
      </c>
      <c r="S109" t="str">
        <v>1000010762 AMAYA CRISTIAN IVAN</v>
      </c>
      <c r="T109" t="str">
        <f>VLOOKUP(P109,Hoja2!C:D,2,FALSE)</f>
        <v>FSOTO</v>
      </c>
    </row>
    <row r="110" spans="1:20" x14ac:dyDescent="0.3">
      <c r="A110" s="2" t="s">
        <v>15</v>
      </c>
      <c r="B110" s="3" t="s">
        <v>15</v>
      </c>
      <c r="C110" s="3" t="s">
        <v>888</v>
      </c>
      <c r="D110" s="3" t="s">
        <v>25</v>
      </c>
      <c r="E110" s="3" t="s">
        <v>17</v>
      </c>
      <c r="F110" s="4">
        <v>46303</v>
      </c>
      <c r="G110" s="3" t="s">
        <v>18</v>
      </c>
      <c r="H110" s="5">
        <v>155160</v>
      </c>
      <c r="I110" s="3" t="s">
        <v>19</v>
      </c>
      <c r="J110" s="3" t="s">
        <v>20</v>
      </c>
      <c r="K110" s="3" t="s">
        <v>15</v>
      </c>
      <c r="L110" s="3" t="s">
        <v>73</v>
      </c>
      <c r="M110" s="4">
        <v>46304</v>
      </c>
      <c r="N110" s="3" t="s">
        <v>889</v>
      </c>
      <c r="O110" s="3" t="s">
        <v>32</v>
      </c>
      <c r="P110" t="str">
        <f t="shared" si="1"/>
        <v>450013697410</v>
      </c>
      <c r="Q110" s="7" cm="1">
        <f t="array" ref="Q110:S110">VLOOKUP(P110,Hoja1!C:F,{2,3,4},FALSE)</f>
        <v>46283</v>
      </c>
      <c r="R110" t="str">
        <v>C28</v>
      </c>
      <c r="S110" t="str">
        <v>1000007451 FLORES CARLOS FELIPE Y OTROS S H</v>
      </c>
      <c r="T110" t="str">
        <f>VLOOKUP(P110,Hoja2!C:D,2,FALSE)</f>
        <v>GJULIANI</v>
      </c>
    </row>
    <row r="111" spans="1:20" x14ac:dyDescent="0.3">
      <c r="A111" s="2" t="s">
        <v>15</v>
      </c>
      <c r="B111" s="3" t="s">
        <v>15</v>
      </c>
      <c r="C111" s="3" t="s">
        <v>888</v>
      </c>
      <c r="D111" s="3" t="s">
        <v>25</v>
      </c>
      <c r="E111" s="3" t="s">
        <v>17</v>
      </c>
      <c r="F111" s="4">
        <v>46303</v>
      </c>
      <c r="G111" s="3" t="s">
        <v>18</v>
      </c>
      <c r="H111" s="5">
        <v>155160</v>
      </c>
      <c r="I111" s="3" t="s">
        <v>19</v>
      </c>
      <c r="J111" s="3" t="s">
        <v>20</v>
      </c>
      <c r="K111" s="3" t="s">
        <v>15</v>
      </c>
      <c r="L111" s="3" t="s">
        <v>73</v>
      </c>
      <c r="M111" s="4">
        <v>46304</v>
      </c>
      <c r="N111" s="3" t="s">
        <v>889</v>
      </c>
      <c r="O111" s="3" t="s">
        <v>28</v>
      </c>
      <c r="P111" t="str">
        <f t="shared" si="1"/>
        <v>450013697420</v>
      </c>
      <c r="Q111" s="7" cm="1">
        <f t="array" ref="Q111:S111">VLOOKUP(P111,Hoja1!C:F,{2,3,4},FALSE)</f>
        <v>46283</v>
      </c>
      <c r="R111" t="str">
        <v>C28</v>
      </c>
      <c r="S111" t="str">
        <v>1000007451 FLORES CARLOS FELIPE Y OTROS S H</v>
      </c>
      <c r="T111" t="str">
        <f>VLOOKUP(P111,Hoja2!C:D,2,FALSE)</f>
        <v>GJULIANI</v>
      </c>
    </row>
    <row r="112" spans="1:20" x14ac:dyDescent="0.3">
      <c r="A112" s="2" t="s">
        <v>15</v>
      </c>
      <c r="B112" s="3" t="s">
        <v>15</v>
      </c>
      <c r="C112" s="3" t="s">
        <v>888</v>
      </c>
      <c r="D112" s="3" t="s">
        <v>25</v>
      </c>
      <c r="E112" s="3" t="s">
        <v>17</v>
      </c>
      <c r="F112" s="4">
        <v>46303</v>
      </c>
      <c r="G112" s="3" t="s">
        <v>18</v>
      </c>
      <c r="H112" s="5">
        <v>124128</v>
      </c>
      <c r="I112" s="3" t="s">
        <v>19</v>
      </c>
      <c r="J112" s="3" t="s">
        <v>20</v>
      </c>
      <c r="K112" s="3" t="s">
        <v>15</v>
      </c>
      <c r="L112" s="3" t="s">
        <v>73</v>
      </c>
      <c r="M112" s="4">
        <v>46304</v>
      </c>
      <c r="N112" s="3" t="s">
        <v>889</v>
      </c>
      <c r="O112" s="3" t="s">
        <v>54</v>
      </c>
      <c r="P112" t="str">
        <f t="shared" si="1"/>
        <v>450013697430</v>
      </c>
      <c r="Q112" s="7" cm="1">
        <f t="array" ref="Q112:S112">VLOOKUP(P112,Hoja1!C:F,{2,3,4},FALSE)</f>
        <v>46283</v>
      </c>
      <c r="R112" t="str">
        <v>C28</v>
      </c>
      <c r="S112" t="str">
        <v>1000007451 FLORES CARLOS FELIPE Y OTROS S H</v>
      </c>
      <c r="T112" t="str">
        <f>VLOOKUP(P112,Hoja2!C:D,2,FALSE)</f>
        <v>GJULIANI</v>
      </c>
    </row>
    <row r="113" spans="1:20" x14ac:dyDescent="0.3">
      <c r="A113" s="2" t="s">
        <v>15</v>
      </c>
      <c r="B113" s="3" t="s">
        <v>15</v>
      </c>
      <c r="C113" s="3" t="s">
        <v>890</v>
      </c>
      <c r="D113" s="3" t="s">
        <v>15</v>
      </c>
      <c r="E113" s="3" t="s">
        <v>17</v>
      </c>
      <c r="F113" s="4">
        <v>46286</v>
      </c>
      <c r="G113" s="3" t="s">
        <v>18</v>
      </c>
      <c r="H113" s="5">
        <v>201192</v>
      </c>
      <c r="I113" s="3" t="s">
        <v>19</v>
      </c>
      <c r="J113" s="3" t="s">
        <v>20</v>
      </c>
      <c r="K113" s="3" t="s">
        <v>15</v>
      </c>
      <c r="L113" s="3" t="s">
        <v>463</v>
      </c>
      <c r="M113" s="4">
        <v>46304</v>
      </c>
      <c r="N113" s="3" t="s">
        <v>464</v>
      </c>
      <c r="O113" s="3" t="s">
        <v>32</v>
      </c>
      <c r="P113" t="str">
        <f t="shared" si="1"/>
        <v>450013847910</v>
      </c>
      <c r="Q113" s="7" cm="1">
        <f t="array" ref="Q113:S113">VLOOKUP(P113,Hoja1!C:F,{2,3,4},FALSE)</f>
        <v>46287</v>
      </c>
      <c r="R113" t="str">
        <v>C03</v>
      </c>
      <c r="S113" t="str">
        <v>1000000286 SULLAIR ARGENTINA S.A</v>
      </c>
      <c r="T113" t="str">
        <f>VLOOKUP(P113,Hoja2!C:D,2,FALSE)</f>
        <v>EFUNES</v>
      </c>
    </row>
    <row r="114" spans="1:20" x14ac:dyDescent="0.3">
      <c r="A114" s="2" t="s">
        <v>15</v>
      </c>
      <c r="B114" s="3" t="s">
        <v>15</v>
      </c>
      <c r="C114" s="3" t="s">
        <v>891</v>
      </c>
      <c r="D114" s="3" t="s">
        <v>15</v>
      </c>
      <c r="E114" s="3" t="s">
        <v>17</v>
      </c>
      <c r="F114" s="4">
        <v>46289</v>
      </c>
      <c r="G114" s="3" t="s">
        <v>18</v>
      </c>
      <c r="H114" s="5">
        <v>232007.04000000001</v>
      </c>
      <c r="I114" s="3" t="s">
        <v>19</v>
      </c>
      <c r="J114" s="3" t="s">
        <v>20</v>
      </c>
      <c r="K114" s="3" t="s">
        <v>15</v>
      </c>
      <c r="L114" s="3" t="s">
        <v>257</v>
      </c>
      <c r="M114" s="4">
        <v>46304</v>
      </c>
      <c r="N114" s="3" t="s">
        <v>388</v>
      </c>
      <c r="O114" s="3" t="s">
        <v>55</v>
      </c>
      <c r="P114" t="str">
        <f t="shared" si="1"/>
        <v>450013660350</v>
      </c>
      <c r="Q114" s="7" cm="1">
        <f t="array" ref="Q114:S114">VLOOKUP(P114,Hoja1!C:F,{2,3,4},FALSE)</f>
        <v>46272</v>
      </c>
      <c r="R114" t="str">
        <v>C29</v>
      </c>
      <c r="S114" t="str">
        <v>1000000062 FINNING ARGENTINA S.A.</v>
      </c>
      <c r="T114" t="str">
        <f>VLOOKUP(P114,Hoja2!C:D,2,FALSE)</f>
        <v>RPEREZ</v>
      </c>
    </row>
    <row r="115" spans="1:20" x14ac:dyDescent="0.3">
      <c r="A115" s="2" t="s">
        <v>15</v>
      </c>
      <c r="B115" s="3" t="s">
        <v>15</v>
      </c>
      <c r="C115" s="3" t="s">
        <v>892</v>
      </c>
      <c r="D115" s="3" t="s">
        <v>15</v>
      </c>
      <c r="E115" s="3" t="s">
        <v>17</v>
      </c>
      <c r="F115" s="4">
        <v>46288</v>
      </c>
      <c r="G115" s="3" t="s">
        <v>18</v>
      </c>
      <c r="H115" s="5">
        <v>57147.91</v>
      </c>
      <c r="I115" s="3" t="s">
        <v>19</v>
      </c>
      <c r="J115" s="3" t="s">
        <v>20</v>
      </c>
      <c r="K115" s="3" t="s">
        <v>15</v>
      </c>
      <c r="L115" s="3" t="s">
        <v>217</v>
      </c>
      <c r="M115" s="4">
        <v>46304</v>
      </c>
      <c r="N115" s="3" t="s">
        <v>474</v>
      </c>
      <c r="O115" s="3" t="s">
        <v>28</v>
      </c>
      <c r="P115" t="str">
        <f t="shared" si="1"/>
        <v>450013912220</v>
      </c>
      <c r="Q115" s="7" cm="1">
        <f t="array" ref="Q115:S115">VLOOKUP(P115,Hoja1!C:F,{2,3,4},FALSE)</f>
        <v>46306</v>
      </c>
      <c r="R115" t="str">
        <v>C03</v>
      </c>
      <c r="S115" t="str">
        <v>1000000012 IGARRETA MAQUINAS S.A.</v>
      </c>
      <c r="T115" t="str">
        <f>VLOOKUP(P115,Hoja2!C:D,2,FALSE)</f>
        <v>EFUNES</v>
      </c>
    </row>
    <row r="116" spans="1:20" x14ac:dyDescent="0.3">
      <c r="A116" s="2" t="s">
        <v>15</v>
      </c>
      <c r="B116" s="3" t="s">
        <v>15</v>
      </c>
      <c r="C116" s="3" t="s">
        <v>892</v>
      </c>
      <c r="D116" s="3" t="s">
        <v>15</v>
      </c>
      <c r="E116" s="3" t="s">
        <v>17</v>
      </c>
      <c r="F116" s="4">
        <v>46288</v>
      </c>
      <c r="G116" s="3" t="s">
        <v>18</v>
      </c>
      <c r="H116" s="5">
        <v>132438.28</v>
      </c>
      <c r="I116" s="3" t="s">
        <v>19</v>
      </c>
      <c r="J116" s="3" t="s">
        <v>20</v>
      </c>
      <c r="K116" s="3" t="s">
        <v>15</v>
      </c>
      <c r="L116" s="3" t="s">
        <v>217</v>
      </c>
      <c r="M116" s="4">
        <v>46304</v>
      </c>
      <c r="N116" s="3" t="s">
        <v>474</v>
      </c>
      <c r="O116" s="3" t="s">
        <v>54</v>
      </c>
      <c r="P116" t="str">
        <f t="shared" si="1"/>
        <v>450013912230</v>
      </c>
      <c r="Q116" s="7" cm="1">
        <f t="array" ref="Q116:S116">VLOOKUP(P116,Hoja1!C:F,{2,3,4},FALSE)</f>
        <v>46306</v>
      </c>
      <c r="R116" t="str">
        <v>C03</v>
      </c>
      <c r="S116" t="str">
        <v>1000000012 IGARRETA MAQUINAS S.A.</v>
      </c>
      <c r="T116" t="str">
        <f>VLOOKUP(P116,Hoja2!C:D,2,FALSE)</f>
        <v>EFUNES</v>
      </c>
    </row>
    <row r="117" spans="1:20" x14ac:dyDescent="0.3">
      <c r="A117" s="2" t="s">
        <v>15</v>
      </c>
      <c r="B117" s="3" t="s">
        <v>15</v>
      </c>
      <c r="C117" s="3" t="s">
        <v>893</v>
      </c>
      <c r="D117" s="3" t="s">
        <v>15</v>
      </c>
      <c r="E117" s="3" t="s">
        <v>17</v>
      </c>
      <c r="F117" s="4">
        <v>46289</v>
      </c>
      <c r="G117" s="3" t="s">
        <v>18</v>
      </c>
      <c r="H117" s="5">
        <v>453450</v>
      </c>
      <c r="I117" s="3" t="s">
        <v>19</v>
      </c>
      <c r="J117" s="3" t="s">
        <v>20</v>
      </c>
      <c r="K117" s="3" t="s">
        <v>15</v>
      </c>
      <c r="L117" s="3" t="s">
        <v>279</v>
      </c>
      <c r="M117" s="4">
        <v>46304</v>
      </c>
      <c r="N117" s="3" t="s">
        <v>457</v>
      </c>
      <c r="O117" s="3" t="s">
        <v>32</v>
      </c>
      <c r="P117" t="str">
        <f t="shared" si="1"/>
        <v>450013928610</v>
      </c>
      <c r="Q117" s="7" cm="1">
        <f t="array" ref="Q117:S117">VLOOKUP(P117,Hoja1!C:F,{2,3,4},FALSE)</f>
        <v>46313</v>
      </c>
      <c r="R117" t="str">
        <v>C29</v>
      </c>
      <c r="S117" t="str">
        <v>1000000190 FERNANDEZ INSUA S.A.</v>
      </c>
      <c r="T117" t="str">
        <f>VLOOKUP(P117,Hoja2!C:D,2,FALSE)</f>
        <v>WVENTURINI</v>
      </c>
    </row>
    <row r="118" spans="1:20" x14ac:dyDescent="0.3">
      <c r="A118" s="2" t="s">
        <v>15</v>
      </c>
      <c r="B118" s="3" t="s">
        <v>15</v>
      </c>
      <c r="C118" s="3" t="s">
        <v>894</v>
      </c>
      <c r="D118" s="3" t="s">
        <v>15</v>
      </c>
      <c r="E118" s="3" t="s">
        <v>17</v>
      </c>
      <c r="F118" s="4">
        <v>46290</v>
      </c>
      <c r="G118" s="3" t="s">
        <v>18</v>
      </c>
      <c r="H118" s="5">
        <v>407512</v>
      </c>
      <c r="I118" s="3" t="s">
        <v>19</v>
      </c>
      <c r="J118" s="3" t="s">
        <v>20</v>
      </c>
      <c r="K118" s="3" t="s">
        <v>15</v>
      </c>
      <c r="L118" s="3" t="s">
        <v>101</v>
      </c>
      <c r="M118" s="4">
        <v>46304</v>
      </c>
      <c r="N118" s="3" t="s">
        <v>490</v>
      </c>
      <c r="O118" s="3" t="s">
        <v>32</v>
      </c>
      <c r="P118" t="str">
        <f t="shared" si="1"/>
        <v>450013914010</v>
      </c>
      <c r="Q118" s="7" cm="1">
        <f t="array" ref="Q118:S118">VLOOKUP(P118,Hoja1!C:F,{2,3,4},FALSE)</f>
        <v>46297</v>
      </c>
      <c r="R118" t="str">
        <v>C29</v>
      </c>
      <c r="S118" t="str">
        <v>1000000561 ESCANDINAVIA DEL PLATA SA</v>
      </c>
      <c r="T118" t="str">
        <f>VLOOKUP(P118,Hoja2!C:D,2,FALSE)</f>
        <v>RPEREZ</v>
      </c>
    </row>
    <row r="119" spans="1:20" x14ac:dyDescent="0.3">
      <c r="A119" s="2" t="s">
        <v>15</v>
      </c>
      <c r="B119" s="3" t="s">
        <v>15</v>
      </c>
      <c r="C119" s="3" t="s">
        <v>895</v>
      </c>
      <c r="D119" s="3" t="s">
        <v>15</v>
      </c>
      <c r="E119" s="3" t="s">
        <v>17</v>
      </c>
      <c r="F119" s="4">
        <v>46289</v>
      </c>
      <c r="G119" s="3" t="s">
        <v>18</v>
      </c>
      <c r="H119" s="5">
        <v>155769.60000000001</v>
      </c>
      <c r="I119" s="3" t="s">
        <v>19</v>
      </c>
      <c r="J119" s="3" t="s">
        <v>20</v>
      </c>
      <c r="K119" s="3" t="s">
        <v>15</v>
      </c>
      <c r="L119" s="3" t="s">
        <v>217</v>
      </c>
      <c r="M119" s="4">
        <v>46304</v>
      </c>
      <c r="N119" s="3" t="s">
        <v>488</v>
      </c>
      <c r="O119" s="3" t="s">
        <v>32</v>
      </c>
      <c r="P119" t="str">
        <f t="shared" si="1"/>
        <v>450013941710</v>
      </c>
      <c r="Q119" s="7" cm="1">
        <f t="array" ref="Q119:S119">VLOOKUP(P119,Hoja1!C:F,{2,3,4},FALSE)</f>
        <v>46297</v>
      </c>
      <c r="R119" t="str">
        <v>C29</v>
      </c>
      <c r="S119" t="str">
        <v>1000000012 IGARRETA MAQUINAS S.A.</v>
      </c>
      <c r="T119" t="str">
        <f>VLOOKUP(P119,Hoja2!C:D,2,FALSE)</f>
        <v>RPEREZ</v>
      </c>
    </row>
    <row r="120" spans="1:20" x14ac:dyDescent="0.3">
      <c r="A120" s="2" t="s">
        <v>15</v>
      </c>
      <c r="B120" s="3" t="s">
        <v>15</v>
      </c>
      <c r="C120" s="3" t="s">
        <v>895</v>
      </c>
      <c r="D120" s="3" t="s">
        <v>15</v>
      </c>
      <c r="E120" s="3" t="s">
        <v>17</v>
      </c>
      <c r="F120" s="4">
        <v>46289</v>
      </c>
      <c r="G120" s="3" t="s">
        <v>18</v>
      </c>
      <c r="H120" s="5">
        <v>105913.60000000001</v>
      </c>
      <c r="I120" s="3" t="s">
        <v>19</v>
      </c>
      <c r="J120" s="3" t="s">
        <v>20</v>
      </c>
      <c r="K120" s="3" t="s">
        <v>15</v>
      </c>
      <c r="L120" s="3" t="s">
        <v>217</v>
      </c>
      <c r="M120" s="4">
        <v>46304</v>
      </c>
      <c r="N120" s="3" t="s">
        <v>488</v>
      </c>
      <c r="O120" s="3" t="s">
        <v>28</v>
      </c>
      <c r="P120" t="str">
        <f t="shared" si="1"/>
        <v>450013941720</v>
      </c>
      <c r="Q120" s="7" cm="1">
        <f t="array" ref="Q120:S120">VLOOKUP(P120,Hoja1!C:F,{2,3,4},FALSE)</f>
        <v>46297</v>
      </c>
      <c r="R120" t="str">
        <v>C29</v>
      </c>
      <c r="S120" t="str">
        <v>1000000012 IGARRETA MAQUINAS S.A.</v>
      </c>
      <c r="T120" t="str">
        <f>VLOOKUP(P120,Hoja2!C:D,2,FALSE)</f>
        <v>RPEREZ</v>
      </c>
    </row>
    <row r="121" spans="1:20" x14ac:dyDescent="0.3">
      <c r="A121" s="2" t="s">
        <v>15</v>
      </c>
      <c r="B121" s="3" t="s">
        <v>15</v>
      </c>
      <c r="C121" s="3" t="s">
        <v>895</v>
      </c>
      <c r="D121" s="3" t="s">
        <v>15</v>
      </c>
      <c r="E121" s="3" t="s">
        <v>17</v>
      </c>
      <c r="F121" s="4">
        <v>46289</v>
      </c>
      <c r="G121" s="3" t="s">
        <v>18</v>
      </c>
      <c r="H121" s="5">
        <v>86336</v>
      </c>
      <c r="I121" s="3" t="s">
        <v>19</v>
      </c>
      <c r="J121" s="3" t="s">
        <v>20</v>
      </c>
      <c r="K121" s="3" t="s">
        <v>15</v>
      </c>
      <c r="L121" s="3" t="s">
        <v>217</v>
      </c>
      <c r="M121" s="4">
        <v>46304</v>
      </c>
      <c r="N121" s="3" t="s">
        <v>488</v>
      </c>
      <c r="O121" s="3" t="s">
        <v>54</v>
      </c>
      <c r="P121" t="str">
        <f t="shared" si="1"/>
        <v>450013941730</v>
      </c>
      <c r="Q121" s="7" cm="1">
        <f t="array" ref="Q121:S121">VLOOKUP(P121,Hoja1!C:F,{2,3,4},FALSE)</f>
        <v>46297</v>
      </c>
      <c r="R121" t="str">
        <v>C29</v>
      </c>
      <c r="S121" t="str">
        <v>1000000012 IGARRETA MAQUINAS S.A.</v>
      </c>
      <c r="T121" t="str">
        <f>VLOOKUP(P121,Hoja2!C:D,2,FALSE)</f>
        <v>RPEREZ</v>
      </c>
    </row>
    <row r="122" spans="1:20" x14ac:dyDescent="0.3">
      <c r="A122" s="2" t="s">
        <v>15</v>
      </c>
      <c r="B122" s="3" t="s">
        <v>15</v>
      </c>
      <c r="C122" s="3" t="s">
        <v>895</v>
      </c>
      <c r="D122" s="3" t="s">
        <v>15</v>
      </c>
      <c r="E122" s="3" t="s">
        <v>17</v>
      </c>
      <c r="F122" s="4">
        <v>46289</v>
      </c>
      <c r="G122" s="3" t="s">
        <v>18</v>
      </c>
      <c r="H122" s="5">
        <v>107920</v>
      </c>
      <c r="I122" s="3" t="s">
        <v>19</v>
      </c>
      <c r="J122" s="3" t="s">
        <v>20</v>
      </c>
      <c r="K122" s="3" t="s">
        <v>15</v>
      </c>
      <c r="L122" s="3" t="s">
        <v>217</v>
      </c>
      <c r="M122" s="4">
        <v>46304</v>
      </c>
      <c r="N122" s="3" t="s">
        <v>488</v>
      </c>
      <c r="O122" s="3" t="s">
        <v>23</v>
      </c>
      <c r="P122" t="str">
        <f t="shared" si="1"/>
        <v>450013941740</v>
      </c>
      <c r="Q122" s="7" cm="1">
        <f t="array" ref="Q122:S122">VLOOKUP(P122,Hoja1!C:F,{2,3,4},FALSE)</f>
        <v>46297</v>
      </c>
      <c r="R122" t="str">
        <v>C29</v>
      </c>
      <c r="S122" t="str">
        <v>1000000012 IGARRETA MAQUINAS S.A.</v>
      </c>
      <c r="T122" t="str">
        <f>VLOOKUP(P122,Hoja2!C:D,2,FALSE)</f>
        <v>RPEREZ</v>
      </c>
    </row>
    <row r="123" spans="1:20" x14ac:dyDescent="0.3">
      <c r="A123" s="2" t="s">
        <v>15</v>
      </c>
      <c r="B123" s="3" t="s">
        <v>15</v>
      </c>
      <c r="C123" s="3" t="s">
        <v>896</v>
      </c>
      <c r="D123" s="3" t="s">
        <v>15</v>
      </c>
      <c r="E123" s="3" t="s">
        <v>17</v>
      </c>
      <c r="F123" s="4">
        <v>46304</v>
      </c>
      <c r="G123" s="3" t="s">
        <v>18</v>
      </c>
      <c r="H123" s="5">
        <v>1242710</v>
      </c>
      <c r="I123" s="3" t="s">
        <v>19</v>
      </c>
      <c r="J123" s="3" t="s">
        <v>20</v>
      </c>
      <c r="K123" s="3" t="s">
        <v>15</v>
      </c>
      <c r="L123" s="3" t="s">
        <v>73</v>
      </c>
      <c r="M123" s="4">
        <v>46304</v>
      </c>
      <c r="N123" s="3" t="s">
        <v>825</v>
      </c>
      <c r="O123" s="3" t="s">
        <v>55</v>
      </c>
      <c r="P123" t="str">
        <f t="shared" si="1"/>
        <v>450014008950</v>
      </c>
      <c r="Q123" s="7" cm="1">
        <f t="array" ref="Q123:S123">VLOOKUP(P123,Hoja1!C:F,{2,3,4},FALSE)</f>
        <v>46311</v>
      </c>
      <c r="R123" t="str">
        <v>C28</v>
      </c>
      <c r="S123" t="str">
        <v>1000007451 FLORES CARLOS FELIPE Y OTROS S H</v>
      </c>
      <c r="T123" t="str">
        <f>VLOOKUP(P123,Hoja2!C:D,2,FALSE)</f>
        <v>GJULIANI</v>
      </c>
    </row>
    <row r="124" spans="1:20" x14ac:dyDescent="0.3">
      <c r="A124" s="2" t="s">
        <v>15</v>
      </c>
      <c r="B124" s="3" t="s">
        <v>15</v>
      </c>
      <c r="C124" s="3" t="s">
        <v>896</v>
      </c>
      <c r="D124" s="3" t="s">
        <v>25</v>
      </c>
      <c r="E124" s="3" t="s">
        <v>17</v>
      </c>
      <c r="F124" s="4">
        <v>46304</v>
      </c>
      <c r="G124" s="3" t="s">
        <v>18</v>
      </c>
      <c r="H124" s="5">
        <v>1242710</v>
      </c>
      <c r="I124" s="3" t="s">
        <v>19</v>
      </c>
      <c r="J124" s="3" t="s">
        <v>20</v>
      </c>
      <c r="K124" s="3" t="s">
        <v>15</v>
      </c>
      <c r="L124" s="3" t="s">
        <v>73</v>
      </c>
      <c r="M124" s="4">
        <v>46304</v>
      </c>
      <c r="N124" s="3" t="s">
        <v>825</v>
      </c>
      <c r="O124" s="3" t="s">
        <v>80</v>
      </c>
      <c r="P124" t="str">
        <f t="shared" si="1"/>
        <v>450014008960</v>
      </c>
      <c r="Q124" s="7" cm="1">
        <f t="array" ref="Q124:S124">VLOOKUP(P124,Hoja1!C:F,{2,3,4},FALSE)</f>
        <v>46311</v>
      </c>
      <c r="R124" t="str">
        <v>C28</v>
      </c>
      <c r="S124" t="str">
        <v>1000007451 FLORES CARLOS FELIPE Y OTROS S H</v>
      </c>
      <c r="T124" t="str">
        <f>VLOOKUP(P124,Hoja2!C:D,2,FALSE)</f>
        <v>GJULIANI</v>
      </c>
    </row>
    <row r="125" spans="1:20" x14ac:dyDescent="0.3">
      <c r="A125" s="2" t="s">
        <v>15</v>
      </c>
      <c r="B125" s="3" t="s">
        <v>15</v>
      </c>
      <c r="C125" s="3" t="s">
        <v>896</v>
      </c>
      <c r="D125" s="3" t="s">
        <v>15</v>
      </c>
      <c r="E125" s="3" t="s">
        <v>17</v>
      </c>
      <c r="F125" s="4">
        <v>46304</v>
      </c>
      <c r="G125" s="3" t="s">
        <v>18</v>
      </c>
      <c r="H125" s="5">
        <v>21065.45</v>
      </c>
      <c r="I125" s="3" t="s">
        <v>19</v>
      </c>
      <c r="J125" s="3" t="s">
        <v>20</v>
      </c>
      <c r="K125" s="3" t="s">
        <v>15</v>
      </c>
      <c r="L125" s="3" t="s">
        <v>73</v>
      </c>
      <c r="M125" s="4">
        <v>46304</v>
      </c>
      <c r="N125" s="3" t="s">
        <v>825</v>
      </c>
      <c r="O125" s="3" t="s">
        <v>81</v>
      </c>
      <c r="P125" t="str">
        <f t="shared" si="1"/>
        <v>450014008970</v>
      </c>
      <c r="Q125" s="7" cm="1">
        <f t="array" ref="Q125:S125">VLOOKUP(P125,Hoja1!C:F,{2,3,4},FALSE)</f>
        <v>46311</v>
      </c>
      <c r="R125" t="str">
        <v>C28</v>
      </c>
      <c r="S125" t="str">
        <v>1000007451 FLORES CARLOS FELIPE Y OTROS S H</v>
      </c>
      <c r="T125" t="str">
        <f>VLOOKUP(P125,Hoja2!C:D,2,FALSE)</f>
        <v>GJULIANI</v>
      </c>
    </row>
    <row r="126" spans="1:20" x14ac:dyDescent="0.3">
      <c r="A126" s="2" t="s">
        <v>15</v>
      </c>
      <c r="B126" s="3" t="s">
        <v>15</v>
      </c>
      <c r="C126" s="3" t="s">
        <v>897</v>
      </c>
      <c r="D126" s="3" t="s">
        <v>15</v>
      </c>
      <c r="E126" s="3" t="s">
        <v>17</v>
      </c>
      <c r="F126" s="4">
        <v>46304</v>
      </c>
      <c r="G126" s="3" t="s">
        <v>18</v>
      </c>
      <c r="H126" s="5">
        <v>733484.73</v>
      </c>
      <c r="I126" s="3" t="s">
        <v>19</v>
      </c>
      <c r="J126" s="3" t="s">
        <v>20</v>
      </c>
      <c r="K126" s="3" t="s">
        <v>15</v>
      </c>
      <c r="L126" s="3" t="s">
        <v>73</v>
      </c>
      <c r="M126" s="4">
        <v>46304</v>
      </c>
      <c r="N126" s="3" t="s">
        <v>537</v>
      </c>
      <c r="O126" s="3" t="s">
        <v>54</v>
      </c>
      <c r="P126" t="str">
        <f t="shared" si="1"/>
        <v>450013974230</v>
      </c>
      <c r="Q126" s="7" cm="1">
        <f t="array" ref="Q126:S126">VLOOKUP(P126,Hoja1!C:F,{2,3,4},FALSE)</f>
        <v>46318</v>
      </c>
      <c r="R126" t="str">
        <v>C28</v>
      </c>
      <c r="S126" t="str">
        <v>1000007451 FLORES CARLOS FELIPE Y OTROS S H</v>
      </c>
      <c r="T126" t="str">
        <f>VLOOKUP(P126,Hoja2!C:D,2,FALSE)</f>
        <v>GJULIANI</v>
      </c>
    </row>
    <row r="127" spans="1:20" x14ac:dyDescent="0.3">
      <c r="A127" s="2" t="s">
        <v>15</v>
      </c>
      <c r="B127" s="3" t="s">
        <v>15</v>
      </c>
      <c r="C127" s="3" t="s">
        <v>897</v>
      </c>
      <c r="D127" s="3" t="s">
        <v>15</v>
      </c>
      <c r="E127" s="3" t="s">
        <v>17</v>
      </c>
      <c r="F127" s="4">
        <v>46304</v>
      </c>
      <c r="G127" s="3" t="s">
        <v>18</v>
      </c>
      <c r="H127" s="5">
        <v>600123.87</v>
      </c>
      <c r="I127" s="3" t="s">
        <v>19</v>
      </c>
      <c r="J127" s="3" t="s">
        <v>20</v>
      </c>
      <c r="K127" s="3" t="s">
        <v>15</v>
      </c>
      <c r="L127" s="3" t="s">
        <v>73</v>
      </c>
      <c r="M127" s="4">
        <v>46304</v>
      </c>
      <c r="N127" s="3" t="s">
        <v>537</v>
      </c>
      <c r="O127" s="3" t="s">
        <v>80</v>
      </c>
      <c r="P127" t="str">
        <f t="shared" si="1"/>
        <v>450013974260</v>
      </c>
      <c r="Q127" s="7" cm="1">
        <f t="array" ref="Q127:S127">VLOOKUP(P127,Hoja1!C:F,{2,3,4},FALSE)</f>
        <v>46318</v>
      </c>
      <c r="R127" t="str">
        <v>C28</v>
      </c>
      <c r="S127" t="str">
        <v>1000007451 FLORES CARLOS FELIPE Y OTROS S H</v>
      </c>
      <c r="T127" t="str">
        <f>VLOOKUP(P127,Hoja2!C:D,2,FALSE)</f>
        <v>GJULIANI</v>
      </c>
    </row>
    <row r="128" spans="1:20" x14ac:dyDescent="0.3">
      <c r="A128" s="2" t="s">
        <v>15</v>
      </c>
      <c r="B128" s="3" t="s">
        <v>15</v>
      </c>
      <c r="C128" s="3" t="s">
        <v>897</v>
      </c>
      <c r="D128" s="3" t="s">
        <v>15</v>
      </c>
      <c r="E128" s="3" t="s">
        <v>17</v>
      </c>
      <c r="F128" s="4">
        <v>46304</v>
      </c>
      <c r="G128" s="3" t="s">
        <v>18</v>
      </c>
      <c r="H128" s="5">
        <v>571792.62</v>
      </c>
      <c r="I128" s="3" t="s">
        <v>19</v>
      </c>
      <c r="J128" s="3" t="s">
        <v>20</v>
      </c>
      <c r="K128" s="3" t="s">
        <v>15</v>
      </c>
      <c r="L128" s="3" t="s">
        <v>73</v>
      </c>
      <c r="M128" s="4">
        <v>46304</v>
      </c>
      <c r="N128" s="3" t="s">
        <v>537</v>
      </c>
      <c r="O128" s="3" t="s">
        <v>81</v>
      </c>
      <c r="P128" t="str">
        <f t="shared" si="1"/>
        <v>450013974270</v>
      </c>
      <c r="Q128" s="7" cm="1">
        <f t="array" ref="Q128:S128">VLOOKUP(P128,Hoja1!C:F,{2,3,4},FALSE)</f>
        <v>46318</v>
      </c>
      <c r="R128" t="str">
        <v>C28</v>
      </c>
      <c r="S128" t="str">
        <v>1000007451 FLORES CARLOS FELIPE Y OTROS S H</v>
      </c>
      <c r="T128" t="str">
        <f>VLOOKUP(P128,Hoja2!C:D,2,FALSE)</f>
        <v>GJULIANI</v>
      </c>
    </row>
    <row r="129" spans="1:20" x14ac:dyDescent="0.3">
      <c r="A129" s="2" t="s">
        <v>15</v>
      </c>
      <c r="B129" s="3" t="s">
        <v>15</v>
      </c>
      <c r="C129" s="3" t="s">
        <v>898</v>
      </c>
      <c r="D129" s="3" t="s">
        <v>15</v>
      </c>
      <c r="E129" s="3" t="s">
        <v>17</v>
      </c>
      <c r="F129" s="4">
        <v>46304</v>
      </c>
      <c r="G129" s="3" t="s">
        <v>18</v>
      </c>
      <c r="H129" s="5">
        <v>2118678.87</v>
      </c>
      <c r="I129" s="3" t="s">
        <v>19</v>
      </c>
      <c r="J129" s="3" t="s">
        <v>20</v>
      </c>
      <c r="K129" s="3" t="s">
        <v>15</v>
      </c>
      <c r="L129" s="3" t="s">
        <v>73</v>
      </c>
      <c r="M129" s="4">
        <v>46304</v>
      </c>
      <c r="N129" s="3" t="s">
        <v>143</v>
      </c>
      <c r="O129" s="3" t="s">
        <v>32</v>
      </c>
      <c r="P129" t="str">
        <f t="shared" si="1"/>
        <v>450013962310</v>
      </c>
      <c r="Q129" s="7" cm="1">
        <f t="array" ref="Q129:S129">VLOOKUP(P129,Hoja1!C:F,{2,3,4},FALSE)</f>
        <v>46318</v>
      </c>
      <c r="R129" t="str">
        <v>C28</v>
      </c>
      <c r="S129" t="str">
        <v>1000007451 FLORES CARLOS FELIPE Y OTROS S H</v>
      </c>
      <c r="T129" t="str">
        <f>VLOOKUP(P129,Hoja2!C:D,2,FALSE)</f>
        <v>GJULIANI</v>
      </c>
    </row>
    <row r="130" spans="1:20" x14ac:dyDescent="0.3">
      <c r="A130" s="2" t="s">
        <v>15</v>
      </c>
      <c r="B130" s="3" t="s">
        <v>15</v>
      </c>
      <c r="C130" s="3" t="s">
        <v>898</v>
      </c>
      <c r="D130" s="3" t="s">
        <v>15</v>
      </c>
      <c r="E130" s="3" t="s">
        <v>17</v>
      </c>
      <c r="F130" s="4">
        <v>46304</v>
      </c>
      <c r="G130" s="3" t="s">
        <v>18</v>
      </c>
      <c r="H130" s="5">
        <v>666804.30000000005</v>
      </c>
      <c r="I130" s="3" t="s">
        <v>19</v>
      </c>
      <c r="J130" s="3" t="s">
        <v>20</v>
      </c>
      <c r="K130" s="3" t="s">
        <v>15</v>
      </c>
      <c r="L130" s="3" t="s">
        <v>73</v>
      </c>
      <c r="M130" s="4">
        <v>46304</v>
      </c>
      <c r="N130" s="3" t="s">
        <v>143</v>
      </c>
      <c r="O130" s="3" t="s">
        <v>80</v>
      </c>
      <c r="P130" t="str">
        <f t="shared" si="1"/>
        <v>450013962360</v>
      </c>
      <c r="Q130" s="7" cm="1">
        <f t="array" ref="Q130:S130">VLOOKUP(P130,Hoja1!C:F,{2,3,4},FALSE)</f>
        <v>46318</v>
      </c>
      <c r="R130" t="str">
        <v>C28</v>
      </c>
      <c r="S130" t="str">
        <v>1000007451 FLORES CARLOS FELIPE Y OTROS S H</v>
      </c>
      <c r="T130" t="str">
        <f>VLOOKUP(P130,Hoja2!C:D,2,FALSE)</f>
        <v>GJULIANI</v>
      </c>
    </row>
    <row r="131" spans="1:20" x14ac:dyDescent="0.3">
      <c r="A131" s="2" t="s">
        <v>15</v>
      </c>
      <c r="B131" s="3" t="s">
        <v>15</v>
      </c>
      <c r="C131" s="3" t="s">
        <v>898</v>
      </c>
      <c r="D131" s="3" t="s">
        <v>15</v>
      </c>
      <c r="E131" s="3" t="s">
        <v>17</v>
      </c>
      <c r="F131" s="4">
        <v>46304</v>
      </c>
      <c r="G131" s="3" t="s">
        <v>18</v>
      </c>
      <c r="H131" s="5">
        <v>866845.59</v>
      </c>
      <c r="I131" s="3" t="s">
        <v>19</v>
      </c>
      <c r="J131" s="3" t="s">
        <v>20</v>
      </c>
      <c r="K131" s="3" t="s">
        <v>15</v>
      </c>
      <c r="L131" s="3" t="s">
        <v>73</v>
      </c>
      <c r="M131" s="4">
        <v>46304</v>
      </c>
      <c r="N131" s="3" t="s">
        <v>143</v>
      </c>
      <c r="O131" s="3" t="s">
        <v>82</v>
      </c>
      <c r="P131" t="str">
        <f t="shared" ref="P131:P194" si="2">_xlfn.CONCAT(N131:O131)</f>
        <v>450013962380</v>
      </c>
      <c r="Q131" s="7" cm="1">
        <f t="array" ref="Q131:S131">VLOOKUP(P131,Hoja1!C:F,{2,3,4},FALSE)</f>
        <v>46318</v>
      </c>
      <c r="R131" t="str">
        <v>C28</v>
      </c>
      <c r="S131" t="str">
        <v>1000007451 FLORES CARLOS FELIPE Y OTROS S H</v>
      </c>
      <c r="T131" t="str">
        <f>VLOOKUP(P131,Hoja2!C:D,2,FALSE)</f>
        <v>GJULIANI</v>
      </c>
    </row>
    <row r="132" spans="1:20" x14ac:dyDescent="0.3">
      <c r="A132" s="2" t="s">
        <v>15</v>
      </c>
      <c r="B132" s="3" t="s">
        <v>15</v>
      </c>
      <c r="C132" s="3" t="s">
        <v>898</v>
      </c>
      <c r="D132" s="3" t="s">
        <v>15</v>
      </c>
      <c r="E132" s="3" t="s">
        <v>17</v>
      </c>
      <c r="F132" s="4">
        <v>46304</v>
      </c>
      <c r="G132" s="3" t="s">
        <v>18</v>
      </c>
      <c r="H132" s="5">
        <v>773601.78</v>
      </c>
      <c r="I132" s="3" t="s">
        <v>19</v>
      </c>
      <c r="J132" s="3" t="s">
        <v>20</v>
      </c>
      <c r="K132" s="3" t="s">
        <v>15</v>
      </c>
      <c r="L132" s="3" t="s">
        <v>73</v>
      </c>
      <c r="M132" s="4">
        <v>46304</v>
      </c>
      <c r="N132" s="3" t="s">
        <v>143</v>
      </c>
      <c r="O132" s="3" t="s">
        <v>65</v>
      </c>
      <c r="P132" t="str">
        <f t="shared" si="2"/>
        <v>4500139623130</v>
      </c>
      <c r="Q132" s="7" cm="1">
        <f t="array" ref="Q132:S132">VLOOKUP(P132,Hoja1!C:F,{2,3,4},FALSE)</f>
        <v>46318</v>
      </c>
      <c r="R132" t="str">
        <v>C28</v>
      </c>
      <c r="S132" t="str">
        <v>1000007451 FLORES CARLOS FELIPE Y OTROS S H</v>
      </c>
      <c r="T132" t="str">
        <f>VLOOKUP(P132,Hoja2!C:D,2,FALSE)</f>
        <v>GJULIANI</v>
      </c>
    </row>
    <row r="133" spans="1:20" x14ac:dyDescent="0.3">
      <c r="A133" s="2" t="s">
        <v>15</v>
      </c>
      <c r="B133" s="3" t="s">
        <v>15</v>
      </c>
      <c r="C133" s="3" t="s">
        <v>898</v>
      </c>
      <c r="D133" s="3" t="s">
        <v>15</v>
      </c>
      <c r="E133" s="3" t="s">
        <v>17</v>
      </c>
      <c r="F133" s="4">
        <v>46304</v>
      </c>
      <c r="G133" s="3" t="s">
        <v>18</v>
      </c>
      <c r="H133" s="5">
        <v>874506.36</v>
      </c>
      <c r="I133" s="3" t="s">
        <v>19</v>
      </c>
      <c r="J133" s="3" t="s">
        <v>20</v>
      </c>
      <c r="K133" s="3" t="s">
        <v>15</v>
      </c>
      <c r="L133" s="3" t="s">
        <v>73</v>
      </c>
      <c r="M133" s="4">
        <v>46304</v>
      </c>
      <c r="N133" s="3" t="s">
        <v>143</v>
      </c>
      <c r="O133" s="3" t="s">
        <v>66</v>
      </c>
      <c r="P133" t="str">
        <f t="shared" si="2"/>
        <v>4500139623140</v>
      </c>
      <c r="Q133" s="7" cm="1">
        <f t="array" ref="Q133:S133">VLOOKUP(P133,Hoja1!C:F,{2,3,4},FALSE)</f>
        <v>46318</v>
      </c>
      <c r="R133" t="str">
        <v>C28</v>
      </c>
      <c r="S133" t="str">
        <v>1000007451 FLORES CARLOS FELIPE Y OTROS S H</v>
      </c>
      <c r="T133" t="str">
        <f>VLOOKUP(P133,Hoja2!C:D,2,FALSE)</f>
        <v>GJULIANI</v>
      </c>
    </row>
    <row r="134" spans="1:20" x14ac:dyDescent="0.3">
      <c r="A134" s="2" t="s">
        <v>15</v>
      </c>
      <c r="B134" s="3" t="s">
        <v>15</v>
      </c>
      <c r="C134" s="3" t="s">
        <v>898</v>
      </c>
      <c r="D134" s="3" t="s">
        <v>15</v>
      </c>
      <c r="E134" s="3" t="s">
        <v>17</v>
      </c>
      <c r="F134" s="4">
        <v>46304</v>
      </c>
      <c r="G134" s="3" t="s">
        <v>18</v>
      </c>
      <c r="H134" s="5">
        <v>504522.9</v>
      </c>
      <c r="I134" s="3" t="s">
        <v>19</v>
      </c>
      <c r="J134" s="3" t="s">
        <v>20</v>
      </c>
      <c r="K134" s="3" t="s">
        <v>15</v>
      </c>
      <c r="L134" s="3" t="s">
        <v>73</v>
      </c>
      <c r="M134" s="4">
        <v>46304</v>
      </c>
      <c r="N134" s="3" t="s">
        <v>143</v>
      </c>
      <c r="O134" s="3" t="s">
        <v>87</v>
      </c>
      <c r="P134" t="str">
        <f t="shared" si="2"/>
        <v>4500139623150</v>
      </c>
      <c r="Q134" s="7" cm="1">
        <f t="array" ref="Q134:S134">VLOOKUP(P134,Hoja1!C:F,{2,3,4},FALSE)</f>
        <v>46318</v>
      </c>
      <c r="R134" t="str">
        <v>C28</v>
      </c>
      <c r="S134" t="str">
        <v>1000007451 FLORES CARLOS FELIPE Y OTROS S H</v>
      </c>
      <c r="T134" t="str">
        <f>VLOOKUP(P134,Hoja2!C:D,2,FALSE)</f>
        <v>GJULIANI</v>
      </c>
    </row>
    <row r="135" spans="1:20" x14ac:dyDescent="0.3">
      <c r="A135" s="2" t="s">
        <v>15</v>
      </c>
      <c r="B135" s="3" t="s">
        <v>15</v>
      </c>
      <c r="C135" s="3" t="s">
        <v>899</v>
      </c>
      <c r="D135" s="3" t="s">
        <v>15</v>
      </c>
      <c r="E135" s="3" t="s">
        <v>17</v>
      </c>
      <c r="F135" s="4">
        <v>46282</v>
      </c>
      <c r="G135" s="3" t="s">
        <v>18</v>
      </c>
      <c r="H135" s="5">
        <v>76243.92</v>
      </c>
      <c r="I135" s="3" t="s">
        <v>19</v>
      </c>
      <c r="J135" s="3" t="s">
        <v>20</v>
      </c>
      <c r="K135" s="3" t="s">
        <v>15</v>
      </c>
      <c r="L135" s="3" t="s">
        <v>217</v>
      </c>
      <c r="M135" s="4">
        <v>46304</v>
      </c>
      <c r="N135" s="3" t="s">
        <v>255</v>
      </c>
      <c r="O135" s="3" t="s">
        <v>54</v>
      </c>
      <c r="P135" t="str">
        <f t="shared" si="2"/>
        <v>450013333630</v>
      </c>
      <c r="Q135" s="7" cm="1">
        <f t="array" ref="Q135:S135">VLOOKUP(P135,Hoja1!C:F,{2,3,4},FALSE)</f>
        <v>46234</v>
      </c>
      <c r="R135" t="str">
        <v>C03</v>
      </c>
      <c r="S135" t="str">
        <v>1000000012 IGARRETA MAQUINAS S.A.</v>
      </c>
      <c r="T135" t="str">
        <f>VLOOKUP(P135,Hoja2!C:D,2,FALSE)</f>
        <v>RPEREZ</v>
      </c>
    </row>
    <row r="136" spans="1:20" x14ac:dyDescent="0.3">
      <c r="A136" s="2" t="s">
        <v>15</v>
      </c>
      <c r="B136" s="3" t="s">
        <v>15</v>
      </c>
      <c r="C136" s="3" t="s">
        <v>899</v>
      </c>
      <c r="D136" s="3" t="s">
        <v>15</v>
      </c>
      <c r="E136" s="3" t="s">
        <v>17</v>
      </c>
      <c r="F136" s="4">
        <v>46282</v>
      </c>
      <c r="G136" s="3" t="s">
        <v>18</v>
      </c>
      <c r="H136" s="5">
        <v>35746.76</v>
      </c>
      <c r="I136" s="3" t="s">
        <v>19</v>
      </c>
      <c r="J136" s="3" t="s">
        <v>20</v>
      </c>
      <c r="K136" s="3" t="s">
        <v>15</v>
      </c>
      <c r="L136" s="3" t="s">
        <v>217</v>
      </c>
      <c r="M136" s="4">
        <v>46304</v>
      </c>
      <c r="N136" s="3" t="s">
        <v>255</v>
      </c>
      <c r="O136" s="3" t="s">
        <v>23</v>
      </c>
      <c r="P136" t="str">
        <f t="shared" si="2"/>
        <v>450013333640</v>
      </c>
      <c r="Q136" s="7" cm="1">
        <f t="array" ref="Q136:S136">VLOOKUP(P136,Hoja1!C:F,{2,3,4},FALSE)</f>
        <v>46234</v>
      </c>
      <c r="R136" t="str">
        <v>C03</v>
      </c>
      <c r="S136" t="str">
        <v>1000000012 IGARRETA MAQUINAS S.A.</v>
      </c>
      <c r="T136" t="str">
        <f>VLOOKUP(P136,Hoja2!C:D,2,FALSE)</f>
        <v>RPEREZ</v>
      </c>
    </row>
    <row r="137" spans="1:20" x14ac:dyDescent="0.3">
      <c r="A137" s="2" t="s">
        <v>15</v>
      </c>
      <c r="B137" s="3" t="s">
        <v>15</v>
      </c>
      <c r="C137" s="3" t="s">
        <v>899</v>
      </c>
      <c r="D137" s="3" t="s">
        <v>15</v>
      </c>
      <c r="E137" s="3" t="s">
        <v>17</v>
      </c>
      <c r="F137" s="4">
        <v>46282</v>
      </c>
      <c r="G137" s="3" t="s">
        <v>18</v>
      </c>
      <c r="H137" s="5">
        <v>53768.59</v>
      </c>
      <c r="I137" s="3" t="s">
        <v>19</v>
      </c>
      <c r="J137" s="3" t="s">
        <v>20</v>
      </c>
      <c r="K137" s="3" t="s">
        <v>15</v>
      </c>
      <c r="L137" s="3" t="s">
        <v>217</v>
      </c>
      <c r="M137" s="4">
        <v>46304</v>
      </c>
      <c r="N137" s="3" t="s">
        <v>255</v>
      </c>
      <c r="O137" s="3" t="s">
        <v>55</v>
      </c>
      <c r="P137" t="str">
        <f t="shared" si="2"/>
        <v>450013333650</v>
      </c>
      <c r="Q137" s="7" cm="1">
        <f t="array" ref="Q137:S137">VLOOKUP(P137,Hoja1!C:F,{2,3,4},FALSE)</f>
        <v>46234</v>
      </c>
      <c r="R137" t="str">
        <v>C03</v>
      </c>
      <c r="S137" t="str">
        <v>1000000012 IGARRETA MAQUINAS S.A.</v>
      </c>
      <c r="T137" t="str">
        <f>VLOOKUP(P137,Hoja2!C:D,2,FALSE)</f>
        <v>RPEREZ</v>
      </c>
    </row>
    <row r="138" spans="1:20" x14ac:dyDescent="0.3">
      <c r="A138" s="2" t="s">
        <v>15</v>
      </c>
      <c r="B138" s="3" t="s">
        <v>15</v>
      </c>
      <c r="C138" s="3" t="s">
        <v>899</v>
      </c>
      <c r="D138" s="3" t="s">
        <v>15</v>
      </c>
      <c r="E138" s="3" t="s">
        <v>17</v>
      </c>
      <c r="F138" s="4">
        <v>46282</v>
      </c>
      <c r="G138" s="3" t="s">
        <v>18</v>
      </c>
      <c r="H138" s="5">
        <v>35004.51</v>
      </c>
      <c r="I138" s="3" t="s">
        <v>19</v>
      </c>
      <c r="J138" s="3" t="s">
        <v>20</v>
      </c>
      <c r="K138" s="3" t="s">
        <v>15</v>
      </c>
      <c r="L138" s="3" t="s">
        <v>217</v>
      </c>
      <c r="M138" s="4">
        <v>46304</v>
      </c>
      <c r="N138" s="3" t="s">
        <v>255</v>
      </c>
      <c r="O138" s="3" t="s">
        <v>80</v>
      </c>
      <c r="P138" t="str">
        <f t="shared" si="2"/>
        <v>450013333660</v>
      </c>
      <c r="Q138" s="7" cm="1">
        <f t="array" ref="Q138:S138">VLOOKUP(P138,Hoja1!C:F,{2,3,4},FALSE)</f>
        <v>46234</v>
      </c>
      <c r="R138" t="str">
        <v>C03</v>
      </c>
      <c r="S138" t="str">
        <v>1000000012 IGARRETA MAQUINAS S.A.</v>
      </c>
      <c r="T138" t="str">
        <f>VLOOKUP(P138,Hoja2!C:D,2,FALSE)</f>
        <v>RPEREZ</v>
      </c>
    </row>
    <row r="139" spans="1:20" x14ac:dyDescent="0.3">
      <c r="A139" s="2" t="s">
        <v>15</v>
      </c>
      <c r="B139" s="3" t="s">
        <v>15</v>
      </c>
      <c r="C139" s="3" t="s">
        <v>900</v>
      </c>
      <c r="D139" s="3" t="s">
        <v>15</v>
      </c>
      <c r="E139" s="3" t="s">
        <v>17</v>
      </c>
      <c r="F139" s="4">
        <v>46282</v>
      </c>
      <c r="G139" s="3" t="s">
        <v>18</v>
      </c>
      <c r="H139" s="5">
        <v>432738.72</v>
      </c>
      <c r="I139" s="3" t="s">
        <v>19</v>
      </c>
      <c r="J139" s="3" t="s">
        <v>20</v>
      </c>
      <c r="K139" s="3" t="s">
        <v>15</v>
      </c>
      <c r="L139" s="3" t="s">
        <v>217</v>
      </c>
      <c r="M139" s="4">
        <v>46304</v>
      </c>
      <c r="N139" s="3" t="s">
        <v>218</v>
      </c>
      <c r="O139" s="3" t="s">
        <v>28</v>
      </c>
      <c r="P139" t="str">
        <f t="shared" si="2"/>
        <v>450013086820</v>
      </c>
      <c r="Q139" s="7" cm="1">
        <f t="array" ref="Q139:S139">VLOOKUP(P139,Hoja1!C:F,{2,3,4},FALSE)</f>
        <v>46215</v>
      </c>
      <c r="R139" t="str">
        <v>C29</v>
      </c>
      <c r="S139" t="str">
        <v>1000000012 IGARRETA MAQUINAS S.A.</v>
      </c>
      <c r="T139" t="str">
        <f>VLOOKUP(P139,Hoja2!C:D,2,FALSE)</f>
        <v>RPEREZ</v>
      </c>
    </row>
    <row r="140" spans="1:20" x14ac:dyDescent="0.3">
      <c r="A140" s="2" t="s">
        <v>15</v>
      </c>
      <c r="B140" s="3" t="s">
        <v>15</v>
      </c>
      <c r="C140" s="3" t="s">
        <v>901</v>
      </c>
      <c r="D140" s="3" t="s">
        <v>15</v>
      </c>
      <c r="E140" s="3" t="s">
        <v>17</v>
      </c>
      <c r="F140" s="4">
        <v>46282</v>
      </c>
      <c r="G140" s="3" t="s">
        <v>18</v>
      </c>
      <c r="H140" s="5">
        <v>51301.9</v>
      </c>
      <c r="I140" s="3" t="s">
        <v>19</v>
      </c>
      <c r="J140" s="3" t="s">
        <v>20</v>
      </c>
      <c r="K140" s="3" t="s">
        <v>15</v>
      </c>
      <c r="L140" s="3" t="s">
        <v>217</v>
      </c>
      <c r="M140" s="4">
        <v>46304</v>
      </c>
      <c r="N140" s="3" t="s">
        <v>218</v>
      </c>
      <c r="O140" s="3" t="s">
        <v>32</v>
      </c>
      <c r="P140" t="str">
        <f t="shared" si="2"/>
        <v>450013086810</v>
      </c>
      <c r="Q140" s="7" cm="1">
        <f t="array" ref="Q140:S140">VLOOKUP(P140,Hoja1!C:F,{2,3,4},FALSE)</f>
        <v>46202</v>
      </c>
      <c r="R140" t="str">
        <v>C29</v>
      </c>
      <c r="S140" t="str">
        <v>1000000012 IGARRETA MAQUINAS S.A.</v>
      </c>
      <c r="T140" t="str">
        <f>VLOOKUP(P140,Hoja2!C:D,2,FALSE)</f>
        <v>RPEREZ</v>
      </c>
    </row>
    <row r="141" spans="1:20" x14ac:dyDescent="0.3">
      <c r="A141" s="2" t="s">
        <v>15</v>
      </c>
      <c r="B141" s="3" t="s">
        <v>15</v>
      </c>
      <c r="C141" s="3" t="s">
        <v>902</v>
      </c>
      <c r="D141" s="3" t="s">
        <v>15</v>
      </c>
      <c r="E141" s="3" t="s">
        <v>17</v>
      </c>
      <c r="F141" s="4">
        <v>46281</v>
      </c>
      <c r="G141" s="3" t="s">
        <v>18</v>
      </c>
      <c r="H141" s="5">
        <v>1380781.95</v>
      </c>
      <c r="I141" s="3" t="s">
        <v>19</v>
      </c>
      <c r="J141" s="3" t="s">
        <v>20</v>
      </c>
      <c r="K141" s="3" t="s">
        <v>15</v>
      </c>
      <c r="L141" s="3" t="s">
        <v>217</v>
      </c>
      <c r="M141" s="4">
        <v>46304</v>
      </c>
      <c r="N141" s="3" t="s">
        <v>450</v>
      </c>
      <c r="O141" s="3" t="s">
        <v>55</v>
      </c>
      <c r="P141" t="str">
        <f t="shared" si="2"/>
        <v>450013665050</v>
      </c>
      <c r="Q141" s="7" cm="1">
        <f t="array" ref="Q141:S141">VLOOKUP(P141,Hoja1!C:F,{2,3,4},FALSE)</f>
        <v>46285</v>
      </c>
      <c r="R141" t="str">
        <v>C29</v>
      </c>
      <c r="S141" t="str">
        <v>1000000012 IGARRETA MAQUINAS S.A.</v>
      </c>
      <c r="T141" t="str">
        <f>VLOOKUP(P141,Hoja2!C:D,2,FALSE)</f>
        <v>EFUNES</v>
      </c>
    </row>
    <row r="142" spans="1:20" x14ac:dyDescent="0.3">
      <c r="A142" s="2" t="s">
        <v>15</v>
      </c>
      <c r="B142" s="3" t="s">
        <v>15</v>
      </c>
      <c r="C142" s="3" t="s">
        <v>902</v>
      </c>
      <c r="D142" s="3" t="s">
        <v>15</v>
      </c>
      <c r="E142" s="3" t="s">
        <v>17</v>
      </c>
      <c r="F142" s="4">
        <v>46281</v>
      </c>
      <c r="G142" s="3" t="s">
        <v>18</v>
      </c>
      <c r="H142" s="5">
        <v>516541.08</v>
      </c>
      <c r="I142" s="3" t="s">
        <v>19</v>
      </c>
      <c r="J142" s="3" t="s">
        <v>20</v>
      </c>
      <c r="K142" s="3" t="s">
        <v>15</v>
      </c>
      <c r="L142" s="3" t="s">
        <v>217</v>
      </c>
      <c r="M142" s="4">
        <v>46304</v>
      </c>
      <c r="N142" s="3" t="s">
        <v>450</v>
      </c>
      <c r="O142" s="3" t="s">
        <v>80</v>
      </c>
      <c r="P142" t="str">
        <f t="shared" si="2"/>
        <v>450013665060</v>
      </c>
      <c r="Q142" s="7" cm="1">
        <f t="array" ref="Q142:S142">VLOOKUP(P142,Hoja1!C:F,{2,3,4},FALSE)</f>
        <v>46285</v>
      </c>
      <c r="R142" t="str">
        <v>C29</v>
      </c>
      <c r="S142" t="str">
        <v>1000000012 IGARRETA MAQUINAS S.A.</v>
      </c>
      <c r="T142" t="str">
        <f>VLOOKUP(P142,Hoja2!C:D,2,FALSE)</f>
        <v>EFUNES</v>
      </c>
    </row>
    <row r="143" spans="1:20" x14ac:dyDescent="0.3">
      <c r="A143" s="2" t="s">
        <v>15</v>
      </c>
      <c r="B143" s="3" t="s">
        <v>15</v>
      </c>
      <c r="C143" s="3" t="s">
        <v>903</v>
      </c>
      <c r="D143" s="3" t="s">
        <v>15</v>
      </c>
      <c r="E143" s="3" t="s">
        <v>17</v>
      </c>
      <c r="F143" s="4">
        <v>46279</v>
      </c>
      <c r="G143" s="3" t="s">
        <v>18</v>
      </c>
      <c r="H143" s="5">
        <v>313219.28000000003</v>
      </c>
      <c r="I143" s="3" t="s">
        <v>19</v>
      </c>
      <c r="J143" s="3" t="s">
        <v>20</v>
      </c>
      <c r="K143" s="3" t="s">
        <v>15</v>
      </c>
      <c r="L143" s="3" t="s">
        <v>217</v>
      </c>
      <c r="M143" s="4">
        <v>46304</v>
      </c>
      <c r="N143" s="3" t="s">
        <v>438</v>
      </c>
      <c r="O143" s="3" t="s">
        <v>32</v>
      </c>
      <c r="P143" t="str">
        <f t="shared" si="2"/>
        <v>450013506010</v>
      </c>
      <c r="Q143" s="7" cm="1">
        <f t="array" ref="Q143:S143">VLOOKUP(P143,Hoja1!C:F,{2,3,4},FALSE)</f>
        <v>46285</v>
      </c>
      <c r="R143" t="str">
        <v>C29</v>
      </c>
      <c r="S143" t="str">
        <v>1000000012 IGARRETA MAQUINAS S.A.</v>
      </c>
      <c r="T143" t="str">
        <f>VLOOKUP(P143,Hoja2!C:D,2,FALSE)</f>
        <v>WVENTURINI</v>
      </c>
    </row>
    <row r="144" spans="1:20" x14ac:dyDescent="0.3">
      <c r="A144" s="2" t="s">
        <v>15</v>
      </c>
      <c r="B144" s="3" t="s">
        <v>15</v>
      </c>
      <c r="C144" s="3" t="s">
        <v>904</v>
      </c>
      <c r="D144" s="3" t="s">
        <v>25</v>
      </c>
      <c r="E144" s="3" t="s">
        <v>17</v>
      </c>
      <c r="F144" s="4">
        <v>46304</v>
      </c>
      <c r="G144" s="3" t="s">
        <v>18</v>
      </c>
      <c r="H144" s="5">
        <v>453720</v>
      </c>
      <c r="I144" s="3" t="s">
        <v>19</v>
      </c>
      <c r="J144" s="3" t="s">
        <v>20</v>
      </c>
      <c r="K144" s="3" t="s">
        <v>15</v>
      </c>
      <c r="L144" s="3" t="s">
        <v>141</v>
      </c>
      <c r="M144" s="4">
        <v>46304</v>
      </c>
      <c r="N144" s="3" t="s">
        <v>746</v>
      </c>
      <c r="O144" s="3" t="s">
        <v>32</v>
      </c>
      <c r="P144" t="str">
        <f t="shared" si="2"/>
        <v>450013940610</v>
      </c>
      <c r="Q144" s="7" cm="1">
        <f t="array" ref="Q144:S144">VLOOKUP(P144,Hoja1!C:F,{2,3,4},FALSE)</f>
        <v>46297</v>
      </c>
      <c r="R144" t="str">
        <v>C35</v>
      </c>
      <c r="S144" t="str">
        <v>1000000295 BOLLINI S.A</v>
      </c>
      <c r="T144" t="str">
        <f>VLOOKUP(P144,Hoja2!C:D,2,FALSE)</f>
        <v>FSOTO</v>
      </c>
    </row>
    <row r="145" spans="1:20" x14ac:dyDescent="0.3">
      <c r="A145" s="2" t="s">
        <v>15</v>
      </c>
      <c r="B145" s="3" t="s">
        <v>15</v>
      </c>
      <c r="C145" s="3" t="s">
        <v>904</v>
      </c>
      <c r="D145" s="3" t="s">
        <v>25</v>
      </c>
      <c r="E145" s="3" t="s">
        <v>17</v>
      </c>
      <c r="F145" s="4">
        <v>46304</v>
      </c>
      <c r="G145" s="3" t="s">
        <v>18</v>
      </c>
      <c r="H145" s="5">
        <v>453720</v>
      </c>
      <c r="I145" s="3" t="s">
        <v>19</v>
      </c>
      <c r="J145" s="3" t="s">
        <v>20</v>
      </c>
      <c r="K145" s="3" t="s">
        <v>15</v>
      </c>
      <c r="L145" s="3" t="s">
        <v>141</v>
      </c>
      <c r="M145" s="4">
        <v>46304</v>
      </c>
      <c r="N145" s="3" t="s">
        <v>746</v>
      </c>
      <c r="O145" s="3" t="s">
        <v>32</v>
      </c>
      <c r="P145" t="str">
        <f t="shared" si="2"/>
        <v>450013940610</v>
      </c>
      <c r="Q145" s="7" cm="1">
        <f t="array" ref="Q145:S145">VLOOKUP(P145,Hoja1!C:F,{2,3,4},FALSE)</f>
        <v>46297</v>
      </c>
      <c r="R145" t="str">
        <v>C35</v>
      </c>
      <c r="S145" t="str">
        <v>1000000295 BOLLINI S.A</v>
      </c>
      <c r="T145" t="str">
        <f>VLOOKUP(P145,Hoja2!C:D,2,FALSE)</f>
        <v>FSOTO</v>
      </c>
    </row>
    <row r="146" spans="1:20" x14ac:dyDescent="0.3">
      <c r="A146" s="2" t="s">
        <v>15</v>
      </c>
      <c r="B146" s="3" t="s">
        <v>15</v>
      </c>
      <c r="C146" s="3" t="s">
        <v>904</v>
      </c>
      <c r="D146" s="3" t="s">
        <v>25</v>
      </c>
      <c r="E146" s="3" t="s">
        <v>17</v>
      </c>
      <c r="F146" s="4">
        <v>46304</v>
      </c>
      <c r="G146" s="3" t="s">
        <v>18</v>
      </c>
      <c r="H146" s="5">
        <v>102920</v>
      </c>
      <c r="I146" s="3" t="s">
        <v>19</v>
      </c>
      <c r="J146" s="3" t="s">
        <v>20</v>
      </c>
      <c r="K146" s="3" t="s">
        <v>15</v>
      </c>
      <c r="L146" s="3" t="s">
        <v>141</v>
      </c>
      <c r="M146" s="4">
        <v>46304</v>
      </c>
      <c r="N146" s="3" t="s">
        <v>746</v>
      </c>
      <c r="O146" s="3" t="s">
        <v>28</v>
      </c>
      <c r="P146" t="str">
        <f t="shared" si="2"/>
        <v>450013940620</v>
      </c>
      <c r="Q146" s="7" cm="1">
        <f t="array" ref="Q146:S146">VLOOKUP(P146,Hoja1!C:F,{2,3,4},FALSE)</f>
        <v>46297</v>
      </c>
      <c r="R146" t="str">
        <v>C35</v>
      </c>
      <c r="S146" t="str">
        <v>1000000295 BOLLINI S.A</v>
      </c>
      <c r="T146" t="str">
        <f>VLOOKUP(P146,Hoja2!C:D,2,FALSE)</f>
        <v>FSOTO</v>
      </c>
    </row>
    <row r="147" spans="1:20" x14ac:dyDescent="0.3">
      <c r="A147" s="2" t="s">
        <v>15</v>
      </c>
      <c r="B147" s="3" t="s">
        <v>15</v>
      </c>
      <c r="C147" s="3" t="s">
        <v>904</v>
      </c>
      <c r="D147" s="3" t="s">
        <v>25</v>
      </c>
      <c r="E147" s="3" t="s">
        <v>17</v>
      </c>
      <c r="F147" s="4">
        <v>46304</v>
      </c>
      <c r="G147" s="3" t="s">
        <v>18</v>
      </c>
      <c r="H147" s="5">
        <v>12990</v>
      </c>
      <c r="I147" s="3" t="s">
        <v>19</v>
      </c>
      <c r="J147" s="3" t="s">
        <v>20</v>
      </c>
      <c r="K147" s="3" t="s">
        <v>15</v>
      </c>
      <c r="L147" s="3" t="s">
        <v>141</v>
      </c>
      <c r="M147" s="4">
        <v>46304</v>
      </c>
      <c r="N147" s="3" t="s">
        <v>746</v>
      </c>
      <c r="O147" s="3" t="s">
        <v>54</v>
      </c>
      <c r="P147" t="str">
        <f t="shared" si="2"/>
        <v>450013940630</v>
      </c>
      <c r="Q147" s="7" cm="1">
        <f t="array" ref="Q147:S147">VLOOKUP(P147,Hoja1!C:F,{2,3,4},FALSE)</f>
        <v>46297</v>
      </c>
      <c r="R147" t="str">
        <v>C35</v>
      </c>
      <c r="S147" t="str">
        <v>1000000295 BOLLINI S.A</v>
      </c>
      <c r="T147" t="str">
        <f>VLOOKUP(P147,Hoja2!C:D,2,FALSE)</f>
        <v>FSOTO</v>
      </c>
    </row>
    <row r="148" spans="1:20" x14ac:dyDescent="0.3">
      <c r="A148" s="2" t="s">
        <v>15</v>
      </c>
      <c r="B148" s="3" t="s">
        <v>15</v>
      </c>
      <c r="C148" s="3" t="s">
        <v>904</v>
      </c>
      <c r="D148" s="3" t="s">
        <v>25</v>
      </c>
      <c r="E148" s="3" t="s">
        <v>17</v>
      </c>
      <c r="F148" s="4">
        <v>46304</v>
      </c>
      <c r="G148" s="3" t="s">
        <v>18</v>
      </c>
      <c r="H148" s="5">
        <v>25282.799999999999</v>
      </c>
      <c r="I148" s="3" t="s">
        <v>19</v>
      </c>
      <c r="J148" s="3" t="s">
        <v>20</v>
      </c>
      <c r="K148" s="3" t="s">
        <v>15</v>
      </c>
      <c r="L148" s="3" t="s">
        <v>141</v>
      </c>
      <c r="M148" s="4">
        <v>46304</v>
      </c>
      <c r="N148" s="3" t="s">
        <v>746</v>
      </c>
      <c r="O148" s="3" t="s">
        <v>23</v>
      </c>
      <c r="P148" t="str">
        <f t="shared" si="2"/>
        <v>450013940640</v>
      </c>
      <c r="Q148" s="7" cm="1">
        <f t="array" ref="Q148:S148">VLOOKUP(P148,Hoja1!C:F,{2,3,4},FALSE)</f>
        <v>46297</v>
      </c>
      <c r="R148" t="str">
        <v>C35</v>
      </c>
      <c r="S148" t="str">
        <v>1000000295 BOLLINI S.A</v>
      </c>
      <c r="T148" t="str">
        <f>VLOOKUP(P148,Hoja2!C:D,2,FALSE)</f>
        <v>FSOTO</v>
      </c>
    </row>
    <row r="149" spans="1:20" x14ac:dyDescent="0.3">
      <c r="A149" s="2" t="s">
        <v>15</v>
      </c>
      <c r="B149" s="3" t="s">
        <v>15</v>
      </c>
      <c r="C149" s="3" t="s">
        <v>904</v>
      </c>
      <c r="D149" s="3" t="s">
        <v>25</v>
      </c>
      <c r="E149" s="3" t="s">
        <v>17</v>
      </c>
      <c r="F149" s="4">
        <v>46304</v>
      </c>
      <c r="G149" s="3" t="s">
        <v>18</v>
      </c>
      <c r="H149" s="5">
        <v>155070</v>
      </c>
      <c r="I149" s="3" t="s">
        <v>19</v>
      </c>
      <c r="J149" s="3" t="s">
        <v>20</v>
      </c>
      <c r="K149" s="3" t="s">
        <v>15</v>
      </c>
      <c r="L149" s="3" t="s">
        <v>141</v>
      </c>
      <c r="M149" s="4">
        <v>46304</v>
      </c>
      <c r="N149" s="3" t="s">
        <v>746</v>
      </c>
      <c r="O149" s="3" t="s">
        <v>55</v>
      </c>
      <c r="P149" t="str">
        <f t="shared" si="2"/>
        <v>450013940650</v>
      </c>
      <c r="Q149" s="7" cm="1">
        <f t="array" ref="Q149:S149">VLOOKUP(P149,Hoja1!C:F,{2,3,4},FALSE)</f>
        <v>46297</v>
      </c>
      <c r="R149" t="str">
        <v>C35</v>
      </c>
      <c r="S149" t="str">
        <v>1000000295 BOLLINI S.A</v>
      </c>
      <c r="T149" t="str">
        <f>VLOOKUP(P149,Hoja2!C:D,2,FALSE)</f>
        <v>FSOTO</v>
      </c>
    </row>
    <row r="150" spans="1:20" x14ac:dyDescent="0.3">
      <c r="A150" s="2" t="s">
        <v>15</v>
      </c>
      <c r="B150" s="3" t="s">
        <v>15</v>
      </c>
      <c r="C150" s="3" t="s">
        <v>905</v>
      </c>
      <c r="D150" s="3" t="s">
        <v>25</v>
      </c>
      <c r="E150" s="3" t="s">
        <v>17</v>
      </c>
      <c r="F150" s="4">
        <v>46304</v>
      </c>
      <c r="G150" s="3" t="s">
        <v>18</v>
      </c>
      <c r="H150" s="5">
        <v>18763.93</v>
      </c>
      <c r="I150" s="3" t="s">
        <v>19</v>
      </c>
      <c r="J150" s="3" t="s">
        <v>20</v>
      </c>
      <c r="K150" s="3" t="s">
        <v>15</v>
      </c>
      <c r="L150" s="3" t="s">
        <v>501</v>
      </c>
      <c r="M150" s="4">
        <v>46304</v>
      </c>
      <c r="N150" s="3" t="s">
        <v>783</v>
      </c>
      <c r="O150" s="3" t="s">
        <v>32</v>
      </c>
      <c r="P150" t="str">
        <f t="shared" si="2"/>
        <v>450014021110</v>
      </c>
      <c r="Q150" s="7" cm="1">
        <f t="array" ref="Q150:S150">VLOOKUP(P150,Hoja1!C:F,{2,3,4},FALSE)</f>
        <v>46304</v>
      </c>
      <c r="R150" t="str">
        <v>C35</v>
      </c>
      <c r="S150" t="str">
        <v>1000008137 ROVI S.R.L.</v>
      </c>
      <c r="T150" t="str">
        <f>VLOOKUP(P150,Hoja2!C:D,2,FALSE)</f>
        <v>FSOTO</v>
      </c>
    </row>
    <row r="151" spans="1:20" x14ac:dyDescent="0.3">
      <c r="A151" s="2" t="s">
        <v>15</v>
      </c>
      <c r="B151" s="3" t="s">
        <v>15</v>
      </c>
      <c r="C151" s="3" t="s">
        <v>905</v>
      </c>
      <c r="D151" s="3" t="s">
        <v>25</v>
      </c>
      <c r="E151" s="3" t="s">
        <v>17</v>
      </c>
      <c r="F151" s="4">
        <v>46304</v>
      </c>
      <c r="G151" s="3" t="s">
        <v>18</v>
      </c>
      <c r="H151" s="5">
        <v>18304.900000000001</v>
      </c>
      <c r="I151" s="3" t="s">
        <v>19</v>
      </c>
      <c r="J151" s="3" t="s">
        <v>906</v>
      </c>
      <c r="K151" s="3" t="s">
        <v>15</v>
      </c>
      <c r="L151" s="3" t="s">
        <v>501</v>
      </c>
      <c r="M151" s="4">
        <v>46304</v>
      </c>
      <c r="N151" s="3" t="s">
        <v>783</v>
      </c>
      <c r="O151" s="3" t="s">
        <v>28</v>
      </c>
      <c r="P151" t="str">
        <f t="shared" si="2"/>
        <v>450014021120</v>
      </c>
      <c r="Q151" s="7" cm="1">
        <f t="array" ref="Q151:S151">VLOOKUP(P151,Hoja1!C:F,{2,3,4},FALSE)</f>
        <v>46304</v>
      </c>
      <c r="R151" t="str">
        <v>C35</v>
      </c>
      <c r="S151" t="str">
        <v>1000008137 ROVI S.R.L.</v>
      </c>
      <c r="T151" t="str">
        <f>VLOOKUP(P151,Hoja2!C:D,2,FALSE)</f>
        <v>FSOTO</v>
      </c>
    </row>
    <row r="152" spans="1:20" x14ac:dyDescent="0.3">
      <c r="A152" s="2" t="s">
        <v>15</v>
      </c>
      <c r="B152" s="3" t="s">
        <v>15</v>
      </c>
      <c r="C152" s="3" t="s">
        <v>905</v>
      </c>
      <c r="D152" s="3" t="s">
        <v>25</v>
      </c>
      <c r="E152" s="3" t="s">
        <v>17</v>
      </c>
      <c r="F152" s="4">
        <v>46304</v>
      </c>
      <c r="G152" s="3" t="s">
        <v>18</v>
      </c>
      <c r="H152" s="5">
        <v>25406.799999999999</v>
      </c>
      <c r="I152" s="3" t="s">
        <v>19</v>
      </c>
      <c r="J152" s="3" t="s">
        <v>20</v>
      </c>
      <c r="K152" s="3" t="s">
        <v>15</v>
      </c>
      <c r="L152" s="3" t="s">
        <v>501</v>
      </c>
      <c r="M152" s="4">
        <v>46304</v>
      </c>
      <c r="N152" s="3" t="s">
        <v>783</v>
      </c>
      <c r="O152" s="3" t="s">
        <v>54</v>
      </c>
      <c r="P152" t="str">
        <f t="shared" si="2"/>
        <v>450014021130</v>
      </c>
      <c r="Q152" s="7" cm="1">
        <f t="array" ref="Q152:S152">VLOOKUP(P152,Hoja1!C:F,{2,3,4},FALSE)</f>
        <v>46304</v>
      </c>
      <c r="R152" t="str">
        <v>C35</v>
      </c>
      <c r="S152" t="str">
        <v>1000008137 ROVI S.R.L.</v>
      </c>
      <c r="T152" t="str">
        <f>VLOOKUP(P152,Hoja2!C:D,2,FALSE)</f>
        <v>FSOTO</v>
      </c>
    </row>
    <row r="153" spans="1:20" x14ac:dyDescent="0.3">
      <c r="A153" s="2" t="s">
        <v>15</v>
      </c>
      <c r="B153" s="3" t="s">
        <v>15</v>
      </c>
      <c r="C153" s="3" t="s">
        <v>905</v>
      </c>
      <c r="D153" s="3" t="s">
        <v>25</v>
      </c>
      <c r="E153" s="3" t="s">
        <v>17</v>
      </c>
      <c r="F153" s="4">
        <v>46304</v>
      </c>
      <c r="G153" s="3" t="s">
        <v>18</v>
      </c>
      <c r="H153" s="5">
        <v>67935.78</v>
      </c>
      <c r="I153" s="3" t="s">
        <v>19</v>
      </c>
      <c r="J153" s="3" t="s">
        <v>20</v>
      </c>
      <c r="K153" s="3" t="s">
        <v>15</v>
      </c>
      <c r="L153" s="3" t="s">
        <v>501</v>
      </c>
      <c r="M153" s="4">
        <v>46304</v>
      </c>
      <c r="N153" s="3" t="s">
        <v>783</v>
      </c>
      <c r="O153" s="3" t="s">
        <v>23</v>
      </c>
      <c r="P153" t="str">
        <f t="shared" si="2"/>
        <v>450014021140</v>
      </c>
      <c r="Q153" s="7" cm="1">
        <f t="array" ref="Q153:S153">VLOOKUP(P153,Hoja1!C:F,{2,3,4},FALSE)</f>
        <v>46304</v>
      </c>
      <c r="R153" t="str">
        <v>C35</v>
      </c>
      <c r="S153" t="str">
        <v>1000008137 ROVI S.R.L.</v>
      </c>
      <c r="T153" t="str">
        <f>VLOOKUP(P153,Hoja2!C:D,2,FALSE)</f>
        <v>FSOTO</v>
      </c>
    </row>
    <row r="154" spans="1:20" x14ac:dyDescent="0.3">
      <c r="A154" s="2" t="s">
        <v>15</v>
      </c>
      <c r="B154" s="3" t="s">
        <v>15</v>
      </c>
      <c r="C154" s="3" t="s">
        <v>907</v>
      </c>
      <c r="D154" s="3" t="s">
        <v>15</v>
      </c>
      <c r="E154" s="3" t="s">
        <v>17</v>
      </c>
      <c r="F154" s="4">
        <v>46304</v>
      </c>
      <c r="G154" s="3" t="s">
        <v>18</v>
      </c>
      <c r="H154" s="5">
        <v>111545.28</v>
      </c>
      <c r="I154" s="3" t="s">
        <v>19</v>
      </c>
      <c r="J154" s="3" t="s">
        <v>20</v>
      </c>
      <c r="K154" s="3" t="s">
        <v>15</v>
      </c>
      <c r="L154" s="3" t="s">
        <v>501</v>
      </c>
      <c r="M154" s="4">
        <v>46304</v>
      </c>
      <c r="N154" s="3" t="s">
        <v>785</v>
      </c>
      <c r="O154" s="3" t="s">
        <v>32</v>
      </c>
      <c r="P154" t="str">
        <f t="shared" si="2"/>
        <v>450014000910</v>
      </c>
      <c r="Q154" s="7" cm="1">
        <f t="array" ref="Q154:S154">VLOOKUP(P154,Hoja1!C:F,{2,3,4},FALSE)</f>
        <v>46318</v>
      </c>
      <c r="R154" t="str">
        <v>C11</v>
      </c>
      <c r="S154" t="str">
        <v>1000008137 ROVI S.R.L.</v>
      </c>
      <c r="T154" t="str">
        <f>VLOOKUP(P154,Hoja2!C:D,2,FALSE)</f>
        <v>PRODRIGUEZ</v>
      </c>
    </row>
    <row r="155" spans="1:20" x14ac:dyDescent="0.3">
      <c r="A155" s="2" t="s">
        <v>15</v>
      </c>
      <c r="B155" s="3" t="s">
        <v>15</v>
      </c>
      <c r="C155" s="3" t="s">
        <v>907</v>
      </c>
      <c r="D155" s="3" t="s">
        <v>15</v>
      </c>
      <c r="E155" s="3" t="s">
        <v>17</v>
      </c>
      <c r="F155" s="4">
        <v>46304</v>
      </c>
      <c r="G155" s="3" t="s">
        <v>18</v>
      </c>
      <c r="H155" s="5">
        <v>57350.55</v>
      </c>
      <c r="I155" s="3" t="s">
        <v>19</v>
      </c>
      <c r="J155" s="3" t="s">
        <v>20</v>
      </c>
      <c r="K155" s="3" t="s">
        <v>15</v>
      </c>
      <c r="L155" s="3" t="s">
        <v>501</v>
      </c>
      <c r="M155" s="4">
        <v>46304</v>
      </c>
      <c r="N155" s="3" t="s">
        <v>785</v>
      </c>
      <c r="O155" s="3" t="s">
        <v>28</v>
      </c>
      <c r="P155" t="str">
        <f t="shared" si="2"/>
        <v>450014000920</v>
      </c>
      <c r="Q155" s="7" cm="1">
        <f t="array" ref="Q155:S155">VLOOKUP(P155,Hoja1!C:F,{2,3,4},FALSE)</f>
        <v>46318</v>
      </c>
      <c r="R155" t="str">
        <v>C11</v>
      </c>
      <c r="S155" t="str">
        <v>1000008137 ROVI S.R.L.</v>
      </c>
      <c r="T155" t="str">
        <f>VLOOKUP(P155,Hoja2!C:D,2,FALSE)</f>
        <v>PRODRIGUEZ</v>
      </c>
    </row>
    <row r="156" spans="1:20" x14ac:dyDescent="0.3">
      <c r="A156" s="2" t="s">
        <v>15</v>
      </c>
      <c r="B156" s="3" t="s">
        <v>15</v>
      </c>
      <c r="C156" s="3" t="s">
        <v>907</v>
      </c>
      <c r="D156" s="3" t="s">
        <v>15</v>
      </c>
      <c r="E156" s="3" t="s">
        <v>17</v>
      </c>
      <c r="F156" s="4">
        <v>46304</v>
      </c>
      <c r="G156" s="3" t="s">
        <v>18</v>
      </c>
      <c r="H156" s="5">
        <v>123639.6</v>
      </c>
      <c r="I156" s="3" t="s">
        <v>19</v>
      </c>
      <c r="J156" s="3" t="s">
        <v>20</v>
      </c>
      <c r="K156" s="3" t="s">
        <v>15</v>
      </c>
      <c r="L156" s="3" t="s">
        <v>501</v>
      </c>
      <c r="M156" s="4">
        <v>46304</v>
      </c>
      <c r="N156" s="3" t="s">
        <v>785</v>
      </c>
      <c r="O156" s="3" t="s">
        <v>54</v>
      </c>
      <c r="P156" t="str">
        <f t="shared" si="2"/>
        <v>450014000930</v>
      </c>
      <c r="Q156" s="7" cm="1">
        <f t="array" ref="Q156:S156">VLOOKUP(P156,Hoja1!C:F,{2,3,4},FALSE)</f>
        <v>46318</v>
      </c>
      <c r="R156" t="str">
        <v>C11</v>
      </c>
      <c r="S156" t="str">
        <v>1000008137 ROVI S.R.L.</v>
      </c>
      <c r="T156" t="str">
        <f>VLOOKUP(P156,Hoja2!C:D,2,FALSE)</f>
        <v>PRODRIGUEZ</v>
      </c>
    </row>
    <row r="157" spans="1:20" x14ac:dyDescent="0.3">
      <c r="A157" s="2" t="s">
        <v>15</v>
      </c>
      <c r="B157" s="3" t="s">
        <v>15</v>
      </c>
      <c r="C157" s="3" t="s">
        <v>907</v>
      </c>
      <c r="D157" s="3" t="s">
        <v>15</v>
      </c>
      <c r="E157" s="3" t="s">
        <v>17</v>
      </c>
      <c r="F157" s="4">
        <v>46304</v>
      </c>
      <c r="G157" s="3" t="s">
        <v>18</v>
      </c>
      <c r="H157" s="5">
        <v>665309.54</v>
      </c>
      <c r="I157" s="3" t="s">
        <v>19</v>
      </c>
      <c r="J157" s="3" t="s">
        <v>20</v>
      </c>
      <c r="K157" s="3" t="s">
        <v>15</v>
      </c>
      <c r="L157" s="3" t="s">
        <v>501</v>
      </c>
      <c r="M157" s="4">
        <v>46304</v>
      </c>
      <c r="N157" s="3" t="s">
        <v>785</v>
      </c>
      <c r="O157" s="3" t="s">
        <v>23</v>
      </c>
      <c r="P157" t="str">
        <f t="shared" si="2"/>
        <v>450014000940</v>
      </c>
      <c r="Q157" s="7" cm="1">
        <f t="array" ref="Q157:S157">VLOOKUP(P157,Hoja1!C:F,{2,3,4},FALSE)</f>
        <v>46318</v>
      </c>
      <c r="R157" t="str">
        <v>C11</v>
      </c>
      <c r="S157" t="str">
        <v>1000008137 ROVI S.R.L.</v>
      </c>
      <c r="T157" t="str">
        <f>VLOOKUP(P157,Hoja2!C:D,2,FALSE)</f>
        <v>PRODRIGUEZ</v>
      </c>
    </row>
    <row r="158" spans="1:20" x14ac:dyDescent="0.3">
      <c r="A158" s="2" t="s">
        <v>15</v>
      </c>
      <c r="B158" s="3" t="s">
        <v>15</v>
      </c>
      <c r="C158" s="3" t="s">
        <v>907</v>
      </c>
      <c r="D158" s="3" t="s">
        <v>15</v>
      </c>
      <c r="E158" s="3" t="s">
        <v>17</v>
      </c>
      <c r="F158" s="4">
        <v>46304</v>
      </c>
      <c r="G158" s="3" t="s">
        <v>18</v>
      </c>
      <c r="H158" s="5">
        <v>238822.3</v>
      </c>
      <c r="I158" s="3" t="s">
        <v>19</v>
      </c>
      <c r="J158" s="3" t="s">
        <v>20</v>
      </c>
      <c r="K158" s="3" t="s">
        <v>15</v>
      </c>
      <c r="L158" s="3" t="s">
        <v>501</v>
      </c>
      <c r="M158" s="4">
        <v>46304</v>
      </c>
      <c r="N158" s="3" t="s">
        <v>785</v>
      </c>
      <c r="O158" s="3" t="s">
        <v>55</v>
      </c>
      <c r="P158" t="str">
        <f t="shared" si="2"/>
        <v>450014000950</v>
      </c>
      <c r="Q158" s="7" cm="1">
        <f t="array" ref="Q158:S158">VLOOKUP(P158,Hoja1!C:F,{2,3,4},FALSE)</f>
        <v>46318</v>
      </c>
      <c r="R158" t="str">
        <v>C11</v>
      </c>
      <c r="S158" t="str">
        <v>1000008137 ROVI S.R.L.</v>
      </c>
      <c r="T158" t="str">
        <f>VLOOKUP(P158,Hoja2!C:D,2,FALSE)</f>
        <v>PRODRIGUEZ</v>
      </c>
    </row>
    <row r="159" spans="1:20" x14ac:dyDescent="0.3">
      <c r="A159" s="2" t="s">
        <v>15</v>
      </c>
      <c r="B159" s="3" t="s">
        <v>15</v>
      </c>
      <c r="C159" s="3" t="s">
        <v>907</v>
      </c>
      <c r="D159" s="3" t="s">
        <v>15</v>
      </c>
      <c r="E159" s="3" t="s">
        <v>17</v>
      </c>
      <c r="F159" s="4">
        <v>46304</v>
      </c>
      <c r="G159" s="3" t="s">
        <v>18</v>
      </c>
      <c r="H159" s="5">
        <v>1046089</v>
      </c>
      <c r="I159" s="3" t="s">
        <v>19</v>
      </c>
      <c r="J159" s="3" t="s">
        <v>20</v>
      </c>
      <c r="K159" s="3" t="s">
        <v>15</v>
      </c>
      <c r="L159" s="3" t="s">
        <v>501</v>
      </c>
      <c r="M159" s="4">
        <v>46304</v>
      </c>
      <c r="N159" s="3" t="s">
        <v>785</v>
      </c>
      <c r="O159" s="3" t="s">
        <v>80</v>
      </c>
      <c r="P159" t="str">
        <f t="shared" si="2"/>
        <v>450014000960</v>
      </c>
      <c r="Q159" s="7" cm="1">
        <f t="array" ref="Q159:S159">VLOOKUP(P159,Hoja1!C:F,{2,3,4},FALSE)</f>
        <v>46318</v>
      </c>
      <c r="R159" t="str">
        <v>C11</v>
      </c>
      <c r="S159" t="str">
        <v>1000008137 ROVI S.R.L.</v>
      </c>
      <c r="T159" t="str">
        <f>VLOOKUP(P159,Hoja2!C:D,2,FALSE)</f>
        <v>PRODRIGUEZ</v>
      </c>
    </row>
    <row r="160" spans="1:20" x14ac:dyDescent="0.3">
      <c r="A160" s="2" t="s">
        <v>15</v>
      </c>
      <c r="B160" s="3" t="s">
        <v>15</v>
      </c>
      <c r="C160" s="3" t="s">
        <v>907</v>
      </c>
      <c r="D160" s="3" t="s">
        <v>15</v>
      </c>
      <c r="E160" s="3" t="s">
        <v>17</v>
      </c>
      <c r="F160" s="4">
        <v>46304</v>
      </c>
      <c r="G160" s="3" t="s">
        <v>18</v>
      </c>
      <c r="H160" s="5">
        <v>254385.1</v>
      </c>
      <c r="I160" s="3" t="s">
        <v>19</v>
      </c>
      <c r="J160" s="3" t="s">
        <v>20</v>
      </c>
      <c r="K160" s="3" t="s">
        <v>15</v>
      </c>
      <c r="L160" s="3" t="s">
        <v>501</v>
      </c>
      <c r="M160" s="4">
        <v>46304</v>
      </c>
      <c r="N160" s="3" t="s">
        <v>785</v>
      </c>
      <c r="O160" s="3" t="s">
        <v>81</v>
      </c>
      <c r="P160" t="str">
        <f t="shared" si="2"/>
        <v>450014000970</v>
      </c>
      <c r="Q160" s="7" cm="1">
        <f t="array" ref="Q160:S160">VLOOKUP(P160,Hoja1!C:F,{2,3,4},FALSE)</f>
        <v>46318</v>
      </c>
      <c r="R160" t="str">
        <v>C11</v>
      </c>
      <c r="S160" t="str">
        <v>1000008137 ROVI S.R.L.</v>
      </c>
      <c r="T160" t="str">
        <f>VLOOKUP(P160,Hoja2!C:D,2,FALSE)</f>
        <v>PRODRIGUEZ</v>
      </c>
    </row>
    <row r="161" spans="1:20" x14ac:dyDescent="0.3">
      <c r="A161" s="2" t="s">
        <v>15</v>
      </c>
      <c r="B161" s="3" t="s">
        <v>15</v>
      </c>
      <c r="C161" s="3" t="s">
        <v>907</v>
      </c>
      <c r="D161" s="3" t="s">
        <v>15</v>
      </c>
      <c r="E161" s="3" t="s">
        <v>17</v>
      </c>
      <c r="F161" s="4">
        <v>46304</v>
      </c>
      <c r="G161" s="3" t="s">
        <v>18</v>
      </c>
      <c r="H161" s="5">
        <v>316624</v>
      </c>
      <c r="I161" s="3" t="s">
        <v>19</v>
      </c>
      <c r="J161" s="3" t="s">
        <v>20</v>
      </c>
      <c r="K161" s="3" t="s">
        <v>15</v>
      </c>
      <c r="L161" s="3" t="s">
        <v>501</v>
      </c>
      <c r="M161" s="4">
        <v>46304</v>
      </c>
      <c r="N161" s="3" t="s">
        <v>785</v>
      </c>
      <c r="O161" s="3" t="s">
        <v>82</v>
      </c>
      <c r="P161" t="str">
        <f t="shared" si="2"/>
        <v>450014000980</v>
      </c>
      <c r="Q161" s="7" cm="1">
        <f t="array" ref="Q161:S161">VLOOKUP(P161,Hoja1!C:F,{2,3,4},FALSE)</f>
        <v>46318</v>
      </c>
      <c r="R161" t="str">
        <v>C11</v>
      </c>
      <c r="S161" t="str">
        <v>1000008137 ROVI S.R.L.</v>
      </c>
      <c r="T161" t="str">
        <f>VLOOKUP(P161,Hoja2!C:D,2,FALSE)</f>
        <v>PRODRIGUEZ</v>
      </c>
    </row>
    <row r="162" spans="1:20" x14ac:dyDescent="0.3">
      <c r="A162" s="2" t="s">
        <v>15</v>
      </c>
      <c r="B162" s="3" t="s">
        <v>15</v>
      </c>
      <c r="C162" s="3" t="s">
        <v>907</v>
      </c>
      <c r="D162" s="3" t="s">
        <v>15</v>
      </c>
      <c r="E162" s="3" t="s">
        <v>17</v>
      </c>
      <c r="F162" s="4">
        <v>46304</v>
      </c>
      <c r="G162" s="3" t="s">
        <v>18</v>
      </c>
      <c r="H162" s="5">
        <v>759132</v>
      </c>
      <c r="I162" s="3" t="s">
        <v>19</v>
      </c>
      <c r="J162" s="3" t="s">
        <v>20</v>
      </c>
      <c r="K162" s="3" t="s">
        <v>15</v>
      </c>
      <c r="L162" s="3" t="s">
        <v>501</v>
      </c>
      <c r="M162" s="4">
        <v>46304</v>
      </c>
      <c r="N162" s="3" t="s">
        <v>785</v>
      </c>
      <c r="O162" s="3" t="s">
        <v>83</v>
      </c>
      <c r="P162" t="str">
        <f t="shared" si="2"/>
        <v>450014000990</v>
      </c>
      <c r="Q162" s="7" cm="1">
        <f t="array" ref="Q162:S162">VLOOKUP(P162,Hoja1!C:F,{2,3,4},FALSE)</f>
        <v>46318</v>
      </c>
      <c r="R162" t="str">
        <v>C11</v>
      </c>
      <c r="S162" t="str">
        <v>1000008137 ROVI S.R.L.</v>
      </c>
      <c r="T162" t="str">
        <f>VLOOKUP(P162,Hoja2!C:D,2,FALSE)</f>
        <v>PRODRIGUEZ</v>
      </c>
    </row>
    <row r="163" spans="1:20" x14ac:dyDescent="0.3">
      <c r="A163" s="2" t="s">
        <v>15</v>
      </c>
      <c r="B163" s="3" t="s">
        <v>15</v>
      </c>
      <c r="C163" s="3" t="s">
        <v>907</v>
      </c>
      <c r="D163" s="3" t="s">
        <v>15</v>
      </c>
      <c r="E163" s="3" t="s">
        <v>17</v>
      </c>
      <c r="F163" s="4">
        <v>46304</v>
      </c>
      <c r="G163" s="3" t="s">
        <v>18</v>
      </c>
      <c r="H163" s="5">
        <v>7253.4</v>
      </c>
      <c r="I163" s="3" t="s">
        <v>19</v>
      </c>
      <c r="J163" s="3" t="s">
        <v>20</v>
      </c>
      <c r="K163" s="3" t="s">
        <v>15</v>
      </c>
      <c r="L163" s="3" t="s">
        <v>501</v>
      </c>
      <c r="M163" s="4">
        <v>46304</v>
      </c>
      <c r="N163" s="3" t="s">
        <v>785</v>
      </c>
      <c r="O163" s="3" t="s">
        <v>84</v>
      </c>
      <c r="P163" t="str">
        <f t="shared" si="2"/>
        <v>4500140009100</v>
      </c>
      <c r="Q163" s="7" cm="1">
        <f t="array" ref="Q163:S163">VLOOKUP(P163,Hoja1!C:F,{2,3,4},FALSE)</f>
        <v>46318</v>
      </c>
      <c r="R163" t="str">
        <v>C11</v>
      </c>
      <c r="S163" t="str">
        <v>1000008137 ROVI S.R.L.</v>
      </c>
      <c r="T163" t="str">
        <f>VLOOKUP(P163,Hoja2!C:D,2,FALSE)</f>
        <v>PRODRIGUEZ</v>
      </c>
    </row>
    <row r="164" spans="1:20" x14ac:dyDescent="0.3">
      <c r="A164" s="2" t="s">
        <v>15</v>
      </c>
      <c r="B164" s="3" t="s">
        <v>15</v>
      </c>
      <c r="C164" s="3" t="s">
        <v>148</v>
      </c>
      <c r="D164" s="3" t="s">
        <v>15</v>
      </c>
      <c r="E164" s="3" t="s">
        <v>149</v>
      </c>
      <c r="F164" s="4">
        <v>45806</v>
      </c>
      <c r="G164" s="3" t="s">
        <v>50</v>
      </c>
      <c r="H164" s="6">
        <v>-139122.20000000001</v>
      </c>
      <c r="I164" s="3" t="s">
        <v>19</v>
      </c>
      <c r="J164" s="3" t="s">
        <v>15</v>
      </c>
      <c r="K164" s="3" t="s">
        <v>15</v>
      </c>
      <c r="L164" s="3" t="s">
        <v>150</v>
      </c>
      <c r="M164" s="4">
        <v>45806</v>
      </c>
      <c r="N164" s="3" t="s">
        <v>151</v>
      </c>
      <c r="O164" s="3" t="s">
        <v>32</v>
      </c>
      <c r="P164" t="str">
        <f t="shared" si="2"/>
        <v>450009886410</v>
      </c>
      <c r="Q164" s="7" cm="1">
        <f t="array" ref="Q164:S164">VLOOKUP(P164,Hoja1!C:F,{2,3,4},FALSE)</f>
        <v>45803</v>
      </c>
      <c r="R164" t="str">
        <v>C03</v>
      </c>
      <c r="S164" t="str">
        <v>1000002077 DBT S.A.</v>
      </c>
      <c r="T164" t="str">
        <f>VLOOKUP(P164,Hoja2!C:D,2,FALSE)</f>
        <v>EFUNES</v>
      </c>
    </row>
    <row r="165" spans="1:20" x14ac:dyDescent="0.3">
      <c r="A165" s="2" t="s">
        <v>15</v>
      </c>
      <c r="B165" s="3" t="s">
        <v>15</v>
      </c>
      <c r="C165" s="3" t="s">
        <v>148</v>
      </c>
      <c r="D165" s="3" t="s">
        <v>15</v>
      </c>
      <c r="E165" s="3" t="s">
        <v>149</v>
      </c>
      <c r="F165" s="4">
        <v>45806</v>
      </c>
      <c r="G165" s="3" t="s">
        <v>50</v>
      </c>
      <c r="H165" s="6">
        <v>-42360.63</v>
      </c>
      <c r="I165" s="3" t="s">
        <v>19</v>
      </c>
      <c r="J165" s="3" t="s">
        <v>15</v>
      </c>
      <c r="K165" s="3" t="s">
        <v>15</v>
      </c>
      <c r="L165" s="3" t="s">
        <v>150</v>
      </c>
      <c r="M165" s="4">
        <v>45806</v>
      </c>
      <c r="N165" s="3" t="s">
        <v>151</v>
      </c>
      <c r="O165" s="3" t="s">
        <v>86</v>
      </c>
      <c r="P165" t="str">
        <f t="shared" si="2"/>
        <v>4500098864120</v>
      </c>
      <c r="Q165" s="7" cm="1">
        <f t="array" ref="Q165:S165">VLOOKUP(P165,Hoja1!C:F,{2,3,4},FALSE)</f>
        <v>45803</v>
      </c>
      <c r="R165" t="str">
        <v>C03</v>
      </c>
      <c r="S165" t="str">
        <v>1000002077 DBT S.A.</v>
      </c>
      <c r="T165" t="str">
        <f>VLOOKUP(P165,Hoja2!C:D,2,FALSE)</f>
        <v>EFUNES</v>
      </c>
    </row>
    <row r="166" spans="1:20" x14ac:dyDescent="0.3">
      <c r="A166" s="2" t="s">
        <v>15</v>
      </c>
      <c r="B166" s="3" t="s">
        <v>15</v>
      </c>
      <c r="C166" s="3" t="s">
        <v>152</v>
      </c>
      <c r="D166" s="3" t="s">
        <v>15</v>
      </c>
      <c r="E166" s="3" t="s">
        <v>149</v>
      </c>
      <c r="F166" s="4">
        <v>46028</v>
      </c>
      <c r="G166" s="3" t="s">
        <v>50</v>
      </c>
      <c r="H166" s="6">
        <v>-53344.2</v>
      </c>
      <c r="I166" s="3" t="s">
        <v>19</v>
      </c>
      <c r="J166" s="3" t="s">
        <v>15</v>
      </c>
      <c r="K166" s="3" t="s">
        <v>15</v>
      </c>
      <c r="L166" s="3" t="s">
        <v>153</v>
      </c>
      <c r="M166" s="4">
        <v>46028</v>
      </c>
      <c r="N166" s="3" t="s">
        <v>154</v>
      </c>
      <c r="O166" s="3" t="s">
        <v>155</v>
      </c>
      <c r="P166" t="str">
        <f t="shared" si="2"/>
        <v>4500115337440</v>
      </c>
      <c r="Q166" s="7" cm="1">
        <f t="array" ref="Q166:S166">VLOOKUP(P166,Hoja1!C:F,{2,3,4},FALSE)</f>
        <v>46021</v>
      </c>
      <c r="R166" t="str">
        <v>AGV</v>
      </c>
      <c r="S166" t="str">
        <v>1000000907 SERVICIOS VIALES DE STA. FE SA</v>
      </c>
      <c r="T166" t="str">
        <f>VLOOKUP(P166,Hoja2!C:D,2,FALSE)</f>
        <v>MREY</v>
      </c>
    </row>
    <row r="167" spans="1:20" x14ac:dyDescent="0.3">
      <c r="A167" s="2" t="s">
        <v>15</v>
      </c>
      <c r="B167" s="3" t="s">
        <v>15</v>
      </c>
      <c r="C167" s="3" t="s">
        <v>152</v>
      </c>
      <c r="D167" s="3" t="s">
        <v>15</v>
      </c>
      <c r="E167" s="3" t="s">
        <v>149</v>
      </c>
      <c r="F167" s="4">
        <v>46028</v>
      </c>
      <c r="G167" s="3" t="s">
        <v>50</v>
      </c>
      <c r="H167" s="6">
        <v>-627380.55000000005</v>
      </c>
      <c r="I167" s="3" t="s">
        <v>19</v>
      </c>
      <c r="J167" s="3" t="s">
        <v>15</v>
      </c>
      <c r="K167" s="3" t="s">
        <v>15</v>
      </c>
      <c r="L167" s="3" t="s">
        <v>153</v>
      </c>
      <c r="M167" s="4">
        <v>46028</v>
      </c>
      <c r="N167" s="3" t="s">
        <v>154</v>
      </c>
      <c r="O167" s="3" t="s">
        <v>156</v>
      </c>
      <c r="P167" t="str">
        <f t="shared" si="2"/>
        <v>4500115337560</v>
      </c>
      <c r="Q167" s="7" cm="1">
        <f t="array" ref="Q167:S167">VLOOKUP(P167,Hoja1!C:F,{2,3,4},FALSE)</f>
        <v>46021</v>
      </c>
      <c r="R167" t="str">
        <v>AGV</v>
      </c>
      <c r="S167" t="str">
        <v>1000000907 SERVICIOS VIALES DE STA. FE SA</v>
      </c>
      <c r="T167" t="str">
        <f>VLOOKUP(P167,Hoja2!C:D,2,FALSE)</f>
        <v>MREY</v>
      </c>
    </row>
    <row r="168" spans="1:20" x14ac:dyDescent="0.3">
      <c r="A168" s="2" t="s">
        <v>15</v>
      </c>
      <c r="B168" s="3" t="s">
        <v>15</v>
      </c>
      <c r="C168" s="3" t="s">
        <v>157</v>
      </c>
      <c r="D168" s="3" t="s">
        <v>15</v>
      </c>
      <c r="E168" s="3" t="s">
        <v>149</v>
      </c>
      <c r="F168" s="4">
        <v>45819</v>
      </c>
      <c r="G168" s="3" t="s">
        <v>50</v>
      </c>
      <c r="H168" s="6">
        <v>-21872.74</v>
      </c>
      <c r="I168" s="3" t="s">
        <v>19</v>
      </c>
      <c r="J168" s="3" t="s">
        <v>15</v>
      </c>
      <c r="K168" s="3" t="s">
        <v>15</v>
      </c>
      <c r="L168" s="3" t="s">
        <v>158</v>
      </c>
      <c r="M168" s="4">
        <v>45819</v>
      </c>
      <c r="N168" s="3" t="s">
        <v>159</v>
      </c>
      <c r="O168" s="3" t="s">
        <v>23</v>
      </c>
      <c r="P168" t="str">
        <f t="shared" si="2"/>
        <v>450010091940</v>
      </c>
      <c r="Q168" s="7" cm="1">
        <f t="array" ref="Q168:S168">VLOOKUP(P168,Hoja1!C:F,{2,3,4},FALSE)</f>
        <v>45820</v>
      </c>
      <c r="R168" t="str">
        <v>AGV</v>
      </c>
      <c r="S168" t="str">
        <v>1000008375 PUSSETTO SALTA S A</v>
      </c>
      <c r="T168" t="str">
        <f>VLOOKUP(P168,Hoja2!C:D,2,FALSE)</f>
        <v>ILAHORGUE</v>
      </c>
    </row>
    <row r="169" spans="1:20" x14ac:dyDescent="0.3">
      <c r="A169" s="2" t="s">
        <v>15</v>
      </c>
      <c r="B169" s="3" t="s">
        <v>15</v>
      </c>
      <c r="C169" s="3" t="s">
        <v>157</v>
      </c>
      <c r="D169" s="3" t="s">
        <v>15</v>
      </c>
      <c r="E169" s="3" t="s">
        <v>149</v>
      </c>
      <c r="F169" s="4">
        <v>45819</v>
      </c>
      <c r="G169" s="3" t="s">
        <v>50</v>
      </c>
      <c r="H169" s="6">
        <v>-4476</v>
      </c>
      <c r="I169" s="3" t="s">
        <v>19</v>
      </c>
      <c r="J169" s="3" t="s">
        <v>15</v>
      </c>
      <c r="K169" s="3" t="s">
        <v>15</v>
      </c>
      <c r="L169" s="3" t="s">
        <v>158</v>
      </c>
      <c r="M169" s="4">
        <v>45819</v>
      </c>
      <c r="N169" s="3" t="s">
        <v>159</v>
      </c>
      <c r="O169" s="3" t="s">
        <v>81</v>
      </c>
      <c r="P169" t="str">
        <f t="shared" si="2"/>
        <v>450010091970</v>
      </c>
      <c r="Q169" s="7" cm="1">
        <f t="array" ref="Q169:S169">VLOOKUP(P169,Hoja1!C:F,{2,3,4},FALSE)</f>
        <v>45820</v>
      </c>
      <c r="R169" t="str">
        <v>AGV</v>
      </c>
      <c r="S169" t="str">
        <v>1000008375 PUSSETTO SALTA S A</v>
      </c>
      <c r="T169" t="str">
        <f>VLOOKUP(P169,Hoja2!C:D,2,FALSE)</f>
        <v>ILAHORGUE</v>
      </c>
    </row>
    <row r="170" spans="1:20" x14ac:dyDescent="0.3">
      <c r="A170" s="2" t="s">
        <v>15</v>
      </c>
      <c r="B170" s="3" t="s">
        <v>15</v>
      </c>
      <c r="C170" s="3" t="s">
        <v>157</v>
      </c>
      <c r="D170" s="3" t="s">
        <v>15</v>
      </c>
      <c r="E170" s="3" t="s">
        <v>149</v>
      </c>
      <c r="F170" s="4">
        <v>45819</v>
      </c>
      <c r="G170" s="3" t="s">
        <v>50</v>
      </c>
      <c r="H170" s="6">
        <v>-4476</v>
      </c>
      <c r="I170" s="3" t="s">
        <v>19</v>
      </c>
      <c r="J170" s="3" t="s">
        <v>15</v>
      </c>
      <c r="K170" s="3" t="s">
        <v>15</v>
      </c>
      <c r="L170" s="3" t="s">
        <v>158</v>
      </c>
      <c r="M170" s="4">
        <v>45819</v>
      </c>
      <c r="N170" s="3" t="s">
        <v>159</v>
      </c>
      <c r="O170" s="3" t="s">
        <v>85</v>
      </c>
      <c r="P170" t="str">
        <f t="shared" si="2"/>
        <v>4500100919110</v>
      </c>
      <c r="Q170" s="7" cm="1">
        <f t="array" ref="Q170:S170">VLOOKUP(P170,Hoja1!C:F,{2,3,4},FALSE)</f>
        <v>45820</v>
      </c>
      <c r="R170" t="str">
        <v>AGV</v>
      </c>
      <c r="S170" t="str">
        <v>1000008375 PUSSETTO SALTA S A</v>
      </c>
      <c r="T170" t="str">
        <f>VLOOKUP(P170,Hoja2!C:D,2,FALSE)</f>
        <v>ILAHORGUE</v>
      </c>
    </row>
    <row r="171" spans="1:20" x14ac:dyDescent="0.3">
      <c r="A171" s="2" t="s">
        <v>15</v>
      </c>
      <c r="B171" s="3" t="s">
        <v>15</v>
      </c>
      <c r="C171" s="3" t="s">
        <v>157</v>
      </c>
      <c r="D171" s="3" t="s">
        <v>15</v>
      </c>
      <c r="E171" s="3" t="s">
        <v>149</v>
      </c>
      <c r="F171" s="4">
        <v>45819</v>
      </c>
      <c r="G171" s="3" t="s">
        <v>50</v>
      </c>
      <c r="H171" s="6">
        <v>-20327.48</v>
      </c>
      <c r="I171" s="3" t="s">
        <v>19</v>
      </c>
      <c r="J171" s="3" t="s">
        <v>15</v>
      </c>
      <c r="K171" s="3" t="s">
        <v>15</v>
      </c>
      <c r="L171" s="3" t="s">
        <v>158</v>
      </c>
      <c r="M171" s="4">
        <v>45819</v>
      </c>
      <c r="N171" s="3" t="s">
        <v>159</v>
      </c>
      <c r="O171" s="3" t="s">
        <v>86</v>
      </c>
      <c r="P171" t="str">
        <f t="shared" si="2"/>
        <v>4500100919120</v>
      </c>
      <c r="Q171" s="7" cm="1">
        <f t="array" ref="Q171:S171">VLOOKUP(P171,Hoja1!C:F,{2,3,4},FALSE)</f>
        <v>45820</v>
      </c>
      <c r="R171" t="str">
        <v>AGV</v>
      </c>
      <c r="S171" t="str">
        <v>1000008375 PUSSETTO SALTA S A</v>
      </c>
      <c r="T171" t="str">
        <f>VLOOKUP(P171,Hoja2!C:D,2,FALSE)</f>
        <v>ILAHORGUE</v>
      </c>
    </row>
    <row r="172" spans="1:20" x14ac:dyDescent="0.3">
      <c r="A172" s="2" t="s">
        <v>15</v>
      </c>
      <c r="B172" s="3" t="s">
        <v>15</v>
      </c>
      <c r="C172" s="3" t="s">
        <v>157</v>
      </c>
      <c r="D172" s="3" t="s">
        <v>15</v>
      </c>
      <c r="E172" s="3" t="s">
        <v>149</v>
      </c>
      <c r="F172" s="4">
        <v>45819</v>
      </c>
      <c r="G172" s="3" t="s">
        <v>50</v>
      </c>
      <c r="H172" s="6">
        <v>-4476</v>
      </c>
      <c r="I172" s="3" t="s">
        <v>19</v>
      </c>
      <c r="J172" s="3" t="s">
        <v>15</v>
      </c>
      <c r="K172" s="3" t="s">
        <v>15</v>
      </c>
      <c r="L172" s="3" t="s">
        <v>158</v>
      </c>
      <c r="M172" s="4">
        <v>45819</v>
      </c>
      <c r="N172" s="3" t="s">
        <v>159</v>
      </c>
      <c r="O172" s="3" t="s">
        <v>67</v>
      </c>
      <c r="P172" t="str">
        <f t="shared" si="2"/>
        <v>4500100919170</v>
      </c>
      <c r="Q172" s="7" cm="1">
        <f t="array" ref="Q172:S172">VLOOKUP(P172,Hoja1!C:F,{2,3,4},FALSE)</f>
        <v>45820</v>
      </c>
      <c r="R172" t="str">
        <v>AGV</v>
      </c>
      <c r="S172" t="str">
        <v>1000008375 PUSSETTO SALTA S A</v>
      </c>
      <c r="T172" t="str">
        <f>VLOOKUP(P172,Hoja2!C:D,2,FALSE)</f>
        <v>ILAHORGUE</v>
      </c>
    </row>
    <row r="173" spans="1:20" x14ac:dyDescent="0.3">
      <c r="A173" s="2" t="s">
        <v>15</v>
      </c>
      <c r="B173" s="3" t="s">
        <v>15</v>
      </c>
      <c r="C173" s="3" t="s">
        <v>157</v>
      </c>
      <c r="D173" s="3" t="s">
        <v>15</v>
      </c>
      <c r="E173" s="3" t="s">
        <v>149</v>
      </c>
      <c r="F173" s="4">
        <v>45819</v>
      </c>
      <c r="G173" s="3" t="s">
        <v>50</v>
      </c>
      <c r="H173" s="6">
        <v>-4476</v>
      </c>
      <c r="I173" s="3" t="s">
        <v>19</v>
      </c>
      <c r="J173" s="3" t="s">
        <v>15</v>
      </c>
      <c r="K173" s="3" t="s">
        <v>15</v>
      </c>
      <c r="L173" s="3" t="s">
        <v>158</v>
      </c>
      <c r="M173" s="4">
        <v>45819</v>
      </c>
      <c r="N173" s="3" t="s">
        <v>159</v>
      </c>
      <c r="O173" s="3" t="s">
        <v>125</v>
      </c>
      <c r="P173" t="str">
        <f t="shared" si="2"/>
        <v>4500100919180</v>
      </c>
      <c r="Q173" s="7" cm="1">
        <f t="array" ref="Q173:S173">VLOOKUP(P173,Hoja1!C:F,{2,3,4},FALSE)</f>
        <v>45820</v>
      </c>
      <c r="R173" t="str">
        <v>AGV</v>
      </c>
      <c r="S173" t="str">
        <v>1000008375 PUSSETTO SALTA S A</v>
      </c>
      <c r="T173" t="str">
        <f>VLOOKUP(P173,Hoja2!C:D,2,FALSE)</f>
        <v>ILAHORGUE</v>
      </c>
    </row>
    <row r="174" spans="1:20" x14ac:dyDescent="0.3">
      <c r="A174" s="2" t="s">
        <v>15</v>
      </c>
      <c r="B174" s="3" t="s">
        <v>15</v>
      </c>
      <c r="C174" s="3" t="s">
        <v>157</v>
      </c>
      <c r="D174" s="3" t="s">
        <v>15</v>
      </c>
      <c r="E174" s="3" t="s">
        <v>149</v>
      </c>
      <c r="F174" s="4">
        <v>45819</v>
      </c>
      <c r="G174" s="3" t="s">
        <v>50</v>
      </c>
      <c r="H174" s="6">
        <v>-21872.74</v>
      </c>
      <c r="I174" s="3" t="s">
        <v>19</v>
      </c>
      <c r="J174" s="3" t="s">
        <v>15</v>
      </c>
      <c r="K174" s="3" t="s">
        <v>15</v>
      </c>
      <c r="L174" s="3" t="s">
        <v>158</v>
      </c>
      <c r="M174" s="4">
        <v>45819</v>
      </c>
      <c r="N174" s="3" t="s">
        <v>159</v>
      </c>
      <c r="O174" s="3" t="s">
        <v>92</v>
      </c>
      <c r="P174" t="str">
        <f t="shared" si="2"/>
        <v>4500100919200</v>
      </c>
      <c r="Q174" s="7" cm="1">
        <f t="array" ref="Q174:S174">VLOOKUP(P174,Hoja1!C:F,{2,3,4},FALSE)</f>
        <v>45824</v>
      </c>
      <c r="R174" t="str">
        <v>AGV</v>
      </c>
      <c r="S174" t="str">
        <v>1000008375 PUSSETTO SALTA S A</v>
      </c>
      <c r="T174" t="str">
        <f>VLOOKUP(P174,Hoja2!C:D,2,FALSE)</f>
        <v>ILAHORGUE</v>
      </c>
    </row>
    <row r="175" spans="1:20" x14ac:dyDescent="0.3">
      <c r="A175" s="2" t="s">
        <v>15</v>
      </c>
      <c r="B175" s="3" t="s">
        <v>15</v>
      </c>
      <c r="C175" s="3" t="s">
        <v>160</v>
      </c>
      <c r="D175" s="3" t="s">
        <v>25</v>
      </c>
      <c r="E175" s="3" t="s">
        <v>149</v>
      </c>
      <c r="F175" s="4">
        <v>45842</v>
      </c>
      <c r="G175" s="3" t="s">
        <v>50</v>
      </c>
      <c r="H175" s="6">
        <v>-28567</v>
      </c>
      <c r="I175" s="3" t="s">
        <v>19</v>
      </c>
      <c r="J175" s="3" t="s">
        <v>15</v>
      </c>
      <c r="K175" s="3" t="s">
        <v>15</v>
      </c>
      <c r="L175" s="3" t="s">
        <v>161</v>
      </c>
      <c r="M175" s="4">
        <v>45842</v>
      </c>
      <c r="N175" s="3" t="s">
        <v>162</v>
      </c>
      <c r="O175" s="3" t="s">
        <v>32</v>
      </c>
      <c r="P175" t="str">
        <f t="shared" si="2"/>
        <v>450009174910</v>
      </c>
      <c r="Q175" s="7" cm="1">
        <f t="array" ref="Q175:S175">VLOOKUP(P175,Hoja1!C:F,{2,3,4},FALSE)</f>
        <v>45838</v>
      </c>
      <c r="R175" t="str">
        <v>C04</v>
      </c>
      <c r="S175" t="str">
        <v>1000000010 GASES ROSARIO S.R.L.</v>
      </c>
      <c r="T175" t="str">
        <f>VLOOKUP(P175,Hoja2!C:D,2,FALSE)</f>
        <v>HROLDAN</v>
      </c>
    </row>
    <row r="176" spans="1:20" x14ac:dyDescent="0.3">
      <c r="A176" s="2" t="s">
        <v>15</v>
      </c>
      <c r="B176" s="3" t="s">
        <v>15</v>
      </c>
      <c r="C176" s="3" t="s">
        <v>163</v>
      </c>
      <c r="D176" s="3" t="s">
        <v>15</v>
      </c>
      <c r="E176" s="3" t="s">
        <v>149</v>
      </c>
      <c r="F176" s="4">
        <v>45876</v>
      </c>
      <c r="G176" s="3" t="s">
        <v>50</v>
      </c>
      <c r="H176" s="6">
        <v>-7438.02</v>
      </c>
      <c r="I176" s="3" t="s">
        <v>19</v>
      </c>
      <c r="J176" s="3" t="s">
        <v>15</v>
      </c>
      <c r="K176" s="3" t="s">
        <v>15</v>
      </c>
      <c r="L176" s="3" t="s">
        <v>164</v>
      </c>
      <c r="M176" s="4">
        <v>45876</v>
      </c>
      <c r="N176" s="3" t="s">
        <v>165</v>
      </c>
      <c r="O176" s="3" t="s">
        <v>28</v>
      </c>
      <c r="P176" t="str">
        <f t="shared" si="2"/>
        <v>450010465220</v>
      </c>
      <c r="Q176" s="7" cm="1">
        <f t="array" ref="Q176:S176">VLOOKUP(P176,Hoja1!C:F,{2,3,4},FALSE)</f>
        <v>45869</v>
      </c>
      <c r="R176" t="str">
        <v>AGV</v>
      </c>
      <c r="S176" t="str">
        <v>1000008652 MA-TA SALTA S.A.</v>
      </c>
      <c r="T176" t="str">
        <f>VLOOKUP(P176,Hoja2!C:D,2,FALSE)</f>
        <v>ILAHORGUE</v>
      </c>
    </row>
    <row r="177" spans="1:20" x14ac:dyDescent="0.3">
      <c r="A177" s="2" t="s">
        <v>15</v>
      </c>
      <c r="B177" s="3" t="s">
        <v>15</v>
      </c>
      <c r="C177" s="3" t="s">
        <v>163</v>
      </c>
      <c r="D177" s="3" t="s">
        <v>15</v>
      </c>
      <c r="E177" s="3" t="s">
        <v>149</v>
      </c>
      <c r="F177" s="4">
        <v>45876</v>
      </c>
      <c r="G177" s="3" t="s">
        <v>50</v>
      </c>
      <c r="H177" s="6">
        <v>-7438.02</v>
      </c>
      <c r="I177" s="3" t="s">
        <v>19</v>
      </c>
      <c r="J177" s="3" t="s">
        <v>15</v>
      </c>
      <c r="K177" s="3" t="s">
        <v>15</v>
      </c>
      <c r="L177" s="3" t="s">
        <v>164</v>
      </c>
      <c r="M177" s="4">
        <v>45876</v>
      </c>
      <c r="N177" s="3" t="s">
        <v>165</v>
      </c>
      <c r="O177" s="3" t="s">
        <v>80</v>
      </c>
      <c r="P177" t="str">
        <f t="shared" si="2"/>
        <v>450010465260</v>
      </c>
      <c r="Q177" s="7" cm="1">
        <f t="array" ref="Q177:S177">VLOOKUP(P177,Hoja1!C:F,{2,3,4},FALSE)</f>
        <v>45869</v>
      </c>
      <c r="R177" t="str">
        <v>AGV</v>
      </c>
      <c r="S177" t="str">
        <v>1000008652 MA-TA SALTA S.A.</v>
      </c>
      <c r="T177" t="str">
        <f>VLOOKUP(P177,Hoja2!C:D,2,FALSE)</f>
        <v>ILAHORGUE</v>
      </c>
    </row>
    <row r="178" spans="1:20" x14ac:dyDescent="0.3">
      <c r="A178" s="2" t="s">
        <v>15</v>
      </c>
      <c r="B178" s="3" t="s">
        <v>15</v>
      </c>
      <c r="C178" s="3" t="s">
        <v>166</v>
      </c>
      <c r="D178" s="3" t="s">
        <v>15</v>
      </c>
      <c r="E178" s="3" t="s">
        <v>149</v>
      </c>
      <c r="F178" s="4">
        <v>45876</v>
      </c>
      <c r="G178" s="3" t="s">
        <v>50</v>
      </c>
      <c r="H178" s="6">
        <v>-8805.84</v>
      </c>
      <c r="I178" s="3" t="s">
        <v>19</v>
      </c>
      <c r="J178" s="3" t="s">
        <v>15</v>
      </c>
      <c r="K178" s="3" t="s">
        <v>15</v>
      </c>
      <c r="L178" s="3" t="s">
        <v>167</v>
      </c>
      <c r="M178" s="4">
        <v>45876</v>
      </c>
      <c r="N178" s="3" t="s">
        <v>168</v>
      </c>
      <c r="O178" s="3" t="s">
        <v>80</v>
      </c>
      <c r="P178" t="str">
        <f t="shared" si="2"/>
        <v>450010465660</v>
      </c>
      <c r="Q178" s="7" cm="1">
        <f t="array" ref="Q178:S178">VLOOKUP(P178,Hoja1!C:F,{2,3,4},FALSE)</f>
        <v>45869</v>
      </c>
      <c r="R178" t="str">
        <v>AGV</v>
      </c>
      <c r="S178" t="str">
        <v>1000008558 BULONERIA LA TUERCA S.R.L.</v>
      </c>
      <c r="T178" t="str">
        <f>VLOOKUP(P178,Hoja2!C:D,2,FALSE)</f>
        <v>ILAHORGUE</v>
      </c>
    </row>
    <row r="179" spans="1:20" x14ac:dyDescent="0.3">
      <c r="A179" s="2" t="s">
        <v>15</v>
      </c>
      <c r="B179" s="3" t="s">
        <v>15</v>
      </c>
      <c r="C179" s="3" t="s">
        <v>169</v>
      </c>
      <c r="D179" s="3" t="s">
        <v>15</v>
      </c>
      <c r="E179" s="3" t="s">
        <v>149</v>
      </c>
      <c r="F179" s="4">
        <v>45884</v>
      </c>
      <c r="G179" s="3" t="s">
        <v>50</v>
      </c>
      <c r="H179" s="6">
        <v>-18181.009999999998</v>
      </c>
      <c r="I179" s="3" t="s">
        <v>19</v>
      </c>
      <c r="J179" s="3" t="s">
        <v>15</v>
      </c>
      <c r="K179" s="3" t="s">
        <v>15</v>
      </c>
      <c r="L179" s="3" t="s">
        <v>158</v>
      </c>
      <c r="M179" s="4">
        <v>45884</v>
      </c>
      <c r="N179" s="3" t="s">
        <v>170</v>
      </c>
      <c r="O179" s="3" t="s">
        <v>54</v>
      </c>
      <c r="P179" t="str">
        <f t="shared" si="2"/>
        <v>450010597730</v>
      </c>
      <c r="Q179" s="7" cm="1">
        <f t="array" ref="Q179:S179">VLOOKUP(P179,Hoja1!C:F,{2,3,4},FALSE)</f>
        <v>45897</v>
      </c>
      <c r="R179" t="str">
        <v>AGV</v>
      </c>
      <c r="S179" t="str">
        <v>1000008375 PUSSETTO SALTA S A</v>
      </c>
      <c r="T179" t="str">
        <f>VLOOKUP(P179,Hoja2!C:D,2,FALSE)</f>
        <v>MREY</v>
      </c>
    </row>
    <row r="180" spans="1:20" x14ac:dyDescent="0.3">
      <c r="A180" s="2" t="s">
        <v>15</v>
      </c>
      <c r="B180" s="3" t="s">
        <v>15</v>
      </c>
      <c r="C180" s="3" t="s">
        <v>169</v>
      </c>
      <c r="D180" s="3" t="s">
        <v>15</v>
      </c>
      <c r="E180" s="3" t="s">
        <v>149</v>
      </c>
      <c r="F180" s="4">
        <v>45884</v>
      </c>
      <c r="G180" s="3" t="s">
        <v>50</v>
      </c>
      <c r="H180" s="6">
        <v>-5372.41</v>
      </c>
      <c r="I180" s="3" t="s">
        <v>19</v>
      </c>
      <c r="J180" s="3" t="s">
        <v>15</v>
      </c>
      <c r="K180" s="3" t="s">
        <v>15</v>
      </c>
      <c r="L180" s="3" t="s">
        <v>158</v>
      </c>
      <c r="M180" s="4">
        <v>45884</v>
      </c>
      <c r="N180" s="3" t="s">
        <v>170</v>
      </c>
      <c r="O180" s="3" t="s">
        <v>23</v>
      </c>
      <c r="P180" t="str">
        <f t="shared" si="2"/>
        <v>450010597740</v>
      </c>
      <c r="Q180" s="7" cm="1">
        <f t="array" ref="Q180:S180">VLOOKUP(P180,Hoja1!C:F,{2,3,4},FALSE)</f>
        <v>45897</v>
      </c>
      <c r="R180" t="str">
        <v>AGV</v>
      </c>
      <c r="S180" t="str">
        <v>1000008375 PUSSETTO SALTA S A</v>
      </c>
      <c r="T180" t="str">
        <f>VLOOKUP(P180,Hoja2!C:D,2,FALSE)</f>
        <v>MREY</v>
      </c>
    </row>
    <row r="181" spans="1:20" x14ac:dyDescent="0.3">
      <c r="A181" s="2" t="s">
        <v>15</v>
      </c>
      <c r="B181" s="3" t="s">
        <v>15</v>
      </c>
      <c r="C181" s="3" t="s">
        <v>169</v>
      </c>
      <c r="D181" s="3" t="s">
        <v>15</v>
      </c>
      <c r="E181" s="3" t="s">
        <v>149</v>
      </c>
      <c r="F181" s="4">
        <v>45884</v>
      </c>
      <c r="G181" s="3" t="s">
        <v>50</v>
      </c>
      <c r="H181" s="6">
        <v>-19065.03</v>
      </c>
      <c r="I181" s="3" t="s">
        <v>19</v>
      </c>
      <c r="J181" s="3" t="s">
        <v>15</v>
      </c>
      <c r="K181" s="3" t="s">
        <v>15</v>
      </c>
      <c r="L181" s="3" t="s">
        <v>158</v>
      </c>
      <c r="M181" s="4">
        <v>45884</v>
      </c>
      <c r="N181" s="3" t="s">
        <v>170</v>
      </c>
      <c r="O181" s="3" t="s">
        <v>55</v>
      </c>
      <c r="P181" t="str">
        <f t="shared" si="2"/>
        <v>450010597750</v>
      </c>
      <c r="Q181" s="7" cm="1">
        <f t="array" ref="Q181:S181">VLOOKUP(P181,Hoja1!C:F,{2,3,4},FALSE)</f>
        <v>45897</v>
      </c>
      <c r="R181" t="str">
        <v>AGV</v>
      </c>
      <c r="S181" t="str">
        <v>1000008375 PUSSETTO SALTA S A</v>
      </c>
      <c r="T181" t="str">
        <f>VLOOKUP(P181,Hoja2!C:D,2,FALSE)</f>
        <v>MREY</v>
      </c>
    </row>
    <row r="182" spans="1:20" x14ac:dyDescent="0.3">
      <c r="A182" s="2" t="s">
        <v>15</v>
      </c>
      <c r="B182" s="3" t="s">
        <v>15</v>
      </c>
      <c r="C182" s="3" t="s">
        <v>169</v>
      </c>
      <c r="D182" s="3" t="s">
        <v>15</v>
      </c>
      <c r="E182" s="3" t="s">
        <v>149</v>
      </c>
      <c r="F182" s="4">
        <v>45884</v>
      </c>
      <c r="G182" s="3" t="s">
        <v>50</v>
      </c>
      <c r="H182" s="6">
        <v>-150166.71</v>
      </c>
      <c r="I182" s="3" t="s">
        <v>19</v>
      </c>
      <c r="J182" s="3" t="s">
        <v>15</v>
      </c>
      <c r="K182" s="3" t="s">
        <v>15</v>
      </c>
      <c r="L182" s="3" t="s">
        <v>158</v>
      </c>
      <c r="M182" s="4">
        <v>45884</v>
      </c>
      <c r="N182" s="3" t="s">
        <v>170</v>
      </c>
      <c r="O182" s="3" t="s">
        <v>80</v>
      </c>
      <c r="P182" t="str">
        <f t="shared" si="2"/>
        <v>450010597760</v>
      </c>
      <c r="Q182" s="7" cm="1">
        <f t="array" ref="Q182:S182">VLOOKUP(P182,Hoja1!C:F,{2,3,4},FALSE)</f>
        <v>45897</v>
      </c>
      <c r="R182" t="str">
        <v>AGV</v>
      </c>
      <c r="S182" t="str">
        <v>1000008375 PUSSETTO SALTA S A</v>
      </c>
      <c r="T182" t="str">
        <f>VLOOKUP(P182,Hoja2!C:D,2,FALSE)</f>
        <v>MREY</v>
      </c>
    </row>
    <row r="183" spans="1:20" x14ac:dyDescent="0.3">
      <c r="A183" s="2" t="s">
        <v>15</v>
      </c>
      <c r="B183" s="3" t="s">
        <v>15</v>
      </c>
      <c r="C183" s="3" t="s">
        <v>171</v>
      </c>
      <c r="D183" s="3" t="s">
        <v>15</v>
      </c>
      <c r="E183" s="3" t="s">
        <v>149</v>
      </c>
      <c r="F183" s="4">
        <v>45902</v>
      </c>
      <c r="G183" s="3" t="s">
        <v>50</v>
      </c>
      <c r="H183" s="6">
        <v>-3754.71</v>
      </c>
      <c r="I183" s="3" t="s">
        <v>19</v>
      </c>
      <c r="J183" s="3" t="s">
        <v>15</v>
      </c>
      <c r="K183" s="3" t="s">
        <v>15</v>
      </c>
      <c r="L183" s="3" t="s">
        <v>158</v>
      </c>
      <c r="M183" s="4">
        <v>45902</v>
      </c>
      <c r="N183" s="3" t="s">
        <v>172</v>
      </c>
      <c r="O183" s="3" t="s">
        <v>81</v>
      </c>
      <c r="P183" t="str">
        <f t="shared" si="2"/>
        <v>450010738370</v>
      </c>
      <c r="Q183" s="7" cm="1">
        <f t="array" ref="Q183:S183">VLOOKUP(P183,Hoja1!C:F,{2,3,4},FALSE)</f>
        <v>45915</v>
      </c>
      <c r="R183" t="str">
        <v>AGV</v>
      </c>
      <c r="S183" t="str">
        <v>1000008375 PUSSETTO SALTA S A</v>
      </c>
      <c r="T183" t="str">
        <f>VLOOKUP(P183,Hoja2!C:D,2,FALSE)</f>
        <v>MREY</v>
      </c>
    </row>
    <row r="184" spans="1:20" x14ac:dyDescent="0.3">
      <c r="A184" s="2" t="s">
        <v>15</v>
      </c>
      <c r="B184" s="3" t="s">
        <v>15</v>
      </c>
      <c r="C184" s="3" t="s">
        <v>171</v>
      </c>
      <c r="D184" s="3" t="s">
        <v>15</v>
      </c>
      <c r="E184" s="3" t="s">
        <v>149</v>
      </c>
      <c r="F184" s="4">
        <v>45902</v>
      </c>
      <c r="G184" s="3" t="s">
        <v>50</v>
      </c>
      <c r="H184" s="6">
        <v>-3754.71</v>
      </c>
      <c r="I184" s="3" t="s">
        <v>19</v>
      </c>
      <c r="J184" s="3" t="s">
        <v>15</v>
      </c>
      <c r="K184" s="3" t="s">
        <v>15</v>
      </c>
      <c r="L184" s="3" t="s">
        <v>158</v>
      </c>
      <c r="M184" s="4">
        <v>45902</v>
      </c>
      <c r="N184" s="3" t="s">
        <v>172</v>
      </c>
      <c r="O184" s="3" t="s">
        <v>82</v>
      </c>
      <c r="P184" t="str">
        <f t="shared" si="2"/>
        <v>450010738380</v>
      </c>
      <c r="Q184" s="7" cm="1">
        <f t="array" ref="Q184:S184">VLOOKUP(P184,Hoja1!C:F,{2,3,4},FALSE)</f>
        <v>45915</v>
      </c>
      <c r="R184" t="str">
        <v>AGV</v>
      </c>
      <c r="S184" t="str">
        <v>1000008375 PUSSETTO SALTA S A</v>
      </c>
      <c r="T184" t="str">
        <f>VLOOKUP(P184,Hoja2!C:D,2,FALSE)</f>
        <v>MREY</v>
      </c>
    </row>
    <row r="185" spans="1:20" x14ac:dyDescent="0.3">
      <c r="A185" s="2" t="s">
        <v>15</v>
      </c>
      <c r="B185" s="3" t="s">
        <v>15</v>
      </c>
      <c r="C185" s="3" t="s">
        <v>171</v>
      </c>
      <c r="D185" s="3" t="s">
        <v>15</v>
      </c>
      <c r="E185" s="3" t="s">
        <v>149</v>
      </c>
      <c r="F185" s="4">
        <v>45902</v>
      </c>
      <c r="G185" s="3" t="s">
        <v>50</v>
      </c>
      <c r="H185" s="6">
        <v>-17051.560000000001</v>
      </c>
      <c r="I185" s="3" t="s">
        <v>19</v>
      </c>
      <c r="J185" s="3" t="s">
        <v>15</v>
      </c>
      <c r="K185" s="3" t="s">
        <v>15</v>
      </c>
      <c r="L185" s="3" t="s">
        <v>158</v>
      </c>
      <c r="M185" s="4">
        <v>45902</v>
      </c>
      <c r="N185" s="3" t="s">
        <v>172</v>
      </c>
      <c r="O185" s="3" t="s">
        <v>83</v>
      </c>
      <c r="P185" t="str">
        <f t="shared" si="2"/>
        <v>450010738390</v>
      </c>
      <c r="Q185" s="7" cm="1">
        <f t="array" ref="Q185:S185">VLOOKUP(P185,Hoja1!C:F,{2,3,4},FALSE)</f>
        <v>45915</v>
      </c>
      <c r="R185" t="str">
        <v>AGV</v>
      </c>
      <c r="S185" t="str">
        <v>1000008375 PUSSETTO SALTA S A</v>
      </c>
      <c r="T185" t="str">
        <f>VLOOKUP(P185,Hoja2!C:D,2,FALSE)</f>
        <v>MREY</v>
      </c>
    </row>
    <row r="186" spans="1:20" x14ac:dyDescent="0.3">
      <c r="A186" s="2" t="s">
        <v>15</v>
      </c>
      <c r="B186" s="3" t="s">
        <v>15</v>
      </c>
      <c r="C186" s="3" t="s">
        <v>173</v>
      </c>
      <c r="D186" s="3" t="s">
        <v>15</v>
      </c>
      <c r="E186" s="3" t="s">
        <v>149</v>
      </c>
      <c r="F186" s="4">
        <v>45916</v>
      </c>
      <c r="G186" s="3" t="s">
        <v>50</v>
      </c>
      <c r="H186" s="6">
        <v>-165481.88</v>
      </c>
      <c r="I186" s="3" t="s">
        <v>19</v>
      </c>
      <c r="J186" s="3" t="s">
        <v>15</v>
      </c>
      <c r="K186" s="3" t="s">
        <v>15</v>
      </c>
      <c r="L186" s="3" t="s">
        <v>153</v>
      </c>
      <c r="M186" s="4">
        <v>45916</v>
      </c>
      <c r="N186" s="3" t="s">
        <v>174</v>
      </c>
      <c r="O186" s="3" t="s">
        <v>32</v>
      </c>
      <c r="P186" t="str">
        <f t="shared" si="2"/>
        <v>450010712610</v>
      </c>
      <c r="Q186" s="7" cm="1">
        <f t="array" ref="Q186:S186">VLOOKUP(P186,Hoja1!C:F,{2,3,4},FALSE)</f>
        <v>45905</v>
      </c>
      <c r="R186" t="str">
        <v>C29</v>
      </c>
      <c r="S186" t="str">
        <v>1000000907 SERVICIOS VIALES DE STA. FE SA</v>
      </c>
      <c r="T186" t="str">
        <f>VLOOKUP(P186,Hoja2!C:D,2,FALSE)</f>
        <v>HROLDAN</v>
      </c>
    </row>
    <row r="187" spans="1:20" x14ac:dyDescent="0.3">
      <c r="A187" s="2" t="s">
        <v>15</v>
      </c>
      <c r="B187" s="3" t="s">
        <v>15</v>
      </c>
      <c r="C187" s="3" t="s">
        <v>175</v>
      </c>
      <c r="D187" s="3" t="s">
        <v>15</v>
      </c>
      <c r="E187" s="3" t="s">
        <v>149</v>
      </c>
      <c r="F187" s="4">
        <v>46101</v>
      </c>
      <c r="G187" s="3" t="s">
        <v>50</v>
      </c>
      <c r="H187" s="6">
        <v>-74380.14</v>
      </c>
      <c r="I187" s="3" t="s">
        <v>19</v>
      </c>
      <c r="J187" s="3" t="s">
        <v>15</v>
      </c>
      <c r="K187" s="3" t="s">
        <v>15</v>
      </c>
      <c r="L187" s="3" t="s">
        <v>176</v>
      </c>
      <c r="M187" s="4">
        <v>46101</v>
      </c>
      <c r="N187" s="3" t="s">
        <v>177</v>
      </c>
      <c r="O187" s="3" t="s">
        <v>28</v>
      </c>
      <c r="P187" t="str">
        <f t="shared" si="2"/>
        <v>450012252120</v>
      </c>
      <c r="Q187" s="7" cm="1">
        <f t="array" ref="Q187:S187">VLOOKUP(P187,Hoja1!C:F,{2,3,4},FALSE)</f>
        <v>46071</v>
      </c>
      <c r="R187" t="str">
        <v>AGV</v>
      </c>
      <c r="S187" t="str">
        <v>1000012165 EXENI LUIS ENRIQUE</v>
      </c>
      <c r="T187" t="str">
        <f>VLOOKUP(P187,Hoja2!C:D,2,FALSE)</f>
        <v>MREY</v>
      </c>
    </row>
    <row r="188" spans="1:20" x14ac:dyDescent="0.3">
      <c r="A188" s="2" t="s">
        <v>15</v>
      </c>
      <c r="B188" s="3" t="s">
        <v>15</v>
      </c>
      <c r="C188" s="3" t="s">
        <v>178</v>
      </c>
      <c r="D188" s="3" t="s">
        <v>25</v>
      </c>
      <c r="E188" s="3" t="s">
        <v>149</v>
      </c>
      <c r="F188" s="4">
        <v>46112</v>
      </c>
      <c r="G188" s="3" t="s">
        <v>50</v>
      </c>
      <c r="H188" s="6">
        <v>-5320160.04</v>
      </c>
      <c r="I188" s="3" t="s">
        <v>19</v>
      </c>
      <c r="J188" s="3" t="s">
        <v>15</v>
      </c>
      <c r="K188" s="3" t="s">
        <v>15</v>
      </c>
      <c r="L188" s="3" t="s">
        <v>30</v>
      </c>
      <c r="M188" s="4">
        <v>46112</v>
      </c>
      <c r="N188" s="3" t="s">
        <v>31</v>
      </c>
      <c r="O188" s="3" t="s">
        <v>28</v>
      </c>
      <c r="P188" t="str">
        <f t="shared" si="2"/>
        <v>450010411620</v>
      </c>
      <c r="Q188" s="7" cm="1">
        <f t="array" ref="Q188:S188">VLOOKUP(P188,Hoja1!C:F,{2,3,4},FALSE)</f>
        <v>46387</v>
      </c>
      <c r="R188" t="str">
        <v>C04</v>
      </c>
      <c r="S188" t="str">
        <v>1000003545 SCANIA ARGENTINA S A</v>
      </c>
      <c r="T188" t="str">
        <f>VLOOKUP(P188,Hoja2!C:D,2,FALSE)</f>
        <v>EREGALADO</v>
      </c>
    </row>
    <row r="189" spans="1:20" x14ac:dyDescent="0.3">
      <c r="A189" s="2" t="s">
        <v>15</v>
      </c>
      <c r="B189" s="3" t="s">
        <v>15</v>
      </c>
      <c r="C189" s="3" t="s">
        <v>179</v>
      </c>
      <c r="D189" s="3" t="s">
        <v>25</v>
      </c>
      <c r="E189" s="3" t="s">
        <v>149</v>
      </c>
      <c r="F189" s="4">
        <v>46112</v>
      </c>
      <c r="G189" s="3" t="s">
        <v>50</v>
      </c>
      <c r="H189" s="6">
        <v>-306932.31</v>
      </c>
      <c r="I189" s="3" t="s">
        <v>19</v>
      </c>
      <c r="J189" s="3" t="s">
        <v>15</v>
      </c>
      <c r="K189" s="3" t="s">
        <v>15</v>
      </c>
      <c r="L189" s="3" t="s">
        <v>30</v>
      </c>
      <c r="M189" s="4">
        <v>46112</v>
      </c>
      <c r="N189" s="3" t="s">
        <v>31</v>
      </c>
      <c r="O189" s="3" t="s">
        <v>32</v>
      </c>
      <c r="P189" t="str">
        <f t="shared" si="2"/>
        <v>450010411610</v>
      </c>
      <c r="Q189" s="7" cm="1">
        <f t="array" ref="Q189:S189">VLOOKUP(P189,Hoja1!C:F,{2,3,4},FALSE)</f>
        <v>46387</v>
      </c>
      <c r="R189" t="str">
        <v>C04</v>
      </c>
      <c r="S189" t="str">
        <v>1000003545 SCANIA ARGENTINA S A</v>
      </c>
      <c r="T189" t="str">
        <f>VLOOKUP(P189,Hoja2!C:D,2,FALSE)</f>
        <v>EREGALADO</v>
      </c>
    </row>
    <row r="190" spans="1:20" x14ac:dyDescent="0.3">
      <c r="A190" s="2" t="s">
        <v>15</v>
      </c>
      <c r="B190" s="3" t="s">
        <v>15</v>
      </c>
      <c r="C190" s="3" t="s">
        <v>180</v>
      </c>
      <c r="D190" s="3" t="s">
        <v>15</v>
      </c>
      <c r="E190" s="3" t="s">
        <v>149</v>
      </c>
      <c r="F190" s="4">
        <v>46112</v>
      </c>
      <c r="G190" s="3" t="s">
        <v>50</v>
      </c>
      <c r="H190" s="6">
        <v>-45667.77</v>
      </c>
      <c r="I190" s="3" t="s">
        <v>19</v>
      </c>
      <c r="J190" s="3" t="s">
        <v>15</v>
      </c>
      <c r="K190" s="3" t="s">
        <v>15</v>
      </c>
      <c r="L190" s="3" t="s">
        <v>153</v>
      </c>
      <c r="M190" s="4">
        <v>46119</v>
      </c>
      <c r="N190" s="3" t="s">
        <v>181</v>
      </c>
      <c r="O190" s="3" t="s">
        <v>28</v>
      </c>
      <c r="P190" t="str">
        <f t="shared" si="2"/>
        <v>450010807620</v>
      </c>
      <c r="Q190" s="7" cm="1">
        <f t="array" ref="Q190:S190">VLOOKUP(P190,Hoja1!C:F,{2,3,4},FALSE)</f>
        <v>46059</v>
      </c>
      <c r="R190" t="str">
        <v>C03</v>
      </c>
      <c r="S190" t="str">
        <v>1000000907 SERVICIOS VIALES DE STA. FE SA</v>
      </c>
      <c r="T190" t="str">
        <f>VLOOKUP(P190,Hoja2!C:D,2,FALSE)</f>
        <v>HROLDAN</v>
      </c>
    </row>
    <row r="191" spans="1:20" x14ac:dyDescent="0.3">
      <c r="A191" s="2" t="s">
        <v>15</v>
      </c>
      <c r="B191" s="3" t="s">
        <v>15</v>
      </c>
      <c r="C191" s="3" t="s">
        <v>182</v>
      </c>
      <c r="D191" s="3" t="s">
        <v>15</v>
      </c>
      <c r="E191" s="3" t="s">
        <v>149</v>
      </c>
      <c r="F191" s="4">
        <v>45940</v>
      </c>
      <c r="G191" s="3" t="s">
        <v>50</v>
      </c>
      <c r="H191" s="6">
        <v>-142978.74</v>
      </c>
      <c r="I191" s="3" t="s">
        <v>19</v>
      </c>
      <c r="J191" s="3" t="s">
        <v>15</v>
      </c>
      <c r="K191" s="3" t="s">
        <v>15</v>
      </c>
      <c r="L191" s="3" t="s">
        <v>153</v>
      </c>
      <c r="M191" s="4">
        <v>45940</v>
      </c>
      <c r="N191" s="3" t="s">
        <v>183</v>
      </c>
      <c r="O191" s="3" t="s">
        <v>126</v>
      </c>
      <c r="P191" t="str">
        <f t="shared" si="2"/>
        <v>4500109392230</v>
      </c>
      <c r="Q191" s="7" cm="1">
        <f t="array" ref="Q191:S191">VLOOKUP(P191,Hoja1!C:F,{2,3,4},FALSE)</f>
        <v>45934</v>
      </c>
      <c r="R191" t="str">
        <v>AGV</v>
      </c>
      <c r="S191" t="str">
        <v>1000000907 SERVICIOS VIALES DE STA. FE SA</v>
      </c>
      <c r="T191" t="str">
        <f>VLOOKUP(P191,Hoja2!C:D,2,FALSE)</f>
        <v>ILAHORGUE</v>
      </c>
    </row>
    <row r="192" spans="1:20" x14ac:dyDescent="0.3">
      <c r="A192" s="2" t="s">
        <v>15</v>
      </c>
      <c r="B192" s="3" t="s">
        <v>15</v>
      </c>
      <c r="C192" s="3" t="s">
        <v>182</v>
      </c>
      <c r="D192" s="3" t="s">
        <v>15</v>
      </c>
      <c r="E192" s="3" t="s">
        <v>149</v>
      </c>
      <c r="F192" s="4">
        <v>45940</v>
      </c>
      <c r="G192" s="3" t="s">
        <v>50</v>
      </c>
      <c r="H192" s="6">
        <v>-74906.100000000006</v>
      </c>
      <c r="I192" s="3" t="s">
        <v>19</v>
      </c>
      <c r="J192" s="3" t="s">
        <v>15</v>
      </c>
      <c r="K192" s="3" t="s">
        <v>15</v>
      </c>
      <c r="L192" s="3" t="s">
        <v>153</v>
      </c>
      <c r="M192" s="4">
        <v>45940</v>
      </c>
      <c r="N192" s="3" t="s">
        <v>183</v>
      </c>
      <c r="O192" s="3" t="s">
        <v>128</v>
      </c>
      <c r="P192" t="str">
        <f t="shared" si="2"/>
        <v>4500109392250</v>
      </c>
      <c r="Q192" s="7" cm="1">
        <f t="array" ref="Q192:S192">VLOOKUP(P192,Hoja1!C:F,{2,3,4},FALSE)</f>
        <v>45934</v>
      </c>
      <c r="R192" t="str">
        <v>AGV</v>
      </c>
      <c r="S192" t="str">
        <v>1000000907 SERVICIOS VIALES DE STA. FE SA</v>
      </c>
      <c r="T192" t="str">
        <f>VLOOKUP(P192,Hoja2!C:D,2,FALSE)</f>
        <v>ILAHORGUE</v>
      </c>
    </row>
    <row r="193" spans="1:20" x14ac:dyDescent="0.3">
      <c r="A193" s="2" t="s">
        <v>15</v>
      </c>
      <c r="B193" s="3" t="s">
        <v>15</v>
      </c>
      <c r="C193" s="3" t="s">
        <v>184</v>
      </c>
      <c r="D193" s="3" t="s">
        <v>15</v>
      </c>
      <c r="E193" s="3" t="s">
        <v>149</v>
      </c>
      <c r="F193" s="4">
        <v>46130</v>
      </c>
      <c r="G193" s="3" t="s">
        <v>50</v>
      </c>
      <c r="H193" s="6">
        <v>-2292279.71</v>
      </c>
      <c r="I193" s="3" t="s">
        <v>19</v>
      </c>
      <c r="J193" s="3" t="s">
        <v>15</v>
      </c>
      <c r="K193" s="3" t="s">
        <v>15</v>
      </c>
      <c r="L193" s="3" t="s">
        <v>158</v>
      </c>
      <c r="M193" s="4">
        <v>46130</v>
      </c>
      <c r="N193" s="3" t="s">
        <v>185</v>
      </c>
      <c r="O193" s="3" t="s">
        <v>32</v>
      </c>
      <c r="P193" t="str">
        <f t="shared" si="2"/>
        <v>450012529510</v>
      </c>
      <c r="Q193" s="7" cm="1">
        <f t="array" ref="Q193:S193">VLOOKUP(P193,Hoja1!C:F,{2,3,4},FALSE)</f>
        <v>46132</v>
      </c>
      <c r="R193" t="str">
        <v>C35</v>
      </c>
      <c r="S193" t="str">
        <v>1000008375 PUSSETTO SALTA S A</v>
      </c>
      <c r="T193" t="str">
        <f>VLOOKUP(P193,Hoja2!C:D,2,FALSE)</f>
        <v>FSOTO</v>
      </c>
    </row>
    <row r="194" spans="1:20" x14ac:dyDescent="0.3">
      <c r="A194" s="2" t="s">
        <v>15</v>
      </c>
      <c r="B194" s="3" t="s">
        <v>15</v>
      </c>
      <c r="C194" s="3" t="s">
        <v>186</v>
      </c>
      <c r="D194" s="3" t="s">
        <v>15</v>
      </c>
      <c r="E194" s="3" t="s">
        <v>149</v>
      </c>
      <c r="F194" s="4">
        <v>46130</v>
      </c>
      <c r="G194" s="3" t="s">
        <v>50</v>
      </c>
      <c r="H194" s="6">
        <v>-777064.15</v>
      </c>
      <c r="I194" s="3" t="s">
        <v>19</v>
      </c>
      <c r="J194" s="3" t="s">
        <v>15</v>
      </c>
      <c r="K194" s="3" t="s">
        <v>15</v>
      </c>
      <c r="L194" s="3" t="s">
        <v>158</v>
      </c>
      <c r="M194" s="4">
        <v>46130</v>
      </c>
      <c r="N194" s="3" t="s">
        <v>187</v>
      </c>
      <c r="O194" s="3" t="s">
        <v>32</v>
      </c>
      <c r="P194" t="str">
        <f t="shared" si="2"/>
        <v>450012544210</v>
      </c>
      <c r="Q194" s="7" cm="1">
        <f t="array" ref="Q194:S194">VLOOKUP(P194,Hoja1!C:F,{2,3,4},FALSE)</f>
        <v>46132</v>
      </c>
      <c r="R194" t="str">
        <v>C35</v>
      </c>
      <c r="S194" t="str">
        <v>1000008375 PUSSETTO SALTA S A</v>
      </c>
      <c r="T194" t="str">
        <f>VLOOKUP(P194,Hoja2!C:D,2,FALSE)</f>
        <v>FSOTO</v>
      </c>
    </row>
    <row r="195" spans="1:20" x14ac:dyDescent="0.3">
      <c r="A195" s="2" t="s">
        <v>15</v>
      </c>
      <c r="B195" s="3" t="s">
        <v>15</v>
      </c>
      <c r="C195" s="3" t="s">
        <v>188</v>
      </c>
      <c r="D195" s="3" t="s">
        <v>15</v>
      </c>
      <c r="E195" s="3" t="s">
        <v>149</v>
      </c>
      <c r="F195" s="4">
        <v>46133</v>
      </c>
      <c r="G195" s="3" t="s">
        <v>50</v>
      </c>
      <c r="H195" s="6">
        <v>-185670</v>
      </c>
      <c r="I195" s="3" t="s">
        <v>19</v>
      </c>
      <c r="J195" s="3" t="s">
        <v>15</v>
      </c>
      <c r="K195" s="3" t="s">
        <v>15</v>
      </c>
      <c r="L195" s="3" t="s">
        <v>189</v>
      </c>
      <c r="M195" s="4">
        <v>46133</v>
      </c>
      <c r="N195" s="3" t="s">
        <v>190</v>
      </c>
      <c r="O195" s="3" t="s">
        <v>32</v>
      </c>
      <c r="P195" t="str">
        <f t="shared" ref="P195:P258" si="3">_xlfn.CONCAT(N195:O195)</f>
        <v>450012544110</v>
      </c>
      <c r="Q195" s="7" cm="1">
        <f t="array" ref="Q195:S195">VLOOKUP(P195,Hoja1!C:F,{2,3,4},FALSE)</f>
        <v>46142</v>
      </c>
      <c r="R195" t="str">
        <v>C01</v>
      </c>
      <c r="S195" t="str">
        <v>1000007608 GRUPO H Y S S.R.L.</v>
      </c>
      <c r="T195" t="str">
        <f>VLOOKUP(P195,Hoja2!C:D,2,FALSE)</f>
        <v>CSOSA</v>
      </c>
    </row>
    <row r="196" spans="1:20" x14ac:dyDescent="0.3">
      <c r="A196" s="2" t="s">
        <v>15</v>
      </c>
      <c r="B196" s="3" t="s">
        <v>15</v>
      </c>
      <c r="C196" s="3" t="s">
        <v>191</v>
      </c>
      <c r="D196" s="3" t="s">
        <v>25</v>
      </c>
      <c r="E196" s="3" t="s">
        <v>149</v>
      </c>
      <c r="F196" s="4">
        <v>45960</v>
      </c>
      <c r="G196" s="3" t="s">
        <v>50</v>
      </c>
      <c r="H196" s="6">
        <v>-28099.17</v>
      </c>
      <c r="I196" s="3" t="s">
        <v>19</v>
      </c>
      <c r="J196" s="3" t="s">
        <v>15</v>
      </c>
      <c r="K196" s="3" t="s">
        <v>15</v>
      </c>
      <c r="L196" s="3" t="s">
        <v>21</v>
      </c>
      <c r="M196" s="4">
        <v>45960</v>
      </c>
      <c r="N196" s="3" t="s">
        <v>192</v>
      </c>
      <c r="O196" s="3" t="s">
        <v>32</v>
      </c>
      <c r="P196" t="str">
        <f t="shared" si="3"/>
        <v>450011196410</v>
      </c>
      <c r="Q196" s="7" cm="1">
        <f t="array" ref="Q196:S196">VLOOKUP(P196,Hoja1!C:F,{2,3,4},FALSE)</f>
        <v>45968</v>
      </c>
      <c r="R196" t="str">
        <v>AGV</v>
      </c>
      <c r="S196" t="str">
        <v>1000007571 SERVICAM REPUESTOS S.R.L.</v>
      </c>
      <c r="T196" t="str">
        <f>VLOOKUP(P196,Hoja2!C:D,2,FALSE)</f>
        <v>ILAHORGUE</v>
      </c>
    </row>
    <row r="197" spans="1:20" x14ac:dyDescent="0.3">
      <c r="A197" s="2" t="s">
        <v>15</v>
      </c>
      <c r="B197" s="3" t="s">
        <v>15</v>
      </c>
      <c r="C197" s="3" t="s">
        <v>193</v>
      </c>
      <c r="D197" s="3" t="s">
        <v>15</v>
      </c>
      <c r="E197" s="3" t="s">
        <v>149</v>
      </c>
      <c r="F197" s="4">
        <v>46142</v>
      </c>
      <c r="G197" s="3" t="s">
        <v>50</v>
      </c>
      <c r="H197" s="6">
        <v>-1200197.03</v>
      </c>
      <c r="I197" s="3" t="s">
        <v>19</v>
      </c>
      <c r="J197" s="3" t="s">
        <v>15</v>
      </c>
      <c r="K197" s="3" t="s">
        <v>15</v>
      </c>
      <c r="L197" s="3" t="s">
        <v>158</v>
      </c>
      <c r="M197" s="4">
        <v>46142</v>
      </c>
      <c r="N197" s="3" t="s">
        <v>194</v>
      </c>
      <c r="O197" s="3" t="s">
        <v>32</v>
      </c>
      <c r="P197" t="str">
        <f t="shared" si="3"/>
        <v>450012617410</v>
      </c>
      <c r="Q197" s="7" cm="1">
        <f t="array" ref="Q197:S197">VLOOKUP(P197,Hoja1!C:F,{2,3,4},FALSE)</f>
        <v>46142</v>
      </c>
      <c r="R197" t="str">
        <v>C35</v>
      </c>
      <c r="S197" t="str">
        <v>1000008375 PUSSETTO SALTA S A</v>
      </c>
      <c r="T197" t="str">
        <f>VLOOKUP(P197,Hoja2!C:D,2,FALSE)</f>
        <v>FSOTO</v>
      </c>
    </row>
    <row r="198" spans="1:20" x14ac:dyDescent="0.3">
      <c r="A198" s="2" t="s">
        <v>15</v>
      </c>
      <c r="B198" s="3" t="s">
        <v>15</v>
      </c>
      <c r="C198" s="3" t="s">
        <v>195</v>
      </c>
      <c r="D198" s="3" t="s">
        <v>15</v>
      </c>
      <c r="E198" s="3" t="s">
        <v>149</v>
      </c>
      <c r="F198" s="4">
        <v>46107</v>
      </c>
      <c r="G198" s="3" t="s">
        <v>50</v>
      </c>
      <c r="H198" s="6">
        <v>-596513.5</v>
      </c>
      <c r="I198" s="3" t="s">
        <v>19</v>
      </c>
      <c r="J198" s="3" t="s">
        <v>15</v>
      </c>
      <c r="K198" s="3" t="s">
        <v>15</v>
      </c>
      <c r="L198" s="3" t="s">
        <v>158</v>
      </c>
      <c r="M198" s="4">
        <v>46108</v>
      </c>
      <c r="N198" s="3" t="s">
        <v>196</v>
      </c>
      <c r="O198" s="3" t="s">
        <v>32</v>
      </c>
      <c r="P198" t="str">
        <f t="shared" si="3"/>
        <v>450012442610</v>
      </c>
      <c r="Q198" s="7" cm="1">
        <f t="array" ref="Q198:S198">VLOOKUP(P198,Hoja1!C:F,{2,3,4},FALSE)</f>
        <v>46108</v>
      </c>
      <c r="R198" t="str">
        <v>C35</v>
      </c>
      <c r="S198" t="str">
        <v>1000008375 PUSSETTO SALTA S A</v>
      </c>
      <c r="T198" t="str">
        <f>VLOOKUP(P198,Hoja2!C:D,2,FALSE)</f>
        <v>FSOTO</v>
      </c>
    </row>
    <row r="199" spans="1:20" x14ac:dyDescent="0.3">
      <c r="A199" s="2" t="s">
        <v>15</v>
      </c>
      <c r="B199" s="3" t="s">
        <v>15</v>
      </c>
      <c r="C199" s="3" t="s">
        <v>197</v>
      </c>
      <c r="D199" s="3" t="s">
        <v>25</v>
      </c>
      <c r="E199" s="3" t="s">
        <v>149</v>
      </c>
      <c r="F199" s="4">
        <v>46150</v>
      </c>
      <c r="G199" s="3" t="s">
        <v>50</v>
      </c>
      <c r="H199" s="6">
        <v>-5105.1000000000004</v>
      </c>
      <c r="I199" s="3" t="s">
        <v>19</v>
      </c>
      <c r="J199" s="3" t="s">
        <v>15</v>
      </c>
      <c r="K199" s="3" t="s">
        <v>15</v>
      </c>
      <c r="L199" s="3" t="s">
        <v>26</v>
      </c>
      <c r="M199" s="4">
        <v>46150</v>
      </c>
      <c r="N199" s="3" t="s">
        <v>27</v>
      </c>
      <c r="O199" s="3" t="s">
        <v>28</v>
      </c>
      <c r="P199" t="str">
        <f t="shared" si="3"/>
        <v>450012307220</v>
      </c>
      <c r="Q199" s="7" cm="1">
        <f t="array" ref="Q199:S199">VLOOKUP(P199,Hoja1!C:F,{2,3,4},FALSE)</f>
        <v>46108</v>
      </c>
      <c r="R199" t="str">
        <v>C27</v>
      </c>
      <c r="S199" t="str">
        <v>1000007460 ORESTE ENRIQUE FIORI S.R.L.</v>
      </c>
      <c r="T199" t="str">
        <f>VLOOKUP(P199,Hoja2!C:D,2,FALSE)</f>
        <v>JESPARZA</v>
      </c>
    </row>
    <row r="200" spans="1:20" x14ac:dyDescent="0.3">
      <c r="A200" s="2" t="s">
        <v>15</v>
      </c>
      <c r="B200" s="3" t="s">
        <v>15</v>
      </c>
      <c r="C200" s="3" t="s">
        <v>198</v>
      </c>
      <c r="D200" s="3" t="s">
        <v>15</v>
      </c>
      <c r="E200" s="3" t="s">
        <v>149</v>
      </c>
      <c r="F200" s="4">
        <v>46163</v>
      </c>
      <c r="G200" s="3" t="s">
        <v>50</v>
      </c>
      <c r="H200" s="6">
        <v>-217874.8</v>
      </c>
      <c r="I200" s="3" t="s">
        <v>19</v>
      </c>
      <c r="J200" s="3" t="s">
        <v>15</v>
      </c>
      <c r="K200" s="3" t="s">
        <v>15</v>
      </c>
      <c r="L200" s="3" t="s">
        <v>37</v>
      </c>
      <c r="M200" s="4">
        <v>46163</v>
      </c>
      <c r="N200" s="3" t="s">
        <v>38</v>
      </c>
      <c r="O200" s="3" t="s">
        <v>40</v>
      </c>
      <c r="P200" t="str">
        <f t="shared" si="3"/>
        <v>4500111062470</v>
      </c>
      <c r="Q200" s="7" cm="1">
        <f t="array" ref="Q200:S200">VLOOKUP(P200,Hoja1!C:F,{2,3,4},FALSE)</f>
        <v>45968</v>
      </c>
      <c r="R200" t="str">
        <v>AGV</v>
      </c>
      <c r="S200" t="str">
        <v>1000012141 BRAMAQ SRL</v>
      </c>
      <c r="T200" t="str">
        <f>VLOOKUP(P200,Hoja2!C:D,2,FALSE)</f>
        <v>MREY</v>
      </c>
    </row>
    <row r="201" spans="1:20" x14ac:dyDescent="0.3">
      <c r="A201" s="2" t="s">
        <v>15</v>
      </c>
      <c r="B201" s="3" t="s">
        <v>15</v>
      </c>
      <c r="C201" s="3" t="s">
        <v>199</v>
      </c>
      <c r="D201" s="3" t="s">
        <v>15</v>
      </c>
      <c r="E201" s="3" t="s">
        <v>149</v>
      </c>
      <c r="F201" s="4">
        <v>46163</v>
      </c>
      <c r="G201" s="3" t="s">
        <v>50</v>
      </c>
      <c r="H201" s="6">
        <v>-3546708</v>
      </c>
      <c r="I201" s="3" t="s">
        <v>19</v>
      </c>
      <c r="J201" s="3" t="s">
        <v>15</v>
      </c>
      <c r="K201" s="3" t="s">
        <v>15</v>
      </c>
      <c r="L201" s="3" t="s">
        <v>37</v>
      </c>
      <c r="M201" s="4">
        <v>46163</v>
      </c>
      <c r="N201" s="3" t="s">
        <v>42</v>
      </c>
      <c r="O201" s="3" t="s">
        <v>43</v>
      </c>
      <c r="P201" t="str">
        <f t="shared" si="3"/>
        <v>4500111070210</v>
      </c>
      <c r="Q201" s="7" cm="1">
        <f t="array" ref="Q201:S201">VLOOKUP(P201,Hoja1!C:F,{2,3,4},FALSE)</f>
        <v>45971</v>
      </c>
      <c r="R201" t="str">
        <v>AGV</v>
      </c>
      <c r="S201" t="str">
        <v>1000012141 BRAMAQ SRL</v>
      </c>
      <c r="T201" t="str">
        <f>VLOOKUP(P201,Hoja2!C:D,2,FALSE)</f>
        <v>MREY</v>
      </c>
    </row>
    <row r="202" spans="1:20" x14ac:dyDescent="0.3">
      <c r="A202" s="2" t="s">
        <v>15</v>
      </c>
      <c r="B202" s="3" t="s">
        <v>15</v>
      </c>
      <c r="C202" s="3" t="s">
        <v>200</v>
      </c>
      <c r="D202" s="3" t="s">
        <v>15</v>
      </c>
      <c r="E202" s="3" t="s">
        <v>149</v>
      </c>
      <c r="F202" s="4">
        <v>45950</v>
      </c>
      <c r="G202" s="3" t="s">
        <v>50</v>
      </c>
      <c r="H202" s="6">
        <v>-1330015.5</v>
      </c>
      <c r="I202" s="3" t="s">
        <v>19</v>
      </c>
      <c r="J202" s="3" t="s">
        <v>15</v>
      </c>
      <c r="K202" s="3" t="s">
        <v>15</v>
      </c>
      <c r="L202" s="3" t="s">
        <v>37</v>
      </c>
      <c r="M202" s="4">
        <v>46173</v>
      </c>
      <c r="N202" s="3" t="s">
        <v>42</v>
      </c>
      <c r="O202" s="3" t="s">
        <v>43</v>
      </c>
      <c r="P202" t="str">
        <f t="shared" si="3"/>
        <v>4500111070210</v>
      </c>
      <c r="Q202" s="7" cm="1">
        <f t="array" ref="Q202:S202">VLOOKUP(P202,Hoja1!C:F,{2,3,4},FALSE)</f>
        <v>45971</v>
      </c>
      <c r="R202" t="str">
        <v>AGV</v>
      </c>
      <c r="S202" t="str">
        <v>1000012141 BRAMAQ SRL</v>
      </c>
      <c r="T202" t="str">
        <f>VLOOKUP(P202,Hoja2!C:D,2,FALSE)</f>
        <v>MREY</v>
      </c>
    </row>
    <row r="203" spans="1:20" x14ac:dyDescent="0.3">
      <c r="A203" s="2" t="s">
        <v>15</v>
      </c>
      <c r="B203" s="3" t="s">
        <v>15</v>
      </c>
      <c r="C203" s="3" t="s">
        <v>201</v>
      </c>
      <c r="D203" s="3" t="s">
        <v>15</v>
      </c>
      <c r="E203" s="3" t="s">
        <v>149</v>
      </c>
      <c r="F203" s="4">
        <v>46095</v>
      </c>
      <c r="G203" s="3" t="s">
        <v>50</v>
      </c>
      <c r="H203" s="6">
        <v>-74380.14</v>
      </c>
      <c r="I203" s="3" t="s">
        <v>19</v>
      </c>
      <c r="J203" s="3" t="s">
        <v>15</v>
      </c>
      <c r="K203" s="3" t="s">
        <v>15</v>
      </c>
      <c r="L203" s="3" t="s">
        <v>176</v>
      </c>
      <c r="M203" s="4">
        <v>46173</v>
      </c>
      <c r="N203" s="3" t="s">
        <v>177</v>
      </c>
      <c r="O203" s="3" t="s">
        <v>54</v>
      </c>
      <c r="P203" t="str">
        <f t="shared" si="3"/>
        <v>450012252130</v>
      </c>
      <c r="Q203" s="7" cm="1">
        <f t="array" ref="Q203:S203">VLOOKUP(P203,Hoja1!C:F,{2,3,4},FALSE)</f>
        <v>46071</v>
      </c>
      <c r="R203" t="str">
        <v>AGV</v>
      </c>
      <c r="S203" t="str">
        <v>1000012165 EXENI LUIS ENRIQUE</v>
      </c>
      <c r="T203" t="str">
        <f>VLOOKUP(P203,Hoja2!C:D,2,FALSE)</f>
        <v>MREY</v>
      </c>
    </row>
    <row r="204" spans="1:20" x14ac:dyDescent="0.3">
      <c r="A204" s="2" t="s">
        <v>15</v>
      </c>
      <c r="B204" s="3" t="s">
        <v>15</v>
      </c>
      <c r="C204" s="3" t="s">
        <v>202</v>
      </c>
      <c r="D204" s="3" t="s">
        <v>15</v>
      </c>
      <c r="E204" s="3" t="s">
        <v>149</v>
      </c>
      <c r="F204" s="4">
        <v>46178</v>
      </c>
      <c r="G204" s="3" t="s">
        <v>50</v>
      </c>
      <c r="H204" s="6">
        <v>-753518.4</v>
      </c>
      <c r="I204" s="3" t="s">
        <v>19</v>
      </c>
      <c r="J204" s="3" t="s">
        <v>15</v>
      </c>
      <c r="K204" s="3" t="s">
        <v>15</v>
      </c>
      <c r="L204" s="3" t="s">
        <v>153</v>
      </c>
      <c r="M204" s="4">
        <v>46178</v>
      </c>
      <c r="N204" s="3" t="s">
        <v>203</v>
      </c>
      <c r="O204" s="3" t="s">
        <v>32</v>
      </c>
      <c r="P204" t="str">
        <f t="shared" si="3"/>
        <v>450012949210</v>
      </c>
      <c r="Q204" s="7" cm="1">
        <f t="array" ref="Q204:S204">VLOOKUP(P204,Hoja1!C:F,{2,3,4},FALSE)</f>
        <v>46191</v>
      </c>
      <c r="R204" t="str">
        <v>C29</v>
      </c>
      <c r="S204" t="str">
        <v>1000000907 SERVICIOS VIALES DE STA. FE SA</v>
      </c>
      <c r="T204" t="str">
        <f>VLOOKUP(P204,Hoja2!C:D,2,FALSE)</f>
        <v>RPEREZ</v>
      </c>
    </row>
    <row r="205" spans="1:20" x14ac:dyDescent="0.3">
      <c r="A205" s="2" t="s">
        <v>15</v>
      </c>
      <c r="B205" s="3" t="s">
        <v>15</v>
      </c>
      <c r="C205" s="3" t="s">
        <v>202</v>
      </c>
      <c r="D205" s="3" t="s">
        <v>15</v>
      </c>
      <c r="E205" s="3" t="s">
        <v>149</v>
      </c>
      <c r="F205" s="4">
        <v>46178</v>
      </c>
      <c r="G205" s="3" t="s">
        <v>50</v>
      </c>
      <c r="H205" s="6">
        <v>-8162.4</v>
      </c>
      <c r="I205" s="3" t="s">
        <v>19</v>
      </c>
      <c r="J205" s="3" t="s">
        <v>15</v>
      </c>
      <c r="K205" s="3" t="s">
        <v>15</v>
      </c>
      <c r="L205" s="3" t="s">
        <v>153</v>
      </c>
      <c r="M205" s="4">
        <v>46178</v>
      </c>
      <c r="N205" s="3" t="s">
        <v>203</v>
      </c>
      <c r="O205" s="3" t="s">
        <v>28</v>
      </c>
      <c r="P205" t="str">
        <f t="shared" si="3"/>
        <v>450012949220</v>
      </c>
      <c r="Q205" s="7" cm="1">
        <f t="array" ref="Q205:S205">VLOOKUP(P205,Hoja1!C:F,{2,3,4},FALSE)</f>
        <v>46191</v>
      </c>
      <c r="R205" t="str">
        <v>C29</v>
      </c>
      <c r="S205" t="str">
        <v>1000000907 SERVICIOS VIALES DE STA. FE SA</v>
      </c>
      <c r="T205" t="str">
        <f>VLOOKUP(P205,Hoja2!C:D,2,FALSE)</f>
        <v>RPEREZ</v>
      </c>
    </row>
    <row r="206" spans="1:20" x14ac:dyDescent="0.3">
      <c r="A206" s="2" t="s">
        <v>15</v>
      </c>
      <c r="B206" s="3" t="s">
        <v>15</v>
      </c>
      <c r="C206" s="3" t="s">
        <v>202</v>
      </c>
      <c r="D206" s="3" t="s">
        <v>15</v>
      </c>
      <c r="E206" s="3" t="s">
        <v>149</v>
      </c>
      <c r="F206" s="4">
        <v>46178</v>
      </c>
      <c r="G206" s="3" t="s">
        <v>50</v>
      </c>
      <c r="H206" s="6">
        <v>-52010.239999999998</v>
      </c>
      <c r="I206" s="3" t="s">
        <v>19</v>
      </c>
      <c r="J206" s="3" t="s">
        <v>15</v>
      </c>
      <c r="K206" s="3" t="s">
        <v>15</v>
      </c>
      <c r="L206" s="3" t="s">
        <v>153</v>
      </c>
      <c r="M206" s="4">
        <v>46178</v>
      </c>
      <c r="N206" s="3" t="s">
        <v>203</v>
      </c>
      <c r="O206" s="3" t="s">
        <v>54</v>
      </c>
      <c r="P206" t="str">
        <f t="shared" si="3"/>
        <v>450012949230</v>
      </c>
      <c r="Q206" s="7" cm="1">
        <f t="array" ref="Q206:S206">VLOOKUP(P206,Hoja1!C:F,{2,3,4},FALSE)</f>
        <v>46191</v>
      </c>
      <c r="R206" t="str">
        <v>C29</v>
      </c>
      <c r="S206" t="str">
        <v>1000000907 SERVICIOS VIALES DE STA. FE SA</v>
      </c>
      <c r="T206" t="str">
        <f>VLOOKUP(P206,Hoja2!C:D,2,FALSE)</f>
        <v>RPEREZ</v>
      </c>
    </row>
    <row r="207" spans="1:20" x14ac:dyDescent="0.3">
      <c r="A207" s="2" t="s">
        <v>15</v>
      </c>
      <c r="B207" s="3" t="s">
        <v>15</v>
      </c>
      <c r="C207" s="3" t="s">
        <v>202</v>
      </c>
      <c r="D207" s="3" t="s">
        <v>15</v>
      </c>
      <c r="E207" s="3" t="s">
        <v>149</v>
      </c>
      <c r="F207" s="4">
        <v>46178</v>
      </c>
      <c r="G207" s="3" t="s">
        <v>50</v>
      </c>
      <c r="H207" s="6">
        <v>-36558.959999999999</v>
      </c>
      <c r="I207" s="3" t="s">
        <v>19</v>
      </c>
      <c r="J207" s="3" t="s">
        <v>15</v>
      </c>
      <c r="K207" s="3" t="s">
        <v>15</v>
      </c>
      <c r="L207" s="3" t="s">
        <v>153</v>
      </c>
      <c r="M207" s="4">
        <v>46178</v>
      </c>
      <c r="N207" s="3" t="s">
        <v>203</v>
      </c>
      <c r="O207" s="3" t="s">
        <v>23</v>
      </c>
      <c r="P207" t="str">
        <f t="shared" si="3"/>
        <v>450012949240</v>
      </c>
      <c r="Q207" s="7" cm="1">
        <f t="array" ref="Q207:S207">VLOOKUP(P207,Hoja1!C:F,{2,3,4},FALSE)</f>
        <v>46191</v>
      </c>
      <c r="R207" t="str">
        <v>C29</v>
      </c>
      <c r="S207" t="str">
        <v>1000000907 SERVICIOS VIALES DE STA. FE SA</v>
      </c>
      <c r="T207" t="str">
        <f>VLOOKUP(P207,Hoja2!C:D,2,FALSE)</f>
        <v>RPEREZ</v>
      </c>
    </row>
    <row r="208" spans="1:20" x14ac:dyDescent="0.3">
      <c r="A208" s="2" t="s">
        <v>15</v>
      </c>
      <c r="B208" s="3" t="s">
        <v>15</v>
      </c>
      <c r="C208" s="3" t="s">
        <v>202</v>
      </c>
      <c r="D208" s="3" t="s">
        <v>15</v>
      </c>
      <c r="E208" s="3" t="s">
        <v>149</v>
      </c>
      <c r="F208" s="4">
        <v>46178</v>
      </c>
      <c r="G208" s="3" t="s">
        <v>50</v>
      </c>
      <c r="H208" s="6">
        <v>-58196.480000000003</v>
      </c>
      <c r="I208" s="3" t="s">
        <v>19</v>
      </c>
      <c r="J208" s="3" t="s">
        <v>15</v>
      </c>
      <c r="K208" s="3" t="s">
        <v>15</v>
      </c>
      <c r="L208" s="3" t="s">
        <v>153</v>
      </c>
      <c r="M208" s="4">
        <v>46178</v>
      </c>
      <c r="N208" s="3" t="s">
        <v>203</v>
      </c>
      <c r="O208" s="3" t="s">
        <v>55</v>
      </c>
      <c r="P208" t="str">
        <f t="shared" si="3"/>
        <v>450012949250</v>
      </c>
      <c r="Q208" s="7" cm="1">
        <f t="array" ref="Q208:S208">VLOOKUP(P208,Hoja1!C:F,{2,3,4},FALSE)</f>
        <v>46191</v>
      </c>
      <c r="R208" t="str">
        <v>C29</v>
      </c>
      <c r="S208" t="str">
        <v>1000000907 SERVICIOS VIALES DE STA. FE SA</v>
      </c>
      <c r="T208" t="str">
        <f>VLOOKUP(P208,Hoja2!C:D,2,FALSE)</f>
        <v>RPEREZ</v>
      </c>
    </row>
    <row r="209" spans="1:20" x14ac:dyDescent="0.3">
      <c r="A209" s="2" t="s">
        <v>15</v>
      </c>
      <c r="B209" s="3" t="s">
        <v>15</v>
      </c>
      <c r="C209" s="3" t="s">
        <v>202</v>
      </c>
      <c r="D209" s="3" t="s">
        <v>15</v>
      </c>
      <c r="E209" s="3" t="s">
        <v>149</v>
      </c>
      <c r="F209" s="4">
        <v>46178</v>
      </c>
      <c r="G209" s="3" t="s">
        <v>50</v>
      </c>
      <c r="H209" s="6">
        <v>-170708.72</v>
      </c>
      <c r="I209" s="3" t="s">
        <v>19</v>
      </c>
      <c r="J209" s="3" t="s">
        <v>15</v>
      </c>
      <c r="K209" s="3" t="s">
        <v>15</v>
      </c>
      <c r="L209" s="3" t="s">
        <v>153</v>
      </c>
      <c r="M209" s="4">
        <v>46178</v>
      </c>
      <c r="N209" s="3" t="s">
        <v>203</v>
      </c>
      <c r="O209" s="3" t="s">
        <v>80</v>
      </c>
      <c r="P209" t="str">
        <f t="shared" si="3"/>
        <v>450012949260</v>
      </c>
      <c r="Q209" s="7" cm="1">
        <f t="array" ref="Q209:S209">VLOOKUP(P209,Hoja1!C:F,{2,3,4},FALSE)</f>
        <v>46191</v>
      </c>
      <c r="R209" t="str">
        <v>C29</v>
      </c>
      <c r="S209" t="str">
        <v>1000000907 SERVICIOS VIALES DE STA. FE SA</v>
      </c>
      <c r="T209" t="str">
        <f>VLOOKUP(P209,Hoja2!C:D,2,FALSE)</f>
        <v>RPEREZ</v>
      </c>
    </row>
    <row r="210" spans="1:20" x14ac:dyDescent="0.3">
      <c r="A210" s="2" t="s">
        <v>15</v>
      </c>
      <c r="B210" s="3" t="s">
        <v>15</v>
      </c>
      <c r="C210" s="3" t="s">
        <v>202</v>
      </c>
      <c r="D210" s="3" t="s">
        <v>15</v>
      </c>
      <c r="E210" s="3" t="s">
        <v>149</v>
      </c>
      <c r="F210" s="4">
        <v>46178</v>
      </c>
      <c r="G210" s="3" t="s">
        <v>50</v>
      </c>
      <c r="H210" s="6">
        <v>-91862.8</v>
      </c>
      <c r="I210" s="3" t="s">
        <v>19</v>
      </c>
      <c r="J210" s="3" t="s">
        <v>15</v>
      </c>
      <c r="K210" s="3" t="s">
        <v>15</v>
      </c>
      <c r="L210" s="3" t="s">
        <v>153</v>
      </c>
      <c r="M210" s="4">
        <v>46178</v>
      </c>
      <c r="N210" s="3" t="s">
        <v>203</v>
      </c>
      <c r="O210" s="3" t="s">
        <v>81</v>
      </c>
      <c r="P210" t="str">
        <f t="shared" si="3"/>
        <v>450012949270</v>
      </c>
      <c r="Q210" s="7" cm="1">
        <f t="array" ref="Q210:S210">VLOOKUP(P210,Hoja1!C:F,{2,3,4},FALSE)</f>
        <v>46191</v>
      </c>
      <c r="R210" t="str">
        <v>C29</v>
      </c>
      <c r="S210" t="str">
        <v>1000000907 SERVICIOS VIALES DE STA. FE SA</v>
      </c>
      <c r="T210" t="str">
        <f>VLOOKUP(P210,Hoja2!C:D,2,FALSE)</f>
        <v>RPEREZ</v>
      </c>
    </row>
    <row r="211" spans="1:20" x14ac:dyDescent="0.3">
      <c r="A211" s="2" t="s">
        <v>15</v>
      </c>
      <c r="B211" s="3" t="s">
        <v>15</v>
      </c>
      <c r="C211" s="3" t="s">
        <v>204</v>
      </c>
      <c r="D211" s="3" t="s">
        <v>15</v>
      </c>
      <c r="E211" s="3" t="s">
        <v>149</v>
      </c>
      <c r="F211" s="4">
        <v>46191</v>
      </c>
      <c r="G211" s="3" t="s">
        <v>50</v>
      </c>
      <c r="H211" s="6">
        <v>-676906.38</v>
      </c>
      <c r="I211" s="3" t="s">
        <v>19</v>
      </c>
      <c r="J211" s="3" t="s">
        <v>15</v>
      </c>
      <c r="K211" s="3" t="s">
        <v>15</v>
      </c>
      <c r="L211" s="3" t="s">
        <v>158</v>
      </c>
      <c r="M211" s="4">
        <v>46191</v>
      </c>
      <c r="N211" s="3" t="s">
        <v>205</v>
      </c>
      <c r="O211" s="3" t="s">
        <v>32</v>
      </c>
      <c r="P211" t="str">
        <f t="shared" si="3"/>
        <v>450012974210</v>
      </c>
      <c r="Q211" s="7" cm="1">
        <f t="array" ref="Q211:S211">VLOOKUP(P211,Hoja1!C:F,{2,3,4},FALSE)</f>
        <v>46183</v>
      </c>
      <c r="R211" t="str">
        <v>C35</v>
      </c>
      <c r="S211" t="str">
        <v>1000008375 PUSSETTO SALTA S A</v>
      </c>
      <c r="T211" t="str">
        <f>VLOOKUP(P211,Hoja2!C:D,2,FALSE)</f>
        <v>FSOTO</v>
      </c>
    </row>
    <row r="212" spans="1:20" x14ac:dyDescent="0.3">
      <c r="A212" s="2" t="s">
        <v>15</v>
      </c>
      <c r="B212" s="3" t="s">
        <v>15</v>
      </c>
      <c r="C212" s="3" t="s">
        <v>206</v>
      </c>
      <c r="D212" s="3" t="s">
        <v>15</v>
      </c>
      <c r="E212" s="3" t="s">
        <v>149</v>
      </c>
      <c r="F212" s="4">
        <v>46193</v>
      </c>
      <c r="G212" s="3" t="s">
        <v>50</v>
      </c>
      <c r="H212" s="6">
        <v>-676906.37</v>
      </c>
      <c r="I212" s="3" t="s">
        <v>19</v>
      </c>
      <c r="J212" s="3" t="s">
        <v>15</v>
      </c>
      <c r="K212" s="3" t="s">
        <v>15</v>
      </c>
      <c r="L212" s="3" t="s">
        <v>158</v>
      </c>
      <c r="M212" s="4">
        <v>46193</v>
      </c>
      <c r="N212" s="3" t="s">
        <v>207</v>
      </c>
      <c r="O212" s="3" t="s">
        <v>28</v>
      </c>
      <c r="P212" t="str">
        <f t="shared" si="3"/>
        <v>450013030420</v>
      </c>
      <c r="Q212" s="7" cm="1">
        <f t="array" ref="Q212:S212">VLOOKUP(P212,Hoja1!C:F,{2,3,4},FALSE)</f>
        <v>46191</v>
      </c>
      <c r="R212" t="str">
        <v>C35</v>
      </c>
      <c r="S212" t="str">
        <v>1000008375 PUSSETTO SALTA S A</v>
      </c>
      <c r="T212" t="str">
        <f>VLOOKUP(P212,Hoja2!C:D,2,FALSE)</f>
        <v>FSOTO</v>
      </c>
    </row>
    <row r="213" spans="1:20" x14ac:dyDescent="0.3">
      <c r="A213" s="2" t="s">
        <v>15</v>
      </c>
      <c r="B213" s="3" t="s">
        <v>15</v>
      </c>
      <c r="C213" s="3" t="s">
        <v>208</v>
      </c>
      <c r="D213" s="3" t="s">
        <v>15</v>
      </c>
      <c r="E213" s="3" t="s">
        <v>149</v>
      </c>
      <c r="F213" s="4">
        <v>46193</v>
      </c>
      <c r="G213" s="3" t="s">
        <v>50</v>
      </c>
      <c r="H213" s="6">
        <v>-179824.08</v>
      </c>
      <c r="I213" s="3" t="s">
        <v>19</v>
      </c>
      <c r="J213" s="3" t="s">
        <v>15</v>
      </c>
      <c r="K213" s="3" t="s">
        <v>15</v>
      </c>
      <c r="L213" s="3" t="s">
        <v>158</v>
      </c>
      <c r="M213" s="4">
        <v>46193</v>
      </c>
      <c r="N213" s="3" t="s">
        <v>209</v>
      </c>
      <c r="O213" s="3" t="s">
        <v>28</v>
      </c>
      <c r="P213" t="str">
        <f t="shared" si="3"/>
        <v>450012974120</v>
      </c>
      <c r="Q213" s="7" cm="1">
        <f t="array" ref="Q213:S213">VLOOKUP(P213,Hoja1!C:F,{2,3,4},FALSE)</f>
        <v>46183</v>
      </c>
      <c r="R213" t="str">
        <v>C35</v>
      </c>
      <c r="S213" t="str">
        <v>1000008375 PUSSETTO SALTA S A</v>
      </c>
      <c r="T213" t="str">
        <f>VLOOKUP(P213,Hoja2!C:D,2,FALSE)</f>
        <v>FSOTO</v>
      </c>
    </row>
    <row r="214" spans="1:20" x14ac:dyDescent="0.3">
      <c r="A214" s="2" t="s">
        <v>15</v>
      </c>
      <c r="B214" s="3" t="s">
        <v>15</v>
      </c>
      <c r="C214" s="3" t="s">
        <v>210</v>
      </c>
      <c r="D214" s="3" t="s">
        <v>25</v>
      </c>
      <c r="E214" s="3" t="s">
        <v>149</v>
      </c>
      <c r="F214" s="4">
        <v>46195</v>
      </c>
      <c r="G214" s="3" t="s">
        <v>50</v>
      </c>
      <c r="H214" s="6">
        <v>-2500000</v>
      </c>
      <c r="I214" s="3" t="s">
        <v>19</v>
      </c>
      <c r="J214" s="3" t="s">
        <v>15</v>
      </c>
      <c r="K214" s="3" t="s">
        <v>15</v>
      </c>
      <c r="L214" s="3" t="s">
        <v>211</v>
      </c>
      <c r="M214" s="4">
        <v>46195</v>
      </c>
      <c r="N214" s="3" t="s">
        <v>212</v>
      </c>
      <c r="O214" s="3" t="s">
        <v>32</v>
      </c>
      <c r="P214" t="str">
        <f t="shared" si="3"/>
        <v>450012276610</v>
      </c>
      <c r="Q214" s="7" cm="1">
        <f t="array" ref="Q214:S214">VLOOKUP(P214,Hoja1!C:F,{2,3,4},FALSE)</f>
        <v>46203</v>
      </c>
      <c r="R214" t="str">
        <v>C23</v>
      </c>
      <c r="S214" t="str">
        <v>1000012779 Sara Mabel Mendoza</v>
      </c>
      <c r="T214" t="str">
        <f>VLOOKUP(P214,Hoja2!C:D,2,FALSE)</f>
        <v>JESPARZA</v>
      </c>
    </row>
    <row r="215" spans="1:20" x14ac:dyDescent="0.3">
      <c r="A215" s="2" t="s">
        <v>15</v>
      </c>
      <c r="B215" s="3" t="s">
        <v>15</v>
      </c>
      <c r="C215" s="3" t="s">
        <v>213</v>
      </c>
      <c r="D215" s="3" t="s">
        <v>15</v>
      </c>
      <c r="E215" s="3" t="s">
        <v>149</v>
      </c>
      <c r="F215" s="4">
        <v>46195</v>
      </c>
      <c r="G215" s="3" t="s">
        <v>50</v>
      </c>
      <c r="H215" s="6">
        <v>-1271572.9099999999</v>
      </c>
      <c r="I215" s="3" t="s">
        <v>19</v>
      </c>
      <c r="J215" s="3" t="s">
        <v>15</v>
      </c>
      <c r="K215" s="3" t="s">
        <v>15</v>
      </c>
      <c r="L215" s="3" t="s">
        <v>158</v>
      </c>
      <c r="M215" s="4">
        <v>46195</v>
      </c>
      <c r="N215" s="3" t="s">
        <v>209</v>
      </c>
      <c r="O215" s="3" t="s">
        <v>54</v>
      </c>
      <c r="P215" t="str">
        <f t="shared" si="3"/>
        <v>450012974130</v>
      </c>
      <c r="Q215" s="7" cm="1">
        <f t="array" ref="Q215:S215">VLOOKUP(P215,Hoja1!C:F,{2,3,4},FALSE)</f>
        <v>46183</v>
      </c>
      <c r="R215" t="str">
        <v>C35</v>
      </c>
      <c r="S215" t="str">
        <v>1000008375 PUSSETTO SALTA S A</v>
      </c>
      <c r="T215" t="str">
        <f>VLOOKUP(P215,Hoja2!C:D,2,FALSE)</f>
        <v>FSOTO</v>
      </c>
    </row>
    <row r="216" spans="1:20" x14ac:dyDescent="0.3">
      <c r="A216" s="2" t="s">
        <v>15</v>
      </c>
      <c r="B216" s="3" t="s">
        <v>15</v>
      </c>
      <c r="C216" s="3" t="s">
        <v>214</v>
      </c>
      <c r="D216" s="3" t="s">
        <v>15</v>
      </c>
      <c r="E216" s="3" t="s">
        <v>149</v>
      </c>
      <c r="F216" s="4">
        <v>46195</v>
      </c>
      <c r="G216" s="3" t="s">
        <v>50</v>
      </c>
      <c r="H216" s="6">
        <v>-17369.61</v>
      </c>
      <c r="I216" s="3" t="s">
        <v>19</v>
      </c>
      <c r="J216" s="3" t="s">
        <v>15</v>
      </c>
      <c r="K216" s="3" t="s">
        <v>15</v>
      </c>
      <c r="L216" s="3" t="s">
        <v>46</v>
      </c>
      <c r="M216" s="4">
        <v>46198</v>
      </c>
      <c r="N216" s="3" t="s">
        <v>215</v>
      </c>
      <c r="O216" s="3" t="s">
        <v>32</v>
      </c>
      <c r="P216" t="str">
        <f t="shared" si="3"/>
        <v>450012705710</v>
      </c>
      <c r="Q216" s="7" cm="1">
        <f t="array" ref="Q216:S216">VLOOKUP(P216,Hoja1!C:F,{2,3,4},FALSE)</f>
        <v>46203</v>
      </c>
      <c r="R216" t="str">
        <v>C29</v>
      </c>
      <c r="S216" t="str">
        <v>1000000572 GRUAS SAN BLAS S.A</v>
      </c>
      <c r="T216" t="str">
        <f>VLOOKUP(P216,Hoja2!C:D,2,FALSE)</f>
        <v>RPEREZ</v>
      </c>
    </row>
    <row r="217" spans="1:20" x14ac:dyDescent="0.3">
      <c r="A217" s="2" t="s">
        <v>15</v>
      </c>
      <c r="B217" s="3" t="s">
        <v>15</v>
      </c>
      <c r="C217" s="3" t="s">
        <v>216</v>
      </c>
      <c r="D217" s="3" t="s">
        <v>15</v>
      </c>
      <c r="E217" s="3" t="s">
        <v>149</v>
      </c>
      <c r="F217" s="4">
        <v>46197</v>
      </c>
      <c r="G217" s="3" t="s">
        <v>50</v>
      </c>
      <c r="H217" s="6">
        <v>-51301.9</v>
      </c>
      <c r="I217" s="3" t="s">
        <v>19</v>
      </c>
      <c r="J217" s="3" t="s">
        <v>15</v>
      </c>
      <c r="K217" s="3" t="s">
        <v>15</v>
      </c>
      <c r="L217" s="3" t="s">
        <v>217</v>
      </c>
      <c r="M217" s="4">
        <v>46199</v>
      </c>
      <c r="N217" s="3" t="s">
        <v>218</v>
      </c>
      <c r="O217" s="3" t="s">
        <v>32</v>
      </c>
      <c r="P217" t="str">
        <f t="shared" si="3"/>
        <v>450013086810</v>
      </c>
      <c r="Q217" s="7" cm="1">
        <f t="array" ref="Q217:S217">VLOOKUP(P217,Hoja1!C:F,{2,3,4},FALSE)</f>
        <v>46202</v>
      </c>
      <c r="R217" t="str">
        <v>C29</v>
      </c>
      <c r="S217" t="str">
        <v>1000000012 IGARRETA MAQUINAS S.A.</v>
      </c>
      <c r="T217" t="str">
        <f>VLOOKUP(P217,Hoja2!C:D,2,FALSE)</f>
        <v>RPEREZ</v>
      </c>
    </row>
    <row r="218" spans="1:20" x14ac:dyDescent="0.3">
      <c r="A218" s="2" t="s">
        <v>15</v>
      </c>
      <c r="B218" s="3" t="s">
        <v>15</v>
      </c>
      <c r="C218" s="3" t="s">
        <v>219</v>
      </c>
      <c r="D218" s="3" t="s">
        <v>15</v>
      </c>
      <c r="E218" s="3" t="s">
        <v>149</v>
      </c>
      <c r="F218" s="4">
        <v>46203</v>
      </c>
      <c r="G218" s="3" t="s">
        <v>50</v>
      </c>
      <c r="H218" s="6">
        <v>-40272.36</v>
      </c>
      <c r="I218" s="3" t="s">
        <v>19</v>
      </c>
      <c r="J218" s="3" t="s">
        <v>15</v>
      </c>
      <c r="K218" s="3" t="s">
        <v>15</v>
      </c>
      <c r="L218" s="3" t="s">
        <v>158</v>
      </c>
      <c r="M218" s="4">
        <v>46203</v>
      </c>
      <c r="N218" s="3" t="s">
        <v>220</v>
      </c>
      <c r="O218" s="3" t="s">
        <v>32</v>
      </c>
      <c r="P218" t="str">
        <f t="shared" si="3"/>
        <v>450013155110</v>
      </c>
      <c r="Q218" s="7" cm="1">
        <f t="array" ref="Q218:S218">VLOOKUP(P218,Hoja1!C:F,{2,3,4},FALSE)</f>
        <v>46205</v>
      </c>
      <c r="R218" t="str">
        <v>AGV</v>
      </c>
      <c r="S218" t="str">
        <v>1000008375 PUSSETTO SALTA S A</v>
      </c>
      <c r="T218" t="str">
        <f>VLOOKUP(P218,Hoja2!C:D,2,FALSE)</f>
        <v>ILAHORGUE</v>
      </c>
    </row>
    <row r="219" spans="1:20" x14ac:dyDescent="0.3">
      <c r="A219" s="2" t="s">
        <v>15</v>
      </c>
      <c r="B219" s="3" t="s">
        <v>15</v>
      </c>
      <c r="C219" s="3" t="s">
        <v>221</v>
      </c>
      <c r="D219" s="3" t="s">
        <v>25</v>
      </c>
      <c r="E219" s="3" t="s">
        <v>149</v>
      </c>
      <c r="F219" s="4">
        <v>46203</v>
      </c>
      <c r="G219" s="3" t="s">
        <v>50</v>
      </c>
      <c r="H219" s="6">
        <v>-130537.26</v>
      </c>
      <c r="I219" s="3" t="s">
        <v>19</v>
      </c>
      <c r="J219" s="3" t="s">
        <v>15</v>
      </c>
      <c r="K219" s="3" t="s">
        <v>15</v>
      </c>
      <c r="L219" s="3" t="s">
        <v>30</v>
      </c>
      <c r="M219" s="4">
        <v>46203</v>
      </c>
      <c r="N219" s="3" t="s">
        <v>222</v>
      </c>
      <c r="O219" s="3" t="s">
        <v>54</v>
      </c>
      <c r="P219" t="str">
        <f t="shared" si="3"/>
        <v>450013012530</v>
      </c>
      <c r="Q219" s="7" cm="1">
        <f t="array" ref="Q219:S219">VLOOKUP(P219,Hoja1!C:F,{2,3,4},FALSE)</f>
        <v>46188</v>
      </c>
      <c r="R219" t="str">
        <v>C35</v>
      </c>
      <c r="S219" t="str">
        <v>1000003545 SCANIA ARGENTINA S A</v>
      </c>
      <c r="T219" t="str">
        <f>VLOOKUP(P219,Hoja2!C:D,2,FALSE)</f>
        <v>FSOTO</v>
      </c>
    </row>
    <row r="220" spans="1:20" x14ac:dyDescent="0.3">
      <c r="A220" s="2" t="s">
        <v>15</v>
      </c>
      <c r="B220" s="3" t="s">
        <v>15</v>
      </c>
      <c r="C220" s="3" t="s">
        <v>223</v>
      </c>
      <c r="D220" s="3" t="s">
        <v>15</v>
      </c>
      <c r="E220" s="3" t="s">
        <v>149</v>
      </c>
      <c r="F220" s="4">
        <v>46203</v>
      </c>
      <c r="G220" s="3" t="s">
        <v>50</v>
      </c>
      <c r="H220" s="6">
        <v>-67891.13</v>
      </c>
      <c r="I220" s="3" t="s">
        <v>19</v>
      </c>
      <c r="J220" s="3" t="s">
        <v>15</v>
      </c>
      <c r="K220" s="3" t="s">
        <v>15</v>
      </c>
      <c r="L220" s="3" t="s">
        <v>224</v>
      </c>
      <c r="M220" s="4">
        <v>46204</v>
      </c>
      <c r="N220" s="3" t="s">
        <v>225</v>
      </c>
      <c r="O220" s="3" t="s">
        <v>226</v>
      </c>
      <c r="P220" t="str">
        <f t="shared" si="3"/>
        <v>45001308791060</v>
      </c>
      <c r="Q220" s="7" cm="1">
        <f t="array" ref="Q220:S220">VLOOKUP(P220,Hoja1!C:F,{2,3,4},FALSE)</f>
        <v>46211</v>
      </c>
      <c r="R220" t="str">
        <v>AGV</v>
      </c>
      <c r="S220" t="str">
        <v>1000007668 TADEMAQ EQUIPOS PESADOS S.R.L.</v>
      </c>
      <c r="T220" t="str">
        <f>VLOOKUP(P220,Hoja2!C:D,2,FALSE)</f>
        <v>ILAHORGUE</v>
      </c>
    </row>
    <row r="221" spans="1:20" x14ac:dyDescent="0.3">
      <c r="A221" s="2" t="s">
        <v>15</v>
      </c>
      <c r="B221" s="3" t="s">
        <v>15</v>
      </c>
      <c r="C221" s="3" t="s">
        <v>223</v>
      </c>
      <c r="D221" s="3" t="s">
        <v>15</v>
      </c>
      <c r="E221" s="3" t="s">
        <v>149</v>
      </c>
      <c r="F221" s="4">
        <v>46203</v>
      </c>
      <c r="G221" s="3" t="s">
        <v>50</v>
      </c>
      <c r="H221" s="6">
        <v>-67891.13</v>
      </c>
      <c r="I221" s="3" t="s">
        <v>19</v>
      </c>
      <c r="J221" s="3" t="s">
        <v>15</v>
      </c>
      <c r="K221" s="3" t="s">
        <v>15</v>
      </c>
      <c r="L221" s="3" t="s">
        <v>224</v>
      </c>
      <c r="M221" s="4">
        <v>46204</v>
      </c>
      <c r="N221" s="3" t="s">
        <v>225</v>
      </c>
      <c r="O221" s="3" t="s">
        <v>227</v>
      </c>
      <c r="P221" t="str">
        <f t="shared" si="3"/>
        <v>45001308791260</v>
      </c>
      <c r="Q221" s="7" cm="1">
        <f t="array" ref="Q221:S221">VLOOKUP(P221,Hoja1!C:F,{2,3,4},FALSE)</f>
        <v>46211</v>
      </c>
      <c r="R221" t="str">
        <v>AGV</v>
      </c>
      <c r="S221" t="str">
        <v>1000007668 TADEMAQ EQUIPOS PESADOS S.R.L.</v>
      </c>
      <c r="T221" t="str">
        <f>VLOOKUP(P221,Hoja2!C:D,2,FALSE)</f>
        <v>ILAHORGUE</v>
      </c>
    </row>
    <row r="222" spans="1:20" x14ac:dyDescent="0.3">
      <c r="A222" s="2" t="s">
        <v>15</v>
      </c>
      <c r="B222" s="3" t="s">
        <v>15</v>
      </c>
      <c r="C222" s="3" t="s">
        <v>228</v>
      </c>
      <c r="D222" s="3" t="s">
        <v>15</v>
      </c>
      <c r="E222" s="3" t="s">
        <v>149</v>
      </c>
      <c r="F222" s="4">
        <v>46206</v>
      </c>
      <c r="G222" s="3" t="s">
        <v>50</v>
      </c>
      <c r="H222" s="6">
        <v>-99174</v>
      </c>
      <c r="I222" s="3" t="s">
        <v>19</v>
      </c>
      <c r="J222" s="3" t="s">
        <v>15</v>
      </c>
      <c r="K222" s="3" t="s">
        <v>15</v>
      </c>
      <c r="L222" s="3" t="s">
        <v>112</v>
      </c>
      <c r="M222" s="4">
        <v>46206</v>
      </c>
      <c r="N222" s="3" t="s">
        <v>229</v>
      </c>
      <c r="O222" s="3" t="s">
        <v>28</v>
      </c>
      <c r="P222" t="str">
        <f t="shared" si="3"/>
        <v>450013144020</v>
      </c>
      <c r="Q222" s="7" cm="1">
        <f t="array" ref="Q222:S222">VLOOKUP(P222,Hoja1!C:F,{2,3,4},FALSE)</f>
        <v>46208</v>
      </c>
      <c r="R222" t="str">
        <v>C27</v>
      </c>
      <c r="S222" t="str">
        <v>1000010025 RAMOS MARIO SEBASTIAN</v>
      </c>
      <c r="T222" t="str">
        <f>VLOOKUP(P222,Hoja2!C:D,2,FALSE)</f>
        <v>MALVAREZ</v>
      </c>
    </row>
    <row r="223" spans="1:20" x14ac:dyDescent="0.3">
      <c r="A223" s="2" t="s">
        <v>15</v>
      </c>
      <c r="B223" s="3" t="s">
        <v>15</v>
      </c>
      <c r="C223" s="3" t="s">
        <v>228</v>
      </c>
      <c r="D223" s="3" t="s">
        <v>15</v>
      </c>
      <c r="E223" s="3" t="s">
        <v>149</v>
      </c>
      <c r="F223" s="4">
        <v>46206</v>
      </c>
      <c r="G223" s="3" t="s">
        <v>50</v>
      </c>
      <c r="H223" s="6">
        <v>-82645</v>
      </c>
      <c r="I223" s="3" t="s">
        <v>19</v>
      </c>
      <c r="J223" s="3" t="s">
        <v>15</v>
      </c>
      <c r="K223" s="3" t="s">
        <v>15</v>
      </c>
      <c r="L223" s="3" t="s">
        <v>112</v>
      </c>
      <c r="M223" s="4">
        <v>46206</v>
      </c>
      <c r="N223" s="3" t="s">
        <v>229</v>
      </c>
      <c r="O223" s="3" t="s">
        <v>54</v>
      </c>
      <c r="P223" t="str">
        <f t="shared" si="3"/>
        <v>450013144030</v>
      </c>
      <c r="Q223" s="7" cm="1">
        <f t="array" ref="Q223:S223">VLOOKUP(P223,Hoja1!C:F,{2,3,4},FALSE)</f>
        <v>46208</v>
      </c>
      <c r="R223" t="str">
        <v>C27</v>
      </c>
      <c r="S223" t="str">
        <v>1000010025 RAMOS MARIO SEBASTIAN</v>
      </c>
      <c r="T223" t="str">
        <f>VLOOKUP(P223,Hoja2!C:D,2,FALSE)</f>
        <v>MALVAREZ</v>
      </c>
    </row>
    <row r="224" spans="1:20" x14ac:dyDescent="0.3">
      <c r="A224" s="2" t="s">
        <v>15</v>
      </c>
      <c r="B224" s="3" t="s">
        <v>15</v>
      </c>
      <c r="C224" s="3" t="s">
        <v>228</v>
      </c>
      <c r="D224" s="3" t="s">
        <v>15</v>
      </c>
      <c r="E224" s="3" t="s">
        <v>149</v>
      </c>
      <c r="F224" s="4">
        <v>46206</v>
      </c>
      <c r="G224" s="3" t="s">
        <v>50</v>
      </c>
      <c r="H224" s="6">
        <v>-181818</v>
      </c>
      <c r="I224" s="3" t="s">
        <v>19</v>
      </c>
      <c r="J224" s="3" t="s">
        <v>15</v>
      </c>
      <c r="K224" s="3" t="s">
        <v>15</v>
      </c>
      <c r="L224" s="3" t="s">
        <v>112</v>
      </c>
      <c r="M224" s="4">
        <v>46206</v>
      </c>
      <c r="N224" s="3" t="s">
        <v>229</v>
      </c>
      <c r="O224" s="3" t="s">
        <v>23</v>
      </c>
      <c r="P224" t="str">
        <f t="shared" si="3"/>
        <v>450013144040</v>
      </c>
      <c r="Q224" s="7" cm="1">
        <f t="array" ref="Q224:S224">VLOOKUP(P224,Hoja1!C:F,{2,3,4},FALSE)</f>
        <v>46208</v>
      </c>
      <c r="R224" t="str">
        <v>C27</v>
      </c>
      <c r="S224" t="str">
        <v>1000010025 RAMOS MARIO SEBASTIAN</v>
      </c>
      <c r="T224" t="str">
        <f>VLOOKUP(P224,Hoja2!C:D,2,FALSE)</f>
        <v>MALVAREZ</v>
      </c>
    </row>
    <row r="225" spans="1:20" x14ac:dyDescent="0.3">
      <c r="A225" s="2" t="s">
        <v>15</v>
      </c>
      <c r="B225" s="3" t="s">
        <v>15</v>
      </c>
      <c r="C225" s="3" t="s">
        <v>228</v>
      </c>
      <c r="D225" s="3" t="s">
        <v>25</v>
      </c>
      <c r="E225" s="3" t="s">
        <v>149</v>
      </c>
      <c r="F225" s="4">
        <v>46206</v>
      </c>
      <c r="G225" s="3" t="s">
        <v>50</v>
      </c>
      <c r="H225" s="6">
        <v>-289256.2</v>
      </c>
      <c r="I225" s="3" t="s">
        <v>19</v>
      </c>
      <c r="J225" s="3" t="s">
        <v>15</v>
      </c>
      <c r="K225" s="3" t="s">
        <v>15</v>
      </c>
      <c r="L225" s="3" t="s">
        <v>112</v>
      </c>
      <c r="M225" s="4">
        <v>46206</v>
      </c>
      <c r="N225" s="3" t="s">
        <v>229</v>
      </c>
      <c r="O225" s="3" t="s">
        <v>55</v>
      </c>
      <c r="P225" t="str">
        <f t="shared" si="3"/>
        <v>450013144050</v>
      </c>
      <c r="Q225" s="7" cm="1">
        <f t="array" ref="Q225:S225">VLOOKUP(P225,Hoja1!C:F,{2,3,4},FALSE)</f>
        <v>46208</v>
      </c>
      <c r="R225" t="str">
        <v>C27</v>
      </c>
      <c r="S225" t="str">
        <v>1000010025 RAMOS MARIO SEBASTIAN</v>
      </c>
      <c r="T225" t="str">
        <f>VLOOKUP(P225,Hoja2!C:D,2,FALSE)</f>
        <v>MALVAREZ</v>
      </c>
    </row>
    <row r="226" spans="1:20" x14ac:dyDescent="0.3">
      <c r="A226" s="2" t="s">
        <v>15</v>
      </c>
      <c r="B226" s="3" t="s">
        <v>15</v>
      </c>
      <c r="C226" s="3" t="s">
        <v>230</v>
      </c>
      <c r="D226" s="3" t="s">
        <v>25</v>
      </c>
      <c r="E226" s="3" t="s">
        <v>149</v>
      </c>
      <c r="F226" s="4">
        <v>46210</v>
      </c>
      <c r="G226" s="3" t="s">
        <v>50</v>
      </c>
      <c r="H226" s="6">
        <v>-330158.09000000003</v>
      </c>
      <c r="I226" s="3" t="s">
        <v>19</v>
      </c>
      <c r="J226" s="3" t="s">
        <v>15</v>
      </c>
      <c r="K226" s="3" t="s">
        <v>15</v>
      </c>
      <c r="L226" s="3" t="s">
        <v>158</v>
      </c>
      <c r="M226" s="4">
        <v>46210</v>
      </c>
      <c r="N226" s="3" t="s">
        <v>231</v>
      </c>
      <c r="O226" s="3" t="s">
        <v>32</v>
      </c>
      <c r="P226" t="str">
        <f t="shared" si="3"/>
        <v>450013128010</v>
      </c>
      <c r="Q226" s="7" cm="1">
        <f t="array" ref="Q226:S226">VLOOKUP(P226,Hoja1!C:F,{2,3,4},FALSE)</f>
        <v>46213</v>
      </c>
      <c r="R226" t="str">
        <v>C03</v>
      </c>
      <c r="S226" t="str">
        <v>1000008375 PUSSETTO SALTA S A</v>
      </c>
      <c r="T226" t="str">
        <f>VLOOKUP(P226,Hoja2!C:D,2,FALSE)</f>
        <v>GROSES</v>
      </c>
    </row>
    <row r="227" spans="1:20" x14ac:dyDescent="0.3">
      <c r="A227" s="2" t="s">
        <v>15</v>
      </c>
      <c r="B227" s="3" t="s">
        <v>15</v>
      </c>
      <c r="C227" s="3" t="s">
        <v>230</v>
      </c>
      <c r="D227" s="3" t="s">
        <v>25</v>
      </c>
      <c r="E227" s="3" t="s">
        <v>149</v>
      </c>
      <c r="F227" s="4">
        <v>46210</v>
      </c>
      <c r="G227" s="3" t="s">
        <v>50</v>
      </c>
      <c r="H227" s="6">
        <v>-99173.55</v>
      </c>
      <c r="I227" s="3" t="s">
        <v>19</v>
      </c>
      <c r="J227" s="3" t="s">
        <v>15</v>
      </c>
      <c r="K227" s="3" t="s">
        <v>15</v>
      </c>
      <c r="L227" s="3" t="s">
        <v>158</v>
      </c>
      <c r="M227" s="4">
        <v>46210</v>
      </c>
      <c r="N227" s="3" t="s">
        <v>231</v>
      </c>
      <c r="O227" s="3" t="s">
        <v>28</v>
      </c>
      <c r="P227" t="str">
        <f t="shared" si="3"/>
        <v>450013128020</v>
      </c>
      <c r="Q227" s="7" cm="1">
        <f t="array" ref="Q227:S227">VLOOKUP(P227,Hoja1!C:F,{2,3,4},FALSE)</f>
        <v>46213</v>
      </c>
      <c r="R227" t="str">
        <v>C03</v>
      </c>
      <c r="S227" t="str">
        <v>1000008375 PUSSETTO SALTA S A</v>
      </c>
      <c r="T227" t="str">
        <f>VLOOKUP(P227,Hoja2!C:D,2,FALSE)</f>
        <v>GROSES</v>
      </c>
    </row>
    <row r="228" spans="1:20" x14ac:dyDescent="0.3">
      <c r="A228" s="2" t="s">
        <v>15</v>
      </c>
      <c r="B228" s="3" t="s">
        <v>15</v>
      </c>
      <c r="C228" s="3" t="s">
        <v>232</v>
      </c>
      <c r="D228" s="3" t="s">
        <v>25</v>
      </c>
      <c r="E228" s="3" t="s">
        <v>149</v>
      </c>
      <c r="F228" s="4">
        <v>46213</v>
      </c>
      <c r="G228" s="3" t="s">
        <v>50</v>
      </c>
      <c r="H228" s="6">
        <v>-175053</v>
      </c>
      <c r="I228" s="3" t="s">
        <v>19</v>
      </c>
      <c r="J228" s="3" t="s">
        <v>15</v>
      </c>
      <c r="K228" s="3" t="s">
        <v>15</v>
      </c>
      <c r="L228" s="3" t="s">
        <v>233</v>
      </c>
      <c r="M228" s="4">
        <v>46214</v>
      </c>
      <c r="N228" s="3" t="s">
        <v>234</v>
      </c>
      <c r="O228" s="3" t="s">
        <v>32</v>
      </c>
      <c r="P228" t="str">
        <f t="shared" si="3"/>
        <v>450013137110</v>
      </c>
      <c r="Q228" s="7" cm="1">
        <f t="array" ref="Q228:S228">VLOOKUP(P228,Hoja1!C:F,{2,3,4},FALSE)</f>
        <v>46206</v>
      </c>
      <c r="R228" t="str">
        <v>C27</v>
      </c>
      <c r="S228" t="str">
        <v>1000000418 HILTI ARGENTINA SRL</v>
      </c>
      <c r="T228" t="str">
        <f>VLOOKUP(P228,Hoja2!C:D,2,FALSE)</f>
        <v>PRODRIGUEZ</v>
      </c>
    </row>
    <row r="229" spans="1:20" x14ac:dyDescent="0.3">
      <c r="A229" s="2" t="s">
        <v>15</v>
      </c>
      <c r="B229" s="3" t="s">
        <v>15</v>
      </c>
      <c r="C229" s="3" t="s">
        <v>232</v>
      </c>
      <c r="D229" s="3" t="s">
        <v>25</v>
      </c>
      <c r="E229" s="3" t="s">
        <v>149</v>
      </c>
      <c r="F229" s="4">
        <v>46213</v>
      </c>
      <c r="G229" s="3" t="s">
        <v>50</v>
      </c>
      <c r="H229" s="6">
        <v>-184814.43</v>
      </c>
      <c r="I229" s="3" t="s">
        <v>19</v>
      </c>
      <c r="J229" s="3" t="s">
        <v>15</v>
      </c>
      <c r="K229" s="3" t="s">
        <v>15</v>
      </c>
      <c r="L229" s="3" t="s">
        <v>233</v>
      </c>
      <c r="M229" s="4">
        <v>46214</v>
      </c>
      <c r="N229" s="3" t="s">
        <v>234</v>
      </c>
      <c r="O229" s="3" t="s">
        <v>28</v>
      </c>
      <c r="P229" t="str">
        <f t="shared" si="3"/>
        <v>450013137120</v>
      </c>
      <c r="Q229" s="7" cm="1">
        <f t="array" ref="Q229:S229">VLOOKUP(P229,Hoja1!C:F,{2,3,4},FALSE)</f>
        <v>46206</v>
      </c>
      <c r="R229" t="str">
        <v>C27</v>
      </c>
      <c r="S229" t="str">
        <v>1000000418 HILTI ARGENTINA SRL</v>
      </c>
      <c r="T229" t="str">
        <f>VLOOKUP(P229,Hoja2!C:D,2,FALSE)</f>
        <v>PRODRIGUEZ</v>
      </c>
    </row>
    <row r="230" spans="1:20" x14ac:dyDescent="0.3">
      <c r="A230" s="2" t="s">
        <v>15</v>
      </c>
      <c r="B230" s="3" t="s">
        <v>15</v>
      </c>
      <c r="C230" s="3" t="s">
        <v>235</v>
      </c>
      <c r="D230" s="3" t="s">
        <v>15</v>
      </c>
      <c r="E230" s="3" t="s">
        <v>149</v>
      </c>
      <c r="F230" s="4">
        <v>46214</v>
      </c>
      <c r="G230" s="3" t="s">
        <v>50</v>
      </c>
      <c r="H230" s="6">
        <v>-128649.12</v>
      </c>
      <c r="I230" s="3" t="s">
        <v>19</v>
      </c>
      <c r="J230" s="3" t="s">
        <v>15</v>
      </c>
      <c r="K230" s="3" t="s">
        <v>15</v>
      </c>
      <c r="L230" s="3" t="s">
        <v>224</v>
      </c>
      <c r="M230" s="4">
        <v>46214</v>
      </c>
      <c r="N230" s="3" t="s">
        <v>236</v>
      </c>
      <c r="O230" s="3" t="s">
        <v>237</v>
      </c>
      <c r="P230" t="str">
        <f t="shared" si="3"/>
        <v>4500132453600</v>
      </c>
      <c r="Q230" s="7" cm="1">
        <f t="array" ref="Q230:S230">VLOOKUP(P230,Hoja1!C:F,{2,3,4},FALSE)</f>
        <v>46235</v>
      </c>
      <c r="R230" t="str">
        <v>C29</v>
      </c>
      <c r="S230" t="str">
        <v>1000007668 TADEMAQ EQUIPOS PESADOS S.R.L.</v>
      </c>
      <c r="T230" t="str">
        <f>VLOOKUP(P230,Hoja2!C:D,2,FALSE)</f>
        <v>ILAHORGUE</v>
      </c>
    </row>
    <row r="231" spans="1:20" x14ac:dyDescent="0.3">
      <c r="A231" s="2" t="s">
        <v>15</v>
      </c>
      <c r="B231" s="3" t="s">
        <v>15</v>
      </c>
      <c r="C231" s="3" t="s">
        <v>235</v>
      </c>
      <c r="D231" s="3" t="s">
        <v>15</v>
      </c>
      <c r="E231" s="3" t="s">
        <v>149</v>
      </c>
      <c r="F231" s="4">
        <v>46214</v>
      </c>
      <c r="G231" s="3" t="s">
        <v>50</v>
      </c>
      <c r="H231" s="6">
        <v>-80405.7</v>
      </c>
      <c r="I231" s="3" t="s">
        <v>19</v>
      </c>
      <c r="J231" s="3" t="s">
        <v>15</v>
      </c>
      <c r="K231" s="3" t="s">
        <v>15</v>
      </c>
      <c r="L231" s="3" t="s">
        <v>224</v>
      </c>
      <c r="M231" s="4">
        <v>46214</v>
      </c>
      <c r="N231" s="3" t="s">
        <v>236</v>
      </c>
      <c r="O231" s="3" t="s">
        <v>238</v>
      </c>
      <c r="P231" t="str">
        <f t="shared" si="3"/>
        <v>4500132453810</v>
      </c>
      <c r="Q231" s="7" cm="1">
        <f t="array" ref="Q231:S231">VLOOKUP(P231,Hoja1!C:F,{2,3,4},FALSE)</f>
        <v>46232</v>
      </c>
      <c r="R231" t="str">
        <v>C29</v>
      </c>
      <c r="S231" t="str">
        <v>1000007668 TADEMAQ EQUIPOS PESADOS S.R.L.</v>
      </c>
      <c r="T231" t="str">
        <f>VLOOKUP(P231,Hoja2!C:D,2,FALSE)</f>
        <v>ILAHORGUE</v>
      </c>
    </row>
    <row r="232" spans="1:20" x14ac:dyDescent="0.3">
      <c r="A232" s="2" t="s">
        <v>15</v>
      </c>
      <c r="B232" s="3" t="s">
        <v>15</v>
      </c>
      <c r="C232" s="3" t="s">
        <v>235</v>
      </c>
      <c r="D232" s="3" t="s">
        <v>15</v>
      </c>
      <c r="E232" s="3" t="s">
        <v>149</v>
      </c>
      <c r="F232" s="4">
        <v>46214</v>
      </c>
      <c r="G232" s="3" t="s">
        <v>50</v>
      </c>
      <c r="H232" s="6">
        <v>-656967.98</v>
      </c>
      <c r="I232" s="3" t="s">
        <v>19</v>
      </c>
      <c r="J232" s="3" t="s">
        <v>15</v>
      </c>
      <c r="K232" s="3" t="s">
        <v>15</v>
      </c>
      <c r="L232" s="3" t="s">
        <v>224</v>
      </c>
      <c r="M232" s="4">
        <v>46214</v>
      </c>
      <c r="N232" s="3" t="s">
        <v>236</v>
      </c>
      <c r="O232" s="3" t="s">
        <v>239</v>
      </c>
      <c r="P232" t="str">
        <f t="shared" si="3"/>
        <v>4500132453860</v>
      </c>
      <c r="Q232" s="7" cm="1">
        <f t="array" ref="Q232:S232">VLOOKUP(P232,Hoja1!C:F,{2,3,4},FALSE)</f>
        <v>46232</v>
      </c>
      <c r="R232" t="str">
        <v>C29</v>
      </c>
      <c r="S232" t="str">
        <v>1000007668 TADEMAQ EQUIPOS PESADOS S.R.L.</v>
      </c>
      <c r="T232" t="str">
        <f>VLOOKUP(P232,Hoja2!C:D,2,FALSE)</f>
        <v>ILAHORGUE</v>
      </c>
    </row>
    <row r="233" spans="1:20" x14ac:dyDescent="0.3">
      <c r="A233" s="2" t="s">
        <v>15</v>
      </c>
      <c r="B233" s="3" t="s">
        <v>15</v>
      </c>
      <c r="C233" s="3" t="s">
        <v>235</v>
      </c>
      <c r="D233" s="3" t="s">
        <v>15</v>
      </c>
      <c r="E233" s="3" t="s">
        <v>149</v>
      </c>
      <c r="F233" s="4">
        <v>46214</v>
      </c>
      <c r="G233" s="3" t="s">
        <v>50</v>
      </c>
      <c r="H233" s="6">
        <v>-262787.19</v>
      </c>
      <c r="I233" s="3" t="s">
        <v>19</v>
      </c>
      <c r="J233" s="3" t="s">
        <v>15</v>
      </c>
      <c r="K233" s="3" t="s">
        <v>15</v>
      </c>
      <c r="L233" s="3" t="s">
        <v>224</v>
      </c>
      <c r="M233" s="4">
        <v>46214</v>
      </c>
      <c r="N233" s="3" t="s">
        <v>236</v>
      </c>
      <c r="O233" s="3" t="s">
        <v>240</v>
      </c>
      <c r="P233" t="str">
        <f t="shared" si="3"/>
        <v>4500132453880</v>
      </c>
      <c r="Q233" s="7" cm="1">
        <f t="array" ref="Q233:S233">VLOOKUP(P233,Hoja1!C:F,{2,3,4},FALSE)</f>
        <v>46232</v>
      </c>
      <c r="R233" t="str">
        <v>C29</v>
      </c>
      <c r="S233" t="str">
        <v>1000007668 TADEMAQ EQUIPOS PESADOS S.R.L.</v>
      </c>
      <c r="T233" t="str">
        <f>VLOOKUP(P233,Hoja2!C:D,2,FALSE)</f>
        <v>ILAHORGUE</v>
      </c>
    </row>
    <row r="234" spans="1:20" x14ac:dyDescent="0.3">
      <c r="A234" s="2" t="s">
        <v>15</v>
      </c>
      <c r="B234" s="3" t="s">
        <v>15</v>
      </c>
      <c r="C234" s="3" t="s">
        <v>235</v>
      </c>
      <c r="D234" s="3" t="s">
        <v>15</v>
      </c>
      <c r="E234" s="3" t="s">
        <v>149</v>
      </c>
      <c r="F234" s="4">
        <v>46214</v>
      </c>
      <c r="G234" s="3" t="s">
        <v>50</v>
      </c>
      <c r="H234" s="6">
        <v>-44178.63</v>
      </c>
      <c r="I234" s="3" t="s">
        <v>19</v>
      </c>
      <c r="J234" s="3" t="s">
        <v>15</v>
      </c>
      <c r="K234" s="3" t="s">
        <v>15</v>
      </c>
      <c r="L234" s="3" t="s">
        <v>224</v>
      </c>
      <c r="M234" s="4">
        <v>46214</v>
      </c>
      <c r="N234" s="3" t="s">
        <v>236</v>
      </c>
      <c r="O234" s="3" t="s">
        <v>241</v>
      </c>
      <c r="P234" t="str">
        <f t="shared" si="3"/>
        <v>4500132453950</v>
      </c>
      <c r="Q234" s="7" cm="1">
        <f t="array" ref="Q234:S234">VLOOKUP(P234,Hoja1!C:F,{2,3,4},FALSE)</f>
        <v>46217</v>
      </c>
      <c r="R234" t="str">
        <v>C29</v>
      </c>
      <c r="S234" t="str">
        <v>1000007668 TADEMAQ EQUIPOS PESADOS S.R.L.</v>
      </c>
      <c r="T234" t="str">
        <f>VLOOKUP(P234,Hoja2!C:D,2,FALSE)</f>
        <v>ILAHORGUE</v>
      </c>
    </row>
    <row r="235" spans="1:20" x14ac:dyDescent="0.3">
      <c r="A235" s="2" t="s">
        <v>15</v>
      </c>
      <c r="B235" s="3" t="s">
        <v>15</v>
      </c>
      <c r="C235" s="3" t="s">
        <v>235</v>
      </c>
      <c r="D235" s="3" t="s">
        <v>15</v>
      </c>
      <c r="E235" s="3" t="s">
        <v>149</v>
      </c>
      <c r="F235" s="4">
        <v>46214</v>
      </c>
      <c r="G235" s="3" t="s">
        <v>50</v>
      </c>
      <c r="H235" s="6">
        <v>-91442.94</v>
      </c>
      <c r="I235" s="3" t="s">
        <v>19</v>
      </c>
      <c r="J235" s="3" t="s">
        <v>15</v>
      </c>
      <c r="K235" s="3" t="s">
        <v>15</v>
      </c>
      <c r="L235" s="3" t="s">
        <v>224</v>
      </c>
      <c r="M235" s="4">
        <v>46214</v>
      </c>
      <c r="N235" s="3" t="s">
        <v>236</v>
      </c>
      <c r="O235" s="3" t="s">
        <v>242</v>
      </c>
      <c r="P235" t="str">
        <f t="shared" si="3"/>
        <v>4500132453980</v>
      </c>
      <c r="Q235" s="7" cm="1">
        <f t="array" ref="Q235:S235">VLOOKUP(P235,Hoja1!C:F,{2,3,4},FALSE)</f>
        <v>46217</v>
      </c>
      <c r="R235" t="str">
        <v>C29</v>
      </c>
      <c r="S235" t="str">
        <v>1000007668 TADEMAQ EQUIPOS PESADOS S.R.L.</v>
      </c>
      <c r="T235" t="str">
        <f>VLOOKUP(P235,Hoja2!C:D,2,FALSE)</f>
        <v>ILAHORGUE</v>
      </c>
    </row>
    <row r="236" spans="1:20" x14ac:dyDescent="0.3">
      <c r="A236" s="2" t="s">
        <v>15</v>
      </c>
      <c r="B236" s="3" t="s">
        <v>15</v>
      </c>
      <c r="C236" s="3" t="s">
        <v>243</v>
      </c>
      <c r="D236" s="3" t="s">
        <v>15</v>
      </c>
      <c r="E236" s="3" t="s">
        <v>149</v>
      </c>
      <c r="F236" s="4">
        <v>46217</v>
      </c>
      <c r="G236" s="3" t="s">
        <v>50</v>
      </c>
      <c r="H236" s="6">
        <v>-484110.56</v>
      </c>
      <c r="I236" s="3" t="s">
        <v>19</v>
      </c>
      <c r="J236" s="3" t="s">
        <v>15</v>
      </c>
      <c r="K236" s="3" t="s">
        <v>15</v>
      </c>
      <c r="L236" s="3" t="s">
        <v>244</v>
      </c>
      <c r="M236" s="4">
        <v>46217</v>
      </c>
      <c r="N236" s="3" t="s">
        <v>245</v>
      </c>
      <c r="O236" s="3" t="s">
        <v>32</v>
      </c>
      <c r="P236" t="str">
        <f t="shared" si="3"/>
        <v>450013242110</v>
      </c>
      <c r="Q236" s="7" cm="1">
        <f t="array" ref="Q236:S236">VLOOKUP(P236,Hoja1!C:F,{2,3,4},FALSE)</f>
        <v>46220</v>
      </c>
      <c r="R236" t="str">
        <v>C35</v>
      </c>
      <c r="S236" t="str">
        <v>1000003040 LOPEZ DIESEL S.A.</v>
      </c>
      <c r="T236" t="str">
        <f>VLOOKUP(P236,Hoja2!C:D,2,FALSE)</f>
        <v>FSOTO</v>
      </c>
    </row>
    <row r="237" spans="1:20" x14ac:dyDescent="0.3">
      <c r="A237" s="2" t="s">
        <v>15</v>
      </c>
      <c r="B237" s="3" t="s">
        <v>15</v>
      </c>
      <c r="C237" s="3" t="s">
        <v>246</v>
      </c>
      <c r="D237" s="3" t="s">
        <v>15</v>
      </c>
      <c r="E237" s="3" t="s">
        <v>149</v>
      </c>
      <c r="F237" s="4">
        <v>46218</v>
      </c>
      <c r="G237" s="3" t="s">
        <v>50</v>
      </c>
      <c r="H237" s="6">
        <v>-217600</v>
      </c>
      <c r="I237" s="3" t="s">
        <v>19</v>
      </c>
      <c r="J237" s="3" t="s">
        <v>15</v>
      </c>
      <c r="K237" s="3" t="s">
        <v>15</v>
      </c>
      <c r="L237" s="3" t="s">
        <v>247</v>
      </c>
      <c r="M237" s="4">
        <v>46218</v>
      </c>
      <c r="N237" s="3" t="s">
        <v>248</v>
      </c>
      <c r="O237" s="3" t="s">
        <v>32</v>
      </c>
      <c r="P237" t="str">
        <f t="shared" si="3"/>
        <v>450013257710</v>
      </c>
      <c r="Q237" s="7" cm="1">
        <f t="array" ref="Q237:S237">VLOOKUP(P237,Hoja1!C:F,{2,3,4},FALSE)</f>
        <v>46244</v>
      </c>
      <c r="R237" t="str">
        <v>C29</v>
      </c>
      <c r="S237" t="str">
        <v>1000000023 IND. QUIMICAS KAISER S.R.L.</v>
      </c>
      <c r="T237" t="str">
        <f>VLOOKUP(P237,Hoja2!C:D,2,FALSE)</f>
        <v>FBERARDO</v>
      </c>
    </row>
    <row r="238" spans="1:20" x14ac:dyDescent="0.3">
      <c r="A238" s="2" t="s">
        <v>15</v>
      </c>
      <c r="B238" s="3" t="s">
        <v>15</v>
      </c>
      <c r="C238" s="3" t="s">
        <v>249</v>
      </c>
      <c r="D238" s="3" t="s">
        <v>15</v>
      </c>
      <c r="E238" s="3" t="s">
        <v>149</v>
      </c>
      <c r="F238" s="4">
        <v>46218</v>
      </c>
      <c r="G238" s="3" t="s">
        <v>50</v>
      </c>
      <c r="H238" s="6">
        <v>-432738.72</v>
      </c>
      <c r="I238" s="3" t="s">
        <v>19</v>
      </c>
      <c r="J238" s="3" t="s">
        <v>15</v>
      </c>
      <c r="K238" s="3" t="s">
        <v>15</v>
      </c>
      <c r="L238" s="3" t="s">
        <v>217</v>
      </c>
      <c r="M238" s="4">
        <v>46220</v>
      </c>
      <c r="N238" s="3" t="s">
        <v>218</v>
      </c>
      <c r="O238" s="3" t="s">
        <v>28</v>
      </c>
      <c r="P238" t="str">
        <f t="shared" si="3"/>
        <v>450013086820</v>
      </c>
      <c r="Q238" s="7" cm="1">
        <f t="array" ref="Q238:S238">VLOOKUP(P238,Hoja1!C:F,{2,3,4},FALSE)</f>
        <v>46215</v>
      </c>
      <c r="R238" t="str">
        <v>C29</v>
      </c>
      <c r="S238" t="str">
        <v>1000000012 IGARRETA MAQUINAS S.A.</v>
      </c>
      <c r="T238" t="str">
        <f>VLOOKUP(P238,Hoja2!C:D,2,FALSE)</f>
        <v>RPEREZ</v>
      </c>
    </row>
    <row r="239" spans="1:20" x14ac:dyDescent="0.3">
      <c r="A239" s="2" t="s">
        <v>15</v>
      </c>
      <c r="B239" s="3" t="s">
        <v>15</v>
      </c>
      <c r="C239" s="3" t="s">
        <v>250</v>
      </c>
      <c r="D239" s="3" t="s">
        <v>15</v>
      </c>
      <c r="E239" s="3" t="s">
        <v>149</v>
      </c>
      <c r="F239" s="4">
        <v>46226</v>
      </c>
      <c r="G239" s="3" t="s">
        <v>50</v>
      </c>
      <c r="H239" s="6">
        <v>-59508</v>
      </c>
      <c r="I239" s="3" t="s">
        <v>19</v>
      </c>
      <c r="J239" s="3" t="s">
        <v>15</v>
      </c>
      <c r="K239" s="3" t="s">
        <v>15</v>
      </c>
      <c r="L239" s="3" t="s">
        <v>112</v>
      </c>
      <c r="M239" s="4">
        <v>46226</v>
      </c>
      <c r="N239" s="3" t="s">
        <v>251</v>
      </c>
      <c r="O239" s="3" t="s">
        <v>32</v>
      </c>
      <c r="P239" t="str">
        <f t="shared" si="3"/>
        <v>450013355710</v>
      </c>
      <c r="Q239" s="7" cm="1">
        <f t="array" ref="Q239:S239">VLOOKUP(P239,Hoja1!C:F,{2,3,4},FALSE)</f>
        <v>46256</v>
      </c>
      <c r="R239" t="str">
        <v>C29</v>
      </c>
      <c r="S239" t="str">
        <v>1000010025 RAMOS MARIO SEBASTIAN</v>
      </c>
      <c r="T239" t="str">
        <f>VLOOKUP(P239,Hoja2!C:D,2,FALSE)</f>
        <v>MFREIJOMIL</v>
      </c>
    </row>
    <row r="240" spans="1:20" x14ac:dyDescent="0.3">
      <c r="A240" s="2" t="s">
        <v>15</v>
      </c>
      <c r="B240" s="3" t="s">
        <v>15</v>
      </c>
      <c r="C240" s="3" t="s">
        <v>252</v>
      </c>
      <c r="D240" s="3" t="s">
        <v>15</v>
      </c>
      <c r="E240" s="3" t="s">
        <v>149</v>
      </c>
      <c r="F240" s="4">
        <v>46226</v>
      </c>
      <c r="G240" s="3" t="s">
        <v>50</v>
      </c>
      <c r="H240" s="6">
        <v>-89262</v>
      </c>
      <c r="I240" s="3" t="s">
        <v>19</v>
      </c>
      <c r="J240" s="3" t="s">
        <v>15</v>
      </c>
      <c r="K240" s="3" t="s">
        <v>15</v>
      </c>
      <c r="L240" s="3" t="s">
        <v>112</v>
      </c>
      <c r="M240" s="4">
        <v>46226</v>
      </c>
      <c r="N240" s="3" t="s">
        <v>253</v>
      </c>
      <c r="O240" s="3" t="s">
        <v>32</v>
      </c>
      <c r="P240" t="str">
        <f t="shared" si="3"/>
        <v>450013355010</v>
      </c>
      <c r="Q240" s="7" cm="1">
        <f t="array" ref="Q240:S240">VLOOKUP(P240,Hoja1!C:F,{2,3,4},FALSE)</f>
        <v>46238</v>
      </c>
      <c r="R240" t="str">
        <v>C29</v>
      </c>
      <c r="S240" t="str">
        <v>1000010025 RAMOS MARIO SEBASTIAN</v>
      </c>
      <c r="T240" t="str">
        <f>VLOOKUP(P240,Hoja2!C:D,2,FALSE)</f>
        <v>MFREIJOMIL</v>
      </c>
    </row>
    <row r="241" spans="1:20" x14ac:dyDescent="0.3">
      <c r="A241" s="2" t="s">
        <v>15</v>
      </c>
      <c r="B241" s="3" t="s">
        <v>15</v>
      </c>
      <c r="C241" s="3" t="s">
        <v>254</v>
      </c>
      <c r="D241" s="3" t="s">
        <v>15</v>
      </c>
      <c r="E241" s="3" t="s">
        <v>149</v>
      </c>
      <c r="F241" s="4">
        <v>46227</v>
      </c>
      <c r="G241" s="3" t="s">
        <v>50</v>
      </c>
      <c r="H241" s="6">
        <v>-76243.92</v>
      </c>
      <c r="I241" s="3" t="s">
        <v>19</v>
      </c>
      <c r="J241" s="3" t="s">
        <v>15</v>
      </c>
      <c r="K241" s="3" t="s">
        <v>15</v>
      </c>
      <c r="L241" s="3" t="s">
        <v>217</v>
      </c>
      <c r="M241" s="4">
        <v>46227</v>
      </c>
      <c r="N241" s="3" t="s">
        <v>255</v>
      </c>
      <c r="O241" s="3" t="s">
        <v>54</v>
      </c>
      <c r="P241" t="str">
        <f t="shared" si="3"/>
        <v>450013333630</v>
      </c>
      <c r="Q241" s="7" cm="1">
        <f t="array" ref="Q241:S241">VLOOKUP(P241,Hoja1!C:F,{2,3,4},FALSE)</f>
        <v>46234</v>
      </c>
      <c r="R241" t="str">
        <v>C03</v>
      </c>
      <c r="S241" t="str">
        <v>1000000012 IGARRETA MAQUINAS S.A.</v>
      </c>
      <c r="T241" t="str">
        <f>VLOOKUP(P241,Hoja2!C:D,2,FALSE)</f>
        <v>RPEREZ</v>
      </c>
    </row>
    <row r="242" spans="1:20" x14ac:dyDescent="0.3">
      <c r="A242" s="2" t="s">
        <v>15</v>
      </c>
      <c r="B242" s="3" t="s">
        <v>15</v>
      </c>
      <c r="C242" s="3" t="s">
        <v>254</v>
      </c>
      <c r="D242" s="3" t="s">
        <v>15</v>
      </c>
      <c r="E242" s="3" t="s">
        <v>149</v>
      </c>
      <c r="F242" s="4">
        <v>46227</v>
      </c>
      <c r="G242" s="3" t="s">
        <v>50</v>
      </c>
      <c r="H242" s="6">
        <v>-35746.76</v>
      </c>
      <c r="I242" s="3" t="s">
        <v>19</v>
      </c>
      <c r="J242" s="3" t="s">
        <v>15</v>
      </c>
      <c r="K242" s="3" t="s">
        <v>15</v>
      </c>
      <c r="L242" s="3" t="s">
        <v>217</v>
      </c>
      <c r="M242" s="4">
        <v>46227</v>
      </c>
      <c r="N242" s="3" t="s">
        <v>255</v>
      </c>
      <c r="O242" s="3" t="s">
        <v>23</v>
      </c>
      <c r="P242" t="str">
        <f t="shared" si="3"/>
        <v>450013333640</v>
      </c>
      <c r="Q242" s="7" cm="1">
        <f t="array" ref="Q242:S242">VLOOKUP(P242,Hoja1!C:F,{2,3,4},FALSE)</f>
        <v>46234</v>
      </c>
      <c r="R242" t="str">
        <v>C03</v>
      </c>
      <c r="S242" t="str">
        <v>1000000012 IGARRETA MAQUINAS S.A.</v>
      </c>
      <c r="T242" t="str">
        <f>VLOOKUP(P242,Hoja2!C:D,2,FALSE)</f>
        <v>RPEREZ</v>
      </c>
    </row>
    <row r="243" spans="1:20" x14ac:dyDescent="0.3">
      <c r="A243" s="2" t="s">
        <v>15</v>
      </c>
      <c r="B243" s="3" t="s">
        <v>15</v>
      </c>
      <c r="C243" s="3" t="s">
        <v>254</v>
      </c>
      <c r="D243" s="3" t="s">
        <v>15</v>
      </c>
      <c r="E243" s="3" t="s">
        <v>149</v>
      </c>
      <c r="F243" s="4">
        <v>46227</v>
      </c>
      <c r="G243" s="3" t="s">
        <v>50</v>
      </c>
      <c r="H243" s="6">
        <v>-53768.59</v>
      </c>
      <c r="I243" s="3" t="s">
        <v>19</v>
      </c>
      <c r="J243" s="3" t="s">
        <v>15</v>
      </c>
      <c r="K243" s="3" t="s">
        <v>15</v>
      </c>
      <c r="L243" s="3" t="s">
        <v>217</v>
      </c>
      <c r="M243" s="4">
        <v>46227</v>
      </c>
      <c r="N243" s="3" t="s">
        <v>255</v>
      </c>
      <c r="O243" s="3" t="s">
        <v>55</v>
      </c>
      <c r="P243" t="str">
        <f t="shared" si="3"/>
        <v>450013333650</v>
      </c>
      <c r="Q243" s="7" cm="1">
        <f t="array" ref="Q243:S243">VLOOKUP(P243,Hoja1!C:F,{2,3,4},FALSE)</f>
        <v>46234</v>
      </c>
      <c r="R243" t="str">
        <v>C03</v>
      </c>
      <c r="S243" t="str">
        <v>1000000012 IGARRETA MAQUINAS S.A.</v>
      </c>
      <c r="T243" t="str">
        <f>VLOOKUP(P243,Hoja2!C:D,2,FALSE)</f>
        <v>RPEREZ</v>
      </c>
    </row>
    <row r="244" spans="1:20" x14ac:dyDescent="0.3">
      <c r="A244" s="2" t="s">
        <v>15</v>
      </c>
      <c r="B244" s="3" t="s">
        <v>15</v>
      </c>
      <c r="C244" s="3" t="s">
        <v>254</v>
      </c>
      <c r="D244" s="3" t="s">
        <v>15</v>
      </c>
      <c r="E244" s="3" t="s">
        <v>149</v>
      </c>
      <c r="F244" s="4">
        <v>46227</v>
      </c>
      <c r="G244" s="3" t="s">
        <v>50</v>
      </c>
      <c r="H244" s="6">
        <v>-35004.51</v>
      </c>
      <c r="I244" s="3" t="s">
        <v>19</v>
      </c>
      <c r="J244" s="3" t="s">
        <v>15</v>
      </c>
      <c r="K244" s="3" t="s">
        <v>15</v>
      </c>
      <c r="L244" s="3" t="s">
        <v>217</v>
      </c>
      <c r="M244" s="4">
        <v>46227</v>
      </c>
      <c r="N244" s="3" t="s">
        <v>255</v>
      </c>
      <c r="O244" s="3" t="s">
        <v>80</v>
      </c>
      <c r="P244" t="str">
        <f t="shared" si="3"/>
        <v>450013333660</v>
      </c>
      <c r="Q244" s="7" cm="1">
        <f t="array" ref="Q244:S244">VLOOKUP(P244,Hoja1!C:F,{2,3,4},FALSE)</f>
        <v>46234</v>
      </c>
      <c r="R244" t="str">
        <v>C03</v>
      </c>
      <c r="S244" t="str">
        <v>1000000012 IGARRETA MAQUINAS S.A.</v>
      </c>
      <c r="T244" t="str">
        <f>VLOOKUP(P244,Hoja2!C:D,2,FALSE)</f>
        <v>RPEREZ</v>
      </c>
    </row>
    <row r="245" spans="1:20" x14ac:dyDescent="0.3">
      <c r="A245" s="2" t="s">
        <v>15</v>
      </c>
      <c r="B245" s="3" t="s">
        <v>15</v>
      </c>
      <c r="C245" s="3" t="s">
        <v>256</v>
      </c>
      <c r="D245" s="3" t="s">
        <v>15</v>
      </c>
      <c r="E245" s="3" t="s">
        <v>149</v>
      </c>
      <c r="F245" s="4">
        <v>46226</v>
      </c>
      <c r="G245" s="3" t="s">
        <v>50</v>
      </c>
      <c r="H245" s="6">
        <v>-310542.56</v>
      </c>
      <c r="I245" s="3" t="s">
        <v>19</v>
      </c>
      <c r="J245" s="3" t="s">
        <v>15</v>
      </c>
      <c r="K245" s="3" t="s">
        <v>15</v>
      </c>
      <c r="L245" s="3" t="s">
        <v>257</v>
      </c>
      <c r="M245" s="4">
        <v>46227</v>
      </c>
      <c r="N245" s="3" t="s">
        <v>258</v>
      </c>
      <c r="O245" s="3" t="s">
        <v>32</v>
      </c>
      <c r="P245" t="str">
        <f t="shared" si="3"/>
        <v>450013260810</v>
      </c>
      <c r="Q245" s="7" cm="1">
        <f t="array" ref="Q245:S245">VLOOKUP(P245,Hoja1!C:F,{2,3,4},FALSE)</f>
        <v>46232</v>
      </c>
      <c r="R245" t="str">
        <v>C03</v>
      </c>
      <c r="S245" t="str">
        <v>1000000062 FINNING ARGENTINA S.A.</v>
      </c>
      <c r="T245" t="str">
        <f>VLOOKUP(P245,Hoja2!C:D,2,FALSE)</f>
        <v>RPEREZ</v>
      </c>
    </row>
    <row r="246" spans="1:20" x14ac:dyDescent="0.3">
      <c r="A246" s="2" t="s">
        <v>15</v>
      </c>
      <c r="B246" s="3" t="s">
        <v>15</v>
      </c>
      <c r="C246" s="3" t="s">
        <v>256</v>
      </c>
      <c r="D246" s="3" t="s">
        <v>15</v>
      </c>
      <c r="E246" s="3" t="s">
        <v>149</v>
      </c>
      <c r="F246" s="4">
        <v>46226</v>
      </c>
      <c r="G246" s="3" t="s">
        <v>50</v>
      </c>
      <c r="H246" s="6">
        <v>-106037.84</v>
      </c>
      <c r="I246" s="3" t="s">
        <v>19</v>
      </c>
      <c r="J246" s="3" t="s">
        <v>15</v>
      </c>
      <c r="K246" s="3" t="s">
        <v>15</v>
      </c>
      <c r="L246" s="3" t="s">
        <v>257</v>
      </c>
      <c r="M246" s="4">
        <v>46227</v>
      </c>
      <c r="N246" s="3" t="s">
        <v>258</v>
      </c>
      <c r="O246" s="3" t="s">
        <v>28</v>
      </c>
      <c r="P246" t="str">
        <f t="shared" si="3"/>
        <v>450013260820</v>
      </c>
      <c r="Q246" s="7" cm="1">
        <f t="array" ref="Q246:S246">VLOOKUP(P246,Hoja1!C:F,{2,3,4},FALSE)</f>
        <v>46232</v>
      </c>
      <c r="R246" t="str">
        <v>C03</v>
      </c>
      <c r="S246" t="str">
        <v>1000000062 FINNING ARGENTINA S.A.</v>
      </c>
      <c r="T246" t="str">
        <f>VLOOKUP(P246,Hoja2!C:D,2,FALSE)</f>
        <v>RPEREZ</v>
      </c>
    </row>
    <row r="247" spans="1:20" x14ac:dyDescent="0.3">
      <c r="A247" s="2" t="s">
        <v>15</v>
      </c>
      <c r="B247" s="3" t="s">
        <v>15</v>
      </c>
      <c r="C247" s="3" t="s">
        <v>256</v>
      </c>
      <c r="D247" s="3" t="s">
        <v>15</v>
      </c>
      <c r="E247" s="3" t="s">
        <v>149</v>
      </c>
      <c r="F247" s="4">
        <v>46226</v>
      </c>
      <c r="G247" s="3" t="s">
        <v>50</v>
      </c>
      <c r="H247" s="6">
        <v>-263780.81</v>
      </c>
      <c r="I247" s="3" t="s">
        <v>19</v>
      </c>
      <c r="J247" s="3" t="s">
        <v>15</v>
      </c>
      <c r="K247" s="3" t="s">
        <v>15</v>
      </c>
      <c r="L247" s="3" t="s">
        <v>257</v>
      </c>
      <c r="M247" s="4">
        <v>46227</v>
      </c>
      <c r="N247" s="3" t="s">
        <v>258</v>
      </c>
      <c r="O247" s="3" t="s">
        <v>54</v>
      </c>
      <c r="P247" t="str">
        <f t="shared" si="3"/>
        <v>450013260830</v>
      </c>
      <c r="Q247" s="7" cm="1">
        <f t="array" ref="Q247:S247">VLOOKUP(P247,Hoja1!C:F,{2,3,4},FALSE)</f>
        <v>46232</v>
      </c>
      <c r="R247" t="str">
        <v>C03</v>
      </c>
      <c r="S247" t="str">
        <v>1000000062 FINNING ARGENTINA S.A.</v>
      </c>
      <c r="T247" t="str">
        <f>VLOOKUP(P247,Hoja2!C:D,2,FALSE)</f>
        <v>RPEREZ</v>
      </c>
    </row>
    <row r="248" spans="1:20" x14ac:dyDescent="0.3">
      <c r="A248" s="2" t="s">
        <v>15</v>
      </c>
      <c r="B248" s="3" t="s">
        <v>15</v>
      </c>
      <c r="C248" s="3" t="s">
        <v>256</v>
      </c>
      <c r="D248" s="3" t="s">
        <v>15</v>
      </c>
      <c r="E248" s="3" t="s">
        <v>149</v>
      </c>
      <c r="F248" s="4">
        <v>46226</v>
      </c>
      <c r="G248" s="3" t="s">
        <v>50</v>
      </c>
      <c r="H248" s="6">
        <v>-144085.57</v>
      </c>
      <c r="I248" s="3" t="s">
        <v>19</v>
      </c>
      <c r="J248" s="3" t="s">
        <v>15</v>
      </c>
      <c r="K248" s="3" t="s">
        <v>15</v>
      </c>
      <c r="L248" s="3" t="s">
        <v>257</v>
      </c>
      <c r="M248" s="4">
        <v>46227</v>
      </c>
      <c r="N248" s="3" t="s">
        <v>258</v>
      </c>
      <c r="O248" s="3" t="s">
        <v>55</v>
      </c>
      <c r="P248" t="str">
        <f t="shared" si="3"/>
        <v>450013260850</v>
      </c>
      <c r="Q248" s="7" cm="1">
        <f t="array" ref="Q248:S248">VLOOKUP(P248,Hoja1!C:F,{2,3,4},FALSE)</f>
        <v>46232</v>
      </c>
      <c r="R248" t="str">
        <v>C03</v>
      </c>
      <c r="S248" t="str">
        <v>1000000062 FINNING ARGENTINA S.A.</v>
      </c>
      <c r="T248" t="str">
        <f>VLOOKUP(P248,Hoja2!C:D,2,FALSE)</f>
        <v>RPEREZ</v>
      </c>
    </row>
    <row r="249" spans="1:20" x14ac:dyDescent="0.3">
      <c r="A249" s="2" t="s">
        <v>15</v>
      </c>
      <c r="B249" s="3" t="s">
        <v>15</v>
      </c>
      <c r="C249" s="3" t="s">
        <v>256</v>
      </c>
      <c r="D249" s="3" t="s">
        <v>15</v>
      </c>
      <c r="E249" s="3" t="s">
        <v>149</v>
      </c>
      <c r="F249" s="4">
        <v>46226</v>
      </c>
      <c r="G249" s="3" t="s">
        <v>50</v>
      </c>
      <c r="H249" s="6">
        <v>-412349.57</v>
      </c>
      <c r="I249" s="3" t="s">
        <v>19</v>
      </c>
      <c r="J249" s="3" t="s">
        <v>15</v>
      </c>
      <c r="K249" s="3" t="s">
        <v>15</v>
      </c>
      <c r="L249" s="3" t="s">
        <v>257</v>
      </c>
      <c r="M249" s="4">
        <v>46227</v>
      </c>
      <c r="N249" s="3" t="s">
        <v>258</v>
      </c>
      <c r="O249" s="3" t="s">
        <v>80</v>
      </c>
      <c r="P249" t="str">
        <f t="shared" si="3"/>
        <v>450013260860</v>
      </c>
      <c r="Q249" s="7" cm="1">
        <f t="array" ref="Q249:S249">VLOOKUP(P249,Hoja1!C:F,{2,3,4},FALSE)</f>
        <v>46232</v>
      </c>
      <c r="R249" t="str">
        <v>C03</v>
      </c>
      <c r="S249" t="str">
        <v>1000000062 FINNING ARGENTINA S.A.</v>
      </c>
      <c r="T249" t="str">
        <f>VLOOKUP(P249,Hoja2!C:D,2,FALSE)</f>
        <v>RPEREZ</v>
      </c>
    </row>
    <row r="250" spans="1:20" x14ac:dyDescent="0.3">
      <c r="A250" s="2" t="s">
        <v>15</v>
      </c>
      <c r="B250" s="3" t="s">
        <v>15</v>
      </c>
      <c r="C250" s="3" t="s">
        <v>259</v>
      </c>
      <c r="D250" s="3" t="s">
        <v>15</v>
      </c>
      <c r="E250" s="3" t="s">
        <v>149</v>
      </c>
      <c r="F250" s="4">
        <v>46227</v>
      </c>
      <c r="G250" s="3" t="s">
        <v>50</v>
      </c>
      <c r="H250" s="6">
        <v>-495900</v>
      </c>
      <c r="I250" s="3" t="s">
        <v>19</v>
      </c>
      <c r="J250" s="3" t="s">
        <v>15</v>
      </c>
      <c r="K250" s="3" t="s">
        <v>15</v>
      </c>
      <c r="L250" s="3" t="s">
        <v>260</v>
      </c>
      <c r="M250" s="4">
        <v>46227</v>
      </c>
      <c r="N250" s="3" t="s">
        <v>261</v>
      </c>
      <c r="O250" s="3" t="s">
        <v>32</v>
      </c>
      <c r="P250" t="str">
        <f t="shared" si="3"/>
        <v>450013354710</v>
      </c>
      <c r="Q250" s="7" cm="1">
        <f t="array" ref="Q250:S250">VLOOKUP(P250,Hoja1!C:F,{2,3,4},FALSE)</f>
        <v>46239</v>
      </c>
      <c r="R250" t="str">
        <v>C29</v>
      </c>
      <c r="S250" t="str">
        <v>1000000940 MELQUI PABLO</v>
      </c>
      <c r="T250" t="str">
        <f>VLOOKUP(P250,Hoja2!C:D,2,FALSE)</f>
        <v>MFREIJOMIL</v>
      </c>
    </row>
    <row r="251" spans="1:20" x14ac:dyDescent="0.3">
      <c r="A251" s="2" t="s">
        <v>15</v>
      </c>
      <c r="B251" s="3" t="s">
        <v>15</v>
      </c>
      <c r="C251" s="3" t="s">
        <v>262</v>
      </c>
      <c r="D251" s="3" t="s">
        <v>15</v>
      </c>
      <c r="E251" s="3" t="s">
        <v>149</v>
      </c>
      <c r="F251" s="4">
        <v>46230</v>
      </c>
      <c r="G251" s="3" t="s">
        <v>50</v>
      </c>
      <c r="H251" s="6">
        <v>-14342.93</v>
      </c>
      <c r="I251" s="3" t="s">
        <v>19</v>
      </c>
      <c r="J251" s="3" t="s">
        <v>15</v>
      </c>
      <c r="K251" s="3" t="s">
        <v>15</v>
      </c>
      <c r="L251" s="3" t="s">
        <v>224</v>
      </c>
      <c r="M251" s="4">
        <v>46230</v>
      </c>
      <c r="N251" s="3" t="s">
        <v>263</v>
      </c>
      <c r="O251" s="3" t="s">
        <v>264</v>
      </c>
      <c r="P251" t="str">
        <f t="shared" si="3"/>
        <v>4500133085720</v>
      </c>
      <c r="Q251" s="7" cm="1">
        <f t="array" ref="Q251:S251">VLOOKUP(P251,Hoja1!C:F,{2,3,4},FALSE)</f>
        <v>46233</v>
      </c>
      <c r="R251" t="str">
        <v>AGV</v>
      </c>
      <c r="S251" t="str">
        <v>1000007668 TADEMAQ EQUIPOS PESADOS S.R.L.</v>
      </c>
      <c r="T251" t="str">
        <f>VLOOKUP(P251,Hoja2!C:D,2,FALSE)</f>
        <v>ILAHORGUE</v>
      </c>
    </row>
    <row r="252" spans="1:20" x14ac:dyDescent="0.3">
      <c r="A252" s="2" t="s">
        <v>15</v>
      </c>
      <c r="B252" s="3" t="s">
        <v>15</v>
      </c>
      <c r="C252" s="3" t="s">
        <v>265</v>
      </c>
      <c r="D252" s="3" t="s">
        <v>15</v>
      </c>
      <c r="E252" s="3" t="s">
        <v>149</v>
      </c>
      <c r="F252" s="4">
        <v>46234</v>
      </c>
      <c r="G252" s="3" t="s">
        <v>50</v>
      </c>
      <c r="H252" s="6">
        <v>-288807.78000000003</v>
      </c>
      <c r="I252" s="3" t="s">
        <v>19</v>
      </c>
      <c r="J252" s="3" t="s">
        <v>15</v>
      </c>
      <c r="K252" s="3" t="s">
        <v>15</v>
      </c>
      <c r="L252" s="3" t="s">
        <v>224</v>
      </c>
      <c r="M252" s="4">
        <v>46234</v>
      </c>
      <c r="N252" s="3" t="s">
        <v>266</v>
      </c>
      <c r="O252" s="3" t="s">
        <v>267</v>
      </c>
      <c r="P252" t="str">
        <f t="shared" si="3"/>
        <v>4500134133430</v>
      </c>
      <c r="Q252" s="7" cm="1">
        <f t="array" ref="Q252:S252">VLOOKUP(P252,Hoja1!C:F,{2,3,4},FALSE)</f>
        <v>46244</v>
      </c>
      <c r="R252" t="str">
        <v>AGV</v>
      </c>
      <c r="S252" t="str">
        <v>1000007668 TADEMAQ EQUIPOS PESADOS S.R.L.</v>
      </c>
      <c r="T252" t="str">
        <f>VLOOKUP(P252,Hoja2!C:D,2,FALSE)</f>
        <v>ILAHORGUE</v>
      </c>
    </row>
    <row r="253" spans="1:20" x14ac:dyDescent="0.3">
      <c r="A253" s="2" t="s">
        <v>15</v>
      </c>
      <c r="B253" s="3" t="s">
        <v>15</v>
      </c>
      <c r="C253" s="3" t="s">
        <v>265</v>
      </c>
      <c r="D253" s="3" t="s">
        <v>15</v>
      </c>
      <c r="E253" s="3" t="s">
        <v>149</v>
      </c>
      <c r="F253" s="4">
        <v>46234</v>
      </c>
      <c r="G253" s="3" t="s">
        <v>50</v>
      </c>
      <c r="H253" s="6">
        <v>-381229.83</v>
      </c>
      <c r="I253" s="3" t="s">
        <v>19</v>
      </c>
      <c r="J253" s="3" t="s">
        <v>15</v>
      </c>
      <c r="K253" s="3" t="s">
        <v>15</v>
      </c>
      <c r="L253" s="3" t="s">
        <v>224</v>
      </c>
      <c r="M253" s="4">
        <v>46234</v>
      </c>
      <c r="N253" s="3" t="s">
        <v>266</v>
      </c>
      <c r="O253" s="3" t="s">
        <v>268</v>
      </c>
      <c r="P253" t="str">
        <f t="shared" si="3"/>
        <v>4500134133450</v>
      </c>
      <c r="Q253" s="7" cm="1">
        <f t="array" ref="Q253:S253">VLOOKUP(P253,Hoja1!C:F,{2,3,4},FALSE)</f>
        <v>46244</v>
      </c>
      <c r="R253" t="str">
        <v>AGV</v>
      </c>
      <c r="S253" t="str">
        <v>1000007668 TADEMAQ EQUIPOS PESADOS S.R.L.</v>
      </c>
      <c r="T253" t="str">
        <f>VLOOKUP(P253,Hoja2!C:D,2,FALSE)</f>
        <v>ILAHORGUE</v>
      </c>
    </row>
    <row r="254" spans="1:20" x14ac:dyDescent="0.3">
      <c r="A254" s="2" t="s">
        <v>15</v>
      </c>
      <c r="B254" s="3" t="s">
        <v>15</v>
      </c>
      <c r="C254" s="3" t="s">
        <v>265</v>
      </c>
      <c r="D254" s="3" t="s">
        <v>15</v>
      </c>
      <c r="E254" s="3" t="s">
        <v>149</v>
      </c>
      <c r="F254" s="4">
        <v>46234</v>
      </c>
      <c r="G254" s="3" t="s">
        <v>50</v>
      </c>
      <c r="H254" s="6">
        <v>-478873.8</v>
      </c>
      <c r="I254" s="3" t="s">
        <v>19</v>
      </c>
      <c r="J254" s="3" t="s">
        <v>15</v>
      </c>
      <c r="K254" s="3" t="s">
        <v>15</v>
      </c>
      <c r="L254" s="3" t="s">
        <v>224</v>
      </c>
      <c r="M254" s="4">
        <v>46234</v>
      </c>
      <c r="N254" s="3" t="s">
        <v>266</v>
      </c>
      <c r="O254" s="3" t="s">
        <v>269</v>
      </c>
      <c r="P254" t="str">
        <f t="shared" si="3"/>
        <v>4500134133460</v>
      </c>
      <c r="Q254" s="7" cm="1">
        <f t="array" ref="Q254:S254">VLOOKUP(P254,Hoja1!C:F,{2,3,4},FALSE)</f>
        <v>46244</v>
      </c>
      <c r="R254" t="str">
        <v>AGV</v>
      </c>
      <c r="S254" t="str">
        <v>1000007668 TADEMAQ EQUIPOS PESADOS S.R.L.</v>
      </c>
      <c r="T254" t="str">
        <f>VLOOKUP(P254,Hoja2!C:D,2,FALSE)</f>
        <v>ILAHORGUE</v>
      </c>
    </row>
    <row r="255" spans="1:20" x14ac:dyDescent="0.3">
      <c r="A255" s="2" t="s">
        <v>15</v>
      </c>
      <c r="B255" s="3" t="s">
        <v>15</v>
      </c>
      <c r="C255" s="3" t="s">
        <v>265</v>
      </c>
      <c r="D255" s="3" t="s">
        <v>15</v>
      </c>
      <c r="E255" s="3" t="s">
        <v>149</v>
      </c>
      <c r="F255" s="4">
        <v>46234</v>
      </c>
      <c r="G255" s="3" t="s">
        <v>50</v>
      </c>
      <c r="H255" s="6">
        <v>-162176.22</v>
      </c>
      <c r="I255" s="3" t="s">
        <v>19</v>
      </c>
      <c r="J255" s="3" t="s">
        <v>15</v>
      </c>
      <c r="K255" s="3" t="s">
        <v>15</v>
      </c>
      <c r="L255" s="3" t="s">
        <v>224</v>
      </c>
      <c r="M255" s="4">
        <v>46234</v>
      </c>
      <c r="N255" s="3" t="s">
        <v>270</v>
      </c>
      <c r="O255" s="3" t="s">
        <v>130</v>
      </c>
      <c r="P255" t="str">
        <f t="shared" si="3"/>
        <v>4500134134270</v>
      </c>
      <c r="Q255" s="7" cm="1">
        <f t="array" ref="Q255:S255">VLOOKUP(P255,Hoja1!C:F,{2,3,4},FALSE)</f>
        <v>46244</v>
      </c>
      <c r="R255" t="str">
        <v>AGV</v>
      </c>
      <c r="S255" t="str">
        <v>1000007668 TADEMAQ EQUIPOS PESADOS S.R.L.</v>
      </c>
      <c r="T255" t="str">
        <f>VLOOKUP(P255,Hoja2!C:D,2,FALSE)</f>
        <v>ILAHORGUE</v>
      </c>
    </row>
    <row r="256" spans="1:20" x14ac:dyDescent="0.3">
      <c r="A256" s="2" t="s">
        <v>15</v>
      </c>
      <c r="B256" s="3" t="s">
        <v>15</v>
      </c>
      <c r="C256" s="3" t="s">
        <v>265</v>
      </c>
      <c r="D256" s="3" t="s">
        <v>15</v>
      </c>
      <c r="E256" s="3" t="s">
        <v>149</v>
      </c>
      <c r="F256" s="4">
        <v>46234</v>
      </c>
      <c r="G256" s="3" t="s">
        <v>50</v>
      </c>
      <c r="H256" s="6">
        <v>-42606.12</v>
      </c>
      <c r="I256" s="3" t="s">
        <v>19</v>
      </c>
      <c r="J256" s="3" t="s">
        <v>15</v>
      </c>
      <c r="K256" s="3" t="s">
        <v>15</v>
      </c>
      <c r="L256" s="3" t="s">
        <v>224</v>
      </c>
      <c r="M256" s="4">
        <v>46234</v>
      </c>
      <c r="N256" s="3" t="s">
        <v>270</v>
      </c>
      <c r="O256" s="3" t="s">
        <v>132</v>
      </c>
      <c r="P256" t="str">
        <f t="shared" si="3"/>
        <v>4500134134290</v>
      </c>
      <c r="Q256" s="7" cm="1">
        <f t="array" ref="Q256:S256">VLOOKUP(P256,Hoja1!C:F,{2,3,4},FALSE)</f>
        <v>46244</v>
      </c>
      <c r="R256" t="str">
        <v>AGV</v>
      </c>
      <c r="S256" t="str">
        <v>1000007668 TADEMAQ EQUIPOS PESADOS S.R.L.</v>
      </c>
      <c r="T256" t="str">
        <f>VLOOKUP(P256,Hoja2!C:D,2,FALSE)</f>
        <v>ILAHORGUE</v>
      </c>
    </row>
    <row r="257" spans="1:20" x14ac:dyDescent="0.3">
      <c r="A257" s="2" t="s">
        <v>15</v>
      </c>
      <c r="B257" s="3" t="s">
        <v>15</v>
      </c>
      <c r="C257" s="3" t="s">
        <v>265</v>
      </c>
      <c r="D257" s="3" t="s">
        <v>15</v>
      </c>
      <c r="E257" s="3" t="s">
        <v>149</v>
      </c>
      <c r="F257" s="4">
        <v>46234</v>
      </c>
      <c r="G257" s="3" t="s">
        <v>50</v>
      </c>
      <c r="H257" s="6">
        <v>-46848.93</v>
      </c>
      <c r="I257" s="3" t="s">
        <v>19</v>
      </c>
      <c r="J257" s="3" t="s">
        <v>15</v>
      </c>
      <c r="K257" s="3" t="s">
        <v>15</v>
      </c>
      <c r="L257" s="3" t="s">
        <v>224</v>
      </c>
      <c r="M257" s="4">
        <v>46234</v>
      </c>
      <c r="N257" s="3" t="s">
        <v>270</v>
      </c>
      <c r="O257" s="3" t="s">
        <v>134</v>
      </c>
      <c r="P257" t="str">
        <f t="shared" si="3"/>
        <v>4500134134310</v>
      </c>
      <c r="Q257" s="7" cm="1">
        <f t="array" ref="Q257:S257">VLOOKUP(P257,Hoja1!C:F,{2,3,4},FALSE)</f>
        <v>46244</v>
      </c>
      <c r="R257" t="str">
        <v>AGV</v>
      </c>
      <c r="S257" t="str">
        <v>1000007668 TADEMAQ EQUIPOS PESADOS S.R.L.</v>
      </c>
      <c r="T257" t="str">
        <f>VLOOKUP(P257,Hoja2!C:D,2,FALSE)</f>
        <v>ILAHORGUE</v>
      </c>
    </row>
    <row r="258" spans="1:20" x14ac:dyDescent="0.3">
      <c r="A258" s="2" t="s">
        <v>15</v>
      </c>
      <c r="B258" s="3" t="s">
        <v>15</v>
      </c>
      <c r="C258" s="3" t="s">
        <v>265</v>
      </c>
      <c r="D258" s="3" t="s">
        <v>15</v>
      </c>
      <c r="E258" s="3" t="s">
        <v>149</v>
      </c>
      <c r="F258" s="4">
        <v>46234</v>
      </c>
      <c r="G258" s="3" t="s">
        <v>50</v>
      </c>
      <c r="H258" s="6">
        <v>-76281.570000000007</v>
      </c>
      <c r="I258" s="3" t="s">
        <v>19</v>
      </c>
      <c r="J258" s="3" t="s">
        <v>15</v>
      </c>
      <c r="K258" s="3" t="s">
        <v>15</v>
      </c>
      <c r="L258" s="3" t="s">
        <v>224</v>
      </c>
      <c r="M258" s="4">
        <v>46234</v>
      </c>
      <c r="N258" s="3" t="s">
        <v>271</v>
      </c>
      <c r="O258" s="3" t="s">
        <v>272</v>
      </c>
      <c r="P258" t="str">
        <f t="shared" si="3"/>
        <v>4500134136930</v>
      </c>
      <c r="Q258" s="7" cm="1">
        <f t="array" ref="Q258:S258">VLOOKUP(P258,Hoja1!C:F,{2,3,4},FALSE)</f>
        <v>46235</v>
      </c>
      <c r="R258" t="str">
        <v>AGV</v>
      </c>
      <c r="S258" t="str">
        <v>1000007668 TADEMAQ EQUIPOS PESADOS S.R.L.</v>
      </c>
      <c r="T258" t="str">
        <f>VLOOKUP(P258,Hoja2!C:D,2,FALSE)</f>
        <v>ILAHORGUE</v>
      </c>
    </row>
    <row r="259" spans="1:20" x14ac:dyDescent="0.3">
      <c r="A259" s="2" t="s">
        <v>15</v>
      </c>
      <c r="B259" s="3" t="s">
        <v>15</v>
      </c>
      <c r="C259" s="3" t="s">
        <v>265</v>
      </c>
      <c r="D259" s="3" t="s">
        <v>15</v>
      </c>
      <c r="E259" s="3" t="s">
        <v>149</v>
      </c>
      <c r="F259" s="4">
        <v>46234</v>
      </c>
      <c r="G259" s="3" t="s">
        <v>50</v>
      </c>
      <c r="H259" s="6">
        <v>-144403.89000000001</v>
      </c>
      <c r="I259" s="3" t="s">
        <v>19</v>
      </c>
      <c r="J259" s="3" t="s">
        <v>15</v>
      </c>
      <c r="K259" s="3" t="s">
        <v>15</v>
      </c>
      <c r="L259" s="3" t="s">
        <v>224</v>
      </c>
      <c r="M259" s="4">
        <v>46234</v>
      </c>
      <c r="N259" s="3" t="s">
        <v>271</v>
      </c>
      <c r="O259" s="3" t="s">
        <v>273</v>
      </c>
      <c r="P259" t="str">
        <f t="shared" ref="P259:P322" si="4">_xlfn.CONCAT(N259:O259)</f>
        <v>45001341361030</v>
      </c>
      <c r="Q259" s="7" cm="1">
        <f t="array" ref="Q259:S259">VLOOKUP(P259,Hoja1!C:F,{2,3,4},FALSE)</f>
        <v>46235</v>
      </c>
      <c r="R259" t="str">
        <v>AGV</v>
      </c>
      <c r="S259" t="str">
        <v>1000007668 TADEMAQ EQUIPOS PESADOS S.R.L.</v>
      </c>
      <c r="T259" t="str">
        <f>VLOOKUP(P259,Hoja2!C:D,2,FALSE)</f>
        <v>ILAHORGUE</v>
      </c>
    </row>
    <row r="260" spans="1:20" x14ac:dyDescent="0.3">
      <c r="A260" s="2" t="s">
        <v>15</v>
      </c>
      <c r="B260" s="3" t="s">
        <v>15</v>
      </c>
      <c r="C260" s="3" t="s">
        <v>265</v>
      </c>
      <c r="D260" s="3" t="s">
        <v>15</v>
      </c>
      <c r="E260" s="3" t="s">
        <v>149</v>
      </c>
      <c r="F260" s="4">
        <v>46234</v>
      </c>
      <c r="G260" s="3" t="s">
        <v>50</v>
      </c>
      <c r="H260" s="6">
        <v>-190614.92</v>
      </c>
      <c r="I260" s="3" t="s">
        <v>19</v>
      </c>
      <c r="J260" s="3" t="s">
        <v>15</v>
      </c>
      <c r="K260" s="3" t="s">
        <v>15</v>
      </c>
      <c r="L260" s="3" t="s">
        <v>224</v>
      </c>
      <c r="M260" s="4">
        <v>46234</v>
      </c>
      <c r="N260" s="3" t="s">
        <v>271</v>
      </c>
      <c r="O260" s="3" t="s">
        <v>274</v>
      </c>
      <c r="P260" t="str">
        <f t="shared" si="4"/>
        <v>45001341361050</v>
      </c>
      <c r="Q260" s="7" cm="1">
        <f t="array" ref="Q260:S260">VLOOKUP(P260,Hoja1!C:F,{2,3,4},FALSE)</f>
        <v>46235</v>
      </c>
      <c r="R260" t="str">
        <v>AGV</v>
      </c>
      <c r="S260" t="str">
        <v>1000007668 TADEMAQ EQUIPOS PESADOS S.R.L.</v>
      </c>
      <c r="T260" t="str">
        <f>VLOOKUP(P260,Hoja2!C:D,2,FALSE)</f>
        <v>ILAHORGUE</v>
      </c>
    </row>
    <row r="261" spans="1:20" x14ac:dyDescent="0.3">
      <c r="A261" s="2" t="s">
        <v>15</v>
      </c>
      <c r="B261" s="3" t="s">
        <v>15</v>
      </c>
      <c r="C261" s="3" t="s">
        <v>265</v>
      </c>
      <c r="D261" s="3" t="s">
        <v>15</v>
      </c>
      <c r="E261" s="3" t="s">
        <v>149</v>
      </c>
      <c r="F261" s="4">
        <v>46234</v>
      </c>
      <c r="G261" s="3" t="s">
        <v>50</v>
      </c>
      <c r="H261" s="6">
        <v>-239436.9</v>
      </c>
      <c r="I261" s="3" t="s">
        <v>19</v>
      </c>
      <c r="J261" s="3" t="s">
        <v>15</v>
      </c>
      <c r="K261" s="3" t="s">
        <v>15</v>
      </c>
      <c r="L261" s="3" t="s">
        <v>224</v>
      </c>
      <c r="M261" s="4">
        <v>46234</v>
      </c>
      <c r="N261" s="3" t="s">
        <v>271</v>
      </c>
      <c r="O261" s="3" t="s">
        <v>226</v>
      </c>
      <c r="P261" t="str">
        <f t="shared" si="4"/>
        <v>45001341361060</v>
      </c>
      <c r="Q261" s="7" cm="1">
        <f t="array" ref="Q261:S261">VLOOKUP(P261,Hoja1!C:F,{2,3,4},FALSE)</f>
        <v>46235</v>
      </c>
      <c r="R261" t="str">
        <v>AGV</v>
      </c>
      <c r="S261" t="str">
        <v>1000007668 TADEMAQ EQUIPOS PESADOS S.R.L.</v>
      </c>
      <c r="T261" t="str">
        <f>VLOOKUP(P261,Hoja2!C:D,2,FALSE)</f>
        <v>ILAHORGUE</v>
      </c>
    </row>
    <row r="262" spans="1:20" x14ac:dyDescent="0.3">
      <c r="A262" s="2" t="s">
        <v>15</v>
      </c>
      <c r="B262" s="3" t="s">
        <v>15</v>
      </c>
      <c r="C262" s="3" t="s">
        <v>275</v>
      </c>
      <c r="D262" s="3" t="s">
        <v>15</v>
      </c>
      <c r="E262" s="3" t="s">
        <v>149</v>
      </c>
      <c r="F262" s="4">
        <v>46238</v>
      </c>
      <c r="G262" s="3" t="s">
        <v>50</v>
      </c>
      <c r="H262" s="6">
        <v>-49954.38</v>
      </c>
      <c r="I262" s="3" t="s">
        <v>19</v>
      </c>
      <c r="J262" s="3" t="s">
        <v>15</v>
      </c>
      <c r="K262" s="3" t="s">
        <v>15</v>
      </c>
      <c r="L262" s="3" t="s">
        <v>158</v>
      </c>
      <c r="M262" s="4">
        <v>46238</v>
      </c>
      <c r="N262" s="3" t="s">
        <v>276</v>
      </c>
      <c r="O262" s="3" t="s">
        <v>32</v>
      </c>
      <c r="P262" t="str">
        <f t="shared" si="4"/>
        <v>450013452810</v>
      </c>
      <c r="Q262" s="7" cm="1">
        <f t="array" ref="Q262:S262">VLOOKUP(P262,Hoja1!C:F,{2,3,4},FALSE)</f>
        <v>46256</v>
      </c>
      <c r="R262" t="str">
        <v>AGV</v>
      </c>
      <c r="S262" t="str">
        <v>1000008375 PUSSETTO SALTA S A</v>
      </c>
      <c r="T262" t="str">
        <f>VLOOKUP(P262,Hoja2!C:D,2,FALSE)</f>
        <v>ILAHORGUE</v>
      </c>
    </row>
    <row r="263" spans="1:20" x14ac:dyDescent="0.3">
      <c r="A263" s="2" t="s">
        <v>15</v>
      </c>
      <c r="B263" s="3" t="s">
        <v>15</v>
      </c>
      <c r="C263" s="3" t="s">
        <v>275</v>
      </c>
      <c r="D263" s="3" t="s">
        <v>15</v>
      </c>
      <c r="E263" s="3" t="s">
        <v>149</v>
      </c>
      <c r="F263" s="4">
        <v>46238</v>
      </c>
      <c r="G263" s="3" t="s">
        <v>50</v>
      </c>
      <c r="H263" s="6">
        <v>-18523.32</v>
      </c>
      <c r="I263" s="3" t="s">
        <v>19</v>
      </c>
      <c r="J263" s="3" t="s">
        <v>15</v>
      </c>
      <c r="K263" s="3" t="s">
        <v>15</v>
      </c>
      <c r="L263" s="3" t="s">
        <v>158</v>
      </c>
      <c r="M263" s="4">
        <v>46238</v>
      </c>
      <c r="N263" s="3" t="s">
        <v>276</v>
      </c>
      <c r="O263" s="3" t="s">
        <v>28</v>
      </c>
      <c r="P263" t="str">
        <f t="shared" si="4"/>
        <v>450013452820</v>
      </c>
      <c r="Q263" s="7" cm="1">
        <f t="array" ref="Q263:S263">VLOOKUP(P263,Hoja1!C:F,{2,3,4},FALSE)</f>
        <v>46256</v>
      </c>
      <c r="R263" t="str">
        <v>AGV</v>
      </c>
      <c r="S263" t="str">
        <v>1000008375 PUSSETTO SALTA S A</v>
      </c>
      <c r="T263" t="str">
        <f>VLOOKUP(P263,Hoja2!C:D,2,FALSE)</f>
        <v>ILAHORGUE</v>
      </c>
    </row>
    <row r="264" spans="1:20" x14ac:dyDescent="0.3">
      <c r="A264" s="2" t="s">
        <v>15</v>
      </c>
      <c r="B264" s="3" t="s">
        <v>15</v>
      </c>
      <c r="C264" s="3" t="s">
        <v>275</v>
      </c>
      <c r="D264" s="3" t="s">
        <v>15</v>
      </c>
      <c r="E264" s="3" t="s">
        <v>149</v>
      </c>
      <c r="F264" s="4">
        <v>46238</v>
      </c>
      <c r="G264" s="3" t="s">
        <v>50</v>
      </c>
      <c r="H264" s="6">
        <v>-21063.64</v>
      </c>
      <c r="I264" s="3" t="s">
        <v>19</v>
      </c>
      <c r="J264" s="3" t="s">
        <v>15</v>
      </c>
      <c r="K264" s="3" t="s">
        <v>15</v>
      </c>
      <c r="L264" s="3" t="s">
        <v>158</v>
      </c>
      <c r="M264" s="4">
        <v>46238</v>
      </c>
      <c r="N264" s="3" t="s">
        <v>276</v>
      </c>
      <c r="O264" s="3" t="s">
        <v>54</v>
      </c>
      <c r="P264" t="str">
        <f t="shared" si="4"/>
        <v>450013452830</v>
      </c>
      <c r="Q264" s="7" cm="1">
        <f t="array" ref="Q264:S264">VLOOKUP(P264,Hoja1!C:F,{2,3,4},FALSE)</f>
        <v>46249</v>
      </c>
      <c r="R264" t="str">
        <v>AGV</v>
      </c>
      <c r="S264" t="str">
        <v>1000008375 PUSSETTO SALTA S A</v>
      </c>
      <c r="T264" t="str">
        <f>VLOOKUP(P264,Hoja2!C:D,2,FALSE)</f>
        <v>ILAHORGUE</v>
      </c>
    </row>
    <row r="265" spans="1:20" x14ac:dyDescent="0.3">
      <c r="A265" s="2" t="s">
        <v>15</v>
      </c>
      <c r="B265" s="3" t="s">
        <v>15</v>
      </c>
      <c r="C265" s="3" t="s">
        <v>275</v>
      </c>
      <c r="D265" s="3" t="s">
        <v>15</v>
      </c>
      <c r="E265" s="3" t="s">
        <v>149</v>
      </c>
      <c r="F265" s="4">
        <v>46238</v>
      </c>
      <c r="G265" s="3" t="s">
        <v>50</v>
      </c>
      <c r="H265" s="6">
        <v>-59412.28</v>
      </c>
      <c r="I265" s="3" t="s">
        <v>19</v>
      </c>
      <c r="J265" s="3" t="s">
        <v>15</v>
      </c>
      <c r="K265" s="3" t="s">
        <v>15</v>
      </c>
      <c r="L265" s="3" t="s">
        <v>158</v>
      </c>
      <c r="M265" s="4">
        <v>46238</v>
      </c>
      <c r="N265" s="3" t="s">
        <v>276</v>
      </c>
      <c r="O265" s="3" t="s">
        <v>277</v>
      </c>
      <c r="P265" t="str">
        <f t="shared" si="4"/>
        <v>4500134528370</v>
      </c>
      <c r="Q265" s="7" cm="1">
        <f t="array" ref="Q265:S265">VLOOKUP(P265,Hoja1!C:F,{2,3,4},FALSE)</f>
        <v>46261</v>
      </c>
      <c r="R265" t="str">
        <v>AGV</v>
      </c>
      <c r="S265" t="str">
        <v>1000008375 PUSSETTO SALTA S A</v>
      </c>
      <c r="T265" t="str">
        <f>VLOOKUP(P265,Hoja2!C:D,2,FALSE)</f>
        <v>ILAHORGUE</v>
      </c>
    </row>
    <row r="266" spans="1:20" x14ac:dyDescent="0.3">
      <c r="A266" s="2" t="s">
        <v>15</v>
      </c>
      <c r="B266" s="3" t="s">
        <v>15</v>
      </c>
      <c r="C266" s="3" t="s">
        <v>278</v>
      </c>
      <c r="D266" s="3" t="s">
        <v>15</v>
      </c>
      <c r="E266" s="3" t="s">
        <v>149</v>
      </c>
      <c r="F266" s="4">
        <v>46240</v>
      </c>
      <c r="G266" s="3" t="s">
        <v>50</v>
      </c>
      <c r="H266" s="6">
        <v>-40284</v>
      </c>
      <c r="I266" s="3" t="s">
        <v>19</v>
      </c>
      <c r="J266" s="3" t="s">
        <v>15</v>
      </c>
      <c r="K266" s="3" t="s">
        <v>15</v>
      </c>
      <c r="L266" s="3" t="s">
        <v>279</v>
      </c>
      <c r="M266" s="4">
        <v>46240</v>
      </c>
      <c r="N266" s="3" t="s">
        <v>280</v>
      </c>
      <c r="O266" s="3" t="s">
        <v>67</v>
      </c>
      <c r="P266" t="str">
        <f t="shared" si="4"/>
        <v>4500134715170</v>
      </c>
      <c r="Q266" s="7" cm="1">
        <f t="array" ref="Q266:S266">VLOOKUP(P266,Hoja1!C:F,{2,3,4},FALSE)</f>
        <v>46240</v>
      </c>
      <c r="R266" t="str">
        <v>AGV</v>
      </c>
      <c r="S266" t="str">
        <v>1000000190 FERNANDEZ INSUA S.A.</v>
      </c>
      <c r="T266" t="str">
        <f>VLOOKUP(P266,Hoja2!C:D,2,FALSE)</f>
        <v>ILAHORGUE</v>
      </c>
    </row>
    <row r="267" spans="1:20" x14ac:dyDescent="0.3">
      <c r="A267" s="2" t="s">
        <v>15</v>
      </c>
      <c r="B267" s="3" t="s">
        <v>15</v>
      </c>
      <c r="C267" s="3" t="s">
        <v>278</v>
      </c>
      <c r="D267" s="3" t="s">
        <v>15</v>
      </c>
      <c r="E267" s="3" t="s">
        <v>149</v>
      </c>
      <c r="F267" s="4">
        <v>46240</v>
      </c>
      <c r="G267" s="3" t="s">
        <v>50</v>
      </c>
      <c r="H267" s="6">
        <v>-26856</v>
      </c>
      <c r="I267" s="3" t="s">
        <v>19</v>
      </c>
      <c r="J267" s="3" t="s">
        <v>15</v>
      </c>
      <c r="K267" s="3" t="s">
        <v>15</v>
      </c>
      <c r="L267" s="3" t="s">
        <v>279</v>
      </c>
      <c r="M267" s="4">
        <v>46240</v>
      </c>
      <c r="N267" s="3" t="s">
        <v>280</v>
      </c>
      <c r="O267" s="3" t="s">
        <v>125</v>
      </c>
      <c r="P267" t="str">
        <f t="shared" si="4"/>
        <v>4500134715180</v>
      </c>
      <c r="Q267" s="7" cm="1">
        <f t="array" ref="Q267:S267">VLOOKUP(P267,Hoja1!C:F,{2,3,4},FALSE)</f>
        <v>46240</v>
      </c>
      <c r="R267" t="str">
        <v>AGV</v>
      </c>
      <c r="S267" t="str">
        <v>1000000190 FERNANDEZ INSUA S.A.</v>
      </c>
      <c r="T267" t="str">
        <f>VLOOKUP(P267,Hoja2!C:D,2,FALSE)</f>
        <v>ILAHORGUE</v>
      </c>
    </row>
    <row r="268" spans="1:20" x14ac:dyDescent="0.3">
      <c r="A268" s="2" t="s">
        <v>15</v>
      </c>
      <c r="B268" s="3" t="s">
        <v>15</v>
      </c>
      <c r="C268" s="3" t="s">
        <v>278</v>
      </c>
      <c r="D268" s="3" t="s">
        <v>15</v>
      </c>
      <c r="E268" s="3" t="s">
        <v>149</v>
      </c>
      <c r="F268" s="4">
        <v>46240</v>
      </c>
      <c r="G268" s="3" t="s">
        <v>50</v>
      </c>
      <c r="H268" s="6">
        <v>-41776</v>
      </c>
      <c r="I268" s="3" t="s">
        <v>19</v>
      </c>
      <c r="J268" s="3" t="s">
        <v>15</v>
      </c>
      <c r="K268" s="3" t="s">
        <v>15</v>
      </c>
      <c r="L268" s="3" t="s">
        <v>279</v>
      </c>
      <c r="M268" s="4">
        <v>46240</v>
      </c>
      <c r="N268" s="3" t="s">
        <v>280</v>
      </c>
      <c r="O268" s="3" t="s">
        <v>281</v>
      </c>
      <c r="P268" t="str">
        <f t="shared" si="4"/>
        <v>45001347151340</v>
      </c>
      <c r="Q268" s="7" cm="1">
        <f t="array" ref="Q268:S268">VLOOKUP(P268,Hoja1!C:F,{2,3,4},FALSE)</f>
        <v>46240</v>
      </c>
      <c r="R268" t="str">
        <v>AGV</v>
      </c>
      <c r="S268" t="str">
        <v>1000000190 FERNANDEZ INSUA S.A.</v>
      </c>
      <c r="T268" t="str">
        <f>VLOOKUP(P268,Hoja2!C:D,2,FALSE)</f>
        <v>ILAHORGUE</v>
      </c>
    </row>
    <row r="269" spans="1:20" x14ac:dyDescent="0.3">
      <c r="A269" s="2" t="s">
        <v>15</v>
      </c>
      <c r="B269" s="3" t="s">
        <v>15</v>
      </c>
      <c r="C269" s="3" t="s">
        <v>278</v>
      </c>
      <c r="D269" s="3" t="s">
        <v>15</v>
      </c>
      <c r="E269" s="3" t="s">
        <v>149</v>
      </c>
      <c r="F269" s="4">
        <v>46240</v>
      </c>
      <c r="G269" s="3" t="s">
        <v>50</v>
      </c>
      <c r="H269" s="6">
        <v>-26856</v>
      </c>
      <c r="I269" s="3" t="s">
        <v>19</v>
      </c>
      <c r="J269" s="3" t="s">
        <v>15</v>
      </c>
      <c r="K269" s="3" t="s">
        <v>15</v>
      </c>
      <c r="L269" s="3" t="s">
        <v>279</v>
      </c>
      <c r="M269" s="4">
        <v>46240</v>
      </c>
      <c r="N269" s="3" t="s">
        <v>280</v>
      </c>
      <c r="O269" s="3" t="s">
        <v>282</v>
      </c>
      <c r="P269" t="str">
        <f t="shared" si="4"/>
        <v>45001347151350</v>
      </c>
      <c r="Q269" s="7" cm="1">
        <f t="array" ref="Q269:S269">VLOOKUP(P269,Hoja1!C:F,{2,3,4},FALSE)</f>
        <v>46240</v>
      </c>
      <c r="R269" t="str">
        <v>AGV</v>
      </c>
      <c r="S269" t="str">
        <v>1000000190 FERNANDEZ INSUA S.A.</v>
      </c>
      <c r="T269" t="str">
        <f>VLOOKUP(P269,Hoja2!C:D,2,FALSE)</f>
        <v>ILAHORGUE</v>
      </c>
    </row>
    <row r="270" spans="1:20" x14ac:dyDescent="0.3">
      <c r="A270" s="2" t="s">
        <v>15</v>
      </c>
      <c r="B270" s="3" t="s">
        <v>15</v>
      </c>
      <c r="C270" s="3" t="s">
        <v>283</v>
      </c>
      <c r="D270" s="3" t="s">
        <v>15</v>
      </c>
      <c r="E270" s="3" t="s">
        <v>149</v>
      </c>
      <c r="F270" s="4">
        <v>46244</v>
      </c>
      <c r="G270" s="3" t="s">
        <v>50</v>
      </c>
      <c r="H270" s="6">
        <v>-453719</v>
      </c>
      <c r="I270" s="3" t="s">
        <v>19</v>
      </c>
      <c r="J270" s="3" t="s">
        <v>15</v>
      </c>
      <c r="K270" s="3" t="s">
        <v>15</v>
      </c>
      <c r="L270" s="3" t="s">
        <v>284</v>
      </c>
      <c r="M270" s="4">
        <v>46244</v>
      </c>
      <c r="N270" s="3" t="s">
        <v>285</v>
      </c>
      <c r="O270" s="3" t="s">
        <v>32</v>
      </c>
      <c r="P270" t="str">
        <f t="shared" si="4"/>
        <v>450013518510</v>
      </c>
      <c r="Q270" s="7" cm="1">
        <f t="array" ref="Q270:S270">VLOOKUP(P270,Hoja1!C:F,{2,3,4},FALSE)</f>
        <v>46255</v>
      </c>
      <c r="R270" t="str">
        <v>AGV</v>
      </c>
      <c r="S270" t="str">
        <v>1000012954 AGROABESAN SRL</v>
      </c>
      <c r="T270" t="str">
        <f>VLOOKUP(P270,Hoja2!C:D,2,FALSE)</f>
        <v>ILAHORGUE</v>
      </c>
    </row>
    <row r="271" spans="1:20" x14ac:dyDescent="0.3">
      <c r="A271" s="2" t="s">
        <v>15</v>
      </c>
      <c r="B271" s="3" t="s">
        <v>15</v>
      </c>
      <c r="C271" s="3" t="s">
        <v>283</v>
      </c>
      <c r="D271" s="3" t="s">
        <v>15</v>
      </c>
      <c r="E271" s="3" t="s">
        <v>149</v>
      </c>
      <c r="F271" s="4">
        <v>46244</v>
      </c>
      <c r="G271" s="3" t="s">
        <v>50</v>
      </c>
      <c r="H271" s="6">
        <v>-36198.35</v>
      </c>
      <c r="I271" s="3" t="s">
        <v>19</v>
      </c>
      <c r="J271" s="3" t="s">
        <v>15</v>
      </c>
      <c r="K271" s="3" t="s">
        <v>15</v>
      </c>
      <c r="L271" s="3" t="s">
        <v>284</v>
      </c>
      <c r="M271" s="4">
        <v>46244</v>
      </c>
      <c r="N271" s="3" t="s">
        <v>285</v>
      </c>
      <c r="O271" s="3" t="s">
        <v>28</v>
      </c>
      <c r="P271" t="str">
        <f t="shared" si="4"/>
        <v>450013518520</v>
      </c>
      <c r="Q271" s="7" cm="1">
        <f t="array" ref="Q271:S271">VLOOKUP(P271,Hoja1!C:F,{2,3,4},FALSE)</f>
        <v>46269</v>
      </c>
      <c r="R271" t="str">
        <v>AGV</v>
      </c>
      <c r="S271" t="str">
        <v>1000012954 AGROABESAN SRL</v>
      </c>
      <c r="T271" t="str">
        <f>VLOOKUP(P271,Hoja2!C:D,2,FALSE)</f>
        <v>ILAHORGUE</v>
      </c>
    </row>
    <row r="272" spans="1:20" x14ac:dyDescent="0.3">
      <c r="A272" s="2" t="s">
        <v>15</v>
      </c>
      <c r="B272" s="3" t="s">
        <v>15</v>
      </c>
      <c r="C272" s="3" t="s">
        <v>286</v>
      </c>
      <c r="D272" s="3" t="s">
        <v>15</v>
      </c>
      <c r="E272" s="3" t="s">
        <v>149</v>
      </c>
      <c r="F272" s="4">
        <v>46244</v>
      </c>
      <c r="G272" s="3" t="s">
        <v>50</v>
      </c>
      <c r="H272" s="6">
        <v>-23532.9</v>
      </c>
      <c r="I272" s="3" t="s">
        <v>19</v>
      </c>
      <c r="J272" s="3" t="s">
        <v>15</v>
      </c>
      <c r="K272" s="3" t="s">
        <v>15</v>
      </c>
      <c r="L272" s="3" t="s">
        <v>158</v>
      </c>
      <c r="M272" s="4">
        <v>46244</v>
      </c>
      <c r="N272" s="3" t="s">
        <v>287</v>
      </c>
      <c r="O272" s="3" t="s">
        <v>32</v>
      </c>
      <c r="P272" t="str">
        <f t="shared" si="4"/>
        <v>450013515810</v>
      </c>
      <c r="Q272" s="7" cm="1">
        <f t="array" ref="Q272:S272">VLOOKUP(P272,Hoja1!C:F,{2,3,4},FALSE)</f>
        <v>46269</v>
      </c>
      <c r="R272" t="str">
        <v>AGV</v>
      </c>
      <c r="S272" t="str">
        <v>1000008375 PUSSETTO SALTA S A</v>
      </c>
      <c r="T272" t="str">
        <f>VLOOKUP(P272,Hoja2!C:D,2,FALSE)</f>
        <v>ILAHORGUE</v>
      </c>
    </row>
    <row r="273" spans="1:20" x14ac:dyDescent="0.3">
      <c r="A273" s="2" t="s">
        <v>15</v>
      </c>
      <c r="B273" s="3" t="s">
        <v>15</v>
      </c>
      <c r="C273" s="3" t="s">
        <v>286</v>
      </c>
      <c r="D273" s="3" t="s">
        <v>15</v>
      </c>
      <c r="E273" s="3" t="s">
        <v>149</v>
      </c>
      <c r="F273" s="4">
        <v>46244</v>
      </c>
      <c r="G273" s="3" t="s">
        <v>50</v>
      </c>
      <c r="H273" s="6">
        <v>-9453.49</v>
      </c>
      <c r="I273" s="3" t="s">
        <v>19</v>
      </c>
      <c r="J273" s="3" t="s">
        <v>15</v>
      </c>
      <c r="K273" s="3" t="s">
        <v>15</v>
      </c>
      <c r="L273" s="3" t="s">
        <v>158</v>
      </c>
      <c r="M273" s="4">
        <v>46244</v>
      </c>
      <c r="N273" s="3" t="s">
        <v>287</v>
      </c>
      <c r="O273" s="3" t="s">
        <v>28</v>
      </c>
      <c r="P273" t="str">
        <f t="shared" si="4"/>
        <v>450013515820</v>
      </c>
      <c r="Q273" s="7" cm="1">
        <f t="array" ref="Q273:S273">VLOOKUP(P273,Hoja1!C:F,{2,3,4},FALSE)</f>
        <v>46269</v>
      </c>
      <c r="R273" t="str">
        <v>AGV</v>
      </c>
      <c r="S273" t="str">
        <v>1000008375 PUSSETTO SALTA S A</v>
      </c>
      <c r="T273" t="str">
        <f>VLOOKUP(P273,Hoja2!C:D,2,FALSE)</f>
        <v>ILAHORGUE</v>
      </c>
    </row>
    <row r="274" spans="1:20" x14ac:dyDescent="0.3">
      <c r="A274" s="2" t="s">
        <v>15</v>
      </c>
      <c r="B274" s="3" t="s">
        <v>15</v>
      </c>
      <c r="C274" s="3" t="s">
        <v>286</v>
      </c>
      <c r="D274" s="3" t="s">
        <v>15</v>
      </c>
      <c r="E274" s="3" t="s">
        <v>149</v>
      </c>
      <c r="F274" s="4">
        <v>46244</v>
      </c>
      <c r="G274" s="3" t="s">
        <v>50</v>
      </c>
      <c r="H274" s="6">
        <v>-24977.19</v>
      </c>
      <c r="I274" s="3" t="s">
        <v>19</v>
      </c>
      <c r="J274" s="3" t="s">
        <v>15</v>
      </c>
      <c r="K274" s="3" t="s">
        <v>15</v>
      </c>
      <c r="L274" s="3" t="s">
        <v>158</v>
      </c>
      <c r="M274" s="4">
        <v>46244</v>
      </c>
      <c r="N274" s="3" t="s">
        <v>287</v>
      </c>
      <c r="O274" s="3" t="s">
        <v>54</v>
      </c>
      <c r="P274" t="str">
        <f t="shared" si="4"/>
        <v>450013515830</v>
      </c>
      <c r="Q274" s="7" cm="1">
        <f t="array" ref="Q274:S274">VLOOKUP(P274,Hoja1!C:F,{2,3,4},FALSE)</f>
        <v>46269</v>
      </c>
      <c r="R274" t="str">
        <v>AGV</v>
      </c>
      <c r="S274" t="str">
        <v>1000008375 PUSSETTO SALTA S A</v>
      </c>
      <c r="T274" t="str">
        <f>VLOOKUP(P274,Hoja2!C:D,2,FALSE)</f>
        <v>ILAHORGUE</v>
      </c>
    </row>
    <row r="275" spans="1:20" x14ac:dyDescent="0.3">
      <c r="A275" s="2" t="s">
        <v>15</v>
      </c>
      <c r="B275" s="3" t="s">
        <v>15</v>
      </c>
      <c r="C275" s="3" t="s">
        <v>286</v>
      </c>
      <c r="D275" s="3" t="s">
        <v>15</v>
      </c>
      <c r="E275" s="3" t="s">
        <v>149</v>
      </c>
      <c r="F275" s="4">
        <v>46244</v>
      </c>
      <c r="G275" s="3" t="s">
        <v>50</v>
      </c>
      <c r="H275" s="6">
        <v>-9261.66</v>
      </c>
      <c r="I275" s="3" t="s">
        <v>19</v>
      </c>
      <c r="J275" s="3" t="s">
        <v>15</v>
      </c>
      <c r="K275" s="3" t="s">
        <v>15</v>
      </c>
      <c r="L275" s="3" t="s">
        <v>158</v>
      </c>
      <c r="M275" s="4">
        <v>46244</v>
      </c>
      <c r="N275" s="3" t="s">
        <v>287</v>
      </c>
      <c r="O275" s="3" t="s">
        <v>23</v>
      </c>
      <c r="P275" t="str">
        <f t="shared" si="4"/>
        <v>450013515840</v>
      </c>
      <c r="Q275" s="7" cm="1">
        <f t="array" ref="Q275:S275">VLOOKUP(P275,Hoja1!C:F,{2,3,4},FALSE)</f>
        <v>46269</v>
      </c>
      <c r="R275" t="str">
        <v>AGV</v>
      </c>
      <c r="S275" t="str">
        <v>1000008375 PUSSETTO SALTA S A</v>
      </c>
      <c r="T275" t="str">
        <f>VLOOKUP(P275,Hoja2!C:D,2,FALSE)</f>
        <v>ILAHORGUE</v>
      </c>
    </row>
    <row r="276" spans="1:20" x14ac:dyDescent="0.3">
      <c r="A276" s="2" t="s">
        <v>15</v>
      </c>
      <c r="B276" s="3" t="s">
        <v>15</v>
      </c>
      <c r="C276" s="3" t="s">
        <v>286</v>
      </c>
      <c r="D276" s="3" t="s">
        <v>15</v>
      </c>
      <c r="E276" s="3" t="s">
        <v>149</v>
      </c>
      <c r="F276" s="4">
        <v>46244</v>
      </c>
      <c r="G276" s="3" t="s">
        <v>50</v>
      </c>
      <c r="H276" s="6">
        <v>-30003.21</v>
      </c>
      <c r="I276" s="3" t="s">
        <v>19</v>
      </c>
      <c r="J276" s="3" t="s">
        <v>15</v>
      </c>
      <c r="K276" s="3" t="s">
        <v>15</v>
      </c>
      <c r="L276" s="3" t="s">
        <v>158</v>
      </c>
      <c r="M276" s="4">
        <v>46244</v>
      </c>
      <c r="N276" s="3" t="s">
        <v>287</v>
      </c>
      <c r="O276" s="3" t="s">
        <v>55</v>
      </c>
      <c r="P276" t="str">
        <f t="shared" si="4"/>
        <v>450013515850</v>
      </c>
      <c r="Q276" s="7" cm="1">
        <f t="array" ref="Q276:S276">VLOOKUP(P276,Hoja1!C:F,{2,3,4},FALSE)</f>
        <v>46269</v>
      </c>
      <c r="R276" t="str">
        <v>AGV</v>
      </c>
      <c r="S276" t="str">
        <v>1000008375 PUSSETTO SALTA S A</v>
      </c>
      <c r="T276" t="str">
        <f>VLOOKUP(P276,Hoja2!C:D,2,FALSE)</f>
        <v>ILAHORGUE</v>
      </c>
    </row>
    <row r="277" spans="1:20" x14ac:dyDescent="0.3">
      <c r="A277" s="2" t="s">
        <v>15</v>
      </c>
      <c r="B277" s="3" t="s">
        <v>15</v>
      </c>
      <c r="C277" s="3" t="s">
        <v>288</v>
      </c>
      <c r="D277" s="3" t="s">
        <v>15</v>
      </c>
      <c r="E277" s="3" t="s">
        <v>149</v>
      </c>
      <c r="F277" s="4">
        <v>46246</v>
      </c>
      <c r="G277" s="3" t="s">
        <v>50</v>
      </c>
      <c r="H277" s="6">
        <v>-31404.959999999999</v>
      </c>
      <c r="I277" s="3" t="s">
        <v>19</v>
      </c>
      <c r="J277" s="3" t="s">
        <v>15</v>
      </c>
      <c r="K277" s="3" t="s">
        <v>15</v>
      </c>
      <c r="L277" s="3" t="s">
        <v>176</v>
      </c>
      <c r="M277" s="4">
        <v>46246</v>
      </c>
      <c r="N277" s="3" t="s">
        <v>289</v>
      </c>
      <c r="O277" s="3" t="s">
        <v>32</v>
      </c>
      <c r="P277" t="str">
        <f t="shared" si="4"/>
        <v>450013530710</v>
      </c>
      <c r="Q277" s="7" cm="1">
        <f t="array" ref="Q277:S277">VLOOKUP(P277,Hoja1!C:F,{2,3,4},FALSE)</f>
        <v>46254</v>
      </c>
      <c r="R277" t="str">
        <v>AGV</v>
      </c>
      <c r="S277" t="str">
        <v>1000012165 EXENI LUIS ENRIQUE</v>
      </c>
      <c r="T277" t="str">
        <f>VLOOKUP(P277,Hoja2!C:D,2,FALSE)</f>
        <v>ILAHORGUE</v>
      </c>
    </row>
    <row r="278" spans="1:20" x14ac:dyDescent="0.3">
      <c r="A278" s="2" t="s">
        <v>15</v>
      </c>
      <c r="B278" s="3" t="s">
        <v>15</v>
      </c>
      <c r="C278" s="3" t="s">
        <v>288</v>
      </c>
      <c r="D278" s="3" t="s">
        <v>15</v>
      </c>
      <c r="E278" s="3" t="s">
        <v>149</v>
      </c>
      <c r="F278" s="4">
        <v>46246</v>
      </c>
      <c r="G278" s="3" t="s">
        <v>50</v>
      </c>
      <c r="H278" s="6">
        <v>-4958.68</v>
      </c>
      <c r="I278" s="3" t="s">
        <v>19</v>
      </c>
      <c r="J278" s="3" t="s">
        <v>15</v>
      </c>
      <c r="K278" s="3" t="s">
        <v>15</v>
      </c>
      <c r="L278" s="3" t="s">
        <v>176</v>
      </c>
      <c r="M278" s="4">
        <v>46246</v>
      </c>
      <c r="N278" s="3" t="s">
        <v>289</v>
      </c>
      <c r="O278" s="3" t="s">
        <v>28</v>
      </c>
      <c r="P278" t="str">
        <f t="shared" si="4"/>
        <v>450013530720</v>
      </c>
      <c r="Q278" s="7" cm="1">
        <f t="array" ref="Q278:S278">VLOOKUP(P278,Hoja1!C:F,{2,3,4},FALSE)</f>
        <v>46269</v>
      </c>
      <c r="R278" t="str">
        <v>AGV</v>
      </c>
      <c r="S278" t="str">
        <v>1000012165 EXENI LUIS ENRIQUE</v>
      </c>
      <c r="T278" t="str">
        <f>VLOOKUP(P278,Hoja2!C:D,2,FALSE)</f>
        <v>ILAHORGUE</v>
      </c>
    </row>
    <row r="279" spans="1:20" x14ac:dyDescent="0.3">
      <c r="A279" s="2" t="s">
        <v>15</v>
      </c>
      <c r="B279" s="3" t="s">
        <v>15</v>
      </c>
      <c r="C279" s="3" t="s">
        <v>288</v>
      </c>
      <c r="D279" s="3" t="s">
        <v>15</v>
      </c>
      <c r="E279" s="3" t="s">
        <v>149</v>
      </c>
      <c r="F279" s="4">
        <v>46246</v>
      </c>
      <c r="G279" s="3" t="s">
        <v>50</v>
      </c>
      <c r="H279" s="6">
        <v>-15702.48</v>
      </c>
      <c r="I279" s="3" t="s">
        <v>19</v>
      </c>
      <c r="J279" s="3" t="s">
        <v>15</v>
      </c>
      <c r="K279" s="3" t="s">
        <v>15</v>
      </c>
      <c r="L279" s="3" t="s">
        <v>176</v>
      </c>
      <c r="M279" s="4">
        <v>46246</v>
      </c>
      <c r="N279" s="3" t="s">
        <v>289</v>
      </c>
      <c r="O279" s="3" t="s">
        <v>54</v>
      </c>
      <c r="P279" t="str">
        <f t="shared" si="4"/>
        <v>450013530730</v>
      </c>
      <c r="Q279" s="7" cm="1">
        <f t="array" ref="Q279:S279">VLOOKUP(P279,Hoja1!C:F,{2,3,4},FALSE)</f>
        <v>46269</v>
      </c>
      <c r="R279" t="str">
        <v>AGV</v>
      </c>
      <c r="S279" t="str">
        <v>1000012165 EXENI LUIS ENRIQUE</v>
      </c>
      <c r="T279" t="str">
        <f>VLOOKUP(P279,Hoja2!C:D,2,FALSE)</f>
        <v>ILAHORGUE</v>
      </c>
    </row>
    <row r="280" spans="1:20" x14ac:dyDescent="0.3">
      <c r="A280" s="2" t="s">
        <v>15</v>
      </c>
      <c r="B280" s="3" t="s">
        <v>15</v>
      </c>
      <c r="C280" s="3" t="s">
        <v>290</v>
      </c>
      <c r="D280" s="3" t="s">
        <v>15</v>
      </c>
      <c r="E280" s="3" t="s">
        <v>149</v>
      </c>
      <c r="F280" s="4">
        <v>46246</v>
      </c>
      <c r="G280" s="3" t="s">
        <v>50</v>
      </c>
      <c r="H280" s="6">
        <v>-92666.96</v>
      </c>
      <c r="I280" s="3" t="s">
        <v>19</v>
      </c>
      <c r="J280" s="3" t="s">
        <v>15</v>
      </c>
      <c r="K280" s="3" t="s">
        <v>15</v>
      </c>
      <c r="L280" s="3" t="s">
        <v>224</v>
      </c>
      <c r="M280" s="4">
        <v>46246</v>
      </c>
      <c r="N280" s="3" t="s">
        <v>291</v>
      </c>
      <c r="O280" s="3" t="s">
        <v>292</v>
      </c>
      <c r="P280" t="str">
        <f t="shared" si="4"/>
        <v>45001351481290</v>
      </c>
      <c r="Q280" s="7" cm="1">
        <f t="array" ref="Q280:S280">VLOOKUP(P280,Hoja1!C:F,{2,3,4},FALSE)</f>
        <v>46246</v>
      </c>
      <c r="R280" t="str">
        <v>C29</v>
      </c>
      <c r="S280" t="str">
        <v>1000007668 TADEMAQ EQUIPOS PESADOS S.R.L.</v>
      </c>
      <c r="T280" t="str">
        <f>VLOOKUP(P280,Hoja2!C:D,2,FALSE)</f>
        <v>ILAHORGUE</v>
      </c>
    </row>
    <row r="281" spans="1:20" x14ac:dyDescent="0.3">
      <c r="A281" s="2" t="s">
        <v>15</v>
      </c>
      <c r="B281" s="3" t="s">
        <v>15</v>
      </c>
      <c r="C281" s="3" t="s">
        <v>290</v>
      </c>
      <c r="D281" s="3" t="s">
        <v>15</v>
      </c>
      <c r="E281" s="3" t="s">
        <v>149</v>
      </c>
      <c r="F281" s="4">
        <v>46246</v>
      </c>
      <c r="G281" s="3" t="s">
        <v>50</v>
      </c>
      <c r="H281" s="6">
        <v>-92666.96</v>
      </c>
      <c r="I281" s="3" t="s">
        <v>19</v>
      </c>
      <c r="J281" s="3" t="s">
        <v>15</v>
      </c>
      <c r="K281" s="3" t="s">
        <v>15</v>
      </c>
      <c r="L281" s="3" t="s">
        <v>224</v>
      </c>
      <c r="M281" s="4">
        <v>46246</v>
      </c>
      <c r="N281" s="3" t="s">
        <v>291</v>
      </c>
      <c r="O281" s="3" t="s">
        <v>293</v>
      </c>
      <c r="P281" t="str">
        <f t="shared" si="4"/>
        <v>45001351481300</v>
      </c>
      <c r="Q281" s="7" cm="1">
        <f t="array" ref="Q281:S281">VLOOKUP(P281,Hoja1!C:F,{2,3,4},FALSE)</f>
        <v>46246</v>
      </c>
      <c r="R281" t="str">
        <v>C29</v>
      </c>
      <c r="S281" t="str">
        <v>1000007668 TADEMAQ EQUIPOS PESADOS S.R.L.</v>
      </c>
      <c r="T281" t="str">
        <f>VLOOKUP(P281,Hoja2!C:D,2,FALSE)</f>
        <v>ILAHORGUE</v>
      </c>
    </row>
    <row r="282" spans="1:20" x14ac:dyDescent="0.3">
      <c r="A282" s="2" t="s">
        <v>15</v>
      </c>
      <c r="B282" s="3" t="s">
        <v>15</v>
      </c>
      <c r="C282" s="3" t="s">
        <v>290</v>
      </c>
      <c r="D282" s="3" t="s">
        <v>15</v>
      </c>
      <c r="E282" s="3" t="s">
        <v>149</v>
      </c>
      <c r="F282" s="4">
        <v>46246</v>
      </c>
      <c r="G282" s="3" t="s">
        <v>50</v>
      </c>
      <c r="H282" s="6">
        <v>-133160.46</v>
      </c>
      <c r="I282" s="3" t="s">
        <v>19</v>
      </c>
      <c r="J282" s="3" t="s">
        <v>15</v>
      </c>
      <c r="K282" s="3" t="s">
        <v>15</v>
      </c>
      <c r="L282" s="3" t="s">
        <v>224</v>
      </c>
      <c r="M282" s="4">
        <v>46246</v>
      </c>
      <c r="N282" s="3" t="s">
        <v>294</v>
      </c>
      <c r="O282" s="3" t="s">
        <v>28</v>
      </c>
      <c r="P282" t="str">
        <f t="shared" si="4"/>
        <v>450013520520</v>
      </c>
      <c r="Q282" s="7" cm="1">
        <f t="array" ref="Q282:S282">VLOOKUP(P282,Hoja1!C:F,{2,3,4},FALSE)</f>
        <v>46256</v>
      </c>
      <c r="R282" t="str">
        <v>AGV</v>
      </c>
      <c r="S282" t="str">
        <v>1000007668 TADEMAQ EQUIPOS PESADOS S.R.L.</v>
      </c>
      <c r="T282" t="str">
        <f>VLOOKUP(P282,Hoja2!C:D,2,FALSE)</f>
        <v>ILAHORGUE</v>
      </c>
    </row>
    <row r="283" spans="1:20" x14ac:dyDescent="0.3">
      <c r="A283" s="2" t="s">
        <v>15</v>
      </c>
      <c r="B283" s="3" t="s">
        <v>15</v>
      </c>
      <c r="C283" s="3" t="s">
        <v>290</v>
      </c>
      <c r="D283" s="3" t="s">
        <v>15</v>
      </c>
      <c r="E283" s="3" t="s">
        <v>149</v>
      </c>
      <c r="F283" s="4">
        <v>46246</v>
      </c>
      <c r="G283" s="3" t="s">
        <v>50</v>
      </c>
      <c r="H283" s="6">
        <v>-101939.6</v>
      </c>
      <c r="I283" s="3" t="s">
        <v>19</v>
      </c>
      <c r="J283" s="3" t="s">
        <v>15</v>
      </c>
      <c r="K283" s="3" t="s">
        <v>15</v>
      </c>
      <c r="L283" s="3" t="s">
        <v>224</v>
      </c>
      <c r="M283" s="4">
        <v>46246</v>
      </c>
      <c r="N283" s="3" t="s">
        <v>294</v>
      </c>
      <c r="O283" s="3" t="s">
        <v>54</v>
      </c>
      <c r="P283" t="str">
        <f t="shared" si="4"/>
        <v>450013520530</v>
      </c>
      <c r="Q283" s="7" cm="1">
        <f t="array" ref="Q283:S283">VLOOKUP(P283,Hoja1!C:F,{2,3,4},FALSE)</f>
        <v>46269</v>
      </c>
      <c r="R283" t="str">
        <v>AGV</v>
      </c>
      <c r="S283" t="str">
        <v>1000007668 TADEMAQ EQUIPOS PESADOS S.R.L.</v>
      </c>
      <c r="T283" t="str">
        <f>VLOOKUP(P283,Hoja2!C:D,2,FALSE)</f>
        <v>ILAHORGUE</v>
      </c>
    </row>
    <row r="284" spans="1:20" x14ac:dyDescent="0.3">
      <c r="A284" s="2" t="s">
        <v>15</v>
      </c>
      <c r="B284" s="3" t="s">
        <v>15</v>
      </c>
      <c r="C284" s="3" t="s">
        <v>290</v>
      </c>
      <c r="D284" s="3" t="s">
        <v>15</v>
      </c>
      <c r="E284" s="3" t="s">
        <v>149</v>
      </c>
      <c r="F284" s="4">
        <v>46246</v>
      </c>
      <c r="G284" s="3" t="s">
        <v>50</v>
      </c>
      <c r="H284" s="6">
        <v>-141675.24</v>
      </c>
      <c r="I284" s="3" t="s">
        <v>19</v>
      </c>
      <c r="J284" s="3" t="s">
        <v>15</v>
      </c>
      <c r="K284" s="3" t="s">
        <v>15</v>
      </c>
      <c r="L284" s="3" t="s">
        <v>224</v>
      </c>
      <c r="M284" s="4">
        <v>46246</v>
      </c>
      <c r="N284" s="3" t="s">
        <v>294</v>
      </c>
      <c r="O284" s="3" t="s">
        <v>23</v>
      </c>
      <c r="P284" t="str">
        <f t="shared" si="4"/>
        <v>450013520540</v>
      </c>
      <c r="Q284" s="7" cm="1">
        <f t="array" ref="Q284:S284">VLOOKUP(P284,Hoja1!C:F,{2,3,4},FALSE)</f>
        <v>46269</v>
      </c>
      <c r="R284" t="str">
        <v>AGV</v>
      </c>
      <c r="S284" t="str">
        <v>1000007668 TADEMAQ EQUIPOS PESADOS S.R.L.</v>
      </c>
      <c r="T284" t="str">
        <f>VLOOKUP(P284,Hoja2!C:D,2,FALSE)</f>
        <v>ILAHORGUE</v>
      </c>
    </row>
    <row r="285" spans="1:20" x14ac:dyDescent="0.3">
      <c r="A285" s="2" t="s">
        <v>15</v>
      </c>
      <c r="B285" s="3" t="s">
        <v>15</v>
      </c>
      <c r="C285" s="3" t="s">
        <v>290</v>
      </c>
      <c r="D285" s="3" t="s">
        <v>15</v>
      </c>
      <c r="E285" s="3" t="s">
        <v>149</v>
      </c>
      <c r="F285" s="4">
        <v>46246</v>
      </c>
      <c r="G285" s="3" t="s">
        <v>50</v>
      </c>
      <c r="H285" s="6">
        <v>-60465.34</v>
      </c>
      <c r="I285" s="3" t="s">
        <v>19</v>
      </c>
      <c r="J285" s="3" t="s">
        <v>15</v>
      </c>
      <c r="K285" s="3" t="s">
        <v>15</v>
      </c>
      <c r="L285" s="3" t="s">
        <v>224</v>
      </c>
      <c r="M285" s="4">
        <v>46246</v>
      </c>
      <c r="N285" s="3" t="s">
        <v>294</v>
      </c>
      <c r="O285" s="3" t="s">
        <v>55</v>
      </c>
      <c r="P285" t="str">
        <f t="shared" si="4"/>
        <v>450013520550</v>
      </c>
      <c r="Q285" s="7" cm="1">
        <f t="array" ref="Q285:S285">VLOOKUP(P285,Hoja1!C:F,{2,3,4},FALSE)</f>
        <v>46269</v>
      </c>
      <c r="R285" t="str">
        <v>AGV</v>
      </c>
      <c r="S285" t="str">
        <v>1000007668 TADEMAQ EQUIPOS PESADOS S.R.L.</v>
      </c>
      <c r="T285" t="str">
        <f>VLOOKUP(P285,Hoja2!C:D,2,FALSE)</f>
        <v>ILAHORGUE</v>
      </c>
    </row>
    <row r="286" spans="1:20" x14ac:dyDescent="0.3">
      <c r="A286" s="2" t="s">
        <v>15</v>
      </c>
      <c r="B286" s="3" t="s">
        <v>15</v>
      </c>
      <c r="C286" s="3" t="s">
        <v>296</v>
      </c>
      <c r="D286" s="3" t="s">
        <v>25</v>
      </c>
      <c r="E286" s="3" t="s">
        <v>149</v>
      </c>
      <c r="F286" s="4">
        <v>46248</v>
      </c>
      <c r="G286" s="3" t="s">
        <v>50</v>
      </c>
      <c r="H286" s="6">
        <v>-143246.25</v>
      </c>
      <c r="I286" s="3" t="s">
        <v>19</v>
      </c>
      <c r="J286" s="3" t="s">
        <v>15</v>
      </c>
      <c r="K286" s="3" t="s">
        <v>15</v>
      </c>
      <c r="L286" s="3" t="s">
        <v>244</v>
      </c>
      <c r="M286" s="4">
        <v>46248</v>
      </c>
      <c r="N286" s="3" t="s">
        <v>297</v>
      </c>
      <c r="O286" s="3" t="s">
        <v>23</v>
      </c>
      <c r="P286" t="str">
        <f t="shared" si="4"/>
        <v>450013561940</v>
      </c>
      <c r="Q286" s="7" cm="1">
        <f t="array" ref="Q286:S286">VLOOKUP(P286,Hoja1!C:F,{2,3,4},FALSE)</f>
        <v>46251</v>
      </c>
      <c r="R286" t="str">
        <v>C35</v>
      </c>
      <c r="S286" t="str">
        <v>1000003040 LOPEZ DIESEL S.A.</v>
      </c>
      <c r="T286" t="str">
        <f>VLOOKUP(P286,Hoja2!C:D,2,FALSE)</f>
        <v>FSOTO</v>
      </c>
    </row>
    <row r="287" spans="1:20" x14ac:dyDescent="0.3">
      <c r="A287" s="2" t="s">
        <v>15</v>
      </c>
      <c r="B287" s="3" t="s">
        <v>15</v>
      </c>
      <c r="C287" s="3" t="s">
        <v>299</v>
      </c>
      <c r="D287" s="3" t="s">
        <v>15</v>
      </c>
      <c r="E287" s="3" t="s">
        <v>149</v>
      </c>
      <c r="F287" s="4">
        <v>46253</v>
      </c>
      <c r="G287" s="3" t="s">
        <v>50</v>
      </c>
      <c r="H287" s="6">
        <v>-25062.74</v>
      </c>
      <c r="I287" s="3" t="s">
        <v>19</v>
      </c>
      <c r="J287" s="3" t="s">
        <v>15</v>
      </c>
      <c r="K287" s="3" t="s">
        <v>15</v>
      </c>
      <c r="L287" s="3" t="s">
        <v>158</v>
      </c>
      <c r="M287" s="4">
        <v>46253</v>
      </c>
      <c r="N287" s="3" t="s">
        <v>300</v>
      </c>
      <c r="O287" s="3" t="s">
        <v>32</v>
      </c>
      <c r="P287" t="str">
        <f t="shared" si="4"/>
        <v>450013593010</v>
      </c>
      <c r="Q287" s="7" cm="1">
        <f t="array" ref="Q287:S287">VLOOKUP(P287,Hoja1!C:F,{2,3,4},FALSE)</f>
        <v>46269</v>
      </c>
      <c r="R287" t="str">
        <v>AGV</v>
      </c>
      <c r="S287" t="str">
        <v>1000008375 PUSSETTO SALTA S A</v>
      </c>
      <c r="T287" t="str">
        <f>VLOOKUP(P287,Hoja2!C:D,2,FALSE)</f>
        <v>ILAHORGUE</v>
      </c>
    </row>
    <row r="288" spans="1:20" x14ac:dyDescent="0.3">
      <c r="A288" s="2" t="s">
        <v>15</v>
      </c>
      <c r="B288" s="3" t="s">
        <v>15</v>
      </c>
      <c r="C288" s="3" t="s">
        <v>302</v>
      </c>
      <c r="D288" s="3" t="s">
        <v>25</v>
      </c>
      <c r="E288" s="3" t="s">
        <v>149</v>
      </c>
      <c r="F288" s="4">
        <v>46254</v>
      </c>
      <c r="G288" s="3" t="s">
        <v>50</v>
      </c>
      <c r="H288" s="6">
        <v>-488490.5</v>
      </c>
      <c r="I288" s="3" t="s">
        <v>19</v>
      </c>
      <c r="J288" s="3" t="s">
        <v>15</v>
      </c>
      <c r="K288" s="3" t="s">
        <v>15</v>
      </c>
      <c r="L288" s="3" t="s">
        <v>303</v>
      </c>
      <c r="M288" s="4">
        <v>46254</v>
      </c>
      <c r="N288" s="3" t="s">
        <v>304</v>
      </c>
      <c r="O288" s="3" t="s">
        <v>32</v>
      </c>
      <c r="P288" t="str">
        <f t="shared" si="4"/>
        <v>450013613310</v>
      </c>
      <c r="Q288" s="7" cm="1">
        <f t="array" ref="Q288:S288">VLOOKUP(P288,Hoja1!C:F,{2,3,4},FALSE)</f>
        <v>46258</v>
      </c>
      <c r="R288" t="str">
        <v>C35</v>
      </c>
      <c r="S288" t="str">
        <v>1000010436 BINTEC S. R. L.</v>
      </c>
      <c r="T288" t="str">
        <f>VLOOKUP(P288,Hoja2!C:D,2,FALSE)</f>
        <v>FSOTO</v>
      </c>
    </row>
    <row r="289" spans="1:20" x14ac:dyDescent="0.3">
      <c r="A289" s="2" t="s">
        <v>15</v>
      </c>
      <c r="B289" s="3" t="s">
        <v>15</v>
      </c>
      <c r="C289" s="3" t="s">
        <v>305</v>
      </c>
      <c r="D289" s="3" t="s">
        <v>15</v>
      </c>
      <c r="E289" s="3" t="s">
        <v>149</v>
      </c>
      <c r="F289" s="4">
        <v>46248</v>
      </c>
      <c r="G289" s="3" t="s">
        <v>50</v>
      </c>
      <c r="H289" s="6">
        <v>-193401</v>
      </c>
      <c r="I289" s="3" t="s">
        <v>19</v>
      </c>
      <c r="J289" s="3" t="s">
        <v>15</v>
      </c>
      <c r="K289" s="3" t="s">
        <v>15</v>
      </c>
      <c r="L289" s="3" t="s">
        <v>260</v>
      </c>
      <c r="M289" s="4">
        <v>46255</v>
      </c>
      <c r="N289" s="3" t="s">
        <v>306</v>
      </c>
      <c r="O289" s="3" t="s">
        <v>32</v>
      </c>
      <c r="P289" t="str">
        <f t="shared" si="4"/>
        <v>450013553510</v>
      </c>
      <c r="Q289" s="7" cm="1">
        <f t="array" ref="Q289:S289">VLOOKUP(P289,Hoja1!C:F,{2,3,4},FALSE)</f>
        <v>46275</v>
      </c>
      <c r="R289" t="str">
        <v>C29</v>
      </c>
      <c r="S289" t="str">
        <v>1000000940 MELQUI PABLO</v>
      </c>
      <c r="T289" t="str">
        <f>VLOOKUP(P289,Hoja2!C:D,2,FALSE)</f>
        <v>MFREIJOMIL</v>
      </c>
    </row>
    <row r="290" spans="1:20" x14ac:dyDescent="0.3">
      <c r="A290" s="2" t="s">
        <v>15</v>
      </c>
      <c r="B290" s="3" t="s">
        <v>15</v>
      </c>
      <c r="C290" s="3" t="s">
        <v>307</v>
      </c>
      <c r="D290" s="3" t="s">
        <v>25</v>
      </c>
      <c r="E290" s="3" t="s">
        <v>149</v>
      </c>
      <c r="F290" s="4">
        <v>46256</v>
      </c>
      <c r="G290" s="3" t="s">
        <v>50</v>
      </c>
      <c r="H290" s="6">
        <v>-239120</v>
      </c>
      <c r="I290" s="3" t="s">
        <v>19</v>
      </c>
      <c r="J290" s="3" t="s">
        <v>15</v>
      </c>
      <c r="K290" s="3" t="s">
        <v>15</v>
      </c>
      <c r="L290" s="3" t="s">
        <v>308</v>
      </c>
      <c r="M290" s="4">
        <v>46256</v>
      </c>
      <c r="N290" s="3" t="s">
        <v>309</v>
      </c>
      <c r="O290" s="3" t="s">
        <v>32</v>
      </c>
      <c r="P290" t="str">
        <f t="shared" si="4"/>
        <v>450013633610</v>
      </c>
      <c r="Q290" s="7" cm="1">
        <f t="array" ref="Q290:S290">VLOOKUP(P290,Hoja1!C:F,{2,3,4},FALSE)</f>
        <v>46269</v>
      </c>
      <c r="R290" t="str">
        <v>C01</v>
      </c>
      <c r="S290" t="str">
        <v>1000001691 LENOR SRL</v>
      </c>
      <c r="T290" t="str">
        <f>VLOOKUP(P290,Hoja2!C:D,2,FALSE)</f>
        <v>CSOSA</v>
      </c>
    </row>
    <row r="291" spans="1:20" x14ac:dyDescent="0.3">
      <c r="A291" s="2" t="s">
        <v>15</v>
      </c>
      <c r="B291" s="3" t="s">
        <v>15</v>
      </c>
      <c r="C291" s="3" t="s">
        <v>307</v>
      </c>
      <c r="D291" s="3" t="s">
        <v>25</v>
      </c>
      <c r="E291" s="3" t="s">
        <v>149</v>
      </c>
      <c r="F291" s="4">
        <v>46256</v>
      </c>
      <c r="G291" s="3" t="s">
        <v>50</v>
      </c>
      <c r="H291" s="6">
        <v>-627690</v>
      </c>
      <c r="I291" s="3" t="s">
        <v>19</v>
      </c>
      <c r="J291" s="3" t="s">
        <v>15</v>
      </c>
      <c r="K291" s="3" t="s">
        <v>15</v>
      </c>
      <c r="L291" s="3" t="s">
        <v>308</v>
      </c>
      <c r="M291" s="4">
        <v>46256</v>
      </c>
      <c r="N291" s="3" t="s">
        <v>309</v>
      </c>
      <c r="O291" s="3" t="s">
        <v>28</v>
      </c>
      <c r="P291" t="str">
        <f t="shared" si="4"/>
        <v>450013633620</v>
      </c>
      <c r="Q291" s="7" cm="1">
        <f t="array" ref="Q291:S291">VLOOKUP(P291,Hoja1!C:F,{2,3,4},FALSE)</f>
        <v>46269</v>
      </c>
      <c r="R291" t="str">
        <v>C01</v>
      </c>
      <c r="S291" t="str">
        <v>1000001691 LENOR SRL</v>
      </c>
      <c r="T291" t="str">
        <f>VLOOKUP(P291,Hoja2!C:D,2,FALSE)</f>
        <v>CSOSA</v>
      </c>
    </row>
    <row r="292" spans="1:20" x14ac:dyDescent="0.3">
      <c r="A292" s="2" t="s">
        <v>15</v>
      </c>
      <c r="B292" s="3" t="s">
        <v>15</v>
      </c>
      <c r="C292" s="3" t="s">
        <v>307</v>
      </c>
      <c r="D292" s="3" t="s">
        <v>25</v>
      </c>
      <c r="E292" s="3" t="s">
        <v>149</v>
      </c>
      <c r="F292" s="4">
        <v>46256</v>
      </c>
      <c r="G292" s="3" t="s">
        <v>50</v>
      </c>
      <c r="H292" s="6">
        <v>-80703</v>
      </c>
      <c r="I292" s="3" t="s">
        <v>19</v>
      </c>
      <c r="J292" s="3" t="s">
        <v>15</v>
      </c>
      <c r="K292" s="3" t="s">
        <v>15</v>
      </c>
      <c r="L292" s="3" t="s">
        <v>308</v>
      </c>
      <c r="M292" s="4">
        <v>46256</v>
      </c>
      <c r="N292" s="3" t="s">
        <v>309</v>
      </c>
      <c r="O292" s="3" t="s">
        <v>54</v>
      </c>
      <c r="P292" t="str">
        <f t="shared" si="4"/>
        <v>450013633630</v>
      </c>
      <c r="Q292" s="7" cm="1">
        <f t="array" ref="Q292:S292">VLOOKUP(P292,Hoja1!C:F,{2,3,4},FALSE)</f>
        <v>46269</v>
      </c>
      <c r="R292" t="str">
        <v>C01</v>
      </c>
      <c r="S292" t="str">
        <v>1000001691 LENOR SRL</v>
      </c>
      <c r="T292" t="str">
        <f>VLOOKUP(P292,Hoja2!C:D,2,FALSE)</f>
        <v>CSOSA</v>
      </c>
    </row>
    <row r="293" spans="1:20" x14ac:dyDescent="0.3">
      <c r="A293" s="2" t="s">
        <v>15</v>
      </c>
      <c r="B293" s="3" t="s">
        <v>15</v>
      </c>
      <c r="C293" s="3" t="s">
        <v>311</v>
      </c>
      <c r="D293" s="3" t="s">
        <v>25</v>
      </c>
      <c r="E293" s="3" t="s">
        <v>149</v>
      </c>
      <c r="F293" s="4">
        <v>46260</v>
      </c>
      <c r="G293" s="3" t="s">
        <v>50</v>
      </c>
      <c r="H293" s="6">
        <v>-420000</v>
      </c>
      <c r="I293" s="3" t="s">
        <v>19</v>
      </c>
      <c r="J293" s="3" t="s">
        <v>15</v>
      </c>
      <c r="K293" s="3" t="s">
        <v>15</v>
      </c>
      <c r="L293" s="3" t="s">
        <v>312</v>
      </c>
      <c r="M293" s="4">
        <v>46260</v>
      </c>
      <c r="N293" s="3" t="s">
        <v>313</v>
      </c>
      <c r="O293" s="3" t="s">
        <v>32</v>
      </c>
      <c r="P293" t="str">
        <f t="shared" si="4"/>
        <v>450013019310</v>
      </c>
      <c r="Q293" s="7" cm="1">
        <f t="array" ref="Q293:S293">VLOOKUP(P293,Hoja1!C:F,{2,3,4},FALSE)</f>
        <v>46234</v>
      </c>
      <c r="R293" t="str">
        <v>C24</v>
      </c>
      <c r="S293" t="str">
        <v>1000009147 LOGISTICA Y SERVICIOS AMBIENTALES S</v>
      </c>
      <c r="T293" t="str">
        <f>VLOOKUP(P293,Hoja2!C:D,2,FALSE)</f>
        <v>MPITTIA</v>
      </c>
    </row>
    <row r="294" spans="1:20" x14ac:dyDescent="0.3">
      <c r="A294" s="2" t="s">
        <v>15</v>
      </c>
      <c r="B294" s="3" t="s">
        <v>15</v>
      </c>
      <c r="C294" s="3" t="s">
        <v>314</v>
      </c>
      <c r="D294" s="3" t="s">
        <v>25</v>
      </c>
      <c r="E294" s="3" t="s">
        <v>149</v>
      </c>
      <c r="F294" s="4">
        <v>46260</v>
      </c>
      <c r="G294" s="3" t="s">
        <v>50</v>
      </c>
      <c r="H294" s="6">
        <v>-237201.8</v>
      </c>
      <c r="I294" s="3" t="s">
        <v>19</v>
      </c>
      <c r="J294" s="3" t="s">
        <v>15</v>
      </c>
      <c r="K294" s="3" t="s">
        <v>15</v>
      </c>
      <c r="L294" s="3" t="s">
        <v>315</v>
      </c>
      <c r="M294" s="4">
        <v>46260</v>
      </c>
      <c r="N294" s="3" t="s">
        <v>316</v>
      </c>
      <c r="O294" s="3" t="s">
        <v>32</v>
      </c>
      <c r="P294" t="str">
        <f t="shared" si="4"/>
        <v>450013656610</v>
      </c>
      <c r="Q294" s="7" cm="1">
        <f t="array" ref="Q294:S294">VLOOKUP(P294,Hoja1!C:F,{2,3,4},FALSE)</f>
        <v>46261</v>
      </c>
      <c r="R294" t="str">
        <v>C35</v>
      </c>
      <c r="S294" t="str">
        <v>1000007501 H G COMUNICACIONES S.R.L.</v>
      </c>
      <c r="T294" t="str">
        <f>VLOOKUP(P294,Hoja2!C:D,2,FALSE)</f>
        <v>FSOTO</v>
      </c>
    </row>
    <row r="295" spans="1:20" x14ac:dyDescent="0.3">
      <c r="A295" s="2" t="s">
        <v>15</v>
      </c>
      <c r="B295" s="3" t="s">
        <v>15</v>
      </c>
      <c r="C295" s="3" t="s">
        <v>317</v>
      </c>
      <c r="D295" s="3" t="s">
        <v>25</v>
      </c>
      <c r="E295" s="3" t="s">
        <v>149</v>
      </c>
      <c r="F295" s="4">
        <v>46265</v>
      </c>
      <c r="G295" s="3" t="s">
        <v>50</v>
      </c>
      <c r="H295" s="6">
        <v>-360000</v>
      </c>
      <c r="I295" s="3" t="s">
        <v>19</v>
      </c>
      <c r="J295" s="3" t="s">
        <v>15</v>
      </c>
      <c r="K295" s="3" t="s">
        <v>15</v>
      </c>
      <c r="L295" s="3" t="s">
        <v>318</v>
      </c>
      <c r="M295" s="4">
        <v>46265</v>
      </c>
      <c r="N295" s="3" t="s">
        <v>319</v>
      </c>
      <c r="O295" s="3" t="s">
        <v>32</v>
      </c>
      <c r="P295" t="str">
        <f t="shared" si="4"/>
        <v>450013683010</v>
      </c>
      <c r="Q295" s="7" cm="1">
        <f t="array" ref="Q295:S295">VLOOKUP(P295,Hoja1!C:F,{2,3,4},FALSE)</f>
        <v>46272</v>
      </c>
      <c r="R295" t="str">
        <v>C35</v>
      </c>
      <c r="S295" t="str">
        <v>1000012217 FLORES JOSE MATIAS</v>
      </c>
      <c r="T295" t="str">
        <f>VLOOKUP(P295,Hoja2!C:D,2,FALSE)</f>
        <v>FSOTO</v>
      </c>
    </row>
    <row r="296" spans="1:20" x14ac:dyDescent="0.3">
      <c r="A296" s="2" t="s">
        <v>15</v>
      </c>
      <c r="B296" s="3" t="s">
        <v>15</v>
      </c>
      <c r="C296" s="3" t="s">
        <v>317</v>
      </c>
      <c r="D296" s="3" t="s">
        <v>25</v>
      </c>
      <c r="E296" s="3" t="s">
        <v>149</v>
      </c>
      <c r="F296" s="4">
        <v>46265</v>
      </c>
      <c r="G296" s="3" t="s">
        <v>50</v>
      </c>
      <c r="H296" s="6">
        <v>-150000</v>
      </c>
      <c r="I296" s="3" t="s">
        <v>19</v>
      </c>
      <c r="J296" s="3" t="s">
        <v>15</v>
      </c>
      <c r="K296" s="3" t="s">
        <v>15</v>
      </c>
      <c r="L296" s="3" t="s">
        <v>318</v>
      </c>
      <c r="M296" s="4">
        <v>46265</v>
      </c>
      <c r="N296" s="3" t="s">
        <v>319</v>
      </c>
      <c r="O296" s="3" t="s">
        <v>88</v>
      </c>
      <c r="P296" t="str">
        <f t="shared" si="4"/>
        <v>4500136830160</v>
      </c>
      <c r="Q296" s="7" cm="1">
        <f t="array" ref="Q296:S296">VLOOKUP(P296,Hoja1!C:F,{2,3,4},FALSE)</f>
        <v>46272</v>
      </c>
      <c r="R296" t="str">
        <v>C35</v>
      </c>
      <c r="S296" t="str">
        <v>1000012217 FLORES JOSE MATIAS</v>
      </c>
      <c r="T296" t="str">
        <f>VLOOKUP(P296,Hoja2!C:D,2,FALSE)</f>
        <v>FSOTO</v>
      </c>
    </row>
    <row r="297" spans="1:20" x14ac:dyDescent="0.3">
      <c r="A297" s="2" t="s">
        <v>15</v>
      </c>
      <c r="B297" s="3" t="s">
        <v>15</v>
      </c>
      <c r="C297" s="3" t="s">
        <v>320</v>
      </c>
      <c r="D297" s="3" t="s">
        <v>15</v>
      </c>
      <c r="E297" s="3" t="s">
        <v>149</v>
      </c>
      <c r="F297" s="4">
        <v>46265</v>
      </c>
      <c r="G297" s="3" t="s">
        <v>50</v>
      </c>
      <c r="H297" s="6">
        <v>-446271.12</v>
      </c>
      <c r="I297" s="3" t="s">
        <v>19</v>
      </c>
      <c r="J297" s="3" t="s">
        <v>15</v>
      </c>
      <c r="K297" s="3" t="s">
        <v>15</v>
      </c>
      <c r="L297" s="3" t="s">
        <v>99</v>
      </c>
      <c r="M297" s="4">
        <v>46265</v>
      </c>
      <c r="N297" s="3" t="s">
        <v>321</v>
      </c>
      <c r="O297" s="3" t="s">
        <v>83</v>
      </c>
      <c r="P297" t="str">
        <f t="shared" si="4"/>
        <v>450013687890</v>
      </c>
      <c r="Q297" s="7" cm="1">
        <f t="array" ref="Q297:S297">VLOOKUP(P297,Hoja1!C:F,{2,3,4},FALSE)</f>
        <v>46270</v>
      </c>
      <c r="R297" t="str">
        <v>C29</v>
      </c>
      <c r="S297" t="str">
        <v>1000012333 GO CLEAN S.A.S.</v>
      </c>
      <c r="T297" t="str">
        <f>VLOOKUP(P297,Hoja2!C:D,2,FALSE)</f>
        <v>JPUPULIN</v>
      </c>
    </row>
    <row r="298" spans="1:20" x14ac:dyDescent="0.3">
      <c r="A298" s="2" t="s">
        <v>15</v>
      </c>
      <c r="B298" s="3" t="s">
        <v>15</v>
      </c>
      <c r="C298" s="3" t="s">
        <v>322</v>
      </c>
      <c r="D298" s="3" t="s">
        <v>25</v>
      </c>
      <c r="E298" s="3" t="s">
        <v>149</v>
      </c>
      <c r="F298" s="4">
        <v>46265</v>
      </c>
      <c r="G298" s="3" t="s">
        <v>50</v>
      </c>
      <c r="H298" s="6">
        <v>-231000</v>
      </c>
      <c r="I298" s="3" t="s">
        <v>19</v>
      </c>
      <c r="J298" s="3" t="s">
        <v>15</v>
      </c>
      <c r="K298" s="3" t="s">
        <v>15</v>
      </c>
      <c r="L298" s="3" t="s">
        <v>323</v>
      </c>
      <c r="M298" s="4">
        <v>46265</v>
      </c>
      <c r="N298" s="3" t="s">
        <v>324</v>
      </c>
      <c r="O298" s="3" t="s">
        <v>32</v>
      </c>
      <c r="P298" t="str">
        <f t="shared" si="4"/>
        <v>450013678610</v>
      </c>
      <c r="Q298" s="7" cm="1">
        <f t="array" ref="Q298:S298">VLOOKUP(P298,Hoja1!C:F,{2,3,4},FALSE)</f>
        <v>46261</v>
      </c>
      <c r="R298" t="str">
        <v>C35</v>
      </c>
      <c r="S298" t="str">
        <v>1000001560 MARADONA PRADO ISABEL MARGARIT</v>
      </c>
      <c r="T298" t="str">
        <f>VLOOKUP(P298,Hoja2!C:D,2,FALSE)</f>
        <v>FSOTO</v>
      </c>
    </row>
    <row r="299" spans="1:20" x14ac:dyDescent="0.3">
      <c r="A299" s="2" t="s">
        <v>15</v>
      </c>
      <c r="B299" s="3" t="s">
        <v>15</v>
      </c>
      <c r="C299" s="3" t="s">
        <v>322</v>
      </c>
      <c r="D299" s="3" t="s">
        <v>25</v>
      </c>
      <c r="E299" s="3" t="s">
        <v>149</v>
      </c>
      <c r="F299" s="4">
        <v>46265</v>
      </c>
      <c r="G299" s="3" t="s">
        <v>50</v>
      </c>
      <c r="H299" s="6">
        <v>-220000</v>
      </c>
      <c r="I299" s="3" t="s">
        <v>19</v>
      </c>
      <c r="J299" s="3" t="s">
        <v>15</v>
      </c>
      <c r="K299" s="3" t="s">
        <v>15</v>
      </c>
      <c r="L299" s="3" t="s">
        <v>323</v>
      </c>
      <c r="M299" s="4">
        <v>46265</v>
      </c>
      <c r="N299" s="3" t="s">
        <v>324</v>
      </c>
      <c r="O299" s="3" t="s">
        <v>28</v>
      </c>
      <c r="P299" t="str">
        <f t="shared" si="4"/>
        <v>450013678620</v>
      </c>
      <c r="Q299" s="7" cm="1">
        <f t="array" ref="Q299:S299">VLOOKUP(P299,Hoja1!C:F,{2,3,4},FALSE)</f>
        <v>46261</v>
      </c>
      <c r="R299" t="str">
        <v>C35</v>
      </c>
      <c r="S299" t="str">
        <v>1000001560 MARADONA PRADO ISABEL MARGARIT</v>
      </c>
      <c r="T299" t="str">
        <f>VLOOKUP(P299,Hoja2!C:D,2,FALSE)</f>
        <v>FSOTO</v>
      </c>
    </row>
    <row r="300" spans="1:20" x14ac:dyDescent="0.3">
      <c r="A300" s="2" t="s">
        <v>15</v>
      </c>
      <c r="B300" s="3" t="s">
        <v>15</v>
      </c>
      <c r="C300" s="3" t="s">
        <v>322</v>
      </c>
      <c r="D300" s="3" t="s">
        <v>25</v>
      </c>
      <c r="E300" s="3" t="s">
        <v>149</v>
      </c>
      <c r="F300" s="4">
        <v>46265</v>
      </c>
      <c r="G300" s="3" t="s">
        <v>50</v>
      </c>
      <c r="H300" s="6">
        <v>-604000</v>
      </c>
      <c r="I300" s="3" t="s">
        <v>19</v>
      </c>
      <c r="J300" s="3" t="s">
        <v>15</v>
      </c>
      <c r="K300" s="3" t="s">
        <v>15</v>
      </c>
      <c r="L300" s="3" t="s">
        <v>323</v>
      </c>
      <c r="M300" s="4">
        <v>46265</v>
      </c>
      <c r="N300" s="3" t="s">
        <v>324</v>
      </c>
      <c r="O300" s="3" t="s">
        <v>54</v>
      </c>
      <c r="P300" t="str">
        <f t="shared" si="4"/>
        <v>450013678630</v>
      </c>
      <c r="Q300" s="7" cm="1">
        <f t="array" ref="Q300:S300">VLOOKUP(P300,Hoja1!C:F,{2,3,4},FALSE)</f>
        <v>46261</v>
      </c>
      <c r="R300" t="str">
        <v>C35</v>
      </c>
      <c r="S300" t="str">
        <v>1000001560 MARADONA PRADO ISABEL MARGARIT</v>
      </c>
      <c r="T300" t="str">
        <f>VLOOKUP(P300,Hoja2!C:D,2,FALSE)</f>
        <v>FSOTO</v>
      </c>
    </row>
    <row r="301" spans="1:20" x14ac:dyDescent="0.3">
      <c r="A301" s="2" t="s">
        <v>15</v>
      </c>
      <c r="B301" s="3" t="s">
        <v>15</v>
      </c>
      <c r="C301" s="3" t="s">
        <v>325</v>
      </c>
      <c r="D301" s="3" t="s">
        <v>15</v>
      </c>
      <c r="E301" s="3" t="s">
        <v>149</v>
      </c>
      <c r="F301" s="4">
        <v>46266</v>
      </c>
      <c r="G301" s="3" t="s">
        <v>50</v>
      </c>
      <c r="H301" s="6">
        <v>-60651.839999999997</v>
      </c>
      <c r="I301" s="3" t="s">
        <v>19</v>
      </c>
      <c r="J301" s="3" t="s">
        <v>15</v>
      </c>
      <c r="K301" s="3" t="s">
        <v>15</v>
      </c>
      <c r="L301" s="3" t="s">
        <v>158</v>
      </c>
      <c r="M301" s="4">
        <v>46266</v>
      </c>
      <c r="N301" s="3" t="s">
        <v>326</v>
      </c>
      <c r="O301" s="3" t="s">
        <v>32</v>
      </c>
      <c r="P301" t="str">
        <f t="shared" si="4"/>
        <v>450013711910</v>
      </c>
      <c r="Q301" s="7" cm="1">
        <f t="array" ref="Q301:S301">VLOOKUP(P301,Hoja1!C:F,{2,3,4},FALSE)</f>
        <v>46289</v>
      </c>
      <c r="R301" t="str">
        <v>C03</v>
      </c>
      <c r="S301" t="str">
        <v>1000008375 PUSSETTO SALTA S A</v>
      </c>
      <c r="T301" t="str">
        <f>VLOOKUP(P301,Hoja2!C:D,2,FALSE)</f>
        <v>FBERARDO</v>
      </c>
    </row>
    <row r="302" spans="1:20" x14ac:dyDescent="0.3">
      <c r="A302" s="2" t="s">
        <v>15</v>
      </c>
      <c r="B302" s="3" t="s">
        <v>15</v>
      </c>
      <c r="C302" s="3" t="s">
        <v>327</v>
      </c>
      <c r="D302" s="3" t="s">
        <v>15</v>
      </c>
      <c r="E302" s="3" t="s">
        <v>149</v>
      </c>
      <c r="F302" s="4">
        <v>46267</v>
      </c>
      <c r="G302" s="3" t="s">
        <v>50</v>
      </c>
      <c r="H302" s="6">
        <v>-202772.57</v>
      </c>
      <c r="I302" s="3" t="s">
        <v>19</v>
      </c>
      <c r="J302" s="3" t="s">
        <v>15</v>
      </c>
      <c r="K302" s="3" t="s">
        <v>15</v>
      </c>
      <c r="L302" s="3" t="s">
        <v>153</v>
      </c>
      <c r="M302" s="4">
        <v>46267</v>
      </c>
      <c r="N302" s="3" t="s">
        <v>328</v>
      </c>
      <c r="O302" s="3" t="s">
        <v>32</v>
      </c>
      <c r="P302" t="str">
        <f t="shared" si="4"/>
        <v>450012582210</v>
      </c>
      <c r="Q302" s="7" cm="1">
        <f t="array" ref="Q302:S302">VLOOKUP(P302,Hoja1!C:F,{2,3,4},FALSE)</f>
        <v>46280</v>
      </c>
      <c r="R302" t="str">
        <v>C29</v>
      </c>
      <c r="S302" t="str">
        <v>1000000907 SERVICIOS VIALES DE STA. FE SA</v>
      </c>
      <c r="T302" t="str">
        <f>VLOOKUP(P302,Hoja2!C:D,2,FALSE)</f>
        <v>RPEREZ</v>
      </c>
    </row>
    <row r="303" spans="1:20" x14ac:dyDescent="0.3">
      <c r="A303" s="2" t="s">
        <v>15</v>
      </c>
      <c r="B303" s="3" t="s">
        <v>15</v>
      </c>
      <c r="C303" s="3" t="s">
        <v>329</v>
      </c>
      <c r="D303" s="3" t="s">
        <v>25</v>
      </c>
      <c r="E303" s="3" t="s">
        <v>149</v>
      </c>
      <c r="F303" s="4">
        <v>46267</v>
      </c>
      <c r="G303" s="3" t="s">
        <v>50</v>
      </c>
      <c r="H303" s="6">
        <v>-490262.5</v>
      </c>
      <c r="I303" s="3" t="s">
        <v>19</v>
      </c>
      <c r="J303" s="3" t="s">
        <v>15</v>
      </c>
      <c r="K303" s="3" t="s">
        <v>15</v>
      </c>
      <c r="L303" s="3" t="s">
        <v>330</v>
      </c>
      <c r="M303" s="4">
        <v>46267</v>
      </c>
      <c r="N303" s="3" t="s">
        <v>331</v>
      </c>
      <c r="O303" s="3" t="s">
        <v>32</v>
      </c>
      <c r="P303" t="str">
        <f t="shared" si="4"/>
        <v>450013415710</v>
      </c>
      <c r="Q303" s="7" cm="1">
        <f t="array" ref="Q303:S303">VLOOKUP(P303,Hoja1!C:F,{2,3,4},FALSE)</f>
        <v>46251</v>
      </c>
      <c r="R303" t="str">
        <v>C11</v>
      </c>
      <c r="S303" t="str">
        <v>1000000056 RUNCO S.A.</v>
      </c>
      <c r="T303" t="str">
        <f>VLOOKUP(P303,Hoja2!C:D,2,FALSE)</f>
        <v>PRODRIGUEZ</v>
      </c>
    </row>
    <row r="304" spans="1:20" x14ac:dyDescent="0.3">
      <c r="A304" s="2" t="s">
        <v>15</v>
      </c>
      <c r="B304" s="3" t="s">
        <v>15</v>
      </c>
      <c r="C304" s="3" t="s">
        <v>332</v>
      </c>
      <c r="D304" s="3" t="s">
        <v>15</v>
      </c>
      <c r="E304" s="3" t="s">
        <v>149</v>
      </c>
      <c r="F304" s="4">
        <v>46267</v>
      </c>
      <c r="G304" s="3" t="s">
        <v>50</v>
      </c>
      <c r="H304" s="6">
        <v>-1469421.48</v>
      </c>
      <c r="I304" s="3" t="s">
        <v>19</v>
      </c>
      <c r="J304" s="3" t="s">
        <v>15</v>
      </c>
      <c r="K304" s="3" t="s">
        <v>15</v>
      </c>
      <c r="L304" s="3" t="s">
        <v>333</v>
      </c>
      <c r="M304" s="4">
        <v>46268</v>
      </c>
      <c r="N304" s="3" t="s">
        <v>334</v>
      </c>
      <c r="O304" s="3" t="s">
        <v>32</v>
      </c>
      <c r="P304" t="str">
        <f t="shared" si="4"/>
        <v>450013224610</v>
      </c>
      <c r="Q304" s="7" cm="1">
        <f t="array" ref="Q304:S304">VLOOKUP(P304,Hoja1!C:F,{2,3,4},FALSE)</f>
        <v>46274</v>
      </c>
      <c r="R304" t="str">
        <v>C03</v>
      </c>
      <c r="S304" t="str">
        <v>1000000279 NEUMATICOS VERONA S.R.L.</v>
      </c>
      <c r="T304" t="str">
        <f>VLOOKUP(P304,Hoja2!C:D,2,FALSE)</f>
        <v>MFREIJOMIL</v>
      </c>
    </row>
    <row r="305" spans="1:20" x14ac:dyDescent="0.3">
      <c r="A305" s="2" t="s">
        <v>15</v>
      </c>
      <c r="B305" s="3" t="s">
        <v>15</v>
      </c>
      <c r="C305" s="3" t="s">
        <v>335</v>
      </c>
      <c r="D305" s="3" t="s">
        <v>15</v>
      </c>
      <c r="E305" s="3" t="s">
        <v>149</v>
      </c>
      <c r="F305" s="4">
        <v>46268</v>
      </c>
      <c r="G305" s="3" t="s">
        <v>50</v>
      </c>
      <c r="H305" s="6">
        <v>-570089.73</v>
      </c>
      <c r="I305" s="3" t="s">
        <v>19</v>
      </c>
      <c r="J305" s="3" t="s">
        <v>15</v>
      </c>
      <c r="K305" s="3" t="s">
        <v>15</v>
      </c>
      <c r="L305" s="3" t="s">
        <v>73</v>
      </c>
      <c r="M305" s="4">
        <v>46268</v>
      </c>
      <c r="N305" s="3" t="s">
        <v>336</v>
      </c>
      <c r="O305" s="3" t="s">
        <v>28</v>
      </c>
      <c r="P305" t="str">
        <f t="shared" si="4"/>
        <v>450013587020</v>
      </c>
      <c r="Q305" s="7" cm="1">
        <f t="array" ref="Q305:S305">VLOOKUP(P305,Hoja1!C:F,{2,3,4},FALSE)</f>
        <v>46276</v>
      </c>
      <c r="R305" t="str">
        <v>C28</v>
      </c>
      <c r="S305" t="str">
        <v>1000007451 FLORES CARLOS FELIPE Y OTROS S H</v>
      </c>
      <c r="T305" t="str">
        <f>VLOOKUP(P305,Hoja2!C:D,2,FALSE)</f>
        <v>GJULIANI</v>
      </c>
    </row>
    <row r="306" spans="1:20" x14ac:dyDescent="0.3">
      <c r="A306" s="2" t="s">
        <v>15</v>
      </c>
      <c r="B306" s="3" t="s">
        <v>15</v>
      </c>
      <c r="C306" s="3" t="s">
        <v>339</v>
      </c>
      <c r="D306" s="3" t="s">
        <v>15</v>
      </c>
      <c r="E306" s="3" t="s">
        <v>149</v>
      </c>
      <c r="F306" s="4">
        <v>46265</v>
      </c>
      <c r="G306" s="3" t="s">
        <v>50</v>
      </c>
      <c r="H306" s="6">
        <v>-208655.73</v>
      </c>
      <c r="I306" s="3" t="s">
        <v>19</v>
      </c>
      <c r="J306" s="3" t="s">
        <v>15</v>
      </c>
      <c r="K306" s="3" t="s">
        <v>15</v>
      </c>
      <c r="L306" s="3" t="s">
        <v>217</v>
      </c>
      <c r="M306" s="4">
        <v>46270</v>
      </c>
      <c r="N306" s="3" t="s">
        <v>255</v>
      </c>
      <c r="O306" s="3" t="s">
        <v>28</v>
      </c>
      <c r="P306" t="str">
        <f t="shared" si="4"/>
        <v>450013333620</v>
      </c>
      <c r="Q306" s="7" cm="1">
        <f t="array" ref="Q306:S306">VLOOKUP(P306,Hoja1!C:F,{2,3,4},FALSE)</f>
        <v>46274</v>
      </c>
      <c r="R306" t="str">
        <v>C03</v>
      </c>
      <c r="S306" t="str">
        <v>1000000012 IGARRETA MAQUINAS S.A.</v>
      </c>
      <c r="T306" t="str">
        <f>VLOOKUP(P306,Hoja2!C:D,2,FALSE)</f>
        <v>RPEREZ</v>
      </c>
    </row>
    <row r="307" spans="1:20" x14ac:dyDescent="0.3">
      <c r="A307" s="2" t="s">
        <v>15</v>
      </c>
      <c r="B307" s="3" t="s">
        <v>15</v>
      </c>
      <c r="C307" s="3" t="s">
        <v>340</v>
      </c>
      <c r="D307" s="3" t="s">
        <v>25</v>
      </c>
      <c r="E307" s="3" t="s">
        <v>149</v>
      </c>
      <c r="F307" s="4">
        <v>46271</v>
      </c>
      <c r="G307" s="3" t="s">
        <v>50</v>
      </c>
      <c r="H307" s="6">
        <v>-764155</v>
      </c>
      <c r="I307" s="3" t="s">
        <v>19</v>
      </c>
      <c r="J307" s="3" t="s">
        <v>15</v>
      </c>
      <c r="K307" s="3" t="s">
        <v>15</v>
      </c>
      <c r="L307" s="3" t="s">
        <v>341</v>
      </c>
      <c r="M307" s="4">
        <v>46271</v>
      </c>
      <c r="N307" s="3" t="s">
        <v>342</v>
      </c>
      <c r="O307" s="3" t="s">
        <v>32</v>
      </c>
      <c r="P307" t="str">
        <f t="shared" si="4"/>
        <v>450013271710</v>
      </c>
      <c r="Q307" s="7" cm="1">
        <f t="array" ref="Q307:S307">VLOOKUP(P307,Hoja1!C:F,{2,3,4},FALSE)</f>
        <v>46366</v>
      </c>
      <c r="R307" t="str">
        <v>C25</v>
      </c>
      <c r="S307" t="str">
        <v>1000008772 MORON ARANSAY OSCAR ALFREDO</v>
      </c>
      <c r="T307" t="str">
        <f>VLOOKUP(P307,Hoja2!C:D,2,FALSE)</f>
        <v>ALOPEZ</v>
      </c>
    </row>
    <row r="308" spans="1:20" x14ac:dyDescent="0.3">
      <c r="A308" s="2" t="s">
        <v>15</v>
      </c>
      <c r="B308" s="3" t="s">
        <v>15</v>
      </c>
      <c r="C308" s="3" t="s">
        <v>344</v>
      </c>
      <c r="D308" s="3" t="s">
        <v>15</v>
      </c>
      <c r="E308" s="3" t="s">
        <v>149</v>
      </c>
      <c r="F308" s="4">
        <v>46267</v>
      </c>
      <c r="G308" s="3" t="s">
        <v>50</v>
      </c>
      <c r="H308" s="6">
        <v>-708240</v>
      </c>
      <c r="I308" s="3" t="s">
        <v>19</v>
      </c>
      <c r="J308" s="3" t="s">
        <v>15</v>
      </c>
      <c r="K308" s="3" t="s">
        <v>15</v>
      </c>
      <c r="L308" s="3" t="s">
        <v>345</v>
      </c>
      <c r="M308" s="4">
        <v>46272</v>
      </c>
      <c r="N308" s="3" t="s">
        <v>346</v>
      </c>
      <c r="O308" s="3" t="s">
        <v>23</v>
      </c>
      <c r="P308" t="str">
        <f t="shared" si="4"/>
        <v>450013225140</v>
      </c>
      <c r="Q308" s="7" cm="1">
        <f t="array" ref="Q308:S308">VLOOKUP(P308,Hoja1!C:F,{2,3,4},FALSE)</f>
        <v>46295</v>
      </c>
      <c r="R308" t="str">
        <v>C01</v>
      </c>
      <c r="S308" t="str">
        <v>1000011153 INTEGRAL SERVICE SJ S. A. S.</v>
      </c>
      <c r="T308" t="str">
        <f>VLOOKUP(P308,Hoja2!C:D,2,FALSE)</f>
        <v>CSOSA</v>
      </c>
    </row>
    <row r="309" spans="1:20" x14ac:dyDescent="0.3">
      <c r="A309" s="2" t="s">
        <v>15</v>
      </c>
      <c r="B309" s="3" t="s">
        <v>15</v>
      </c>
      <c r="C309" s="3" t="s">
        <v>344</v>
      </c>
      <c r="D309" s="3" t="s">
        <v>15</v>
      </c>
      <c r="E309" s="3" t="s">
        <v>149</v>
      </c>
      <c r="F309" s="4">
        <v>46267</v>
      </c>
      <c r="G309" s="3" t="s">
        <v>50</v>
      </c>
      <c r="H309" s="6">
        <v>-49179</v>
      </c>
      <c r="I309" s="3" t="s">
        <v>19</v>
      </c>
      <c r="J309" s="3" t="s">
        <v>15</v>
      </c>
      <c r="K309" s="3" t="s">
        <v>15</v>
      </c>
      <c r="L309" s="3" t="s">
        <v>345</v>
      </c>
      <c r="M309" s="4">
        <v>46272</v>
      </c>
      <c r="N309" s="3" t="s">
        <v>346</v>
      </c>
      <c r="O309" s="3" t="s">
        <v>80</v>
      </c>
      <c r="P309" t="str">
        <f t="shared" si="4"/>
        <v>450013225160</v>
      </c>
      <c r="Q309" s="7" cm="1">
        <f t="array" ref="Q309:S309">VLOOKUP(P309,Hoja1!C:F,{2,3,4},FALSE)</f>
        <v>46295</v>
      </c>
      <c r="R309" t="str">
        <v>C01</v>
      </c>
      <c r="S309" t="str">
        <v>1000011153 INTEGRAL SERVICE SJ S. A. S.</v>
      </c>
      <c r="T309" t="str">
        <f>VLOOKUP(P309,Hoja2!C:D,2,FALSE)</f>
        <v>CSOSA</v>
      </c>
    </row>
    <row r="310" spans="1:20" x14ac:dyDescent="0.3">
      <c r="A310" s="2" t="s">
        <v>15</v>
      </c>
      <c r="B310" s="3" t="s">
        <v>15</v>
      </c>
      <c r="C310" s="3" t="s">
        <v>347</v>
      </c>
      <c r="D310" s="3" t="s">
        <v>15</v>
      </c>
      <c r="E310" s="3" t="s">
        <v>149</v>
      </c>
      <c r="F310" s="4">
        <v>46272</v>
      </c>
      <c r="G310" s="3" t="s">
        <v>50</v>
      </c>
      <c r="H310" s="6">
        <v>-88195.31</v>
      </c>
      <c r="I310" s="3" t="s">
        <v>19</v>
      </c>
      <c r="J310" s="3" t="s">
        <v>15</v>
      </c>
      <c r="K310" s="3" t="s">
        <v>15</v>
      </c>
      <c r="L310" s="3" t="s">
        <v>224</v>
      </c>
      <c r="M310" s="4">
        <v>46272</v>
      </c>
      <c r="N310" s="3" t="s">
        <v>348</v>
      </c>
      <c r="O310" s="3" t="s">
        <v>32</v>
      </c>
      <c r="P310" t="str">
        <f t="shared" si="4"/>
        <v>450013782710</v>
      </c>
      <c r="Q310" s="7" cm="1">
        <f t="array" ref="Q310:S310">VLOOKUP(P310,Hoja1!C:F,{2,3,4},FALSE)</f>
        <v>46275</v>
      </c>
      <c r="R310" t="str">
        <v>AGV</v>
      </c>
      <c r="S310" t="str">
        <v>1000007668 TADEMAQ EQUIPOS PESADOS S.R.L.</v>
      </c>
      <c r="T310" t="str">
        <f>VLOOKUP(P310,Hoja2!C:D,2,FALSE)</f>
        <v>ILAHORGUE</v>
      </c>
    </row>
    <row r="311" spans="1:20" x14ac:dyDescent="0.3">
      <c r="A311" s="2" t="s">
        <v>15</v>
      </c>
      <c r="B311" s="3" t="s">
        <v>15</v>
      </c>
      <c r="C311" s="3" t="s">
        <v>347</v>
      </c>
      <c r="D311" s="3" t="s">
        <v>15</v>
      </c>
      <c r="E311" s="3" t="s">
        <v>149</v>
      </c>
      <c r="F311" s="4">
        <v>46272</v>
      </c>
      <c r="G311" s="3" t="s">
        <v>50</v>
      </c>
      <c r="H311" s="6">
        <v>-44097.66</v>
      </c>
      <c r="I311" s="3" t="s">
        <v>19</v>
      </c>
      <c r="J311" s="3" t="s">
        <v>15</v>
      </c>
      <c r="K311" s="3" t="s">
        <v>15</v>
      </c>
      <c r="L311" s="3" t="s">
        <v>224</v>
      </c>
      <c r="M311" s="4">
        <v>46272</v>
      </c>
      <c r="N311" s="3" t="s">
        <v>348</v>
      </c>
      <c r="O311" s="3" t="s">
        <v>28</v>
      </c>
      <c r="P311" t="str">
        <f t="shared" si="4"/>
        <v>450013782720</v>
      </c>
      <c r="Q311" s="7" cm="1">
        <f t="array" ref="Q311:S311">VLOOKUP(P311,Hoja1!C:F,{2,3,4},FALSE)</f>
        <v>46275</v>
      </c>
      <c r="R311" t="str">
        <v>AGV</v>
      </c>
      <c r="S311" t="str">
        <v>1000007668 TADEMAQ EQUIPOS PESADOS S.R.L.</v>
      </c>
      <c r="T311" t="str">
        <f>VLOOKUP(P311,Hoja2!C:D,2,FALSE)</f>
        <v>ILAHORGUE</v>
      </c>
    </row>
    <row r="312" spans="1:20" x14ac:dyDescent="0.3">
      <c r="A312" s="2" t="s">
        <v>15</v>
      </c>
      <c r="B312" s="3" t="s">
        <v>15</v>
      </c>
      <c r="C312" s="3" t="s">
        <v>349</v>
      </c>
      <c r="D312" s="3" t="s">
        <v>15</v>
      </c>
      <c r="E312" s="3" t="s">
        <v>149</v>
      </c>
      <c r="F312" s="4">
        <v>46272</v>
      </c>
      <c r="G312" s="3" t="s">
        <v>50</v>
      </c>
      <c r="H312" s="6">
        <v>-330770</v>
      </c>
      <c r="I312" s="3" t="s">
        <v>19</v>
      </c>
      <c r="J312" s="3" t="s">
        <v>15</v>
      </c>
      <c r="K312" s="3" t="s">
        <v>15</v>
      </c>
      <c r="L312" s="3" t="s">
        <v>244</v>
      </c>
      <c r="M312" s="4">
        <v>46272</v>
      </c>
      <c r="N312" s="3" t="s">
        <v>350</v>
      </c>
      <c r="O312" s="3" t="s">
        <v>54</v>
      </c>
      <c r="P312" t="str">
        <f t="shared" si="4"/>
        <v>450013786030</v>
      </c>
      <c r="Q312" s="7" cm="1">
        <f t="array" ref="Q312:S312">VLOOKUP(P312,Hoja1!C:F,{2,3,4},FALSE)</f>
        <v>46276</v>
      </c>
      <c r="R312" t="str">
        <v>C35</v>
      </c>
      <c r="S312" t="str">
        <v>1000003040 LOPEZ DIESEL S.A.</v>
      </c>
      <c r="T312" t="str">
        <f>VLOOKUP(P312,Hoja2!C:D,2,FALSE)</f>
        <v>FSOTO</v>
      </c>
    </row>
    <row r="313" spans="1:20" x14ac:dyDescent="0.3">
      <c r="A313" s="2" t="s">
        <v>15</v>
      </c>
      <c r="B313" s="3" t="s">
        <v>15</v>
      </c>
      <c r="C313" s="3" t="s">
        <v>351</v>
      </c>
      <c r="D313" s="3" t="s">
        <v>15</v>
      </c>
      <c r="E313" s="3" t="s">
        <v>149</v>
      </c>
      <c r="F313" s="4">
        <v>46272</v>
      </c>
      <c r="G313" s="3" t="s">
        <v>50</v>
      </c>
      <c r="H313" s="6">
        <v>-969494.03</v>
      </c>
      <c r="I313" s="3" t="s">
        <v>19</v>
      </c>
      <c r="J313" s="3" t="s">
        <v>15</v>
      </c>
      <c r="K313" s="3" t="s">
        <v>15</v>
      </c>
      <c r="L313" s="3" t="s">
        <v>352</v>
      </c>
      <c r="M313" s="4">
        <v>46272</v>
      </c>
      <c r="N313" s="3" t="s">
        <v>353</v>
      </c>
      <c r="O313" s="3" t="s">
        <v>32</v>
      </c>
      <c r="P313" t="str">
        <f t="shared" si="4"/>
        <v>450013674510</v>
      </c>
      <c r="Q313" s="7" cm="1">
        <f t="array" ref="Q313:S313">VLOOKUP(P313,Hoja1!C:F,{2,3,4},FALSE)</f>
        <v>46289</v>
      </c>
      <c r="R313" t="str">
        <v>C29</v>
      </c>
      <c r="S313" t="str">
        <v>1000000038 YPF S.A.</v>
      </c>
      <c r="T313" t="str">
        <f>VLOOKUP(P313,Hoja2!C:D,2,FALSE)</f>
        <v>FBERARDO</v>
      </c>
    </row>
    <row r="314" spans="1:20" x14ac:dyDescent="0.3">
      <c r="A314" s="2" t="s">
        <v>15</v>
      </c>
      <c r="B314" s="3" t="s">
        <v>15</v>
      </c>
      <c r="C314" s="3" t="s">
        <v>351</v>
      </c>
      <c r="D314" s="3" t="s">
        <v>15</v>
      </c>
      <c r="E314" s="3" t="s">
        <v>149</v>
      </c>
      <c r="F314" s="4">
        <v>46272</v>
      </c>
      <c r="G314" s="3" t="s">
        <v>50</v>
      </c>
      <c r="H314" s="6">
        <v>-737622.58</v>
      </c>
      <c r="I314" s="3" t="s">
        <v>19</v>
      </c>
      <c r="J314" s="3" t="s">
        <v>15</v>
      </c>
      <c r="K314" s="3" t="s">
        <v>15</v>
      </c>
      <c r="L314" s="3" t="s">
        <v>352</v>
      </c>
      <c r="M314" s="4">
        <v>46272</v>
      </c>
      <c r="N314" s="3" t="s">
        <v>353</v>
      </c>
      <c r="O314" s="3" t="s">
        <v>28</v>
      </c>
      <c r="P314" t="str">
        <f t="shared" si="4"/>
        <v>450013674520</v>
      </c>
      <c r="Q314" s="7" cm="1">
        <f t="array" ref="Q314:S314">VLOOKUP(P314,Hoja1!C:F,{2,3,4},FALSE)</f>
        <v>46289</v>
      </c>
      <c r="R314" t="str">
        <v>C29</v>
      </c>
      <c r="S314" t="str">
        <v>1000000038 YPF S.A.</v>
      </c>
      <c r="T314" t="str">
        <f>VLOOKUP(P314,Hoja2!C:D,2,FALSE)</f>
        <v>FBERARDO</v>
      </c>
    </row>
    <row r="315" spans="1:20" x14ac:dyDescent="0.3">
      <c r="A315" s="2" t="s">
        <v>15</v>
      </c>
      <c r="B315" s="3" t="s">
        <v>15</v>
      </c>
      <c r="C315" s="3" t="s">
        <v>351</v>
      </c>
      <c r="D315" s="3" t="s">
        <v>15</v>
      </c>
      <c r="E315" s="3" t="s">
        <v>149</v>
      </c>
      <c r="F315" s="4">
        <v>46272</v>
      </c>
      <c r="G315" s="3" t="s">
        <v>50</v>
      </c>
      <c r="H315" s="6">
        <v>-1208680.74</v>
      </c>
      <c r="I315" s="3" t="s">
        <v>19</v>
      </c>
      <c r="J315" s="3" t="s">
        <v>15</v>
      </c>
      <c r="K315" s="3" t="s">
        <v>15</v>
      </c>
      <c r="L315" s="3" t="s">
        <v>352</v>
      </c>
      <c r="M315" s="4">
        <v>46272</v>
      </c>
      <c r="N315" s="3" t="s">
        <v>353</v>
      </c>
      <c r="O315" s="3" t="s">
        <v>54</v>
      </c>
      <c r="P315" t="str">
        <f t="shared" si="4"/>
        <v>450013674530</v>
      </c>
      <c r="Q315" s="7" cm="1">
        <f t="array" ref="Q315:S315">VLOOKUP(P315,Hoja1!C:F,{2,3,4},FALSE)</f>
        <v>46289</v>
      </c>
      <c r="R315" t="str">
        <v>C29</v>
      </c>
      <c r="S315" t="str">
        <v>1000000038 YPF S.A.</v>
      </c>
      <c r="T315" t="str">
        <f>VLOOKUP(P315,Hoja2!C:D,2,FALSE)</f>
        <v>FBERARDO</v>
      </c>
    </row>
    <row r="316" spans="1:20" x14ac:dyDescent="0.3">
      <c r="A316" s="2" t="s">
        <v>15</v>
      </c>
      <c r="B316" s="3" t="s">
        <v>15</v>
      </c>
      <c r="C316" s="3" t="s">
        <v>351</v>
      </c>
      <c r="D316" s="3" t="s">
        <v>15</v>
      </c>
      <c r="E316" s="3" t="s">
        <v>149</v>
      </c>
      <c r="F316" s="4">
        <v>46272</v>
      </c>
      <c r="G316" s="3" t="s">
        <v>50</v>
      </c>
      <c r="H316" s="6">
        <v>-3423191.31</v>
      </c>
      <c r="I316" s="3" t="s">
        <v>19</v>
      </c>
      <c r="J316" s="3" t="s">
        <v>15</v>
      </c>
      <c r="K316" s="3" t="s">
        <v>15</v>
      </c>
      <c r="L316" s="3" t="s">
        <v>352</v>
      </c>
      <c r="M316" s="4">
        <v>46272</v>
      </c>
      <c r="N316" s="3" t="s">
        <v>353</v>
      </c>
      <c r="O316" s="3" t="s">
        <v>23</v>
      </c>
      <c r="P316" t="str">
        <f t="shared" si="4"/>
        <v>450013674540</v>
      </c>
      <c r="Q316" s="7" cm="1">
        <f t="array" ref="Q316:S316">VLOOKUP(P316,Hoja1!C:F,{2,3,4},FALSE)</f>
        <v>46289</v>
      </c>
      <c r="R316" t="str">
        <v>C29</v>
      </c>
      <c r="S316" t="str">
        <v>1000000038 YPF S.A.</v>
      </c>
      <c r="T316" t="str">
        <f>VLOOKUP(P316,Hoja2!C:D,2,FALSE)</f>
        <v>FBERARDO</v>
      </c>
    </row>
    <row r="317" spans="1:20" x14ac:dyDescent="0.3">
      <c r="A317" s="2" t="s">
        <v>15</v>
      </c>
      <c r="B317" s="3" t="s">
        <v>15</v>
      </c>
      <c r="C317" s="3" t="s">
        <v>351</v>
      </c>
      <c r="D317" s="3" t="s">
        <v>15</v>
      </c>
      <c r="E317" s="3" t="s">
        <v>149</v>
      </c>
      <c r="F317" s="4">
        <v>46272</v>
      </c>
      <c r="G317" s="3" t="s">
        <v>50</v>
      </c>
      <c r="H317" s="6">
        <v>-3021385.41</v>
      </c>
      <c r="I317" s="3" t="s">
        <v>19</v>
      </c>
      <c r="J317" s="3" t="s">
        <v>15</v>
      </c>
      <c r="K317" s="3" t="s">
        <v>15</v>
      </c>
      <c r="L317" s="3" t="s">
        <v>352</v>
      </c>
      <c r="M317" s="4">
        <v>46272</v>
      </c>
      <c r="N317" s="3" t="s">
        <v>353</v>
      </c>
      <c r="O317" s="3" t="s">
        <v>55</v>
      </c>
      <c r="P317" t="str">
        <f t="shared" si="4"/>
        <v>450013674550</v>
      </c>
      <c r="Q317" s="7" cm="1">
        <f t="array" ref="Q317:S317">VLOOKUP(P317,Hoja1!C:F,{2,3,4},FALSE)</f>
        <v>46289</v>
      </c>
      <c r="R317" t="str">
        <v>C29</v>
      </c>
      <c r="S317" t="str">
        <v>1000000038 YPF S.A.</v>
      </c>
      <c r="T317" t="str">
        <f>VLOOKUP(P317,Hoja2!C:D,2,FALSE)</f>
        <v>FBERARDO</v>
      </c>
    </row>
    <row r="318" spans="1:20" x14ac:dyDescent="0.3">
      <c r="A318" s="2" t="s">
        <v>15</v>
      </c>
      <c r="B318" s="3" t="s">
        <v>15</v>
      </c>
      <c r="C318" s="3" t="s">
        <v>354</v>
      </c>
      <c r="D318" s="3" t="s">
        <v>15</v>
      </c>
      <c r="E318" s="3" t="s">
        <v>149</v>
      </c>
      <c r="F318" s="4">
        <v>46273</v>
      </c>
      <c r="G318" s="3" t="s">
        <v>50</v>
      </c>
      <c r="H318" s="6">
        <v>-589626.55000000005</v>
      </c>
      <c r="I318" s="3" t="s">
        <v>19</v>
      </c>
      <c r="J318" s="3" t="s">
        <v>15</v>
      </c>
      <c r="K318" s="3" t="s">
        <v>15</v>
      </c>
      <c r="L318" s="3" t="s">
        <v>62</v>
      </c>
      <c r="M318" s="4">
        <v>46273</v>
      </c>
      <c r="N318" s="3" t="s">
        <v>355</v>
      </c>
      <c r="O318" s="3" t="s">
        <v>32</v>
      </c>
      <c r="P318" t="str">
        <f t="shared" si="4"/>
        <v>450013801510</v>
      </c>
      <c r="Q318" s="7" cm="1">
        <f t="array" ref="Q318:S318">VLOOKUP(P318,Hoja1!C:F,{2,3,4},FALSE)</f>
        <v>46274</v>
      </c>
      <c r="R318" t="str">
        <v>C35</v>
      </c>
      <c r="S318" t="str">
        <v>1000000566 AUTOLUX SA</v>
      </c>
      <c r="T318" t="str">
        <f>VLOOKUP(P318,Hoja2!C:D,2,FALSE)</f>
        <v>FSOTO</v>
      </c>
    </row>
    <row r="319" spans="1:20" x14ac:dyDescent="0.3">
      <c r="A319" s="2" t="s">
        <v>15</v>
      </c>
      <c r="B319" s="3" t="s">
        <v>15</v>
      </c>
      <c r="C319" s="3" t="s">
        <v>356</v>
      </c>
      <c r="D319" s="3" t="s">
        <v>15</v>
      </c>
      <c r="E319" s="3" t="s">
        <v>149</v>
      </c>
      <c r="F319" s="4">
        <v>46273</v>
      </c>
      <c r="G319" s="3" t="s">
        <v>50</v>
      </c>
      <c r="H319" s="6">
        <v>-483471</v>
      </c>
      <c r="I319" s="3" t="s">
        <v>19</v>
      </c>
      <c r="J319" s="3" t="s">
        <v>15</v>
      </c>
      <c r="K319" s="3" t="s">
        <v>15</v>
      </c>
      <c r="L319" s="3" t="s">
        <v>99</v>
      </c>
      <c r="M319" s="4">
        <v>46273</v>
      </c>
      <c r="N319" s="3" t="s">
        <v>357</v>
      </c>
      <c r="O319" s="3" t="s">
        <v>32</v>
      </c>
      <c r="P319" t="str">
        <f t="shared" si="4"/>
        <v>450013779710</v>
      </c>
      <c r="Q319" s="7" cm="1">
        <f t="array" ref="Q319:S319">VLOOKUP(P319,Hoja1!C:F,{2,3,4},FALSE)</f>
        <v>46286</v>
      </c>
      <c r="R319" t="str">
        <v>C17</v>
      </c>
      <c r="S319" t="str">
        <v>1000012333 GO CLEAN S.A.S.</v>
      </c>
      <c r="T319" t="str">
        <f>VLOOKUP(P319,Hoja2!C:D,2,FALSE)</f>
        <v>GJULIANI</v>
      </c>
    </row>
    <row r="320" spans="1:20" x14ac:dyDescent="0.3">
      <c r="A320" s="2" t="s">
        <v>15</v>
      </c>
      <c r="B320" s="3" t="s">
        <v>15</v>
      </c>
      <c r="C320" s="3" t="s">
        <v>356</v>
      </c>
      <c r="D320" s="3" t="s">
        <v>15</v>
      </c>
      <c r="E320" s="3" t="s">
        <v>149</v>
      </c>
      <c r="F320" s="4">
        <v>46273</v>
      </c>
      <c r="G320" s="3" t="s">
        <v>50</v>
      </c>
      <c r="H320" s="6">
        <v>-371529</v>
      </c>
      <c r="I320" s="3" t="s">
        <v>19</v>
      </c>
      <c r="J320" s="3" t="s">
        <v>15</v>
      </c>
      <c r="K320" s="3" t="s">
        <v>15</v>
      </c>
      <c r="L320" s="3" t="s">
        <v>99</v>
      </c>
      <c r="M320" s="4">
        <v>46273</v>
      </c>
      <c r="N320" s="3" t="s">
        <v>357</v>
      </c>
      <c r="O320" s="3" t="s">
        <v>28</v>
      </c>
      <c r="P320" t="str">
        <f t="shared" si="4"/>
        <v>450013779720</v>
      </c>
      <c r="Q320" s="7" cm="1">
        <f t="array" ref="Q320:S320">VLOOKUP(P320,Hoja1!C:F,{2,3,4},FALSE)</f>
        <v>46286</v>
      </c>
      <c r="R320" t="str">
        <v>C17</v>
      </c>
      <c r="S320" t="str">
        <v>1000012333 GO CLEAN S.A.S.</v>
      </c>
      <c r="T320" t="str">
        <f>VLOOKUP(P320,Hoja2!C:D,2,FALSE)</f>
        <v>GJULIANI</v>
      </c>
    </row>
    <row r="321" spans="1:20" x14ac:dyDescent="0.3">
      <c r="A321" s="2" t="s">
        <v>15</v>
      </c>
      <c r="B321" s="3" t="s">
        <v>15</v>
      </c>
      <c r="C321" s="3" t="s">
        <v>356</v>
      </c>
      <c r="D321" s="3" t="s">
        <v>15</v>
      </c>
      <c r="E321" s="3" t="s">
        <v>149</v>
      </c>
      <c r="F321" s="4">
        <v>46273</v>
      </c>
      <c r="G321" s="3" t="s">
        <v>50</v>
      </c>
      <c r="H321" s="6">
        <v>-105778.48</v>
      </c>
      <c r="I321" s="3" t="s">
        <v>19</v>
      </c>
      <c r="J321" s="3" t="s">
        <v>15</v>
      </c>
      <c r="K321" s="3" t="s">
        <v>15</v>
      </c>
      <c r="L321" s="3" t="s">
        <v>99</v>
      </c>
      <c r="M321" s="4">
        <v>46273</v>
      </c>
      <c r="N321" s="3" t="s">
        <v>357</v>
      </c>
      <c r="O321" s="3" t="s">
        <v>54</v>
      </c>
      <c r="P321" t="str">
        <f t="shared" si="4"/>
        <v>450013779730</v>
      </c>
      <c r="Q321" s="7" cm="1">
        <f t="array" ref="Q321:S321">VLOOKUP(P321,Hoja1!C:F,{2,3,4},FALSE)</f>
        <v>46286</v>
      </c>
      <c r="R321" t="str">
        <v>C17</v>
      </c>
      <c r="S321" t="str">
        <v>1000012333 GO CLEAN S.A.S.</v>
      </c>
      <c r="T321" t="str">
        <f>VLOOKUP(P321,Hoja2!C:D,2,FALSE)</f>
        <v>GJULIANI</v>
      </c>
    </row>
    <row r="322" spans="1:20" x14ac:dyDescent="0.3">
      <c r="A322" s="2" t="s">
        <v>15</v>
      </c>
      <c r="B322" s="3" t="s">
        <v>15</v>
      </c>
      <c r="C322" s="3" t="s">
        <v>358</v>
      </c>
      <c r="D322" s="3" t="s">
        <v>25</v>
      </c>
      <c r="E322" s="3" t="s">
        <v>149</v>
      </c>
      <c r="F322" s="4">
        <v>46273</v>
      </c>
      <c r="G322" s="3" t="s">
        <v>50</v>
      </c>
      <c r="H322" s="6">
        <v>-3258250</v>
      </c>
      <c r="I322" s="3" t="s">
        <v>19</v>
      </c>
      <c r="J322" s="3" t="s">
        <v>15</v>
      </c>
      <c r="K322" s="3" t="s">
        <v>15</v>
      </c>
      <c r="L322" s="3" t="s">
        <v>57</v>
      </c>
      <c r="M322" s="4">
        <v>46273</v>
      </c>
      <c r="N322" s="3" t="s">
        <v>58</v>
      </c>
      <c r="O322" s="3" t="s">
        <v>23</v>
      </c>
      <c r="P322" t="str">
        <f t="shared" si="4"/>
        <v>450012757340</v>
      </c>
      <c r="Q322" s="7" cm="1">
        <f t="array" ref="Q322:S322">VLOOKUP(P322,Hoja1!C:F,{2,3,4},FALSE)</f>
        <v>46537</v>
      </c>
      <c r="R322" t="str">
        <v>C25</v>
      </c>
      <c r="S322" t="str">
        <v>1000002283 TECNICA Y SISTEMAS SRL</v>
      </c>
      <c r="T322" t="str">
        <f>VLOOKUP(P322,Hoja2!C:D,2,FALSE)</f>
        <v>MPITTIA</v>
      </c>
    </row>
    <row r="323" spans="1:20" x14ac:dyDescent="0.3">
      <c r="A323" s="2" t="s">
        <v>15</v>
      </c>
      <c r="B323" s="3" t="s">
        <v>15</v>
      </c>
      <c r="C323" s="3" t="s">
        <v>359</v>
      </c>
      <c r="D323" s="3" t="s">
        <v>15</v>
      </c>
      <c r="E323" s="3" t="s">
        <v>149</v>
      </c>
      <c r="F323" s="4">
        <v>46274</v>
      </c>
      <c r="G323" s="3" t="s">
        <v>50</v>
      </c>
      <c r="H323" s="6">
        <v>-21611.34</v>
      </c>
      <c r="I323" s="3" t="s">
        <v>19</v>
      </c>
      <c r="J323" s="3" t="s">
        <v>15</v>
      </c>
      <c r="K323" s="3" t="s">
        <v>15</v>
      </c>
      <c r="L323" s="3" t="s">
        <v>73</v>
      </c>
      <c r="M323" s="4">
        <v>46274</v>
      </c>
      <c r="N323" s="3" t="s">
        <v>360</v>
      </c>
      <c r="O323" s="3" t="s">
        <v>32</v>
      </c>
      <c r="P323" t="str">
        <f t="shared" ref="P323:P386" si="5">_xlfn.CONCAT(N323:O323)</f>
        <v>450013804710</v>
      </c>
      <c r="Q323" s="7" cm="1">
        <f t="array" ref="Q323:S323">VLOOKUP(P323,Hoja1!C:F,{2,3,4},FALSE)</f>
        <v>46276</v>
      </c>
      <c r="R323" t="str">
        <v>C27</v>
      </c>
      <c r="S323" t="str">
        <v>1000007451 FLORES CARLOS FELIPE Y OTROS S H</v>
      </c>
      <c r="T323" t="str">
        <f>VLOOKUP(P323,Hoja2!C:D,2,FALSE)</f>
        <v>PRODRIGUEZ</v>
      </c>
    </row>
    <row r="324" spans="1:20" x14ac:dyDescent="0.3">
      <c r="A324" s="2" t="s">
        <v>15</v>
      </c>
      <c r="B324" s="3" t="s">
        <v>15</v>
      </c>
      <c r="C324" s="3" t="s">
        <v>359</v>
      </c>
      <c r="D324" s="3" t="s">
        <v>15</v>
      </c>
      <c r="E324" s="3" t="s">
        <v>149</v>
      </c>
      <c r="F324" s="4">
        <v>46274</v>
      </c>
      <c r="G324" s="3" t="s">
        <v>50</v>
      </c>
      <c r="H324" s="6">
        <v>-7484.08</v>
      </c>
      <c r="I324" s="3" t="s">
        <v>19</v>
      </c>
      <c r="J324" s="3" t="s">
        <v>15</v>
      </c>
      <c r="K324" s="3" t="s">
        <v>15</v>
      </c>
      <c r="L324" s="3" t="s">
        <v>73</v>
      </c>
      <c r="M324" s="4">
        <v>46274</v>
      </c>
      <c r="N324" s="3" t="s">
        <v>360</v>
      </c>
      <c r="O324" s="3" t="s">
        <v>28</v>
      </c>
      <c r="P324" t="str">
        <f t="shared" si="5"/>
        <v>450013804720</v>
      </c>
      <c r="Q324" s="7" cm="1">
        <f t="array" ref="Q324:S324">VLOOKUP(P324,Hoja1!C:F,{2,3,4},FALSE)</f>
        <v>46276</v>
      </c>
      <c r="R324" t="str">
        <v>C27</v>
      </c>
      <c r="S324" t="str">
        <v>1000007451 FLORES CARLOS FELIPE Y OTROS S H</v>
      </c>
      <c r="T324" t="str">
        <f>VLOOKUP(P324,Hoja2!C:D,2,FALSE)</f>
        <v>PRODRIGUEZ</v>
      </c>
    </row>
    <row r="325" spans="1:20" x14ac:dyDescent="0.3">
      <c r="A325" s="2" t="s">
        <v>15</v>
      </c>
      <c r="B325" s="3" t="s">
        <v>15</v>
      </c>
      <c r="C325" s="3" t="s">
        <v>359</v>
      </c>
      <c r="D325" s="3" t="s">
        <v>15</v>
      </c>
      <c r="E325" s="3" t="s">
        <v>149</v>
      </c>
      <c r="F325" s="4">
        <v>46274</v>
      </c>
      <c r="G325" s="3" t="s">
        <v>50</v>
      </c>
      <c r="H325" s="6">
        <v>-21611.34</v>
      </c>
      <c r="I325" s="3" t="s">
        <v>19</v>
      </c>
      <c r="J325" s="3" t="s">
        <v>15</v>
      </c>
      <c r="K325" s="3" t="s">
        <v>15</v>
      </c>
      <c r="L325" s="3" t="s">
        <v>73</v>
      </c>
      <c r="M325" s="4">
        <v>46274</v>
      </c>
      <c r="N325" s="3" t="s">
        <v>360</v>
      </c>
      <c r="O325" s="3" t="s">
        <v>83</v>
      </c>
      <c r="P325" t="str">
        <f t="shared" si="5"/>
        <v>450013804790</v>
      </c>
      <c r="Q325" s="7" cm="1">
        <f t="array" ref="Q325:S325">VLOOKUP(P325,Hoja1!C:F,{2,3,4},FALSE)</f>
        <v>46276</v>
      </c>
      <c r="R325" t="str">
        <v>C27</v>
      </c>
      <c r="S325" t="str">
        <v>1000007451 FLORES CARLOS FELIPE Y OTROS S H</v>
      </c>
      <c r="T325" t="str">
        <f>VLOOKUP(P325,Hoja2!C:D,2,FALSE)</f>
        <v>PRODRIGUEZ</v>
      </c>
    </row>
    <row r="326" spans="1:20" x14ac:dyDescent="0.3">
      <c r="A326" s="2" t="s">
        <v>15</v>
      </c>
      <c r="B326" s="3" t="s">
        <v>15</v>
      </c>
      <c r="C326" s="3" t="s">
        <v>359</v>
      </c>
      <c r="D326" s="3" t="s">
        <v>25</v>
      </c>
      <c r="E326" s="3" t="s">
        <v>149</v>
      </c>
      <c r="F326" s="4">
        <v>46274</v>
      </c>
      <c r="G326" s="3" t="s">
        <v>50</v>
      </c>
      <c r="H326" s="6">
        <v>-33330</v>
      </c>
      <c r="I326" s="3" t="s">
        <v>19</v>
      </c>
      <c r="J326" s="3" t="s">
        <v>15</v>
      </c>
      <c r="K326" s="3" t="s">
        <v>15</v>
      </c>
      <c r="L326" s="3" t="s">
        <v>73</v>
      </c>
      <c r="M326" s="4">
        <v>46274</v>
      </c>
      <c r="N326" s="3" t="s">
        <v>360</v>
      </c>
      <c r="O326" s="3" t="s">
        <v>65</v>
      </c>
      <c r="P326" t="str">
        <f t="shared" si="5"/>
        <v>4500138047130</v>
      </c>
      <c r="Q326" s="7" cm="1">
        <f t="array" ref="Q326:S326">VLOOKUP(P326,Hoja1!C:F,{2,3,4},FALSE)</f>
        <v>46276</v>
      </c>
      <c r="R326" t="str">
        <v>C27</v>
      </c>
      <c r="S326" t="str">
        <v>1000007451 FLORES CARLOS FELIPE Y OTROS S H</v>
      </c>
      <c r="T326" t="str">
        <f>VLOOKUP(P326,Hoja2!C:D,2,FALSE)</f>
        <v>PRODRIGUEZ</v>
      </c>
    </row>
    <row r="327" spans="1:20" x14ac:dyDescent="0.3">
      <c r="A327" s="2" t="s">
        <v>15</v>
      </c>
      <c r="B327" s="3" t="s">
        <v>15</v>
      </c>
      <c r="C327" s="3" t="s">
        <v>361</v>
      </c>
      <c r="D327" s="3" t="s">
        <v>15</v>
      </c>
      <c r="E327" s="3" t="s">
        <v>149</v>
      </c>
      <c r="F327" s="4">
        <v>46275</v>
      </c>
      <c r="G327" s="3" t="s">
        <v>50</v>
      </c>
      <c r="H327" s="6">
        <v>-108086.16</v>
      </c>
      <c r="I327" s="3" t="s">
        <v>19</v>
      </c>
      <c r="J327" s="3" t="s">
        <v>15</v>
      </c>
      <c r="K327" s="3" t="s">
        <v>15</v>
      </c>
      <c r="L327" s="3" t="s">
        <v>189</v>
      </c>
      <c r="M327" s="4">
        <v>46275</v>
      </c>
      <c r="N327" s="3" t="s">
        <v>362</v>
      </c>
      <c r="O327" s="3" t="s">
        <v>80</v>
      </c>
      <c r="P327" t="str">
        <f t="shared" si="5"/>
        <v>450013810360</v>
      </c>
      <c r="Q327" s="7" cm="1">
        <f t="array" ref="Q327:S327">VLOOKUP(P327,Hoja1!C:F,{2,3,4},FALSE)</f>
        <v>46279</v>
      </c>
      <c r="R327" t="str">
        <v>C35</v>
      </c>
      <c r="S327" t="str">
        <v>1000007608 GRUPO H Y S S.R.L.</v>
      </c>
      <c r="T327" t="str">
        <f>VLOOKUP(P327,Hoja2!C:D,2,FALSE)</f>
        <v>FSOTO</v>
      </c>
    </row>
    <row r="328" spans="1:20" x14ac:dyDescent="0.3">
      <c r="A328" s="2" t="s">
        <v>15</v>
      </c>
      <c r="B328" s="3" t="s">
        <v>15</v>
      </c>
      <c r="C328" s="3" t="s">
        <v>363</v>
      </c>
      <c r="D328" s="3" t="s">
        <v>15</v>
      </c>
      <c r="E328" s="3" t="s">
        <v>149</v>
      </c>
      <c r="F328" s="4">
        <v>46275</v>
      </c>
      <c r="G328" s="3" t="s">
        <v>50</v>
      </c>
      <c r="H328" s="6">
        <v>-89362.98</v>
      </c>
      <c r="I328" s="3" t="s">
        <v>19</v>
      </c>
      <c r="J328" s="3" t="s">
        <v>15</v>
      </c>
      <c r="K328" s="3" t="s">
        <v>15</v>
      </c>
      <c r="L328" s="3" t="s">
        <v>257</v>
      </c>
      <c r="M328" s="4">
        <v>46275</v>
      </c>
      <c r="N328" s="3" t="s">
        <v>364</v>
      </c>
      <c r="O328" s="3" t="s">
        <v>54</v>
      </c>
      <c r="P328" t="str">
        <f t="shared" si="5"/>
        <v>450013045830</v>
      </c>
      <c r="Q328" s="7" cm="1">
        <f t="array" ref="Q328:S328">VLOOKUP(P328,Hoja1!C:F,{2,3,4},FALSE)</f>
        <v>46274</v>
      </c>
      <c r="R328" t="str">
        <v>C29</v>
      </c>
      <c r="S328" t="str">
        <v>1000000062 FINNING ARGENTINA S.A.</v>
      </c>
      <c r="T328" t="str">
        <f>VLOOKUP(P328,Hoja2!C:D,2,FALSE)</f>
        <v>RPEREZ</v>
      </c>
    </row>
    <row r="329" spans="1:20" x14ac:dyDescent="0.3">
      <c r="A329" s="2" t="s">
        <v>15</v>
      </c>
      <c r="B329" s="3" t="s">
        <v>15</v>
      </c>
      <c r="C329" s="3" t="s">
        <v>363</v>
      </c>
      <c r="D329" s="3" t="s">
        <v>15</v>
      </c>
      <c r="E329" s="3" t="s">
        <v>149</v>
      </c>
      <c r="F329" s="4">
        <v>46275</v>
      </c>
      <c r="G329" s="3" t="s">
        <v>50</v>
      </c>
      <c r="H329" s="6">
        <v>-89468.61</v>
      </c>
      <c r="I329" s="3" t="s">
        <v>19</v>
      </c>
      <c r="J329" s="3" t="s">
        <v>15</v>
      </c>
      <c r="K329" s="3" t="s">
        <v>15</v>
      </c>
      <c r="L329" s="3" t="s">
        <v>257</v>
      </c>
      <c r="M329" s="4">
        <v>46275</v>
      </c>
      <c r="N329" s="3" t="s">
        <v>258</v>
      </c>
      <c r="O329" s="3" t="s">
        <v>23</v>
      </c>
      <c r="P329" t="str">
        <f t="shared" si="5"/>
        <v>450013260840</v>
      </c>
      <c r="Q329" s="7" cm="1">
        <f t="array" ref="Q329:S329">VLOOKUP(P329,Hoja1!C:F,{2,3,4},FALSE)</f>
        <v>46280</v>
      </c>
      <c r="R329" t="str">
        <v>C03</v>
      </c>
      <c r="S329" t="str">
        <v>1000000062 FINNING ARGENTINA S.A.</v>
      </c>
      <c r="T329" t="str">
        <f>VLOOKUP(P329,Hoja2!C:D,2,FALSE)</f>
        <v>RPEREZ</v>
      </c>
    </row>
    <row r="330" spans="1:20" x14ac:dyDescent="0.3">
      <c r="A330" s="2" t="s">
        <v>15</v>
      </c>
      <c r="B330" s="3" t="s">
        <v>15</v>
      </c>
      <c r="C330" s="3" t="s">
        <v>365</v>
      </c>
      <c r="D330" s="3" t="s">
        <v>15</v>
      </c>
      <c r="E330" s="3" t="s">
        <v>149</v>
      </c>
      <c r="F330" s="4">
        <v>46275</v>
      </c>
      <c r="G330" s="3" t="s">
        <v>50</v>
      </c>
      <c r="H330" s="6">
        <v>-680991.76</v>
      </c>
      <c r="I330" s="3" t="s">
        <v>19</v>
      </c>
      <c r="J330" s="3" t="s">
        <v>15</v>
      </c>
      <c r="K330" s="3" t="s">
        <v>15</v>
      </c>
      <c r="L330" s="3" t="s">
        <v>109</v>
      </c>
      <c r="M330" s="4">
        <v>46275</v>
      </c>
      <c r="N330" s="3" t="s">
        <v>366</v>
      </c>
      <c r="O330" s="3" t="s">
        <v>32</v>
      </c>
      <c r="P330" t="str">
        <f t="shared" si="5"/>
        <v>450013818110</v>
      </c>
      <c r="Q330" s="7" cm="1">
        <f t="array" ref="Q330:S330">VLOOKUP(P330,Hoja1!C:F,{2,3,4},FALSE)</f>
        <v>46295</v>
      </c>
      <c r="R330" t="str">
        <v>AGV</v>
      </c>
      <c r="S330" t="str">
        <v>1000007719 LAROCCA SALTA NEUMATICOS S.A.</v>
      </c>
      <c r="T330" t="str">
        <f>VLOOKUP(P330,Hoja2!C:D,2,FALSE)</f>
        <v>ILAHORGUE</v>
      </c>
    </row>
    <row r="331" spans="1:20" x14ac:dyDescent="0.3">
      <c r="A331" s="2" t="s">
        <v>15</v>
      </c>
      <c r="B331" s="3" t="s">
        <v>15</v>
      </c>
      <c r="C331" s="3" t="s">
        <v>365</v>
      </c>
      <c r="D331" s="3" t="s">
        <v>15</v>
      </c>
      <c r="E331" s="3" t="s">
        <v>149</v>
      </c>
      <c r="F331" s="4">
        <v>46275</v>
      </c>
      <c r="G331" s="3" t="s">
        <v>50</v>
      </c>
      <c r="H331" s="6">
        <v>-495867.75</v>
      </c>
      <c r="I331" s="3" t="s">
        <v>19</v>
      </c>
      <c r="J331" s="3" t="s">
        <v>15</v>
      </c>
      <c r="K331" s="3" t="s">
        <v>15</v>
      </c>
      <c r="L331" s="3" t="s">
        <v>109</v>
      </c>
      <c r="M331" s="4">
        <v>46275</v>
      </c>
      <c r="N331" s="3" t="s">
        <v>366</v>
      </c>
      <c r="O331" s="3" t="s">
        <v>54</v>
      </c>
      <c r="P331" t="str">
        <f t="shared" si="5"/>
        <v>450013818130</v>
      </c>
      <c r="Q331" s="7" cm="1">
        <f t="array" ref="Q331:S331">VLOOKUP(P331,Hoja1!C:F,{2,3,4},FALSE)</f>
        <v>46295</v>
      </c>
      <c r="R331" t="str">
        <v>AGV</v>
      </c>
      <c r="S331" t="str">
        <v>1000007719 LAROCCA SALTA NEUMATICOS S.A.</v>
      </c>
      <c r="T331" t="str">
        <f>VLOOKUP(P331,Hoja2!C:D,2,FALSE)</f>
        <v>ILAHORGUE</v>
      </c>
    </row>
    <row r="332" spans="1:20" x14ac:dyDescent="0.3">
      <c r="A332" s="2" t="s">
        <v>15</v>
      </c>
      <c r="B332" s="3" t="s">
        <v>15</v>
      </c>
      <c r="C332" s="3" t="s">
        <v>367</v>
      </c>
      <c r="D332" s="3" t="s">
        <v>15</v>
      </c>
      <c r="E332" s="3" t="s">
        <v>149</v>
      </c>
      <c r="F332" s="4">
        <v>46274</v>
      </c>
      <c r="G332" s="3" t="s">
        <v>50</v>
      </c>
      <c r="H332" s="6">
        <v>-139189.29999999999</v>
      </c>
      <c r="I332" s="3" t="s">
        <v>19</v>
      </c>
      <c r="J332" s="3" t="s">
        <v>15</v>
      </c>
      <c r="K332" s="3" t="s">
        <v>15</v>
      </c>
      <c r="L332" s="3" t="s">
        <v>101</v>
      </c>
      <c r="M332" s="4">
        <v>46276</v>
      </c>
      <c r="N332" s="3" t="s">
        <v>368</v>
      </c>
      <c r="O332" s="3" t="s">
        <v>32</v>
      </c>
      <c r="P332" t="str">
        <f t="shared" si="5"/>
        <v>450013772310</v>
      </c>
      <c r="Q332" s="7" cm="1">
        <f t="array" ref="Q332:S332">VLOOKUP(P332,Hoja1!C:F,{2,3,4},FALSE)</f>
        <v>46280</v>
      </c>
      <c r="R332" t="str">
        <v>C29</v>
      </c>
      <c r="S332" t="str">
        <v>1000000561 ESCANDINAVIA DEL PLATA SA</v>
      </c>
      <c r="T332" t="str">
        <f>VLOOKUP(P332,Hoja2!C:D,2,FALSE)</f>
        <v>RPEREZ</v>
      </c>
    </row>
    <row r="333" spans="1:20" x14ac:dyDescent="0.3">
      <c r="A333" s="2" t="s">
        <v>15</v>
      </c>
      <c r="B333" s="3" t="s">
        <v>15</v>
      </c>
      <c r="C333" s="3" t="s">
        <v>367</v>
      </c>
      <c r="D333" s="3" t="s">
        <v>15</v>
      </c>
      <c r="E333" s="3" t="s">
        <v>149</v>
      </c>
      <c r="F333" s="4">
        <v>46274</v>
      </c>
      <c r="G333" s="3" t="s">
        <v>50</v>
      </c>
      <c r="H333" s="6">
        <v>-89152.35</v>
      </c>
      <c r="I333" s="3" t="s">
        <v>19</v>
      </c>
      <c r="J333" s="3" t="s">
        <v>15</v>
      </c>
      <c r="K333" s="3" t="s">
        <v>15</v>
      </c>
      <c r="L333" s="3" t="s">
        <v>101</v>
      </c>
      <c r="M333" s="4">
        <v>46276</v>
      </c>
      <c r="N333" s="3" t="s">
        <v>368</v>
      </c>
      <c r="O333" s="3" t="s">
        <v>28</v>
      </c>
      <c r="P333" t="str">
        <f t="shared" si="5"/>
        <v>450013772320</v>
      </c>
      <c r="Q333" s="7" cm="1">
        <f t="array" ref="Q333:S333">VLOOKUP(P333,Hoja1!C:F,{2,3,4},FALSE)</f>
        <v>46280</v>
      </c>
      <c r="R333" t="str">
        <v>C29</v>
      </c>
      <c r="S333" t="str">
        <v>1000000561 ESCANDINAVIA DEL PLATA SA</v>
      </c>
      <c r="T333" t="str">
        <f>VLOOKUP(P333,Hoja2!C:D,2,FALSE)</f>
        <v>RPEREZ</v>
      </c>
    </row>
    <row r="334" spans="1:20" x14ac:dyDescent="0.3">
      <c r="A334" s="2" t="s">
        <v>15</v>
      </c>
      <c r="B334" s="3" t="s">
        <v>15</v>
      </c>
      <c r="C334" s="3" t="s">
        <v>367</v>
      </c>
      <c r="D334" s="3" t="s">
        <v>15</v>
      </c>
      <c r="E334" s="3" t="s">
        <v>149</v>
      </c>
      <c r="F334" s="4">
        <v>46274</v>
      </c>
      <c r="G334" s="3" t="s">
        <v>50</v>
      </c>
      <c r="H334" s="6">
        <v>-662125.91</v>
      </c>
      <c r="I334" s="3" t="s">
        <v>19</v>
      </c>
      <c r="J334" s="3" t="s">
        <v>15</v>
      </c>
      <c r="K334" s="3" t="s">
        <v>15</v>
      </c>
      <c r="L334" s="3" t="s">
        <v>101</v>
      </c>
      <c r="M334" s="4">
        <v>46276</v>
      </c>
      <c r="N334" s="3" t="s">
        <v>368</v>
      </c>
      <c r="O334" s="3" t="s">
        <v>54</v>
      </c>
      <c r="P334" t="str">
        <f t="shared" si="5"/>
        <v>450013772330</v>
      </c>
      <c r="Q334" s="7" cm="1">
        <f t="array" ref="Q334:S334">VLOOKUP(P334,Hoja1!C:F,{2,3,4},FALSE)</f>
        <v>46280</v>
      </c>
      <c r="R334" t="str">
        <v>C29</v>
      </c>
      <c r="S334" t="str">
        <v>1000000561 ESCANDINAVIA DEL PLATA SA</v>
      </c>
      <c r="T334" t="str">
        <f>VLOOKUP(P334,Hoja2!C:D,2,FALSE)</f>
        <v>RPEREZ</v>
      </c>
    </row>
    <row r="335" spans="1:20" x14ac:dyDescent="0.3">
      <c r="A335" s="2" t="s">
        <v>15</v>
      </c>
      <c r="B335" s="3" t="s">
        <v>15</v>
      </c>
      <c r="C335" s="3" t="s">
        <v>367</v>
      </c>
      <c r="D335" s="3" t="s">
        <v>15</v>
      </c>
      <c r="E335" s="3" t="s">
        <v>149</v>
      </c>
      <c r="F335" s="4">
        <v>46274</v>
      </c>
      <c r="G335" s="3" t="s">
        <v>50</v>
      </c>
      <c r="H335" s="6">
        <v>-703504.06</v>
      </c>
      <c r="I335" s="3" t="s">
        <v>19</v>
      </c>
      <c r="J335" s="3" t="s">
        <v>15</v>
      </c>
      <c r="K335" s="3" t="s">
        <v>15</v>
      </c>
      <c r="L335" s="3" t="s">
        <v>101</v>
      </c>
      <c r="M335" s="4">
        <v>46276</v>
      </c>
      <c r="N335" s="3" t="s">
        <v>368</v>
      </c>
      <c r="O335" s="3" t="s">
        <v>23</v>
      </c>
      <c r="P335" t="str">
        <f t="shared" si="5"/>
        <v>450013772340</v>
      </c>
      <c r="Q335" s="7" cm="1">
        <f t="array" ref="Q335:S335">VLOOKUP(P335,Hoja1!C:F,{2,3,4},FALSE)</f>
        <v>46280</v>
      </c>
      <c r="R335" t="str">
        <v>C29</v>
      </c>
      <c r="S335" t="str">
        <v>1000000561 ESCANDINAVIA DEL PLATA SA</v>
      </c>
      <c r="T335" t="str">
        <f>VLOOKUP(P335,Hoja2!C:D,2,FALSE)</f>
        <v>RPEREZ</v>
      </c>
    </row>
    <row r="336" spans="1:20" x14ac:dyDescent="0.3">
      <c r="A336" s="2" t="s">
        <v>15</v>
      </c>
      <c r="B336" s="3" t="s">
        <v>15</v>
      </c>
      <c r="C336" s="3" t="s">
        <v>369</v>
      </c>
      <c r="D336" s="3" t="s">
        <v>15</v>
      </c>
      <c r="E336" s="3" t="s">
        <v>149</v>
      </c>
      <c r="F336" s="4">
        <v>46274</v>
      </c>
      <c r="G336" s="3" t="s">
        <v>50</v>
      </c>
      <c r="H336" s="6">
        <v>-253759.87</v>
      </c>
      <c r="I336" s="3" t="s">
        <v>19</v>
      </c>
      <c r="J336" s="3" t="s">
        <v>15</v>
      </c>
      <c r="K336" s="3" t="s">
        <v>15</v>
      </c>
      <c r="L336" s="3" t="s">
        <v>101</v>
      </c>
      <c r="M336" s="4">
        <v>46276</v>
      </c>
      <c r="N336" s="3" t="s">
        <v>370</v>
      </c>
      <c r="O336" s="3" t="s">
        <v>32</v>
      </c>
      <c r="P336" t="str">
        <f t="shared" si="5"/>
        <v>450013772910</v>
      </c>
      <c r="Q336" s="7" cm="1">
        <f t="array" ref="Q336:S336">VLOOKUP(P336,Hoja1!C:F,{2,3,4},FALSE)</f>
        <v>46298</v>
      </c>
      <c r="R336" t="str">
        <v>C29</v>
      </c>
      <c r="S336" t="str">
        <v>1000000561 ESCANDINAVIA DEL PLATA SA</v>
      </c>
      <c r="T336" t="str">
        <f>VLOOKUP(P336,Hoja2!C:D,2,FALSE)</f>
        <v>MFREIJOMIL</v>
      </c>
    </row>
    <row r="337" spans="1:20" x14ac:dyDescent="0.3">
      <c r="A337" s="2" t="s">
        <v>15</v>
      </c>
      <c r="B337" s="3" t="s">
        <v>15</v>
      </c>
      <c r="C337" s="3" t="s">
        <v>371</v>
      </c>
      <c r="D337" s="3" t="s">
        <v>15</v>
      </c>
      <c r="E337" s="3" t="s">
        <v>149</v>
      </c>
      <c r="F337" s="4">
        <v>46274</v>
      </c>
      <c r="G337" s="3" t="s">
        <v>50</v>
      </c>
      <c r="H337" s="6">
        <v>-192439.35</v>
      </c>
      <c r="I337" s="3" t="s">
        <v>19</v>
      </c>
      <c r="J337" s="3" t="s">
        <v>15</v>
      </c>
      <c r="K337" s="3" t="s">
        <v>15</v>
      </c>
      <c r="L337" s="3" t="s">
        <v>372</v>
      </c>
      <c r="M337" s="4">
        <v>46276</v>
      </c>
      <c r="N337" s="3" t="s">
        <v>373</v>
      </c>
      <c r="O337" s="3" t="s">
        <v>32</v>
      </c>
      <c r="P337" t="str">
        <f t="shared" si="5"/>
        <v>450013494910</v>
      </c>
      <c r="Q337" s="7" cm="1">
        <f t="array" ref="Q337:S337">VLOOKUP(P337,Hoja1!C:F,{2,3,4},FALSE)</f>
        <v>46274</v>
      </c>
      <c r="R337" t="str">
        <v>C29</v>
      </c>
      <c r="S337" t="str">
        <v>1000001871 ROMAGNOLI SILVANA LORENA</v>
      </c>
      <c r="T337" t="str">
        <f>VLOOKUP(P337,Hoja2!C:D,2,FALSE)</f>
        <v>RPEREZ</v>
      </c>
    </row>
    <row r="338" spans="1:20" x14ac:dyDescent="0.3">
      <c r="A338" s="2" t="s">
        <v>15</v>
      </c>
      <c r="B338" s="3" t="s">
        <v>15</v>
      </c>
      <c r="C338" s="3" t="s">
        <v>371</v>
      </c>
      <c r="D338" s="3" t="s">
        <v>15</v>
      </c>
      <c r="E338" s="3" t="s">
        <v>149</v>
      </c>
      <c r="F338" s="4">
        <v>46274</v>
      </c>
      <c r="G338" s="3" t="s">
        <v>50</v>
      </c>
      <c r="H338" s="6">
        <v>-76978.759999999995</v>
      </c>
      <c r="I338" s="3" t="s">
        <v>19</v>
      </c>
      <c r="J338" s="3" t="s">
        <v>15</v>
      </c>
      <c r="K338" s="3" t="s">
        <v>15</v>
      </c>
      <c r="L338" s="3" t="s">
        <v>372</v>
      </c>
      <c r="M338" s="4">
        <v>46276</v>
      </c>
      <c r="N338" s="3" t="s">
        <v>373</v>
      </c>
      <c r="O338" s="3" t="s">
        <v>28</v>
      </c>
      <c r="P338" t="str">
        <f t="shared" si="5"/>
        <v>450013494920</v>
      </c>
      <c r="Q338" s="7" cm="1">
        <f t="array" ref="Q338:S338">VLOOKUP(P338,Hoja1!C:F,{2,3,4},FALSE)</f>
        <v>46274</v>
      </c>
      <c r="R338" t="str">
        <v>C29</v>
      </c>
      <c r="S338" t="str">
        <v>1000001871 ROMAGNOLI SILVANA LORENA</v>
      </c>
      <c r="T338" t="str">
        <f>VLOOKUP(P338,Hoja2!C:D,2,FALSE)</f>
        <v>RPEREZ</v>
      </c>
    </row>
    <row r="339" spans="1:20" x14ac:dyDescent="0.3">
      <c r="A339" s="2" t="s">
        <v>15</v>
      </c>
      <c r="B339" s="3" t="s">
        <v>15</v>
      </c>
      <c r="C339" s="3" t="s">
        <v>374</v>
      </c>
      <c r="D339" s="3" t="s">
        <v>25</v>
      </c>
      <c r="E339" s="3" t="s">
        <v>149</v>
      </c>
      <c r="F339" s="4">
        <v>46276</v>
      </c>
      <c r="G339" s="3" t="s">
        <v>50</v>
      </c>
      <c r="H339" s="6">
        <v>-965440</v>
      </c>
      <c r="I339" s="3" t="s">
        <v>19</v>
      </c>
      <c r="J339" s="3" t="s">
        <v>15</v>
      </c>
      <c r="K339" s="3" t="s">
        <v>15</v>
      </c>
      <c r="L339" s="3" t="s">
        <v>70</v>
      </c>
      <c r="M339" s="4">
        <v>46276</v>
      </c>
      <c r="N339" s="3" t="s">
        <v>375</v>
      </c>
      <c r="O339" s="3" t="s">
        <v>32</v>
      </c>
      <c r="P339" t="str">
        <f t="shared" si="5"/>
        <v>450013778610</v>
      </c>
      <c r="Q339" s="7" cm="1">
        <f t="array" ref="Q339:S339">VLOOKUP(P339,Hoja1!C:F,{2,3,4},FALSE)</f>
        <v>46276</v>
      </c>
      <c r="R339" t="str">
        <v>C35</v>
      </c>
      <c r="S339" t="str">
        <v>1000011519 SALLAGO FEDERICO MIGUEL</v>
      </c>
      <c r="T339" t="str">
        <f>VLOOKUP(P339,Hoja2!C:D,2,FALSE)</f>
        <v>FSOTO</v>
      </c>
    </row>
    <row r="340" spans="1:20" x14ac:dyDescent="0.3">
      <c r="A340" s="2" t="s">
        <v>15</v>
      </c>
      <c r="B340" s="3" t="s">
        <v>15</v>
      </c>
      <c r="C340" s="3" t="s">
        <v>376</v>
      </c>
      <c r="D340" s="3" t="s">
        <v>15</v>
      </c>
      <c r="E340" s="3" t="s">
        <v>149</v>
      </c>
      <c r="F340" s="4">
        <v>46276</v>
      </c>
      <c r="G340" s="3" t="s">
        <v>50</v>
      </c>
      <c r="H340" s="6">
        <v>-1102432.23</v>
      </c>
      <c r="I340" s="3" t="s">
        <v>19</v>
      </c>
      <c r="J340" s="3" t="s">
        <v>15</v>
      </c>
      <c r="K340" s="3" t="s">
        <v>15</v>
      </c>
      <c r="L340" s="3" t="s">
        <v>377</v>
      </c>
      <c r="M340" s="4">
        <v>46276</v>
      </c>
      <c r="N340" s="3" t="s">
        <v>378</v>
      </c>
      <c r="O340" s="3" t="s">
        <v>32</v>
      </c>
      <c r="P340" t="str">
        <f t="shared" si="5"/>
        <v>450013828110</v>
      </c>
      <c r="Q340" s="7" cm="1">
        <f t="array" ref="Q340:S340">VLOOKUP(P340,Hoja1!C:F,{2,3,4},FALSE)</f>
        <v>46291</v>
      </c>
      <c r="R340" t="str">
        <v>AGV</v>
      </c>
      <c r="S340" t="str">
        <v>1000012974 BLEXA S. A.</v>
      </c>
      <c r="T340" t="str">
        <f>VLOOKUP(P340,Hoja2!C:D,2,FALSE)</f>
        <v>ILAHORGUE</v>
      </c>
    </row>
    <row r="341" spans="1:20" x14ac:dyDescent="0.3">
      <c r="A341" s="2" t="s">
        <v>15</v>
      </c>
      <c r="B341" s="3" t="s">
        <v>15</v>
      </c>
      <c r="C341" s="3" t="s">
        <v>376</v>
      </c>
      <c r="D341" s="3" t="s">
        <v>15</v>
      </c>
      <c r="E341" s="3" t="s">
        <v>149</v>
      </c>
      <c r="F341" s="4">
        <v>46276</v>
      </c>
      <c r="G341" s="3" t="s">
        <v>50</v>
      </c>
      <c r="H341" s="6">
        <v>-1102432.23</v>
      </c>
      <c r="I341" s="3" t="s">
        <v>19</v>
      </c>
      <c r="J341" s="3" t="s">
        <v>15</v>
      </c>
      <c r="K341" s="3" t="s">
        <v>15</v>
      </c>
      <c r="L341" s="3" t="s">
        <v>377</v>
      </c>
      <c r="M341" s="4">
        <v>46276</v>
      </c>
      <c r="N341" s="3" t="s">
        <v>378</v>
      </c>
      <c r="O341" s="3" t="s">
        <v>28</v>
      </c>
      <c r="P341" t="str">
        <f t="shared" si="5"/>
        <v>450013828120</v>
      </c>
      <c r="Q341" s="7" cm="1">
        <f t="array" ref="Q341:S341">VLOOKUP(P341,Hoja1!C:F,{2,3,4},FALSE)</f>
        <v>46302</v>
      </c>
      <c r="R341" t="str">
        <v>AGV</v>
      </c>
      <c r="S341" t="str">
        <v>1000012974 BLEXA S. A.</v>
      </c>
      <c r="T341" t="str">
        <f>VLOOKUP(P341,Hoja2!C:D,2,FALSE)</f>
        <v>ILAHORGUE</v>
      </c>
    </row>
    <row r="342" spans="1:20" x14ac:dyDescent="0.3">
      <c r="A342" s="2" t="s">
        <v>15</v>
      </c>
      <c r="B342" s="3" t="s">
        <v>15</v>
      </c>
      <c r="C342" s="3" t="s">
        <v>379</v>
      </c>
      <c r="D342" s="3" t="s">
        <v>15</v>
      </c>
      <c r="E342" s="3" t="s">
        <v>149</v>
      </c>
      <c r="F342" s="4">
        <v>46276</v>
      </c>
      <c r="G342" s="3" t="s">
        <v>50</v>
      </c>
      <c r="H342" s="6">
        <v>-65981.91</v>
      </c>
      <c r="I342" s="3" t="s">
        <v>19</v>
      </c>
      <c r="J342" s="3" t="s">
        <v>15</v>
      </c>
      <c r="K342" s="3" t="s">
        <v>15</v>
      </c>
      <c r="L342" s="3" t="s">
        <v>380</v>
      </c>
      <c r="M342" s="4">
        <v>46276</v>
      </c>
      <c r="N342" s="3" t="s">
        <v>381</v>
      </c>
      <c r="O342" s="3" t="s">
        <v>32</v>
      </c>
      <c r="P342" t="str">
        <f t="shared" si="5"/>
        <v>450013624010</v>
      </c>
      <c r="Q342" s="7" cm="1">
        <f t="array" ref="Q342:S342">VLOOKUP(P342,Hoja1!C:F,{2,3,4},FALSE)</f>
        <v>46258</v>
      </c>
      <c r="R342" t="str">
        <v>C35</v>
      </c>
      <c r="S342" t="str">
        <v>1000000189 POBERAJ S.A.</v>
      </c>
      <c r="T342" t="str">
        <f>VLOOKUP(P342,Hoja2!C:D,2,FALSE)</f>
        <v>FSOTO</v>
      </c>
    </row>
    <row r="343" spans="1:20" x14ac:dyDescent="0.3">
      <c r="A343" s="2" t="s">
        <v>15</v>
      </c>
      <c r="B343" s="3" t="s">
        <v>15</v>
      </c>
      <c r="C343" s="3" t="s">
        <v>382</v>
      </c>
      <c r="D343" s="3" t="s">
        <v>15</v>
      </c>
      <c r="E343" s="3" t="s">
        <v>149</v>
      </c>
      <c r="F343" s="4">
        <v>46279</v>
      </c>
      <c r="G343" s="3" t="s">
        <v>50</v>
      </c>
      <c r="H343" s="6">
        <v>-3429120</v>
      </c>
      <c r="I343" s="3" t="s">
        <v>19</v>
      </c>
      <c r="J343" s="3" t="s">
        <v>15</v>
      </c>
      <c r="K343" s="3" t="s">
        <v>15</v>
      </c>
      <c r="L343" s="3" t="s">
        <v>383</v>
      </c>
      <c r="M343" s="4">
        <v>46279</v>
      </c>
      <c r="N343" s="3" t="s">
        <v>384</v>
      </c>
      <c r="O343" s="3" t="s">
        <v>32</v>
      </c>
      <c r="P343" t="str">
        <f t="shared" si="5"/>
        <v>450013457010</v>
      </c>
      <c r="Q343" s="7" cm="1">
        <f t="array" ref="Q343:S343">VLOOKUP(P343,Hoja1!C:F,{2,3,4},FALSE)</f>
        <v>46280</v>
      </c>
      <c r="R343" t="str">
        <v>C29</v>
      </c>
      <c r="S343" t="str">
        <v>1000000125 SYLWAN S.A. BOMBAS</v>
      </c>
      <c r="T343" t="str">
        <f>VLOOKUP(P343,Hoja2!C:D,2,FALSE)</f>
        <v>MFREIJOMIL</v>
      </c>
    </row>
    <row r="344" spans="1:20" x14ac:dyDescent="0.3">
      <c r="A344" s="2" t="s">
        <v>15</v>
      </c>
      <c r="B344" s="3" t="s">
        <v>15</v>
      </c>
      <c r="C344" s="3" t="s">
        <v>385</v>
      </c>
      <c r="D344" s="3" t="s">
        <v>15</v>
      </c>
      <c r="E344" s="3" t="s">
        <v>149</v>
      </c>
      <c r="F344" s="4">
        <v>46279</v>
      </c>
      <c r="G344" s="3" t="s">
        <v>50</v>
      </c>
      <c r="H344" s="6">
        <v>-739622.06</v>
      </c>
      <c r="I344" s="3" t="s">
        <v>19</v>
      </c>
      <c r="J344" s="3" t="s">
        <v>15</v>
      </c>
      <c r="K344" s="3" t="s">
        <v>15</v>
      </c>
      <c r="L344" s="3" t="s">
        <v>217</v>
      </c>
      <c r="M344" s="4">
        <v>46279</v>
      </c>
      <c r="N344" s="3" t="s">
        <v>386</v>
      </c>
      <c r="O344" s="3" t="s">
        <v>32</v>
      </c>
      <c r="P344" t="str">
        <f t="shared" si="5"/>
        <v>450013816510</v>
      </c>
      <c r="Q344" s="7" cm="1">
        <f t="array" ref="Q344:S344">VLOOKUP(P344,Hoja1!C:F,{2,3,4},FALSE)</f>
        <v>46321</v>
      </c>
      <c r="R344" t="str">
        <v>C29</v>
      </c>
      <c r="S344" t="str">
        <v>1000000012 IGARRETA MAQUINAS S.A.</v>
      </c>
      <c r="T344" t="str">
        <f>VLOOKUP(P344,Hoja2!C:D,2,FALSE)</f>
        <v>RPEREZ</v>
      </c>
    </row>
    <row r="345" spans="1:20" x14ac:dyDescent="0.3">
      <c r="A345" s="2" t="s">
        <v>15</v>
      </c>
      <c r="B345" s="3" t="s">
        <v>15</v>
      </c>
      <c r="C345" s="3" t="s">
        <v>387</v>
      </c>
      <c r="D345" s="3" t="s">
        <v>15</v>
      </c>
      <c r="E345" s="3" t="s">
        <v>149</v>
      </c>
      <c r="F345" s="4">
        <v>46274</v>
      </c>
      <c r="G345" s="3" t="s">
        <v>50</v>
      </c>
      <c r="H345" s="6">
        <v>-232007.04000000001</v>
      </c>
      <c r="I345" s="3" t="s">
        <v>19</v>
      </c>
      <c r="J345" s="3" t="s">
        <v>15</v>
      </c>
      <c r="K345" s="3" t="s">
        <v>15</v>
      </c>
      <c r="L345" s="3" t="s">
        <v>257</v>
      </c>
      <c r="M345" s="4">
        <v>46279</v>
      </c>
      <c r="N345" s="3" t="s">
        <v>388</v>
      </c>
      <c r="O345" s="3" t="s">
        <v>55</v>
      </c>
      <c r="P345" t="str">
        <f t="shared" si="5"/>
        <v>450013660350</v>
      </c>
      <c r="Q345" s="7" cm="1">
        <f t="array" ref="Q345:S345">VLOOKUP(P345,Hoja1!C:F,{2,3,4},FALSE)</f>
        <v>46272</v>
      </c>
      <c r="R345" t="str">
        <v>C29</v>
      </c>
      <c r="S345" t="str">
        <v>1000000062 FINNING ARGENTINA S.A.</v>
      </c>
      <c r="T345" t="str">
        <f>VLOOKUP(P345,Hoja2!C:D,2,FALSE)</f>
        <v>RPEREZ</v>
      </c>
    </row>
    <row r="346" spans="1:20" x14ac:dyDescent="0.3">
      <c r="A346" s="2" t="s">
        <v>15</v>
      </c>
      <c r="B346" s="3" t="s">
        <v>15</v>
      </c>
      <c r="C346" s="3" t="s">
        <v>389</v>
      </c>
      <c r="D346" s="3" t="s">
        <v>15</v>
      </c>
      <c r="E346" s="3" t="s">
        <v>149</v>
      </c>
      <c r="F346" s="4">
        <v>46279</v>
      </c>
      <c r="G346" s="3" t="s">
        <v>50</v>
      </c>
      <c r="H346" s="6">
        <v>-4532033.0599999996</v>
      </c>
      <c r="I346" s="3" t="s">
        <v>19</v>
      </c>
      <c r="J346" s="3" t="s">
        <v>15</v>
      </c>
      <c r="K346" s="3" t="s">
        <v>15</v>
      </c>
      <c r="L346" s="3" t="s">
        <v>377</v>
      </c>
      <c r="M346" s="4">
        <v>46279</v>
      </c>
      <c r="N346" s="3" t="s">
        <v>390</v>
      </c>
      <c r="O346" s="3" t="s">
        <v>32</v>
      </c>
      <c r="P346" t="str">
        <f t="shared" si="5"/>
        <v>450013823910</v>
      </c>
      <c r="Q346" s="7" cm="1">
        <f t="array" ref="Q346:S346">VLOOKUP(P346,Hoja1!C:F,{2,3,4},FALSE)</f>
        <v>46283</v>
      </c>
      <c r="R346" t="str">
        <v>C29</v>
      </c>
      <c r="S346" t="str">
        <v>1000012974 BLEXA S. A.</v>
      </c>
      <c r="T346" t="str">
        <f>VLOOKUP(P346,Hoja2!C:D,2,FALSE)</f>
        <v>FBERARDO</v>
      </c>
    </row>
    <row r="347" spans="1:20" x14ac:dyDescent="0.3">
      <c r="A347" s="2" t="s">
        <v>15</v>
      </c>
      <c r="B347" s="3" t="s">
        <v>15</v>
      </c>
      <c r="C347" s="3" t="s">
        <v>391</v>
      </c>
      <c r="D347" s="3" t="s">
        <v>15</v>
      </c>
      <c r="E347" s="3" t="s">
        <v>149</v>
      </c>
      <c r="F347" s="4">
        <v>46279</v>
      </c>
      <c r="G347" s="3" t="s">
        <v>50</v>
      </c>
      <c r="H347" s="6">
        <v>-376000</v>
      </c>
      <c r="I347" s="3" t="s">
        <v>19</v>
      </c>
      <c r="J347" s="3" t="s">
        <v>15</v>
      </c>
      <c r="K347" s="3" t="s">
        <v>15</v>
      </c>
      <c r="L347" s="3" t="s">
        <v>224</v>
      </c>
      <c r="M347" s="4">
        <v>46279</v>
      </c>
      <c r="N347" s="3" t="s">
        <v>392</v>
      </c>
      <c r="O347" s="3" t="s">
        <v>32</v>
      </c>
      <c r="P347" t="str">
        <f t="shared" si="5"/>
        <v>450013847310</v>
      </c>
      <c r="Q347" s="7" cm="1">
        <f t="array" ref="Q347:S347">VLOOKUP(P347,Hoja1!C:F,{2,3,4},FALSE)</f>
        <v>46285</v>
      </c>
      <c r="R347" t="str">
        <v>AGV</v>
      </c>
      <c r="S347" t="str">
        <v>1000007668 TADEMAQ EQUIPOS PESADOS S.R.L.</v>
      </c>
      <c r="T347" t="str">
        <f>VLOOKUP(P347,Hoja2!C:D,2,FALSE)</f>
        <v>ILAHORGUE</v>
      </c>
    </row>
    <row r="348" spans="1:20" x14ac:dyDescent="0.3">
      <c r="A348" s="2" t="s">
        <v>15</v>
      </c>
      <c r="B348" s="3" t="s">
        <v>15</v>
      </c>
      <c r="C348" s="3" t="s">
        <v>391</v>
      </c>
      <c r="D348" s="3" t="s">
        <v>15</v>
      </c>
      <c r="E348" s="3" t="s">
        <v>149</v>
      </c>
      <c r="F348" s="4">
        <v>46279</v>
      </c>
      <c r="G348" s="3" t="s">
        <v>50</v>
      </c>
      <c r="H348" s="6">
        <v>-36998.400000000001</v>
      </c>
      <c r="I348" s="3" t="s">
        <v>19</v>
      </c>
      <c r="J348" s="3" t="s">
        <v>15</v>
      </c>
      <c r="K348" s="3" t="s">
        <v>15</v>
      </c>
      <c r="L348" s="3" t="s">
        <v>224</v>
      </c>
      <c r="M348" s="4">
        <v>46279</v>
      </c>
      <c r="N348" s="3" t="s">
        <v>392</v>
      </c>
      <c r="O348" s="3" t="s">
        <v>28</v>
      </c>
      <c r="P348" t="str">
        <f t="shared" si="5"/>
        <v>450013847320</v>
      </c>
      <c r="Q348" s="7" cm="1">
        <f t="array" ref="Q348:S348">VLOOKUP(P348,Hoja1!C:F,{2,3,4},FALSE)</f>
        <v>46285</v>
      </c>
      <c r="R348" t="str">
        <v>AGV</v>
      </c>
      <c r="S348" t="str">
        <v>1000007668 TADEMAQ EQUIPOS PESADOS S.R.L.</v>
      </c>
      <c r="T348" t="str">
        <f>VLOOKUP(P348,Hoja2!C:D,2,FALSE)</f>
        <v>ILAHORGUE</v>
      </c>
    </row>
    <row r="349" spans="1:20" x14ac:dyDescent="0.3">
      <c r="A349" s="2" t="s">
        <v>15</v>
      </c>
      <c r="B349" s="3" t="s">
        <v>15</v>
      </c>
      <c r="C349" s="3" t="s">
        <v>393</v>
      </c>
      <c r="D349" s="3" t="s">
        <v>15</v>
      </c>
      <c r="E349" s="3" t="s">
        <v>149</v>
      </c>
      <c r="F349" s="4">
        <v>46280</v>
      </c>
      <c r="G349" s="3" t="s">
        <v>50</v>
      </c>
      <c r="H349" s="6">
        <v>-799421.4</v>
      </c>
      <c r="I349" s="3" t="s">
        <v>19</v>
      </c>
      <c r="J349" s="3" t="s">
        <v>15</v>
      </c>
      <c r="K349" s="3" t="s">
        <v>15</v>
      </c>
      <c r="L349" s="3" t="s">
        <v>394</v>
      </c>
      <c r="M349" s="4">
        <v>46280</v>
      </c>
      <c r="N349" s="3" t="s">
        <v>395</v>
      </c>
      <c r="O349" s="3" t="s">
        <v>32</v>
      </c>
      <c r="P349" t="str">
        <f t="shared" si="5"/>
        <v>450013790110</v>
      </c>
      <c r="Q349" s="7" cm="1">
        <f t="array" ref="Q349:S349">VLOOKUP(P349,Hoja1!C:F,{2,3,4},FALSE)</f>
        <v>46295</v>
      </c>
      <c r="R349" t="str">
        <v>C03</v>
      </c>
      <c r="S349" t="str">
        <v>1000006932 GUSTAVO CANO NEUMATICOS S.A.</v>
      </c>
      <c r="T349" t="str">
        <f>VLOOKUP(P349,Hoja2!C:D,2,FALSE)</f>
        <v>WVENTURINI</v>
      </c>
    </row>
    <row r="350" spans="1:20" x14ac:dyDescent="0.3">
      <c r="A350" s="2" t="s">
        <v>15</v>
      </c>
      <c r="B350" s="3" t="s">
        <v>15</v>
      </c>
      <c r="C350" s="3" t="s">
        <v>396</v>
      </c>
      <c r="D350" s="3" t="s">
        <v>25</v>
      </c>
      <c r="E350" s="3" t="s">
        <v>149</v>
      </c>
      <c r="F350" s="4">
        <v>46280</v>
      </c>
      <c r="G350" s="3" t="s">
        <v>50</v>
      </c>
      <c r="H350" s="6">
        <v>-9468900</v>
      </c>
      <c r="I350" s="3" t="s">
        <v>19</v>
      </c>
      <c r="J350" s="3" t="s">
        <v>15</v>
      </c>
      <c r="K350" s="3" t="s">
        <v>15</v>
      </c>
      <c r="L350" s="3" t="s">
        <v>397</v>
      </c>
      <c r="M350" s="4">
        <v>46280</v>
      </c>
      <c r="N350" s="3" t="s">
        <v>398</v>
      </c>
      <c r="O350" s="3" t="s">
        <v>32</v>
      </c>
      <c r="P350" t="str">
        <f t="shared" si="5"/>
        <v>450013795310</v>
      </c>
      <c r="Q350" s="7" cm="1">
        <f t="array" ref="Q350:S350">VLOOKUP(P350,Hoja1!C:F,{2,3,4},FALSE)</f>
        <v>46283</v>
      </c>
      <c r="R350" t="str">
        <v>C26</v>
      </c>
      <c r="S350" t="str">
        <v>1000010820 AGV FALCON DRILLING S.R.L</v>
      </c>
      <c r="T350" t="str">
        <f>VLOOKUP(P350,Hoja2!C:D,2,FALSE)</f>
        <v>YCOLMAN</v>
      </c>
    </row>
    <row r="351" spans="1:20" x14ac:dyDescent="0.3">
      <c r="A351" s="2" t="s">
        <v>15</v>
      </c>
      <c r="B351" s="3" t="s">
        <v>15</v>
      </c>
      <c r="C351" s="3" t="s">
        <v>399</v>
      </c>
      <c r="D351" s="3" t="s">
        <v>15</v>
      </c>
      <c r="E351" s="3" t="s">
        <v>149</v>
      </c>
      <c r="F351" s="4">
        <v>46275</v>
      </c>
      <c r="G351" s="3" t="s">
        <v>50</v>
      </c>
      <c r="H351" s="6">
        <v>-98327.03</v>
      </c>
      <c r="I351" s="3" t="s">
        <v>19</v>
      </c>
      <c r="J351" s="3" t="s">
        <v>15</v>
      </c>
      <c r="K351" s="3" t="s">
        <v>15</v>
      </c>
      <c r="L351" s="3" t="s">
        <v>400</v>
      </c>
      <c r="M351" s="4">
        <v>46280</v>
      </c>
      <c r="N351" s="3" t="s">
        <v>401</v>
      </c>
      <c r="O351" s="3" t="s">
        <v>32</v>
      </c>
      <c r="P351" t="str">
        <f t="shared" si="5"/>
        <v>450013482610</v>
      </c>
      <c r="Q351" s="7" cm="1">
        <f t="array" ref="Q351:S351">VLOOKUP(P351,Hoja1!C:F,{2,3,4},FALSE)</f>
        <v>46287</v>
      </c>
      <c r="R351" t="str">
        <v>C29</v>
      </c>
      <c r="S351" t="str">
        <v>1000008805 SAKURA MOTORS S. A.</v>
      </c>
      <c r="T351" t="str">
        <f>VLOOKUP(P351,Hoja2!C:D,2,FALSE)</f>
        <v>RPEREZ</v>
      </c>
    </row>
    <row r="352" spans="1:20" x14ac:dyDescent="0.3">
      <c r="A352" s="2" t="s">
        <v>15</v>
      </c>
      <c r="B352" s="3" t="s">
        <v>15</v>
      </c>
      <c r="C352" s="3" t="s">
        <v>402</v>
      </c>
      <c r="D352" s="3" t="s">
        <v>15</v>
      </c>
      <c r="E352" s="3" t="s">
        <v>149</v>
      </c>
      <c r="F352" s="4">
        <v>46281</v>
      </c>
      <c r="G352" s="3" t="s">
        <v>50</v>
      </c>
      <c r="H352" s="6">
        <v>-539999.9</v>
      </c>
      <c r="I352" s="3" t="s">
        <v>19</v>
      </c>
      <c r="J352" s="3" t="s">
        <v>15</v>
      </c>
      <c r="K352" s="3" t="s">
        <v>15</v>
      </c>
      <c r="L352" s="3" t="s">
        <v>403</v>
      </c>
      <c r="M352" s="4">
        <v>46281</v>
      </c>
      <c r="N352" s="3" t="s">
        <v>404</v>
      </c>
      <c r="O352" s="3" t="s">
        <v>32</v>
      </c>
      <c r="P352" t="str">
        <f t="shared" si="5"/>
        <v>450013351410</v>
      </c>
      <c r="Q352" s="7" cm="1">
        <f t="array" ref="Q352:S352">VLOOKUP(P352,Hoja1!C:F,{2,3,4},FALSE)</f>
        <v>46290</v>
      </c>
      <c r="R352" t="str">
        <v>C03</v>
      </c>
      <c r="S352" t="str">
        <v>1000000016 OSVALDO L.SANTILLI E HIJOS S.A</v>
      </c>
      <c r="T352" t="str">
        <f>VLOOKUP(P352,Hoja2!C:D,2,FALSE)</f>
        <v>WVENTURINI</v>
      </c>
    </row>
    <row r="353" spans="1:20" x14ac:dyDescent="0.3">
      <c r="A353" s="2" t="s">
        <v>15</v>
      </c>
      <c r="B353" s="3" t="s">
        <v>15</v>
      </c>
      <c r="C353" s="3" t="s">
        <v>402</v>
      </c>
      <c r="D353" s="3" t="s">
        <v>15</v>
      </c>
      <c r="E353" s="3" t="s">
        <v>149</v>
      </c>
      <c r="F353" s="4">
        <v>46281</v>
      </c>
      <c r="G353" s="3" t="s">
        <v>50</v>
      </c>
      <c r="H353" s="6">
        <v>-932727.1</v>
      </c>
      <c r="I353" s="3" t="s">
        <v>19</v>
      </c>
      <c r="J353" s="3" t="s">
        <v>15</v>
      </c>
      <c r="K353" s="3" t="s">
        <v>15</v>
      </c>
      <c r="L353" s="3" t="s">
        <v>403</v>
      </c>
      <c r="M353" s="4">
        <v>46281</v>
      </c>
      <c r="N353" s="3" t="s">
        <v>405</v>
      </c>
      <c r="O353" s="3" t="s">
        <v>32</v>
      </c>
      <c r="P353" t="str">
        <f t="shared" si="5"/>
        <v>450013563410</v>
      </c>
      <c r="Q353" s="7" cm="1">
        <f t="array" ref="Q353:S353">VLOOKUP(P353,Hoja1!C:F,{2,3,4},FALSE)</f>
        <v>46287</v>
      </c>
      <c r="R353" t="str">
        <v>C03</v>
      </c>
      <c r="S353" t="str">
        <v>1000000016 OSVALDO L.SANTILLI E HIJOS S.A</v>
      </c>
      <c r="T353" t="str">
        <f>VLOOKUP(P353,Hoja2!C:D,2,FALSE)</f>
        <v>WVENTURINI</v>
      </c>
    </row>
    <row r="354" spans="1:20" x14ac:dyDescent="0.3">
      <c r="A354" s="2" t="s">
        <v>15</v>
      </c>
      <c r="B354" s="3" t="s">
        <v>15</v>
      </c>
      <c r="C354" s="3" t="s">
        <v>402</v>
      </c>
      <c r="D354" s="3" t="s">
        <v>15</v>
      </c>
      <c r="E354" s="3" t="s">
        <v>149</v>
      </c>
      <c r="F354" s="4">
        <v>46281</v>
      </c>
      <c r="G354" s="3" t="s">
        <v>50</v>
      </c>
      <c r="H354" s="6">
        <v>-606165.31999999995</v>
      </c>
      <c r="I354" s="3" t="s">
        <v>19</v>
      </c>
      <c r="J354" s="3" t="s">
        <v>15</v>
      </c>
      <c r="K354" s="3" t="s">
        <v>15</v>
      </c>
      <c r="L354" s="3" t="s">
        <v>403</v>
      </c>
      <c r="M354" s="4">
        <v>46281</v>
      </c>
      <c r="N354" s="3" t="s">
        <v>405</v>
      </c>
      <c r="O354" s="3" t="s">
        <v>28</v>
      </c>
      <c r="P354" t="str">
        <f t="shared" si="5"/>
        <v>450013563420</v>
      </c>
      <c r="Q354" s="7" cm="1">
        <f t="array" ref="Q354:S354">VLOOKUP(P354,Hoja1!C:F,{2,3,4},FALSE)</f>
        <v>46287</v>
      </c>
      <c r="R354" t="str">
        <v>C03</v>
      </c>
      <c r="S354" t="str">
        <v>1000000016 OSVALDO L.SANTILLI E HIJOS S.A</v>
      </c>
      <c r="T354" t="str">
        <f>VLOOKUP(P354,Hoja2!C:D,2,FALSE)</f>
        <v>WVENTURINI</v>
      </c>
    </row>
    <row r="355" spans="1:20" x14ac:dyDescent="0.3">
      <c r="A355" s="2" t="s">
        <v>15</v>
      </c>
      <c r="B355" s="3" t="s">
        <v>15</v>
      </c>
      <c r="C355" s="3" t="s">
        <v>406</v>
      </c>
      <c r="D355" s="3" t="s">
        <v>15</v>
      </c>
      <c r="E355" s="3" t="s">
        <v>149</v>
      </c>
      <c r="F355" s="4">
        <v>46281</v>
      </c>
      <c r="G355" s="3" t="s">
        <v>50</v>
      </c>
      <c r="H355" s="6">
        <v>-1021487.64</v>
      </c>
      <c r="I355" s="3" t="s">
        <v>19</v>
      </c>
      <c r="J355" s="3" t="s">
        <v>15</v>
      </c>
      <c r="K355" s="3" t="s">
        <v>15</v>
      </c>
      <c r="L355" s="3" t="s">
        <v>109</v>
      </c>
      <c r="M355" s="4">
        <v>46281</v>
      </c>
      <c r="N355" s="3" t="s">
        <v>366</v>
      </c>
      <c r="O355" s="3" t="s">
        <v>32</v>
      </c>
      <c r="P355" t="str">
        <f t="shared" si="5"/>
        <v>450013818110</v>
      </c>
      <c r="Q355" s="7" cm="1">
        <f t="array" ref="Q355:S355">VLOOKUP(P355,Hoja1!C:F,{2,3,4},FALSE)</f>
        <v>46295</v>
      </c>
      <c r="R355" t="str">
        <v>AGV</v>
      </c>
      <c r="S355" t="str">
        <v>1000007719 LAROCCA SALTA NEUMATICOS S.A.</v>
      </c>
      <c r="T355" t="str">
        <f>VLOOKUP(P355,Hoja2!C:D,2,FALSE)</f>
        <v>ILAHORGUE</v>
      </c>
    </row>
    <row r="356" spans="1:20" x14ac:dyDescent="0.3">
      <c r="A356" s="2" t="s">
        <v>15</v>
      </c>
      <c r="B356" s="3" t="s">
        <v>15</v>
      </c>
      <c r="C356" s="3" t="s">
        <v>406</v>
      </c>
      <c r="D356" s="3" t="s">
        <v>15</v>
      </c>
      <c r="E356" s="3" t="s">
        <v>149</v>
      </c>
      <c r="F356" s="4">
        <v>46281</v>
      </c>
      <c r="G356" s="3" t="s">
        <v>50</v>
      </c>
      <c r="H356" s="6">
        <v>-1619834.6</v>
      </c>
      <c r="I356" s="3" t="s">
        <v>19</v>
      </c>
      <c r="J356" s="3" t="s">
        <v>15</v>
      </c>
      <c r="K356" s="3" t="s">
        <v>15</v>
      </c>
      <c r="L356" s="3" t="s">
        <v>109</v>
      </c>
      <c r="M356" s="4">
        <v>46281</v>
      </c>
      <c r="N356" s="3" t="s">
        <v>366</v>
      </c>
      <c r="O356" s="3" t="s">
        <v>28</v>
      </c>
      <c r="P356" t="str">
        <f t="shared" si="5"/>
        <v>450013818120</v>
      </c>
      <c r="Q356" s="7" cm="1">
        <f t="array" ref="Q356:S356">VLOOKUP(P356,Hoja1!C:F,{2,3,4},FALSE)</f>
        <v>46295</v>
      </c>
      <c r="R356" t="str">
        <v>AGV</v>
      </c>
      <c r="S356" t="str">
        <v>1000007719 LAROCCA SALTA NEUMATICOS S.A.</v>
      </c>
      <c r="T356" t="str">
        <f>VLOOKUP(P356,Hoja2!C:D,2,FALSE)</f>
        <v>ILAHORGUE</v>
      </c>
    </row>
    <row r="357" spans="1:20" x14ac:dyDescent="0.3">
      <c r="A357" s="2" t="s">
        <v>15</v>
      </c>
      <c r="B357" s="3" t="s">
        <v>15</v>
      </c>
      <c r="C357" s="3" t="s">
        <v>406</v>
      </c>
      <c r="D357" s="3" t="s">
        <v>15</v>
      </c>
      <c r="E357" s="3" t="s">
        <v>149</v>
      </c>
      <c r="F357" s="4">
        <v>46281</v>
      </c>
      <c r="G357" s="3" t="s">
        <v>50</v>
      </c>
      <c r="H357" s="6">
        <v>-1487603.25</v>
      </c>
      <c r="I357" s="3" t="s">
        <v>19</v>
      </c>
      <c r="J357" s="3" t="s">
        <v>15</v>
      </c>
      <c r="K357" s="3" t="s">
        <v>15</v>
      </c>
      <c r="L357" s="3" t="s">
        <v>109</v>
      </c>
      <c r="M357" s="4">
        <v>46281</v>
      </c>
      <c r="N357" s="3" t="s">
        <v>366</v>
      </c>
      <c r="O357" s="3" t="s">
        <v>54</v>
      </c>
      <c r="P357" t="str">
        <f t="shared" si="5"/>
        <v>450013818130</v>
      </c>
      <c r="Q357" s="7" cm="1">
        <f t="array" ref="Q357:S357">VLOOKUP(P357,Hoja1!C:F,{2,3,4},FALSE)</f>
        <v>46295</v>
      </c>
      <c r="R357" t="str">
        <v>AGV</v>
      </c>
      <c r="S357" t="str">
        <v>1000007719 LAROCCA SALTA NEUMATICOS S.A.</v>
      </c>
      <c r="T357" t="str">
        <f>VLOOKUP(P357,Hoja2!C:D,2,FALSE)</f>
        <v>ILAHORGUE</v>
      </c>
    </row>
    <row r="358" spans="1:20" x14ac:dyDescent="0.3">
      <c r="A358" s="2" t="s">
        <v>15</v>
      </c>
      <c r="B358" s="3" t="s">
        <v>15</v>
      </c>
      <c r="C358" s="3" t="s">
        <v>407</v>
      </c>
      <c r="D358" s="3" t="s">
        <v>15</v>
      </c>
      <c r="E358" s="3" t="s">
        <v>149</v>
      </c>
      <c r="F358" s="4">
        <v>46281</v>
      </c>
      <c r="G358" s="3" t="s">
        <v>50</v>
      </c>
      <c r="H358" s="6">
        <v>-7900826.4400000004</v>
      </c>
      <c r="I358" s="3" t="s">
        <v>19</v>
      </c>
      <c r="J358" s="3" t="s">
        <v>15</v>
      </c>
      <c r="K358" s="3" t="s">
        <v>15</v>
      </c>
      <c r="L358" s="3" t="s">
        <v>109</v>
      </c>
      <c r="M358" s="4">
        <v>46281</v>
      </c>
      <c r="N358" s="3" t="s">
        <v>408</v>
      </c>
      <c r="O358" s="3" t="s">
        <v>32</v>
      </c>
      <c r="P358" t="str">
        <f t="shared" si="5"/>
        <v>450013818310</v>
      </c>
      <c r="Q358" s="7" cm="1">
        <f t="array" ref="Q358:S358">VLOOKUP(P358,Hoja1!C:F,{2,3,4},FALSE)</f>
        <v>46295</v>
      </c>
      <c r="R358" t="str">
        <v>AGV</v>
      </c>
      <c r="S358" t="str">
        <v>1000007719 LAROCCA SALTA NEUMATICOS S.A.</v>
      </c>
      <c r="T358" t="str">
        <f>VLOOKUP(P358,Hoja2!C:D,2,FALSE)</f>
        <v>ILAHORGUE</v>
      </c>
    </row>
    <row r="359" spans="1:20" x14ac:dyDescent="0.3">
      <c r="A359" s="2" t="s">
        <v>15</v>
      </c>
      <c r="B359" s="3" t="s">
        <v>15</v>
      </c>
      <c r="C359" s="3" t="s">
        <v>409</v>
      </c>
      <c r="D359" s="3" t="s">
        <v>25</v>
      </c>
      <c r="E359" s="3" t="s">
        <v>149</v>
      </c>
      <c r="F359" s="4">
        <v>46281</v>
      </c>
      <c r="G359" s="3" t="s">
        <v>50</v>
      </c>
      <c r="H359" s="6">
        <v>-14462.8</v>
      </c>
      <c r="I359" s="3" t="s">
        <v>19</v>
      </c>
      <c r="J359" s="3" t="s">
        <v>15</v>
      </c>
      <c r="K359" s="3" t="s">
        <v>15</v>
      </c>
      <c r="L359" s="3" t="s">
        <v>410</v>
      </c>
      <c r="M359" s="4">
        <v>46281</v>
      </c>
      <c r="N359" s="3" t="s">
        <v>411</v>
      </c>
      <c r="O359" s="3" t="s">
        <v>32</v>
      </c>
      <c r="P359" t="str">
        <f t="shared" si="5"/>
        <v>450013746110</v>
      </c>
      <c r="Q359" s="7" cm="1">
        <f t="array" ref="Q359:S359">VLOOKUP(P359,Hoja1!C:F,{2,3,4},FALSE)</f>
        <v>46272</v>
      </c>
      <c r="R359" t="str">
        <v>C35</v>
      </c>
      <c r="S359" t="str">
        <v>1000011906 AM SERVICIOS GRAFICOS S. A. S.</v>
      </c>
      <c r="T359" t="str">
        <f>VLOOKUP(P359,Hoja2!C:D,2,FALSE)</f>
        <v>FSOTO</v>
      </c>
    </row>
    <row r="360" spans="1:20" x14ac:dyDescent="0.3">
      <c r="A360" s="2" t="s">
        <v>15</v>
      </c>
      <c r="B360" s="3" t="s">
        <v>15</v>
      </c>
      <c r="C360" s="3" t="s">
        <v>412</v>
      </c>
      <c r="D360" s="3" t="s">
        <v>15</v>
      </c>
      <c r="E360" s="3" t="s">
        <v>149</v>
      </c>
      <c r="F360" s="4">
        <v>46279</v>
      </c>
      <c r="G360" s="3" t="s">
        <v>50</v>
      </c>
      <c r="H360" s="6">
        <v>-135600.56</v>
      </c>
      <c r="I360" s="3" t="s">
        <v>19</v>
      </c>
      <c r="J360" s="3" t="s">
        <v>15</v>
      </c>
      <c r="K360" s="3" t="s">
        <v>15</v>
      </c>
      <c r="L360" s="3" t="s">
        <v>118</v>
      </c>
      <c r="M360" s="4">
        <v>46281</v>
      </c>
      <c r="N360" s="3" t="s">
        <v>119</v>
      </c>
      <c r="O360" s="3" t="s">
        <v>55</v>
      </c>
      <c r="P360" t="str">
        <f t="shared" si="5"/>
        <v>450013502150</v>
      </c>
      <c r="Q360" s="7" cm="1">
        <f t="array" ref="Q360:S360">VLOOKUP(P360,Hoja1!C:F,{2,3,4},FALSE)</f>
        <v>46279</v>
      </c>
      <c r="R360" t="str">
        <v>C03</v>
      </c>
      <c r="S360" t="str">
        <v>1000001470 SUDAMERICANA CAMIONES SA</v>
      </c>
      <c r="T360" t="str">
        <f>VLOOKUP(P360,Hoja2!C:D,2,FALSE)</f>
        <v>FBERARDO</v>
      </c>
    </row>
    <row r="361" spans="1:20" x14ac:dyDescent="0.3">
      <c r="A361" s="2" t="s">
        <v>15</v>
      </c>
      <c r="B361" s="3" t="s">
        <v>15</v>
      </c>
      <c r="C361" s="3" t="s">
        <v>413</v>
      </c>
      <c r="D361" s="3" t="s">
        <v>15</v>
      </c>
      <c r="E361" s="3" t="s">
        <v>149</v>
      </c>
      <c r="F361" s="4">
        <v>46281</v>
      </c>
      <c r="G361" s="3" t="s">
        <v>50</v>
      </c>
      <c r="H361" s="6">
        <v>-400283</v>
      </c>
      <c r="I361" s="3" t="s">
        <v>19</v>
      </c>
      <c r="J361" s="3" t="s">
        <v>15</v>
      </c>
      <c r="K361" s="3" t="s">
        <v>15</v>
      </c>
      <c r="L361" s="3" t="s">
        <v>77</v>
      </c>
      <c r="M361" s="4">
        <v>46281</v>
      </c>
      <c r="N361" s="3" t="s">
        <v>414</v>
      </c>
      <c r="O361" s="3" t="s">
        <v>32</v>
      </c>
      <c r="P361" t="str">
        <f t="shared" si="5"/>
        <v>450013820510</v>
      </c>
      <c r="Q361" s="7" cm="1">
        <f t="array" ref="Q361:S361">VLOOKUP(P361,Hoja1!C:F,{2,3,4},FALSE)</f>
        <v>46286</v>
      </c>
      <c r="R361" t="str">
        <v>C28</v>
      </c>
      <c r="S361" t="str">
        <v>1000009741 YUHMAK SEGURIDAD INDUSTRIAL S.R.L.</v>
      </c>
      <c r="T361" t="str">
        <f>VLOOKUP(P361,Hoja2!C:D,2,FALSE)</f>
        <v>GJULIANI</v>
      </c>
    </row>
    <row r="362" spans="1:20" x14ac:dyDescent="0.3">
      <c r="A362" s="2" t="s">
        <v>15</v>
      </c>
      <c r="B362" s="3" t="s">
        <v>15</v>
      </c>
      <c r="C362" s="3" t="s">
        <v>415</v>
      </c>
      <c r="D362" s="3" t="s">
        <v>15</v>
      </c>
      <c r="E362" s="3" t="s">
        <v>149</v>
      </c>
      <c r="F362" s="4">
        <v>46281</v>
      </c>
      <c r="G362" s="3" t="s">
        <v>50</v>
      </c>
      <c r="H362" s="6">
        <v>-4958.68</v>
      </c>
      <c r="I362" s="3" t="s">
        <v>19</v>
      </c>
      <c r="J362" s="3" t="s">
        <v>15</v>
      </c>
      <c r="K362" s="3" t="s">
        <v>15</v>
      </c>
      <c r="L362" s="3" t="s">
        <v>176</v>
      </c>
      <c r="M362" s="4">
        <v>46281</v>
      </c>
      <c r="N362" s="3" t="s">
        <v>416</v>
      </c>
      <c r="O362" s="3" t="s">
        <v>32</v>
      </c>
      <c r="P362" t="str">
        <f t="shared" si="5"/>
        <v>450013870810</v>
      </c>
      <c r="Q362" s="7" cm="1">
        <f t="array" ref="Q362:S362">VLOOKUP(P362,Hoja1!C:F,{2,3,4},FALSE)</f>
        <v>46291</v>
      </c>
      <c r="R362" t="str">
        <v>AGV</v>
      </c>
      <c r="S362" t="str">
        <v>1000012165 EXENI LUIS ENRIQUE</v>
      </c>
      <c r="T362" t="str">
        <f>VLOOKUP(P362,Hoja2!C:D,2,FALSE)</f>
        <v>ILAHORGUE</v>
      </c>
    </row>
    <row r="363" spans="1:20" x14ac:dyDescent="0.3">
      <c r="A363" s="2" t="s">
        <v>15</v>
      </c>
      <c r="B363" s="3" t="s">
        <v>15</v>
      </c>
      <c r="C363" s="3" t="s">
        <v>417</v>
      </c>
      <c r="D363" s="3" t="s">
        <v>15</v>
      </c>
      <c r="E363" s="3" t="s">
        <v>149</v>
      </c>
      <c r="F363" s="4">
        <v>46280</v>
      </c>
      <c r="G363" s="3" t="s">
        <v>50</v>
      </c>
      <c r="H363" s="6">
        <v>-309420.45</v>
      </c>
      <c r="I363" s="3" t="s">
        <v>19</v>
      </c>
      <c r="J363" s="3" t="s">
        <v>15</v>
      </c>
      <c r="K363" s="3" t="s">
        <v>15</v>
      </c>
      <c r="L363" s="3" t="s">
        <v>101</v>
      </c>
      <c r="M363" s="4">
        <v>46282</v>
      </c>
      <c r="N363" s="3" t="s">
        <v>418</v>
      </c>
      <c r="O363" s="3" t="s">
        <v>32</v>
      </c>
      <c r="P363" t="str">
        <f t="shared" si="5"/>
        <v>450013801610</v>
      </c>
      <c r="Q363" s="7" cm="1">
        <f t="array" ref="Q363:S363">VLOOKUP(P363,Hoja1!C:F,{2,3,4},FALSE)</f>
        <v>46282</v>
      </c>
      <c r="R363" t="str">
        <v>C29</v>
      </c>
      <c r="S363" t="str">
        <v>1000000561 ESCANDINAVIA DEL PLATA SA</v>
      </c>
      <c r="T363" t="str">
        <f>VLOOKUP(P363,Hoja2!C:D,2,FALSE)</f>
        <v>RPEREZ</v>
      </c>
    </row>
    <row r="364" spans="1:20" x14ac:dyDescent="0.3">
      <c r="A364" s="2" t="s">
        <v>15</v>
      </c>
      <c r="B364" s="3" t="s">
        <v>15</v>
      </c>
      <c r="C364" s="3" t="s">
        <v>419</v>
      </c>
      <c r="D364" s="3" t="s">
        <v>15</v>
      </c>
      <c r="E364" s="3" t="s">
        <v>149</v>
      </c>
      <c r="F364" s="4">
        <v>46282</v>
      </c>
      <c r="G364" s="3" t="s">
        <v>50</v>
      </c>
      <c r="H364" s="6">
        <v>-165285.1</v>
      </c>
      <c r="I364" s="3" t="s">
        <v>19</v>
      </c>
      <c r="J364" s="3" t="s">
        <v>15</v>
      </c>
      <c r="K364" s="3" t="s">
        <v>15</v>
      </c>
      <c r="L364" s="3" t="s">
        <v>99</v>
      </c>
      <c r="M364" s="4">
        <v>46282</v>
      </c>
      <c r="N364" s="3" t="s">
        <v>420</v>
      </c>
      <c r="O364" s="3" t="s">
        <v>32</v>
      </c>
      <c r="P364" t="str">
        <f t="shared" si="5"/>
        <v>450013704510</v>
      </c>
      <c r="Q364" s="7" cm="1">
        <f t="array" ref="Q364:S364">VLOOKUP(P364,Hoja1!C:F,{2,3,4},FALSE)</f>
        <v>46269</v>
      </c>
      <c r="R364" t="str">
        <v>C35</v>
      </c>
      <c r="S364" t="str">
        <v>1000012333 GO CLEAN S.A.S.</v>
      </c>
      <c r="T364" t="str">
        <f>VLOOKUP(P364,Hoja2!C:D,2,FALSE)</f>
        <v>FSOTO</v>
      </c>
    </row>
    <row r="365" spans="1:20" x14ac:dyDescent="0.3">
      <c r="A365" s="2" t="s">
        <v>15</v>
      </c>
      <c r="B365" s="3" t="s">
        <v>15</v>
      </c>
      <c r="C365" s="3" t="s">
        <v>421</v>
      </c>
      <c r="D365" s="3" t="s">
        <v>25</v>
      </c>
      <c r="E365" s="3" t="s">
        <v>149</v>
      </c>
      <c r="F365" s="4">
        <v>46282</v>
      </c>
      <c r="G365" s="3" t="s">
        <v>50</v>
      </c>
      <c r="H365" s="6">
        <v>-290110.8</v>
      </c>
      <c r="I365" s="3" t="s">
        <v>19</v>
      </c>
      <c r="J365" s="3" t="s">
        <v>15</v>
      </c>
      <c r="K365" s="3" t="s">
        <v>15</v>
      </c>
      <c r="L365" s="3" t="s">
        <v>422</v>
      </c>
      <c r="M365" s="4">
        <v>46282</v>
      </c>
      <c r="N365" s="3" t="s">
        <v>423</v>
      </c>
      <c r="O365" s="3" t="s">
        <v>84</v>
      </c>
      <c r="P365" t="str">
        <f t="shared" si="5"/>
        <v>4500137823100</v>
      </c>
      <c r="Q365" s="7" cm="1">
        <f t="array" ref="Q365:S365">VLOOKUP(P365,Hoja1!C:F,{2,3,4},FALSE)</f>
        <v>46295</v>
      </c>
      <c r="R365" t="str">
        <v>C35</v>
      </c>
      <c r="S365" t="str">
        <v>1000013211 PIZARRO REFRIGERACION S.R.L.</v>
      </c>
      <c r="T365" t="str">
        <f>VLOOKUP(P365,Hoja2!C:D,2,FALSE)</f>
        <v>FSOTO</v>
      </c>
    </row>
    <row r="366" spans="1:20" x14ac:dyDescent="0.3">
      <c r="A366" s="2" t="s">
        <v>15</v>
      </c>
      <c r="B366" s="3" t="s">
        <v>15</v>
      </c>
      <c r="C366" s="3" t="s">
        <v>424</v>
      </c>
      <c r="D366" s="3" t="s">
        <v>15</v>
      </c>
      <c r="E366" s="3" t="s">
        <v>149</v>
      </c>
      <c r="F366" s="4">
        <v>46282</v>
      </c>
      <c r="G366" s="3" t="s">
        <v>50</v>
      </c>
      <c r="H366" s="6">
        <v>-165124</v>
      </c>
      <c r="I366" s="3" t="s">
        <v>19</v>
      </c>
      <c r="J366" s="3" t="s">
        <v>15</v>
      </c>
      <c r="K366" s="3" t="s">
        <v>15</v>
      </c>
      <c r="L366" s="3" t="s">
        <v>99</v>
      </c>
      <c r="M366" s="4">
        <v>46282</v>
      </c>
      <c r="N366" s="3" t="s">
        <v>357</v>
      </c>
      <c r="O366" s="3" t="s">
        <v>28</v>
      </c>
      <c r="P366" t="str">
        <f t="shared" si="5"/>
        <v>450013779720</v>
      </c>
      <c r="Q366" s="7" cm="1">
        <f t="array" ref="Q366:S366">VLOOKUP(P366,Hoja1!C:F,{2,3,4},FALSE)</f>
        <v>46286</v>
      </c>
      <c r="R366" t="str">
        <v>C17</v>
      </c>
      <c r="S366" t="str">
        <v>1000012333 GO CLEAN S.A.S.</v>
      </c>
      <c r="T366" t="str">
        <f>VLOOKUP(P366,Hoja2!C:D,2,FALSE)</f>
        <v>GJULIANI</v>
      </c>
    </row>
    <row r="367" spans="1:20" x14ac:dyDescent="0.3">
      <c r="A367" s="2" t="s">
        <v>15</v>
      </c>
      <c r="B367" s="3" t="s">
        <v>15</v>
      </c>
      <c r="C367" s="3" t="s">
        <v>425</v>
      </c>
      <c r="D367" s="3" t="s">
        <v>15</v>
      </c>
      <c r="E367" s="3" t="s">
        <v>149</v>
      </c>
      <c r="F367" s="4">
        <v>46283</v>
      </c>
      <c r="G367" s="3" t="s">
        <v>50</v>
      </c>
      <c r="H367" s="6">
        <v>-411727</v>
      </c>
      <c r="I367" s="3" t="s">
        <v>19</v>
      </c>
      <c r="J367" s="3" t="s">
        <v>15</v>
      </c>
      <c r="K367" s="3" t="s">
        <v>15</v>
      </c>
      <c r="L367" s="3" t="s">
        <v>62</v>
      </c>
      <c r="M367" s="4">
        <v>46283</v>
      </c>
      <c r="N367" s="3" t="s">
        <v>426</v>
      </c>
      <c r="O367" s="3" t="s">
        <v>32</v>
      </c>
      <c r="P367" t="str">
        <f t="shared" si="5"/>
        <v>450013821210</v>
      </c>
      <c r="Q367" s="7" cm="1">
        <f t="array" ref="Q367:S367">VLOOKUP(P367,Hoja1!C:F,{2,3,4},FALSE)</f>
        <v>46282</v>
      </c>
      <c r="R367" t="str">
        <v>C35</v>
      </c>
      <c r="S367" t="str">
        <v>1000000566 AUTOLUX SA</v>
      </c>
      <c r="T367" t="str">
        <f>VLOOKUP(P367,Hoja2!C:D,2,FALSE)</f>
        <v>FSOTO</v>
      </c>
    </row>
    <row r="368" spans="1:20" x14ac:dyDescent="0.3">
      <c r="A368" s="2" t="s">
        <v>15</v>
      </c>
      <c r="B368" s="3" t="s">
        <v>15</v>
      </c>
      <c r="C368" s="3" t="s">
        <v>427</v>
      </c>
      <c r="D368" s="3" t="s">
        <v>15</v>
      </c>
      <c r="E368" s="3" t="s">
        <v>149</v>
      </c>
      <c r="F368" s="4">
        <v>46283</v>
      </c>
      <c r="G368" s="3" t="s">
        <v>50</v>
      </c>
      <c r="H368" s="6">
        <v>-1109698.1100000001</v>
      </c>
      <c r="I368" s="3" t="s">
        <v>19</v>
      </c>
      <c r="J368" s="3" t="s">
        <v>15</v>
      </c>
      <c r="K368" s="3" t="s">
        <v>15</v>
      </c>
      <c r="L368" s="3" t="s">
        <v>428</v>
      </c>
      <c r="M368" s="4">
        <v>46283</v>
      </c>
      <c r="N368" s="3" t="s">
        <v>429</v>
      </c>
      <c r="O368" s="3" t="s">
        <v>32</v>
      </c>
      <c r="P368" t="str">
        <f t="shared" si="5"/>
        <v>450013779410</v>
      </c>
      <c r="Q368" s="7" cm="1">
        <f t="array" ref="Q368:S368">VLOOKUP(P368,Hoja1!C:F,{2,3,4},FALSE)</f>
        <v>46284</v>
      </c>
      <c r="R368" t="str">
        <v>C35</v>
      </c>
      <c r="S368" t="str">
        <v>1000009037 FELTRIN S.A</v>
      </c>
      <c r="T368" t="str">
        <f>VLOOKUP(P368,Hoja2!C:D,2,FALSE)</f>
        <v>FSOTO</v>
      </c>
    </row>
    <row r="369" spans="1:20" x14ac:dyDescent="0.3">
      <c r="A369" s="2" t="s">
        <v>15</v>
      </c>
      <c r="B369" s="3" t="s">
        <v>15</v>
      </c>
      <c r="C369" s="3" t="s">
        <v>427</v>
      </c>
      <c r="D369" s="3" t="s">
        <v>15</v>
      </c>
      <c r="E369" s="3" t="s">
        <v>149</v>
      </c>
      <c r="F369" s="4">
        <v>46283</v>
      </c>
      <c r="G369" s="3" t="s">
        <v>50</v>
      </c>
      <c r="H369" s="6">
        <v>-54865.02</v>
      </c>
      <c r="I369" s="3" t="s">
        <v>19</v>
      </c>
      <c r="J369" s="3" t="s">
        <v>15</v>
      </c>
      <c r="K369" s="3" t="s">
        <v>15</v>
      </c>
      <c r="L369" s="3" t="s">
        <v>428</v>
      </c>
      <c r="M369" s="4">
        <v>46283</v>
      </c>
      <c r="N369" s="3" t="s">
        <v>429</v>
      </c>
      <c r="O369" s="3" t="s">
        <v>28</v>
      </c>
      <c r="P369" t="str">
        <f t="shared" si="5"/>
        <v>450013779420</v>
      </c>
      <c r="Q369" s="7" cm="1">
        <f t="array" ref="Q369:S369">VLOOKUP(P369,Hoja1!C:F,{2,3,4},FALSE)</f>
        <v>46284</v>
      </c>
      <c r="R369" t="str">
        <v>C35</v>
      </c>
      <c r="S369" t="str">
        <v>1000009037 FELTRIN S.A</v>
      </c>
      <c r="T369" t="str">
        <f>VLOOKUP(P369,Hoja2!C:D,2,FALSE)</f>
        <v>FSOTO</v>
      </c>
    </row>
    <row r="370" spans="1:20" x14ac:dyDescent="0.3">
      <c r="A370" s="2" t="s">
        <v>15</v>
      </c>
      <c r="B370" s="3" t="s">
        <v>15</v>
      </c>
      <c r="C370" s="3" t="s">
        <v>427</v>
      </c>
      <c r="D370" s="3" t="s">
        <v>15</v>
      </c>
      <c r="E370" s="3" t="s">
        <v>149</v>
      </c>
      <c r="F370" s="4">
        <v>46283</v>
      </c>
      <c r="G370" s="3" t="s">
        <v>50</v>
      </c>
      <c r="H370" s="6">
        <v>-109967.69</v>
      </c>
      <c r="I370" s="3" t="s">
        <v>19</v>
      </c>
      <c r="J370" s="3" t="s">
        <v>15</v>
      </c>
      <c r="K370" s="3" t="s">
        <v>15</v>
      </c>
      <c r="L370" s="3" t="s">
        <v>428</v>
      </c>
      <c r="M370" s="4">
        <v>46283</v>
      </c>
      <c r="N370" s="3" t="s">
        <v>429</v>
      </c>
      <c r="O370" s="3" t="s">
        <v>54</v>
      </c>
      <c r="P370" t="str">
        <f t="shared" si="5"/>
        <v>450013779430</v>
      </c>
      <c r="Q370" s="7" cm="1">
        <f t="array" ref="Q370:S370">VLOOKUP(P370,Hoja1!C:F,{2,3,4},FALSE)</f>
        <v>46284</v>
      </c>
      <c r="R370" t="str">
        <v>C35</v>
      </c>
      <c r="S370" t="str">
        <v>1000009037 FELTRIN S.A</v>
      </c>
      <c r="T370" t="str">
        <f>VLOOKUP(P370,Hoja2!C:D,2,FALSE)</f>
        <v>FSOTO</v>
      </c>
    </row>
    <row r="371" spans="1:20" x14ac:dyDescent="0.3">
      <c r="A371" s="2" t="s">
        <v>15</v>
      </c>
      <c r="B371" s="3" t="s">
        <v>15</v>
      </c>
      <c r="C371" s="3" t="s">
        <v>427</v>
      </c>
      <c r="D371" s="3" t="s">
        <v>15</v>
      </c>
      <c r="E371" s="3" t="s">
        <v>149</v>
      </c>
      <c r="F371" s="4">
        <v>46283</v>
      </c>
      <c r="G371" s="3" t="s">
        <v>50</v>
      </c>
      <c r="H371" s="6">
        <v>-67402.44</v>
      </c>
      <c r="I371" s="3" t="s">
        <v>19</v>
      </c>
      <c r="J371" s="3" t="s">
        <v>15</v>
      </c>
      <c r="K371" s="3" t="s">
        <v>15</v>
      </c>
      <c r="L371" s="3" t="s">
        <v>428</v>
      </c>
      <c r="M371" s="4">
        <v>46283</v>
      </c>
      <c r="N371" s="3" t="s">
        <v>429</v>
      </c>
      <c r="O371" s="3" t="s">
        <v>23</v>
      </c>
      <c r="P371" t="str">
        <f t="shared" si="5"/>
        <v>450013779440</v>
      </c>
      <c r="Q371" s="7" cm="1">
        <f t="array" ref="Q371:S371">VLOOKUP(P371,Hoja1!C:F,{2,3,4},FALSE)</f>
        <v>46284</v>
      </c>
      <c r="R371" t="str">
        <v>C35</v>
      </c>
      <c r="S371" t="str">
        <v>1000009037 FELTRIN S.A</v>
      </c>
      <c r="T371" t="str">
        <f>VLOOKUP(P371,Hoja2!C:D,2,FALSE)</f>
        <v>FSOTO</v>
      </c>
    </row>
    <row r="372" spans="1:20" x14ac:dyDescent="0.3">
      <c r="A372" s="2" t="s">
        <v>15</v>
      </c>
      <c r="B372" s="3" t="s">
        <v>15</v>
      </c>
      <c r="C372" s="3" t="s">
        <v>427</v>
      </c>
      <c r="D372" s="3" t="s">
        <v>15</v>
      </c>
      <c r="E372" s="3" t="s">
        <v>149</v>
      </c>
      <c r="F372" s="4">
        <v>46283</v>
      </c>
      <c r="G372" s="3" t="s">
        <v>50</v>
      </c>
      <c r="H372" s="6">
        <v>-51040.800000000003</v>
      </c>
      <c r="I372" s="3" t="s">
        <v>19</v>
      </c>
      <c r="J372" s="3" t="s">
        <v>15</v>
      </c>
      <c r="K372" s="3" t="s">
        <v>15</v>
      </c>
      <c r="L372" s="3" t="s">
        <v>428</v>
      </c>
      <c r="M372" s="4">
        <v>46283</v>
      </c>
      <c r="N372" s="3" t="s">
        <v>429</v>
      </c>
      <c r="O372" s="3" t="s">
        <v>55</v>
      </c>
      <c r="P372" t="str">
        <f t="shared" si="5"/>
        <v>450013779450</v>
      </c>
      <c r="Q372" s="7" cm="1">
        <f t="array" ref="Q372:S372">VLOOKUP(P372,Hoja1!C:F,{2,3,4},FALSE)</f>
        <v>46284</v>
      </c>
      <c r="R372" t="str">
        <v>C35</v>
      </c>
      <c r="S372" t="str">
        <v>1000009037 FELTRIN S.A</v>
      </c>
      <c r="T372" t="str">
        <f>VLOOKUP(P372,Hoja2!C:D,2,FALSE)</f>
        <v>FSOTO</v>
      </c>
    </row>
    <row r="373" spans="1:20" x14ac:dyDescent="0.3">
      <c r="A373" s="2" t="s">
        <v>15</v>
      </c>
      <c r="B373" s="3" t="s">
        <v>15</v>
      </c>
      <c r="C373" s="3" t="s">
        <v>427</v>
      </c>
      <c r="D373" s="3" t="s">
        <v>15</v>
      </c>
      <c r="E373" s="3" t="s">
        <v>149</v>
      </c>
      <c r="F373" s="4">
        <v>46283</v>
      </c>
      <c r="G373" s="3" t="s">
        <v>50</v>
      </c>
      <c r="H373" s="6">
        <v>-300255.42</v>
      </c>
      <c r="I373" s="3" t="s">
        <v>19</v>
      </c>
      <c r="J373" s="3" t="s">
        <v>15</v>
      </c>
      <c r="K373" s="3" t="s">
        <v>15</v>
      </c>
      <c r="L373" s="3" t="s">
        <v>428</v>
      </c>
      <c r="M373" s="4">
        <v>46283</v>
      </c>
      <c r="N373" s="3" t="s">
        <v>429</v>
      </c>
      <c r="O373" s="3" t="s">
        <v>80</v>
      </c>
      <c r="P373" t="str">
        <f t="shared" si="5"/>
        <v>450013779460</v>
      </c>
      <c r="Q373" s="7" cm="1">
        <f t="array" ref="Q373:S373">VLOOKUP(P373,Hoja1!C:F,{2,3,4},FALSE)</f>
        <v>46284</v>
      </c>
      <c r="R373" t="str">
        <v>C35</v>
      </c>
      <c r="S373" t="str">
        <v>1000009037 FELTRIN S.A</v>
      </c>
      <c r="T373" t="str">
        <f>VLOOKUP(P373,Hoja2!C:D,2,FALSE)</f>
        <v>FSOTO</v>
      </c>
    </row>
    <row r="374" spans="1:20" x14ac:dyDescent="0.3">
      <c r="A374" s="2" t="s">
        <v>15</v>
      </c>
      <c r="B374" s="3" t="s">
        <v>15</v>
      </c>
      <c r="C374" s="3" t="s">
        <v>427</v>
      </c>
      <c r="D374" s="3" t="s">
        <v>15</v>
      </c>
      <c r="E374" s="3" t="s">
        <v>149</v>
      </c>
      <c r="F374" s="4">
        <v>46283</v>
      </c>
      <c r="G374" s="3" t="s">
        <v>50</v>
      </c>
      <c r="H374" s="6">
        <v>-885982.1</v>
      </c>
      <c r="I374" s="3" t="s">
        <v>19</v>
      </c>
      <c r="J374" s="3" t="s">
        <v>15</v>
      </c>
      <c r="K374" s="3" t="s">
        <v>15</v>
      </c>
      <c r="L374" s="3" t="s">
        <v>428</v>
      </c>
      <c r="M374" s="4">
        <v>46283</v>
      </c>
      <c r="N374" s="3" t="s">
        <v>429</v>
      </c>
      <c r="O374" s="3" t="s">
        <v>81</v>
      </c>
      <c r="P374" t="str">
        <f t="shared" si="5"/>
        <v>450013779470</v>
      </c>
      <c r="Q374" s="7" cm="1">
        <f t="array" ref="Q374:S374">VLOOKUP(P374,Hoja1!C:F,{2,3,4},FALSE)</f>
        <v>46284</v>
      </c>
      <c r="R374" t="str">
        <v>C35</v>
      </c>
      <c r="S374" t="str">
        <v>1000009037 FELTRIN S.A</v>
      </c>
      <c r="T374" t="str">
        <f>VLOOKUP(P374,Hoja2!C:D,2,FALSE)</f>
        <v>FSOTO</v>
      </c>
    </row>
    <row r="375" spans="1:20" x14ac:dyDescent="0.3">
      <c r="A375" s="2" t="s">
        <v>15</v>
      </c>
      <c r="B375" s="3" t="s">
        <v>15</v>
      </c>
      <c r="C375" s="3" t="s">
        <v>427</v>
      </c>
      <c r="D375" s="3" t="s">
        <v>15</v>
      </c>
      <c r="E375" s="3" t="s">
        <v>149</v>
      </c>
      <c r="F375" s="4">
        <v>46283</v>
      </c>
      <c r="G375" s="3" t="s">
        <v>50</v>
      </c>
      <c r="H375" s="6">
        <v>-141696.1</v>
      </c>
      <c r="I375" s="3" t="s">
        <v>19</v>
      </c>
      <c r="J375" s="3" t="s">
        <v>15</v>
      </c>
      <c r="K375" s="3" t="s">
        <v>15</v>
      </c>
      <c r="L375" s="3" t="s">
        <v>428</v>
      </c>
      <c r="M375" s="4">
        <v>46283</v>
      </c>
      <c r="N375" s="3" t="s">
        <v>429</v>
      </c>
      <c r="O375" s="3" t="s">
        <v>84</v>
      </c>
      <c r="P375" t="str">
        <f t="shared" si="5"/>
        <v>4500137794100</v>
      </c>
      <c r="Q375" s="7" cm="1">
        <f t="array" ref="Q375:S375">VLOOKUP(P375,Hoja1!C:F,{2,3,4},FALSE)</f>
        <v>46284</v>
      </c>
      <c r="R375" t="str">
        <v>C35</v>
      </c>
      <c r="S375" t="str">
        <v>1000009037 FELTRIN S.A</v>
      </c>
      <c r="T375" t="str">
        <f>VLOOKUP(P375,Hoja2!C:D,2,FALSE)</f>
        <v>FSOTO</v>
      </c>
    </row>
    <row r="376" spans="1:20" x14ac:dyDescent="0.3">
      <c r="A376" s="2" t="s">
        <v>15</v>
      </c>
      <c r="B376" s="3" t="s">
        <v>15</v>
      </c>
      <c r="C376" s="3" t="s">
        <v>427</v>
      </c>
      <c r="D376" s="3" t="s">
        <v>15</v>
      </c>
      <c r="E376" s="3" t="s">
        <v>149</v>
      </c>
      <c r="F376" s="4">
        <v>46283</v>
      </c>
      <c r="G376" s="3" t="s">
        <v>50</v>
      </c>
      <c r="H376" s="6">
        <v>-122947.55</v>
      </c>
      <c r="I376" s="3" t="s">
        <v>19</v>
      </c>
      <c r="J376" s="3" t="s">
        <v>15</v>
      </c>
      <c r="K376" s="3" t="s">
        <v>15</v>
      </c>
      <c r="L376" s="3" t="s">
        <v>428</v>
      </c>
      <c r="M376" s="4">
        <v>46283</v>
      </c>
      <c r="N376" s="3" t="s">
        <v>429</v>
      </c>
      <c r="O376" s="3" t="s">
        <v>86</v>
      </c>
      <c r="P376" t="str">
        <f t="shared" si="5"/>
        <v>4500137794120</v>
      </c>
      <c r="Q376" s="7" cm="1">
        <f t="array" ref="Q376:S376">VLOOKUP(P376,Hoja1!C:F,{2,3,4},FALSE)</f>
        <v>46284</v>
      </c>
      <c r="R376" t="str">
        <v>C35</v>
      </c>
      <c r="S376" t="str">
        <v>1000009037 FELTRIN S.A</v>
      </c>
      <c r="T376" t="str">
        <f>VLOOKUP(P376,Hoja2!C:D,2,FALSE)</f>
        <v>FSOTO</v>
      </c>
    </row>
    <row r="377" spans="1:20" x14ac:dyDescent="0.3">
      <c r="A377" s="2" t="s">
        <v>15</v>
      </c>
      <c r="B377" s="3" t="s">
        <v>15</v>
      </c>
      <c r="C377" s="3" t="s">
        <v>427</v>
      </c>
      <c r="D377" s="3" t="s">
        <v>15</v>
      </c>
      <c r="E377" s="3" t="s">
        <v>149</v>
      </c>
      <c r="F377" s="4">
        <v>46283</v>
      </c>
      <c r="G377" s="3" t="s">
        <v>50</v>
      </c>
      <c r="H377" s="6">
        <v>-89998.81</v>
      </c>
      <c r="I377" s="3" t="s">
        <v>19</v>
      </c>
      <c r="J377" s="3" t="s">
        <v>15</v>
      </c>
      <c r="K377" s="3" t="s">
        <v>15</v>
      </c>
      <c r="L377" s="3" t="s">
        <v>428</v>
      </c>
      <c r="M377" s="4">
        <v>46283</v>
      </c>
      <c r="N377" s="3" t="s">
        <v>429</v>
      </c>
      <c r="O377" s="3" t="s">
        <v>65</v>
      </c>
      <c r="P377" t="str">
        <f t="shared" si="5"/>
        <v>4500137794130</v>
      </c>
      <c r="Q377" s="7" cm="1">
        <f t="array" ref="Q377:S377">VLOOKUP(P377,Hoja1!C:F,{2,3,4},FALSE)</f>
        <v>46284</v>
      </c>
      <c r="R377" t="str">
        <v>C35</v>
      </c>
      <c r="S377" t="str">
        <v>1000009037 FELTRIN S.A</v>
      </c>
      <c r="T377" t="str">
        <f>VLOOKUP(P377,Hoja2!C:D,2,FALSE)</f>
        <v>FSOTO</v>
      </c>
    </row>
    <row r="378" spans="1:20" x14ac:dyDescent="0.3">
      <c r="A378" s="2" t="s">
        <v>15</v>
      </c>
      <c r="B378" s="3" t="s">
        <v>15</v>
      </c>
      <c r="C378" s="3" t="s">
        <v>427</v>
      </c>
      <c r="D378" s="3" t="s">
        <v>15</v>
      </c>
      <c r="E378" s="3" t="s">
        <v>149</v>
      </c>
      <c r="F378" s="4">
        <v>46283</v>
      </c>
      <c r="G378" s="3" t="s">
        <v>50</v>
      </c>
      <c r="H378" s="6">
        <v>-19373.060000000001</v>
      </c>
      <c r="I378" s="3" t="s">
        <v>19</v>
      </c>
      <c r="J378" s="3" t="s">
        <v>15</v>
      </c>
      <c r="K378" s="3" t="s">
        <v>15</v>
      </c>
      <c r="L378" s="3" t="s">
        <v>428</v>
      </c>
      <c r="M378" s="4">
        <v>46283</v>
      </c>
      <c r="N378" s="3" t="s">
        <v>429</v>
      </c>
      <c r="O378" s="3" t="s">
        <v>66</v>
      </c>
      <c r="P378" t="str">
        <f t="shared" si="5"/>
        <v>4500137794140</v>
      </c>
      <c r="Q378" s="7" cm="1">
        <f t="array" ref="Q378:S378">VLOOKUP(P378,Hoja1!C:F,{2,3,4},FALSE)</f>
        <v>46284</v>
      </c>
      <c r="R378" t="str">
        <v>C35</v>
      </c>
      <c r="S378" t="str">
        <v>1000009037 FELTRIN S.A</v>
      </c>
      <c r="T378" t="str">
        <f>VLOOKUP(P378,Hoja2!C:D,2,FALSE)</f>
        <v>FSOTO</v>
      </c>
    </row>
    <row r="379" spans="1:20" x14ac:dyDescent="0.3">
      <c r="A379" s="2" t="s">
        <v>15</v>
      </c>
      <c r="B379" s="3" t="s">
        <v>15</v>
      </c>
      <c r="C379" s="3" t="s">
        <v>427</v>
      </c>
      <c r="D379" s="3" t="s">
        <v>15</v>
      </c>
      <c r="E379" s="3" t="s">
        <v>149</v>
      </c>
      <c r="F379" s="4">
        <v>46283</v>
      </c>
      <c r="G379" s="3" t="s">
        <v>50</v>
      </c>
      <c r="H379" s="6">
        <v>-78013.429999999993</v>
      </c>
      <c r="I379" s="3" t="s">
        <v>19</v>
      </c>
      <c r="J379" s="3" t="s">
        <v>15</v>
      </c>
      <c r="K379" s="3" t="s">
        <v>15</v>
      </c>
      <c r="L379" s="3" t="s">
        <v>428</v>
      </c>
      <c r="M379" s="4">
        <v>46283</v>
      </c>
      <c r="N379" s="3" t="s">
        <v>429</v>
      </c>
      <c r="O379" s="3" t="s">
        <v>88</v>
      </c>
      <c r="P379" t="str">
        <f t="shared" si="5"/>
        <v>4500137794160</v>
      </c>
      <c r="Q379" s="7" cm="1">
        <f t="array" ref="Q379:S379">VLOOKUP(P379,Hoja1!C:F,{2,3,4},FALSE)</f>
        <v>46284</v>
      </c>
      <c r="R379" t="str">
        <v>C35</v>
      </c>
      <c r="S379" t="str">
        <v>1000009037 FELTRIN S.A</v>
      </c>
      <c r="T379" t="str">
        <f>VLOOKUP(P379,Hoja2!C:D,2,FALSE)</f>
        <v>FSOTO</v>
      </c>
    </row>
    <row r="380" spans="1:20" x14ac:dyDescent="0.3">
      <c r="A380" s="2" t="s">
        <v>15</v>
      </c>
      <c r="B380" s="3" t="s">
        <v>15</v>
      </c>
      <c r="C380" s="3" t="s">
        <v>427</v>
      </c>
      <c r="D380" s="3" t="s">
        <v>15</v>
      </c>
      <c r="E380" s="3" t="s">
        <v>149</v>
      </c>
      <c r="F380" s="4">
        <v>46283</v>
      </c>
      <c r="G380" s="3" t="s">
        <v>50</v>
      </c>
      <c r="H380" s="6">
        <v>-34351.300000000003</v>
      </c>
      <c r="I380" s="3" t="s">
        <v>19</v>
      </c>
      <c r="J380" s="3" t="s">
        <v>15</v>
      </c>
      <c r="K380" s="3" t="s">
        <v>15</v>
      </c>
      <c r="L380" s="3" t="s">
        <v>428</v>
      </c>
      <c r="M380" s="4">
        <v>46283</v>
      </c>
      <c r="N380" s="3" t="s">
        <v>429</v>
      </c>
      <c r="O380" s="3" t="s">
        <v>67</v>
      </c>
      <c r="P380" t="str">
        <f t="shared" si="5"/>
        <v>4500137794170</v>
      </c>
      <c r="Q380" s="7" cm="1">
        <f t="array" ref="Q380:S380">VLOOKUP(P380,Hoja1!C:F,{2,3,4},FALSE)</f>
        <v>46284</v>
      </c>
      <c r="R380" t="str">
        <v>C35</v>
      </c>
      <c r="S380" t="str">
        <v>1000009037 FELTRIN S.A</v>
      </c>
      <c r="T380" t="str">
        <f>VLOOKUP(P380,Hoja2!C:D,2,FALSE)</f>
        <v>FSOTO</v>
      </c>
    </row>
    <row r="381" spans="1:20" x14ac:dyDescent="0.3">
      <c r="A381" s="2" t="s">
        <v>15</v>
      </c>
      <c r="B381" s="3" t="s">
        <v>15</v>
      </c>
      <c r="C381" s="3" t="s">
        <v>427</v>
      </c>
      <c r="D381" s="3" t="s">
        <v>15</v>
      </c>
      <c r="E381" s="3" t="s">
        <v>149</v>
      </c>
      <c r="F381" s="4">
        <v>46283</v>
      </c>
      <c r="G381" s="3" t="s">
        <v>50</v>
      </c>
      <c r="H381" s="6">
        <v>-55944.68</v>
      </c>
      <c r="I381" s="3" t="s">
        <v>19</v>
      </c>
      <c r="J381" s="3" t="s">
        <v>15</v>
      </c>
      <c r="K381" s="3" t="s">
        <v>15</v>
      </c>
      <c r="L381" s="3" t="s">
        <v>428</v>
      </c>
      <c r="M381" s="4">
        <v>46283</v>
      </c>
      <c r="N381" s="3" t="s">
        <v>429</v>
      </c>
      <c r="O381" s="3" t="s">
        <v>125</v>
      </c>
      <c r="P381" t="str">
        <f t="shared" si="5"/>
        <v>4500137794180</v>
      </c>
      <c r="Q381" s="7" cm="1">
        <f t="array" ref="Q381:S381">VLOOKUP(P381,Hoja1!C:F,{2,3,4},FALSE)</f>
        <v>46284</v>
      </c>
      <c r="R381" t="str">
        <v>C35</v>
      </c>
      <c r="S381" t="str">
        <v>1000009037 FELTRIN S.A</v>
      </c>
      <c r="T381" t="str">
        <f>VLOOKUP(P381,Hoja2!C:D,2,FALSE)</f>
        <v>FSOTO</v>
      </c>
    </row>
    <row r="382" spans="1:20" x14ac:dyDescent="0.3">
      <c r="A382" s="2" t="s">
        <v>15</v>
      </c>
      <c r="B382" s="3" t="s">
        <v>15</v>
      </c>
      <c r="C382" s="3" t="s">
        <v>427</v>
      </c>
      <c r="D382" s="3" t="s">
        <v>15</v>
      </c>
      <c r="E382" s="3" t="s">
        <v>149</v>
      </c>
      <c r="F382" s="4">
        <v>46283</v>
      </c>
      <c r="G382" s="3" t="s">
        <v>50</v>
      </c>
      <c r="H382" s="6">
        <v>-816479.36</v>
      </c>
      <c r="I382" s="3" t="s">
        <v>19</v>
      </c>
      <c r="J382" s="3" t="s">
        <v>15</v>
      </c>
      <c r="K382" s="3" t="s">
        <v>15</v>
      </c>
      <c r="L382" s="3" t="s">
        <v>428</v>
      </c>
      <c r="M382" s="4">
        <v>46283</v>
      </c>
      <c r="N382" s="3" t="s">
        <v>429</v>
      </c>
      <c r="O382" s="3" t="s">
        <v>91</v>
      </c>
      <c r="P382" t="str">
        <f t="shared" si="5"/>
        <v>4500137794190</v>
      </c>
      <c r="Q382" s="7" cm="1">
        <f t="array" ref="Q382:S382">VLOOKUP(P382,Hoja1!C:F,{2,3,4},FALSE)</f>
        <v>46284</v>
      </c>
      <c r="R382" t="str">
        <v>C35</v>
      </c>
      <c r="S382" t="str">
        <v>1000009037 FELTRIN S.A</v>
      </c>
      <c r="T382" t="str">
        <f>VLOOKUP(P382,Hoja2!C:D,2,FALSE)</f>
        <v>FSOTO</v>
      </c>
    </row>
    <row r="383" spans="1:20" x14ac:dyDescent="0.3">
      <c r="A383" s="2" t="s">
        <v>15</v>
      </c>
      <c r="B383" s="3" t="s">
        <v>15</v>
      </c>
      <c r="C383" s="3" t="s">
        <v>427</v>
      </c>
      <c r="D383" s="3" t="s">
        <v>15</v>
      </c>
      <c r="E383" s="3" t="s">
        <v>149</v>
      </c>
      <c r="F383" s="4">
        <v>46283</v>
      </c>
      <c r="G383" s="3" t="s">
        <v>50</v>
      </c>
      <c r="H383" s="6">
        <v>-49644.91</v>
      </c>
      <c r="I383" s="3" t="s">
        <v>19</v>
      </c>
      <c r="J383" s="3" t="s">
        <v>15</v>
      </c>
      <c r="K383" s="3" t="s">
        <v>15</v>
      </c>
      <c r="L383" s="3" t="s">
        <v>428</v>
      </c>
      <c r="M383" s="4">
        <v>46283</v>
      </c>
      <c r="N383" s="3" t="s">
        <v>429</v>
      </c>
      <c r="O383" s="3" t="s">
        <v>92</v>
      </c>
      <c r="P383" t="str">
        <f t="shared" si="5"/>
        <v>4500137794200</v>
      </c>
      <c r="Q383" s="7" cm="1">
        <f t="array" ref="Q383:S383">VLOOKUP(P383,Hoja1!C:F,{2,3,4},FALSE)</f>
        <v>46284</v>
      </c>
      <c r="R383" t="str">
        <v>C35</v>
      </c>
      <c r="S383" t="str">
        <v>1000009037 FELTRIN S.A</v>
      </c>
      <c r="T383" t="str">
        <f>VLOOKUP(P383,Hoja2!C:D,2,FALSE)</f>
        <v>FSOTO</v>
      </c>
    </row>
    <row r="384" spans="1:20" x14ac:dyDescent="0.3">
      <c r="A384" s="2" t="s">
        <v>15</v>
      </c>
      <c r="B384" s="3" t="s">
        <v>15</v>
      </c>
      <c r="C384" s="3" t="s">
        <v>427</v>
      </c>
      <c r="D384" s="3" t="s">
        <v>15</v>
      </c>
      <c r="E384" s="3" t="s">
        <v>149</v>
      </c>
      <c r="F384" s="4">
        <v>46283</v>
      </c>
      <c r="G384" s="3" t="s">
        <v>50</v>
      </c>
      <c r="H384" s="6">
        <v>-2265.9</v>
      </c>
      <c r="I384" s="3" t="s">
        <v>19</v>
      </c>
      <c r="J384" s="3" t="s">
        <v>15</v>
      </c>
      <c r="K384" s="3" t="s">
        <v>15</v>
      </c>
      <c r="L384" s="3" t="s">
        <v>428</v>
      </c>
      <c r="M384" s="4">
        <v>46283</v>
      </c>
      <c r="N384" s="3" t="s">
        <v>429</v>
      </c>
      <c r="O384" s="3" t="s">
        <v>43</v>
      </c>
      <c r="P384" t="str">
        <f t="shared" si="5"/>
        <v>4500137794210</v>
      </c>
      <c r="Q384" s="7" cm="1">
        <f t="array" ref="Q384:S384">VLOOKUP(P384,Hoja1!C:F,{2,3,4},FALSE)</f>
        <v>46284</v>
      </c>
      <c r="R384" t="str">
        <v>C35</v>
      </c>
      <c r="S384" t="str">
        <v>1000009037 FELTRIN S.A</v>
      </c>
      <c r="T384" t="str">
        <f>VLOOKUP(P384,Hoja2!C:D,2,FALSE)</f>
        <v>FSOTO</v>
      </c>
    </row>
    <row r="385" spans="1:20" x14ac:dyDescent="0.3">
      <c r="A385" s="2" t="s">
        <v>15</v>
      </c>
      <c r="B385" s="3" t="s">
        <v>15</v>
      </c>
      <c r="C385" s="3" t="s">
        <v>427</v>
      </c>
      <c r="D385" s="3" t="s">
        <v>15</v>
      </c>
      <c r="E385" s="3" t="s">
        <v>149</v>
      </c>
      <c r="F385" s="4">
        <v>46283</v>
      </c>
      <c r="G385" s="3" t="s">
        <v>50</v>
      </c>
      <c r="H385" s="6">
        <v>-16108.51</v>
      </c>
      <c r="I385" s="3" t="s">
        <v>19</v>
      </c>
      <c r="J385" s="3" t="s">
        <v>15</v>
      </c>
      <c r="K385" s="3" t="s">
        <v>15</v>
      </c>
      <c r="L385" s="3" t="s">
        <v>428</v>
      </c>
      <c r="M385" s="4">
        <v>46283</v>
      </c>
      <c r="N385" s="3" t="s">
        <v>429</v>
      </c>
      <c r="O385" s="3" t="s">
        <v>44</v>
      </c>
      <c r="P385" t="str">
        <f t="shared" si="5"/>
        <v>4500137794220</v>
      </c>
      <c r="Q385" s="7" cm="1">
        <f t="array" ref="Q385:S385">VLOOKUP(P385,Hoja1!C:F,{2,3,4},FALSE)</f>
        <v>46284</v>
      </c>
      <c r="R385" t="str">
        <v>C35</v>
      </c>
      <c r="S385" t="str">
        <v>1000009037 FELTRIN S.A</v>
      </c>
      <c r="T385" t="str">
        <f>VLOOKUP(P385,Hoja2!C:D,2,FALSE)</f>
        <v>FSOTO</v>
      </c>
    </row>
    <row r="386" spans="1:20" x14ac:dyDescent="0.3">
      <c r="A386" s="2" t="s">
        <v>15</v>
      </c>
      <c r="B386" s="3" t="s">
        <v>15</v>
      </c>
      <c r="C386" s="3" t="s">
        <v>427</v>
      </c>
      <c r="D386" s="3" t="s">
        <v>15</v>
      </c>
      <c r="E386" s="3" t="s">
        <v>149</v>
      </c>
      <c r="F386" s="4">
        <v>46283</v>
      </c>
      <c r="G386" s="3" t="s">
        <v>50</v>
      </c>
      <c r="H386" s="6">
        <v>-2715.72</v>
      </c>
      <c r="I386" s="3" t="s">
        <v>19</v>
      </c>
      <c r="J386" s="3" t="s">
        <v>15</v>
      </c>
      <c r="K386" s="3" t="s">
        <v>15</v>
      </c>
      <c r="L386" s="3" t="s">
        <v>428</v>
      </c>
      <c r="M386" s="4">
        <v>46283</v>
      </c>
      <c r="N386" s="3" t="s">
        <v>429</v>
      </c>
      <c r="O386" s="3" t="s">
        <v>126</v>
      </c>
      <c r="P386" t="str">
        <f t="shared" si="5"/>
        <v>4500137794230</v>
      </c>
      <c r="Q386" s="7" cm="1">
        <f t="array" ref="Q386:S386">VLOOKUP(P386,Hoja1!C:F,{2,3,4},FALSE)</f>
        <v>46284</v>
      </c>
      <c r="R386" t="str">
        <v>C35</v>
      </c>
      <c r="S386" t="str">
        <v>1000009037 FELTRIN S.A</v>
      </c>
      <c r="T386" t="str">
        <f>VLOOKUP(P386,Hoja2!C:D,2,FALSE)</f>
        <v>FSOTO</v>
      </c>
    </row>
    <row r="387" spans="1:20" x14ac:dyDescent="0.3">
      <c r="A387" s="2" t="s">
        <v>15</v>
      </c>
      <c r="B387" s="3" t="s">
        <v>15</v>
      </c>
      <c r="C387" s="3" t="s">
        <v>427</v>
      </c>
      <c r="D387" s="3" t="s">
        <v>15</v>
      </c>
      <c r="E387" s="3" t="s">
        <v>149</v>
      </c>
      <c r="F387" s="4">
        <v>46283</v>
      </c>
      <c r="G387" s="3" t="s">
        <v>50</v>
      </c>
      <c r="H387" s="6">
        <v>-1060.07</v>
      </c>
      <c r="I387" s="3" t="s">
        <v>19</v>
      </c>
      <c r="J387" s="3" t="s">
        <v>15</v>
      </c>
      <c r="K387" s="3" t="s">
        <v>15</v>
      </c>
      <c r="L387" s="3" t="s">
        <v>428</v>
      </c>
      <c r="M387" s="4">
        <v>46283</v>
      </c>
      <c r="N387" s="3" t="s">
        <v>429</v>
      </c>
      <c r="O387" s="3" t="s">
        <v>127</v>
      </c>
      <c r="P387" t="str">
        <f t="shared" ref="P387:P450" si="6">_xlfn.CONCAT(N387:O387)</f>
        <v>4500137794240</v>
      </c>
      <c r="Q387" s="7" cm="1">
        <f t="array" ref="Q387:S387">VLOOKUP(P387,Hoja1!C:F,{2,3,4},FALSE)</f>
        <v>46284</v>
      </c>
      <c r="R387" t="str">
        <v>C35</v>
      </c>
      <c r="S387" t="str">
        <v>1000009037 FELTRIN S.A</v>
      </c>
      <c r="T387" t="str">
        <f>VLOOKUP(P387,Hoja2!C:D,2,FALSE)</f>
        <v>FSOTO</v>
      </c>
    </row>
    <row r="388" spans="1:20" x14ac:dyDescent="0.3">
      <c r="A388" s="2" t="s">
        <v>15</v>
      </c>
      <c r="B388" s="3" t="s">
        <v>15</v>
      </c>
      <c r="C388" s="3" t="s">
        <v>427</v>
      </c>
      <c r="D388" s="3" t="s">
        <v>15</v>
      </c>
      <c r="E388" s="3" t="s">
        <v>149</v>
      </c>
      <c r="F388" s="4">
        <v>46283</v>
      </c>
      <c r="G388" s="3" t="s">
        <v>50</v>
      </c>
      <c r="H388" s="6">
        <v>-3176.47</v>
      </c>
      <c r="I388" s="3" t="s">
        <v>19</v>
      </c>
      <c r="J388" s="3" t="s">
        <v>15</v>
      </c>
      <c r="K388" s="3" t="s">
        <v>15</v>
      </c>
      <c r="L388" s="3" t="s">
        <v>428</v>
      </c>
      <c r="M388" s="4">
        <v>46283</v>
      </c>
      <c r="N388" s="3" t="s">
        <v>429</v>
      </c>
      <c r="O388" s="3" t="s">
        <v>128</v>
      </c>
      <c r="P388" t="str">
        <f t="shared" si="6"/>
        <v>4500137794250</v>
      </c>
      <c r="Q388" s="7" cm="1">
        <f t="array" ref="Q388:S388">VLOOKUP(P388,Hoja1!C:F,{2,3,4},FALSE)</f>
        <v>46284</v>
      </c>
      <c r="R388" t="str">
        <v>C35</v>
      </c>
      <c r="S388" t="str">
        <v>1000009037 FELTRIN S.A</v>
      </c>
      <c r="T388" t="str">
        <f>VLOOKUP(P388,Hoja2!C:D,2,FALSE)</f>
        <v>FSOTO</v>
      </c>
    </row>
    <row r="389" spans="1:20" x14ac:dyDescent="0.3">
      <c r="A389" s="2" t="s">
        <v>15</v>
      </c>
      <c r="B389" s="3" t="s">
        <v>15</v>
      </c>
      <c r="C389" s="3" t="s">
        <v>427</v>
      </c>
      <c r="D389" s="3" t="s">
        <v>15</v>
      </c>
      <c r="E389" s="3" t="s">
        <v>149</v>
      </c>
      <c r="F389" s="4">
        <v>46283</v>
      </c>
      <c r="G389" s="3" t="s">
        <v>50</v>
      </c>
      <c r="H389" s="6">
        <v>-4335.66</v>
      </c>
      <c r="I389" s="3" t="s">
        <v>19</v>
      </c>
      <c r="J389" s="3" t="s">
        <v>15</v>
      </c>
      <c r="K389" s="3" t="s">
        <v>15</v>
      </c>
      <c r="L389" s="3" t="s">
        <v>428</v>
      </c>
      <c r="M389" s="4">
        <v>46283</v>
      </c>
      <c r="N389" s="3" t="s">
        <v>429</v>
      </c>
      <c r="O389" s="3" t="s">
        <v>129</v>
      </c>
      <c r="P389" t="str">
        <f t="shared" si="6"/>
        <v>4500137794260</v>
      </c>
      <c r="Q389" s="7" cm="1">
        <f t="array" ref="Q389:S389">VLOOKUP(P389,Hoja1!C:F,{2,3,4},FALSE)</f>
        <v>46284</v>
      </c>
      <c r="R389" t="str">
        <v>C35</v>
      </c>
      <c r="S389" t="str">
        <v>1000009037 FELTRIN S.A</v>
      </c>
      <c r="T389" t="str">
        <f>VLOOKUP(P389,Hoja2!C:D,2,FALSE)</f>
        <v>FSOTO</v>
      </c>
    </row>
    <row r="390" spans="1:20" x14ac:dyDescent="0.3">
      <c r="A390" s="2" t="s">
        <v>15</v>
      </c>
      <c r="B390" s="3" t="s">
        <v>15</v>
      </c>
      <c r="C390" s="3" t="s">
        <v>427</v>
      </c>
      <c r="D390" s="3" t="s">
        <v>15</v>
      </c>
      <c r="E390" s="3" t="s">
        <v>149</v>
      </c>
      <c r="F390" s="4">
        <v>46283</v>
      </c>
      <c r="G390" s="3" t="s">
        <v>50</v>
      </c>
      <c r="H390" s="6">
        <v>-2308.3200000000002</v>
      </c>
      <c r="I390" s="3" t="s">
        <v>19</v>
      </c>
      <c r="J390" s="3" t="s">
        <v>15</v>
      </c>
      <c r="K390" s="3" t="s">
        <v>15</v>
      </c>
      <c r="L390" s="3" t="s">
        <v>428</v>
      </c>
      <c r="M390" s="4">
        <v>46283</v>
      </c>
      <c r="N390" s="3" t="s">
        <v>429</v>
      </c>
      <c r="O390" s="3" t="s">
        <v>130</v>
      </c>
      <c r="P390" t="str">
        <f t="shared" si="6"/>
        <v>4500137794270</v>
      </c>
      <c r="Q390" s="7" cm="1">
        <f t="array" ref="Q390:S390">VLOOKUP(P390,Hoja1!C:F,{2,3,4},FALSE)</f>
        <v>46284</v>
      </c>
      <c r="R390" t="str">
        <v>C35</v>
      </c>
      <c r="S390" t="str">
        <v>1000009037 FELTRIN S.A</v>
      </c>
      <c r="T390" t="str">
        <f>VLOOKUP(P390,Hoja2!C:D,2,FALSE)</f>
        <v>FSOTO</v>
      </c>
    </row>
    <row r="391" spans="1:20" x14ac:dyDescent="0.3">
      <c r="A391" s="2" t="s">
        <v>15</v>
      </c>
      <c r="B391" s="3" t="s">
        <v>15</v>
      </c>
      <c r="C391" s="3" t="s">
        <v>427</v>
      </c>
      <c r="D391" s="3" t="s">
        <v>15</v>
      </c>
      <c r="E391" s="3" t="s">
        <v>149</v>
      </c>
      <c r="F391" s="4">
        <v>46283</v>
      </c>
      <c r="G391" s="3" t="s">
        <v>50</v>
      </c>
      <c r="H391" s="6">
        <v>-11468.66</v>
      </c>
      <c r="I391" s="3" t="s">
        <v>19</v>
      </c>
      <c r="J391" s="3" t="s">
        <v>15</v>
      </c>
      <c r="K391" s="3" t="s">
        <v>15</v>
      </c>
      <c r="L391" s="3" t="s">
        <v>428</v>
      </c>
      <c r="M391" s="4">
        <v>46283</v>
      </c>
      <c r="N391" s="3" t="s">
        <v>429</v>
      </c>
      <c r="O391" s="3" t="s">
        <v>131</v>
      </c>
      <c r="P391" t="str">
        <f t="shared" si="6"/>
        <v>4500137794280</v>
      </c>
      <c r="Q391" s="7" cm="1">
        <f t="array" ref="Q391:S391">VLOOKUP(P391,Hoja1!C:F,{2,3,4},FALSE)</f>
        <v>46284</v>
      </c>
      <c r="R391" t="str">
        <v>C35</v>
      </c>
      <c r="S391" t="str">
        <v>1000009037 FELTRIN S.A</v>
      </c>
      <c r="T391" t="str">
        <f>VLOOKUP(P391,Hoja2!C:D,2,FALSE)</f>
        <v>FSOTO</v>
      </c>
    </row>
    <row r="392" spans="1:20" x14ac:dyDescent="0.3">
      <c r="A392" s="2" t="s">
        <v>15</v>
      </c>
      <c r="B392" s="3" t="s">
        <v>15</v>
      </c>
      <c r="C392" s="3" t="s">
        <v>427</v>
      </c>
      <c r="D392" s="3" t="s">
        <v>15</v>
      </c>
      <c r="E392" s="3" t="s">
        <v>149</v>
      </c>
      <c r="F392" s="4">
        <v>46283</v>
      </c>
      <c r="G392" s="3" t="s">
        <v>50</v>
      </c>
      <c r="H392" s="6">
        <v>-4268.1099999999997</v>
      </c>
      <c r="I392" s="3" t="s">
        <v>19</v>
      </c>
      <c r="J392" s="3" t="s">
        <v>15</v>
      </c>
      <c r="K392" s="3" t="s">
        <v>15</v>
      </c>
      <c r="L392" s="3" t="s">
        <v>428</v>
      </c>
      <c r="M392" s="4">
        <v>46283</v>
      </c>
      <c r="N392" s="3" t="s">
        <v>429</v>
      </c>
      <c r="O392" s="3" t="s">
        <v>133</v>
      </c>
      <c r="P392" t="str">
        <f t="shared" si="6"/>
        <v>4500137794300</v>
      </c>
      <c r="Q392" s="7" cm="1">
        <f t="array" ref="Q392:S392">VLOOKUP(P392,Hoja1!C:F,{2,3,4},FALSE)</f>
        <v>46284</v>
      </c>
      <c r="R392" t="str">
        <v>C35</v>
      </c>
      <c r="S392" t="str">
        <v>1000009037 FELTRIN S.A</v>
      </c>
      <c r="T392" t="str">
        <f>VLOOKUP(P392,Hoja2!C:D,2,FALSE)</f>
        <v>FSOTO</v>
      </c>
    </row>
    <row r="393" spans="1:20" x14ac:dyDescent="0.3">
      <c r="A393" s="2" t="s">
        <v>15</v>
      </c>
      <c r="B393" s="3" t="s">
        <v>15</v>
      </c>
      <c r="C393" s="3" t="s">
        <v>427</v>
      </c>
      <c r="D393" s="3" t="s">
        <v>15</v>
      </c>
      <c r="E393" s="3" t="s">
        <v>149</v>
      </c>
      <c r="F393" s="4">
        <v>46283</v>
      </c>
      <c r="G393" s="3" t="s">
        <v>50</v>
      </c>
      <c r="H393" s="6">
        <v>-49342.52</v>
      </c>
      <c r="I393" s="3" t="s">
        <v>19</v>
      </c>
      <c r="J393" s="3" t="s">
        <v>15</v>
      </c>
      <c r="K393" s="3" t="s">
        <v>15</v>
      </c>
      <c r="L393" s="3" t="s">
        <v>428</v>
      </c>
      <c r="M393" s="4">
        <v>46283</v>
      </c>
      <c r="N393" s="3" t="s">
        <v>429</v>
      </c>
      <c r="O393" s="3" t="s">
        <v>135</v>
      </c>
      <c r="P393" t="str">
        <f t="shared" si="6"/>
        <v>4500137794320</v>
      </c>
      <c r="Q393" s="7" cm="1">
        <f t="array" ref="Q393:S393">VLOOKUP(P393,Hoja1!C:F,{2,3,4},FALSE)</f>
        <v>46284</v>
      </c>
      <c r="R393" t="str">
        <v>C35</v>
      </c>
      <c r="S393" t="str">
        <v>1000009037 FELTRIN S.A</v>
      </c>
      <c r="T393" t="str">
        <f>VLOOKUP(P393,Hoja2!C:D,2,FALSE)</f>
        <v>FSOTO</v>
      </c>
    </row>
    <row r="394" spans="1:20" x14ac:dyDescent="0.3">
      <c r="A394" s="2" t="s">
        <v>15</v>
      </c>
      <c r="B394" s="3" t="s">
        <v>15</v>
      </c>
      <c r="C394" s="3" t="s">
        <v>427</v>
      </c>
      <c r="D394" s="3" t="s">
        <v>15</v>
      </c>
      <c r="E394" s="3" t="s">
        <v>149</v>
      </c>
      <c r="F394" s="4">
        <v>46283</v>
      </c>
      <c r="G394" s="3" t="s">
        <v>50</v>
      </c>
      <c r="H394" s="6">
        <v>-19612.34</v>
      </c>
      <c r="I394" s="3" t="s">
        <v>19</v>
      </c>
      <c r="J394" s="3" t="s">
        <v>15</v>
      </c>
      <c r="K394" s="3" t="s">
        <v>15</v>
      </c>
      <c r="L394" s="3" t="s">
        <v>428</v>
      </c>
      <c r="M394" s="4">
        <v>46283</v>
      </c>
      <c r="N394" s="3" t="s">
        <v>429</v>
      </c>
      <c r="O394" s="3" t="s">
        <v>430</v>
      </c>
      <c r="P394" t="str">
        <f t="shared" si="6"/>
        <v>4500137794330</v>
      </c>
      <c r="Q394" s="7" cm="1">
        <f t="array" ref="Q394:S394">VLOOKUP(P394,Hoja1!C:F,{2,3,4},FALSE)</f>
        <v>46284</v>
      </c>
      <c r="R394" t="str">
        <v>C35</v>
      </c>
      <c r="S394" t="str">
        <v>1000009037 FELTRIN S.A</v>
      </c>
      <c r="T394" t="str">
        <f>VLOOKUP(P394,Hoja2!C:D,2,FALSE)</f>
        <v>FSOTO</v>
      </c>
    </row>
    <row r="395" spans="1:20" x14ac:dyDescent="0.3">
      <c r="A395" s="2" t="s">
        <v>15</v>
      </c>
      <c r="B395" s="3" t="s">
        <v>15</v>
      </c>
      <c r="C395" s="3" t="s">
        <v>431</v>
      </c>
      <c r="D395" s="3" t="s">
        <v>15</v>
      </c>
      <c r="E395" s="3" t="s">
        <v>149</v>
      </c>
      <c r="F395" s="4">
        <v>46283</v>
      </c>
      <c r="G395" s="3" t="s">
        <v>50</v>
      </c>
      <c r="H395" s="6">
        <v>-758772</v>
      </c>
      <c r="I395" s="3" t="s">
        <v>19</v>
      </c>
      <c r="J395" s="3" t="s">
        <v>15</v>
      </c>
      <c r="K395" s="3" t="s">
        <v>15</v>
      </c>
      <c r="L395" s="3" t="s">
        <v>224</v>
      </c>
      <c r="M395" s="4">
        <v>46283</v>
      </c>
      <c r="N395" s="3" t="s">
        <v>432</v>
      </c>
      <c r="O395" s="3" t="s">
        <v>32</v>
      </c>
      <c r="P395" t="str">
        <f t="shared" si="6"/>
        <v>450013889710</v>
      </c>
      <c r="Q395" s="7" cm="1">
        <f t="array" ref="Q395:S395">VLOOKUP(P395,Hoja1!C:F,{2,3,4},FALSE)</f>
        <v>46295</v>
      </c>
      <c r="R395" t="str">
        <v>AGV</v>
      </c>
      <c r="S395" t="str">
        <v>1000007668 TADEMAQ EQUIPOS PESADOS S.R.L.</v>
      </c>
      <c r="T395" t="str">
        <f>VLOOKUP(P395,Hoja2!C:D,2,FALSE)</f>
        <v>ILAHORGUE</v>
      </c>
    </row>
    <row r="396" spans="1:20" x14ac:dyDescent="0.3">
      <c r="A396" s="2" t="s">
        <v>15</v>
      </c>
      <c r="B396" s="3" t="s">
        <v>15</v>
      </c>
      <c r="C396" s="3" t="s">
        <v>431</v>
      </c>
      <c r="D396" s="3" t="s">
        <v>15</v>
      </c>
      <c r="E396" s="3" t="s">
        <v>149</v>
      </c>
      <c r="F396" s="4">
        <v>46283</v>
      </c>
      <c r="G396" s="3" t="s">
        <v>50</v>
      </c>
      <c r="H396" s="6">
        <v>-2484075</v>
      </c>
      <c r="I396" s="3" t="s">
        <v>19</v>
      </c>
      <c r="J396" s="3" t="s">
        <v>15</v>
      </c>
      <c r="K396" s="3" t="s">
        <v>15</v>
      </c>
      <c r="L396" s="3" t="s">
        <v>224</v>
      </c>
      <c r="M396" s="4">
        <v>46283</v>
      </c>
      <c r="N396" s="3" t="s">
        <v>432</v>
      </c>
      <c r="O396" s="3" t="s">
        <v>28</v>
      </c>
      <c r="P396" t="str">
        <f t="shared" si="6"/>
        <v>450013889720</v>
      </c>
      <c r="Q396" s="7" cm="1">
        <f t="array" ref="Q396:S396">VLOOKUP(P396,Hoja1!C:F,{2,3,4},FALSE)</f>
        <v>46295</v>
      </c>
      <c r="R396" t="str">
        <v>AGV</v>
      </c>
      <c r="S396" t="str">
        <v>1000007668 TADEMAQ EQUIPOS PESADOS S.R.L.</v>
      </c>
      <c r="T396" t="str">
        <f>VLOOKUP(P396,Hoja2!C:D,2,FALSE)</f>
        <v>ILAHORGUE</v>
      </c>
    </row>
    <row r="397" spans="1:20" x14ac:dyDescent="0.3">
      <c r="A397" s="2" t="s">
        <v>15</v>
      </c>
      <c r="B397" s="3" t="s">
        <v>15</v>
      </c>
      <c r="C397" s="3" t="s">
        <v>433</v>
      </c>
      <c r="D397" s="3" t="s">
        <v>15</v>
      </c>
      <c r="E397" s="3" t="s">
        <v>149</v>
      </c>
      <c r="F397" s="4">
        <v>46283</v>
      </c>
      <c r="G397" s="3" t="s">
        <v>50</v>
      </c>
      <c r="H397" s="6">
        <v>-578677.68000000005</v>
      </c>
      <c r="I397" s="3" t="s">
        <v>19</v>
      </c>
      <c r="J397" s="3" t="s">
        <v>15</v>
      </c>
      <c r="K397" s="3" t="s">
        <v>15</v>
      </c>
      <c r="L397" s="3" t="s">
        <v>62</v>
      </c>
      <c r="M397" s="4">
        <v>46283</v>
      </c>
      <c r="N397" s="3" t="s">
        <v>434</v>
      </c>
      <c r="O397" s="3" t="s">
        <v>32</v>
      </c>
      <c r="P397" t="str">
        <f t="shared" si="6"/>
        <v>450013894310</v>
      </c>
      <c r="Q397" s="7" cm="1">
        <f t="array" ref="Q397:S397">VLOOKUP(P397,Hoja1!C:F,{2,3,4},FALSE)</f>
        <v>46287</v>
      </c>
      <c r="R397" t="str">
        <v>C35</v>
      </c>
      <c r="S397" t="str">
        <v>1000000566 AUTOLUX SA</v>
      </c>
      <c r="T397" t="str">
        <f>VLOOKUP(P397,Hoja2!C:D,2,FALSE)</f>
        <v>FSOTO</v>
      </c>
    </row>
    <row r="398" spans="1:20" x14ac:dyDescent="0.3">
      <c r="A398" s="2" t="s">
        <v>15</v>
      </c>
      <c r="B398" s="3" t="s">
        <v>15</v>
      </c>
      <c r="C398" s="3" t="s">
        <v>435</v>
      </c>
      <c r="D398" s="3" t="s">
        <v>15</v>
      </c>
      <c r="E398" s="3" t="s">
        <v>149</v>
      </c>
      <c r="F398" s="4">
        <v>46283</v>
      </c>
      <c r="G398" s="3" t="s">
        <v>50</v>
      </c>
      <c r="H398" s="6">
        <v>-45454.55</v>
      </c>
      <c r="I398" s="3" t="s">
        <v>19</v>
      </c>
      <c r="J398" s="3" t="s">
        <v>15</v>
      </c>
      <c r="K398" s="3" t="s">
        <v>15</v>
      </c>
      <c r="L398" s="3" t="s">
        <v>62</v>
      </c>
      <c r="M398" s="4">
        <v>46283</v>
      </c>
      <c r="N398" s="3" t="s">
        <v>436</v>
      </c>
      <c r="O398" s="3" t="s">
        <v>32</v>
      </c>
      <c r="P398" t="str">
        <f t="shared" si="6"/>
        <v>450013890010</v>
      </c>
      <c r="Q398" s="7" cm="1">
        <f t="array" ref="Q398:S398">VLOOKUP(P398,Hoja1!C:F,{2,3,4},FALSE)</f>
        <v>46287</v>
      </c>
      <c r="R398" t="str">
        <v>C35</v>
      </c>
      <c r="S398" t="str">
        <v>1000000566 AUTOLUX SA</v>
      </c>
      <c r="T398" t="str">
        <f>VLOOKUP(P398,Hoja2!C:D,2,FALSE)</f>
        <v>FSOTO</v>
      </c>
    </row>
    <row r="399" spans="1:20" x14ac:dyDescent="0.3">
      <c r="A399" s="2" t="s">
        <v>15</v>
      </c>
      <c r="B399" s="3" t="s">
        <v>15</v>
      </c>
      <c r="C399" s="3" t="s">
        <v>437</v>
      </c>
      <c r="D399" s="3" t="s">
        <v>15</v>
      </c>
      <c r="E399" s="3" t="s">
        <v>149</v>
      </c>
      <c r="F399" s="4">
        <v>46282</v>
      </c>
      <c r="G399" s="3" t="s">
        <v>50</v>
      </c>
      <c r="H399" s="6">
        <v>-313219.28000000003</v>
      </c>
      <c r="I399" s="3" t="s">
        <v>19</v>
      </c>
      <c r="J399" s="3" t="s">
        <v>15</v>
      </c>
      <c r="K399" s="3" t="s">
        <v>15</v>
      </c>
      <c r="L399" s="3" t="s">
        <v>217</v>
      </c>
      <c r="M399" s="4">
        <v>46283</v>
      </c>
      <c r="N399" s="3" t="s">
        <v>438</v>
      </c>
      <c r="O399" s="3" t="s">
        <v>32</v>
      </c>
      <c r="P399" t="str">
        <f t="shared" si="6"/>
        <v>450013506010</v>
      </c>
      <c r="Q399" s="7" cm="1">
        <f t="array" ref="Q399:S399">VLOOKUP(P399,Hoja1!C:F,{2,3,4},FALSE)</f>
        <v>46285</v>
      </c>
      <c r="R399" t="str">
        <v>C29</v>
      </c>
      <c r="S399" t="str">
        <v>1000000012 IGARRETA MAQUINAS S.A.</v>
      </c>
      <c r="T399" t="str">
        <f>VLOOKUP(P399,Hoja2!C:D,2,FALSE)</f>
        <v>WVENTURINI</v>
      </c>
    </row>
    <row r="400" spans="1:20" x14ac:dyDescent="0.3">
      <c r="A400" s="2" t="s">
        <v>15</v>
      </c>
      <c r="B400" s="3" t="s">
        <v>15</v>
      </c>
      <c r="C400" s="3" t="s">
        <v>440</v>
      </c>
      <c r="D400" s="3" t="s">
        <v>15</v>
      </c>
      <c r="E400" s="3" t="s">
        <v>149</v>
      </c>
      <c r="F400" s="4">
        <v>46286</v>
      </c>
      <c r="G400" s="3" t="s">
        <v>50</v>
      </c>
      <c r="H400" s="6">
        <v>-44288.3</v>
      </c>
      <c r="I400" s="3" t="s">
        <v>19</v>
      </c>
      <c r="J400" s="3" t="s">
        <v>15</v>
      </c>
      <c r="K400" s="3" t="s">
        <v>15</v>
      </c>
      <c r="L400" s="3" t="s">
        <v>217</v>
      </c>
      <c r="M400" s="4">
        <v>46286</v>
      </c>
      <c r="N400" s="3" t="s">
        <v>255</v>
      </c>
      <c r="O400" s="3" t="s">
        <v>32</v>
      </c>
      <c r="P400" t="str">
        <f t="shared" si="6"/>
        <v>450013333610</v>
      </c>
      <c r="Q400" s="7" cm="1">
        <f t="array" ref="Q400:S400">VLOOKUP(P400,Hoja1!C:F,{2,3,4},FALSE)</f>
        <v>46287</v>
      </c>
      <c r="R400" t="str">
        <v>C03</v>
      </c>
      <c r="S400" t="str">
        <v>1000000012 IGARRETA MAQUINAS S.A.</v>
      </c>
      <c r="T400" t="str">
        <f>VLOOKUP(P400,Hoja2!C:D,2,FALSE)</f>
        <v>RPEREZ</v>
      </c>
    </row>
    <row r="401" spans="1:20" x14ac:dyDescent="0.3">
      <c r="A401" s="2" t="s">
        <v>15</v>
      </c>
      <c r="B401" s="3" t="s">
        <v>15</v>
      </c>
      <c r="C401" s="3" t="s">
        <v>441</v>
      </c>
      <c r="D401" s="3" t="s">
        <v>15</v>
      </c>
      <c r="E401" s="3" t="s">
        <v>149</v>
      </c>
      <c r="F401" s="4">
        <v>46286</v>
      </c>
      <c r="G401" s="3" t="s">
        <v>50</v>
      </c>
      <c r="H401" s="6">
        <v>-235537.19</v>
      </c>
      <c r="I401" s="3" t="s">
        <v>19</v>
      </c>
      <c r="J401" s="3" t="s">
        <v>15</v>
      </c>
      <c r="K401" s="3" t="s">
        <v>15</v>
      </c>
      <c r="L401" s="3" t="s">
        <v>112</v>
      </c>
      <c r="M401" s="4">
        <v>46286</v>
      </c>
      <c r="N401" s="3" t="s">
        <v>442</v>
      </c>
      <c r="O401" s="3" t="s">
        <v>32</v>
      </c>
      <c r="P401" t="str">
        <f t="shared" si="6"/>
        <v>450013902510</v>
      </c>
      <c r="Q401" s="7" cm="1">
        <f t="array" ref="Q401:S401">VLOOKUP(P401,Hoja1!C:F,{2,3,4},FALSE)</f>
        <v>46288</v>
      </c>
      <c r="R401" t="str">
        <v>C35</v>
      </c>
      <c r="S401" t="str">
        <v>1000010025 RAMOS MARIO SEBASTIAN</v>
      </c>
      <c r="T401" t="str">
        <f>VLOOKUP(P401,Hoja2!C:D,2,FALSE)</f>
        <v>FSOTO</v>
      </c>
    </row>
    <row r="402" spans="1:20" x14ac:dyDescent="0.3">
      <c r="A402" s="2" t="s">
        <v>15</v>
      </c>
      <c r="B402" s="3" t="s">
        <v>15</v>
      </c>
      <c r="C402" s="3" t="s">
        <v>443</v>
      </c>
      <c r="D402" s="3" t="s">
        <v>25</v>
      </c>
      <c r="E402" s="3" t="s">
        <v>149</v>
      </c>
      <c r="F402" s="4">
        <v>46286</v>
      </c>
      <c r="G402" s="3" t="s">
        <v>50</v>
      </c>
      <c r="H402" s="6">
        <v>-441384.2</v>
      </c>
      <c r="I402" s="3" t="s">
        <v>19</v>
      </c>
      <c r="J402" s="3" t="s">
        <v>15</v>
      </c>
      <c r="K402" s="3" t="s">
        <v>15</v>
      </c>
      <c r="L402" s="3" t="s">
        <v>444</v>
      </c>
      <c r="M402" s="4">
        <v>46286</v>
      </c>
      <c r="N402" s="3" t="s">
        <v>445</v>
      </c>
      <c r="O402" s="3" t="s">
        <v>28</v>
      </c>
      <c r="P402" t="str">
        <f t="shared" si="6"/>
        <v>450013892020</v>
      </c>
      <c r="Q402" s="7" cm="1">
        <f t="array" ref="Q402:S402">VLOOKUP(P402,Hoja1!C:F,{2,3,4},FALSE)</f>
        <v>46289</v>
      </c>
      <c r="R402" t="str">
        <v>C27</v>
      </c>
      <c r="S402" t="str">
        <v>1000007610 IMPLEMENTOS INDUSTRIALES S R L</v>
      </c>
      <c r="T402" t="str">
        <f>VLOOKUP(P402,Hoja2!C:D,2,FALSE)</f>
        <v>PRODRIGUEZ</v>
      </c>
    </row>
    <row r="403" spans="1:20" x14ac:dyDescent="0.3">
      <c r="A403" s="2" t="s">
        <v>15</v>
      </c>
      <c r="B403" s="3" t="s">
        <v>15</v>
      </c>
      <c r="C403" s="3" t="s">
        <v>446</v>
      </c>
      <c r="D403" s="3" t="s">
        <v>25</v>
      </c>
      <c r="E403" s="3" t="s">
        <v>149</v>
      </c>
      <c r="F403" s="4">
        <v>46286</v>
      </c>
      <c r="G403" s="3" t="s">
        <v>50</v>
      </c>
      <c r="H403" s="6">
        <v>-2002260</v>
      </c>
      <c r="I403" s="3" t="s">
        <v>19</v>
      </c>
      <c r="J403" s="3" t="s">
        <v>15</v>
      </c>
      <c r="K403" s="3" t="s">
        <v>15</v>
      </c>
      <c r="L403" s="3" t="s">
        <v>447</v>
      </c>
      <c r="M403" s="4">
        <v>46286</v>
      </c>
      <c r="N403" s="3" t="s">
        <v>448</v>
      </c>
      <c r="O403" s="3" t="s">
        <v>32</v>
      </c>
      <c r="P403" t="str">
        <f t="shared" si="6"/>
        <v>450013682210</v>
      </c>
      <c r="Q403" s="7" cm="1">
        <f t="array" ref="Q403:S403">VLOOKUP(P403,Hoja1!C:F,{2,3,4},FALSE)</f>
        <v>46295</v>
      </c>
      <c r="R403" t="str">
        <v>C19</v>
      </c>
      <c r="S403" t="str">
        <v>1000011893 BEVACQUA CARLOS IVAN LEONARDO</v>
      </c>
      <c r="T403" t="str">
        <f>VLOOKUP(P403,Hoja2!C:D,2,FALSE)</f>
        <v>JPUPULIN</v>
      </c>
    </row>
    <row r="404" spans="1:20" x14ac:dyDescent="0.3">
      <c r="A404" s="2" t="s">
        <v>15</v>
      </c>
      <c r="B404" s="3" t="s">
        <v>15</v>
      </c>
      <c r="C404" s="3" t="s">
        <v>449</v>
      </c>
      <c r="D404" s="3" t="s">
        <v>15</v>
      </c>
      <c r="E404" s="3" t="s">
        <v>149</v>
      </c>
      <c r="F404" s="4">
        <v>46283</v>
      </c>
      <c r="G404" s="3" t="s">
        <v>50</v>
      </c>
      <c r="H404" s="6">
        <v>-1380781.95</v>
      </c>
      <c r="I404" s="3" t="s">
        <v>19</v>
      </c>
      <c r="J404" s="3" t="s">
        <v>15</v>
      </c>
      <c r="K404" s="3" t="s">
        <v>15</v>
      </c>
      <c r="L404" s="3" t="s">
        <v>217</v>
      </c>
      <c r="M404" s="4">
        <v>46288</v>
      </c>
      <c r="N404" s="3" t="s">
        <v>450</v>
      </c>
      <c r="O404" s="3" t="s">
        <v>55</v>
      </c>
      <c r="P404" t="str">
        <f t="shared" si="6"/>
        <v>450013665050</v>
      </c>
      <c r="Q404" s="7" cm="1">
        <f t="array" ref="Q404:S404">VLOOKUP(P404,Hoja1!C:F,{2,3,4},FALSE)</f>
        <v>46285</v>
      </c>
      <c r="R404" t="str">
        <v>C29</v>
      </c>
      <c r="S404" t="str">
        <v>1000000012 IGARRETA MAQUINAS S.A.</v>
      </c>
      <c r="T404" t="str">
        <f>VLOOKUP(P404,Hoja2!C:D,2,FALSE)</f>
        <v>EFUNES</v>
      </c>
    </row>
    <row r="405" spans="1:20" x14ac:dyDescent="0.3">
      <c r="A405" s="2" t="s">
        <v>15</v>
      </c>
      <c r="B405" s="3" t="s">
        <v>15</v>
      </c>
      <c r="C405" s="3" t="s">
        <v>449</v>
      </c>
      <c r="D405" s="3" t="s">
        <v>15</v>
      </c>
      <c r="E405" s="3" t="s">
        <v>149</v>
      </c>
      <c r="F405" s="4">
        <v>46283</v>
      </c>
      <c r="G405" s="3" t="s">
        <v>50</v>
      </c>
      <c r="H405" s="6">
        <v>-516541.08</v>
      </c>
      <c r="I405" s="3" t="s">
        <v>19</v>
      </c>
      <c r="J405" s="3" t="s">
        <v>15</v>
      </c>
      <c r="K405" s="3" t="s">
        <v>15</v>
      </c>
      <c r="L405" s="3" t="s">
        <v>217</v>
      </c>
      <c r="M405" s="4">
        <v>46288</v>
      </c>
      <c r="N405" s="3" t="s">
        <v>450</v>
      </c>
      <c r="O405" s="3" t="s">
        <v>80</v>
      </c>
      <c r="P405" t="str">
        <f t="shared" si="6"/>
        <v>450013665060</v>
      </c>
      <c r="Q405" s="7" cm="1">
        <f t="array" ref="Q405:S405">VLOOKUP(P405,Hoja1!C:F,{2,3,4},FALSE)</f>
        <v>46285</v>
      </c>
      <c r="R405" t="str">
        <v>C29</v>
      </c>
      <c r="S405" t="str">
        <v>1000000012 IGARRETA MAQUINAS S.A.</v>
      </c>
      <c r="T405" t="str">
        <f>VLOOKUP(P405,Hoja2!C:D,2,FALSE)</f>
        <v>EFUNES</v>
      </c>
    </row>
    <row r="406" spans="1:20" x14ac:dyDescent="0.3">
      <c r="A406" s="2" t="s">
        <v>15</v>
      </c>
      <c r="B406" s="3" t="s">
        <v>15</v>
      </c>
      <c r="C406" s="3" t="s">
        <v>451</v>
      </c>
      <c r="D406" s="3" t="s">
        <v>15</v>
      </c>
      <c r="E406" s="3" t="s">
        <v>149</v>
      </c>
      <c r="F406" s="4">
        <v>46289</v>
      </c>
      <c r="G406" s="3" t="s">
        <v>50</v>
      </c>
      <c r="H406" s="6">
        <v>-213393.57</v>
      </c>
      <c r="I406" s="3" t="s">
        <v>19</v>
      </c>
      <c r="J406" s="3" t="s">
        <v>15</v>
      </c>
      <c r="K406" s="3" t="s">
        <v>15</v>
      </c>
      <c r="L406" s="3" t="s">
        <v>217</v>
      </c>
      <c r="M406" s="4">
        <v>46289</v>
      </c>
      <c r="N406" s="3" t="s">
        <v>452</v>
      </c>
      <c r="O406" s="3" t="s">
        <v>32</v>
      </c>
      <c r="P406" t="str">
        <f t="shared" si="6"/>
        <v>450013903610</v>
      </c>
      <c r="Q406" s="7" cm="1">
        <f t="array" ref="Q406:S406">VLOOKUP(P406,Hoja1!C:F,{2,3,4},FALSE)</f>
        <v>46313</v>
      </c>
      <c r="R406" t="str">
        <v>C29</v>
      </c>
      <c r="S406" t="str">
        <v>1000000012 IGARRETA MAQUINAS S.A.</v>
      </c>
      <c r="T406" t="str">
        <f>VLOOKUP(P406,Hoja2!C:D,2,FALSE)</f>
        <v>RPEREZ</v>
      </c>
    </row>
    <row r="407" spans="1:20" x14ac:dyDescent="0.3">
      <c r="A407" s="2" t="s">
        <v>15</v>
      </c>
      <c r="B407" s="3" t="s">
        <v>15</v>
      </c>
      <c r="C407" s="3" t="s">
        <v>451</v>
      </c>
      <c r="D407" s="3" t="s">
        <v>15</v>
      </c>
      <c r="E407" s="3" t="s">
        <v>149</v>
      </c>
      <c r="F407" s="4">
        <v>46289</v>
      </c>
      <c r="G407" s="3" t="s">
        <v>50</v>
      </c>
      <c r="H407" s="6">
        <v>-1373741.89</v>
      </c>
      <c r="I407" s="3" t="s">
        <v>19</v>
      </c>
      <c r="J407" s="3" t="s">
        <v>15</v>
      </c>
      <c r="K407" s="3" t="s">
        <v>15</v>
      </c>
      <c r="L407" s="3" t="s">
        <v>217</v>
      </c>
      <c r="M407" s="4">
        <v>46289</v>
      </c>
      <c r="N407" s="3" t="s">
        <v>452</v>
      </c>
      <c r="O407" s="3" t="s">
        <v>28</v>
      </c>
      <c r="P407" t="str">
        <f t="shared" si="6"/>
        <v>450013903620</v>
      </c>
      <c r="Q407" s="7" cm="1">
        <f t="array" ref="Q407:S407">VLOOKUP(P407,Hoja1!C:F,{2,3,4},FALSE)</f>
        <v>46313</v>
      </c>
      <c r="R407" t="str">
        <v>C29</v>
      </c>
      <c r="S407" t="str">
        <v>1000000012 IGARRETA MAQUINAS S.A.</v>
      </c>
      <c r="T407" t="str">
        <f>VLOOKUP(P407,Hoja2!C:D,2,FALSE)</f>
        <v>RPEREZ</v>
      </c>
    </row>
    <row r="408" spans="1:20" x14ac:dyDescent="0.3">
      <c r="A408" s="2" t="s">
        <v>15</v>
      </c>
      <c r="B408" s="3" t="s">
        <v>15</v>
      </c>
      <c r="C408" s="3" t="s">
        <v>451</v>
      </c>
      <c r="D408" s="3" t="s">
        <v>15</v>
      </c>
      <c r="E408" s="3" t="s">
        <v>149</v>
      </c>
      <c r="F408" s="4">
        <v>46289</v>
      </c>
      <c r="G408" s="3" t="s">
        <v>50</v>
      </c>
      <c r="H408" s="6">
        <v>-500306.5</v>
      </c>
      <c r="I408" s="3" t="s">
        <v>19</v>
      </c>
      <c r="J408" s="3" t="s">
        <v>15</v>
      </c>
      <c r="K408" s="3" t="s">
        <v>15</v>
      </c>
      <c r="L408" s="3" t="s">
        <v>217</v>
      </c>
      <c r="M408" s="4">
        <v>46289</v>
      </c>
      <c r="N408" s="3" t="s">
        <v>452</v>
      </c>
      <c r="O408" s="3" t="s">
        <v>54</v>
      </c>
      <c r="P408" t="str">
        <f t="shared" si="6"/>
        <v>450013903630</v>
      </c>
      <c r="Q408" s="7" cm="1">
        <f t="array" ref="Q408:S408">VLOOKUP(P408,Hoja1!C:F,{2,3,4},FALSE)</f>
        <v>46313</v>
      </c>
      <c r="R408" t="str">
        <v>C29</v>
      </c>
      <c r="S408" t="str">
        <v>1000000012 IGARRETA MAQUINAS S.A.</v>
      </c>
      <c r="T408" t="str">
        <f>VLOOKUP(P408,Hoja2!C:D,2,FALSE)</f>
        <v>RPEREZ</v>
      </c>
    </row>
    <row r="409" spans="1:20" x14ac:dyDescent="0.3">
      <c r="A409" s="2" t="s">
        <v>15</v>
      </c>
      <c r="B409" s="3" t="s">
        <v>15</v>
      </c>
      <c r="C409" s="3" t="s">
        <v>451</v>
      </c>
      <c r="D409" s="3" t="s">
        <v>15</v>
      </c>
      <c r="E409" s="3" t="s">
        <v>149</v>
      </c>
      <c r="F409" s="4">
        <v>46289</v>
      </c>
      <c r="G409" s="3" t="s">
        <v>50</v>
      </c>
      <c r="H409" s="6">
        <v>-908230.12</v>
      </c>
      <c r="I409" s="3" t="s">
        <v>19</v>
      </c>
      <c r="J409" s="3" t="s">
        <v>15</v>
      </c>
      <c r="K409" s="3" t="s">
        <v>15</v>
      </c>
      <c r="L409" s="3" t="s">
        <v>217</v>
      </c>
      <c r="M409" s="4">
        <v>46289</v>
      </c>
      <c r="N409" s="3" t="s">
        <v>452</v>
      </c>
      <c r="O409" s="3" t="s">
        <v>23</v>
      </c>
      <c r="P409" t="str">
        <f t="shared" si="6"/>
        <v>450013903640</v>
      </c>
      <c r="Q409" s="7" cm="1">
        <f t="array" ref="Q409:S409">VLOOKUP(P409,Hoja1!C:F,{2,3,4},FALSE)</f>
        <v>46313</v>
      </c>
      <c r="R409" t="str">
        <v>C29</v>
      </c>
      <c r="S409" t="str">
        <v>1000000012 IGARRETA MAQUINAS S.A.</v>
      </c>
      <c r="T409" t="str">
        <f>VLOOKUP(P409,Hoja2!C:D,2,FALSE)</f>
        <v>RPEREZ</v>
      </c>
    </row>
    <row r="410" spans="1:20" x14ac:dyDescent="0.3">
      <c r="A410" s="2" t="s">
        <v>15</v>
      </c>
      <c r="B410" s="3" t="s">
        <v>15</v>
      </c>
      <c r="C410" s="3" t="s">
        <v>453</v>
      </c>
      <c r="D410" s="3" t="s">
        <v>15</v>
      </c>
      <c r="E410" s="3" t="s">
        <v>149</v>
      </c>
      <c r="F410" s="4">
        <v>46289</v>
      </c>
      <c r="G410" s="3" t="s">
        <v>50</v>
      </c>
      <c r="H410" s="6">
        <v>-998816</v>
      </c>
      <c r="I410" s="3" t="s">
        <v>19</v>
      </c>
      <c r="J410" s="3" t="s">
        <v>15</v>
      </c>
      <c r="K410" s="3" t="s">
        <v>15</v>
      </c>
      <c r="L410" s="3" t="s">
        <v>454</v>
      </c>
      <c r="M410" s="4">
        <v>46289</v>
      </c>
      <c r="N410" s="3" t="s">
        <v>455</v>
      </c>
      <c r="O410" s="3" t="s">
        <v>32</v>
      </c>
      <c r="P410" t="str">
        <f t="shared" si="6"/>
        <v>450013845310</v>
      </c>
      <c r="Q410" s="7" cm="1">
        <f t="array" ref="Q410:S410">VLOOKUP(P410,Hoja1!C:F,{2,3,4},FALSE)</f>
        <v>46295</v>
      </c>
      <c r="R410" t="str">
        <v>C27</v>
      </c>
      <c r="S410" t="str">
        <v>1000000388 WURTH ARGENTINA S.A.</v>
      </c>
      <c r="T410" t="str">
        <f>VLOOKUP(P410,Hoja2!C:D,2,FALSE)</f>
        <v>PRODRIGUEZ</v>
      </c>
    </row>
    <row r="411" spans="1:20" x14ac:dyDescent="0.3">
      <c r="A411" s="2" t="s">
        <v>15</v>
      </c>
      <c r="B411" s="3" t="s">
        <v>15</v>
      </c>
      <c r="C411" s="3" t="s">
        <v>456</v>
      </c>
      <c r="D411" s="3" t="s">
        <v>15</v>
      </c>
      <c r="E411" s="3" t="s">
        <v>149</v>
      </c>
      <c r="F411" s="4">
        <v>46289</v>
      </c>
      <c r="G411" s="3" t="s">
        <v>50</v>
      </c>
      <c r="H411" s="6">
        <v>-453450</v>
      </c>
      <c r="I411" s="3" t="s">
        <v>19</v>
      </c>
      <c r="J411" s="3" t="s">
        <v>15</v>
      </c>
      <c r="K411" s="3" t="s">
        <v>15</v>
      </c>
      <c r="L411" s="3" t="s">
        <v>279</v>
      </c>
      <c r="M411" s="4">
        <v>46289</v>
      </c>
      <c r="N411" s="3" t="s">
        <v>457</v>
      </c>
      <c r="O411" s="3" t="s">
        <v>32</v>
      </c>
      <c r="P411" t="str">
        <f t="shared" si="6"/>
        <v>450013928610</v>
      </c>
      <c r="Q411" s="7" cm="1">
        <f t="array" ref="Q411:S411">VLOOKUP(P411,Hoja1!C:F,{2,3,4},FALSE)</f>
        <v>46313</v>
      </c>
      <c r="R411" t="str">
        <v>C29</v>
      </c>
      <c r="S411" t="str">
        <v>1000000190 FERNANDEZ INSUA S.A.</v>
      </c>
      <c r="T411" t="str">
        <f>VLOOKUP(P411,Hoja2!C:D,2,FALSE)</f>
        <v>WVENTURINI</v>
      </c>
    </row>
    <row r="412" spans="1:20" x14ac:dyDescent="0.3">
      <c r="A412" s="2" t="s">
        <v>15</v>
      </c>
      <c r="B412" s="3" t="s">
        <v>15</v>
      </c>
      <c r="C412" s="3" t="s">
        <v>458</v>
      </c>
      <c r="D412" s="3" t="s">
        <v>25</v>
      </c>
      <c r="E412" s="3" t="s">
        <v>149</v>
      </c>
      <c r="F412" s="4">
        <v>46289</v>
      </c>
      <c r="G412" s="3" t="s">
        <v>50</v>
      </c>
      <c r="H412" s="6">
        <v>-2152376</v>
      </c>
      <c r="I412" s="3" t="s">
        <v>19</v>
      </c>
      <c r="J412" s="3" t="s">
        <v>15</v>
      </c>
      <c r="K412" s="3" t="s">
        <v>15</v>
      </c>
      <c r="L412" s="3" t="s">
        <v>70</v>
      </c>
      <c r="M412" s="4">
        <v>46289</v>
      </c>
      <c r="N412" s="3" t="s">
        <v>459</v>
      </c>
      <c r="O412" s="3" t="s">
        <v>32</v>
      </c>
      <c r="P412" t="str">
        <f t="shared" si="6"/>
        <v>450013919710</v>
      </c>
      <c r="Q412" s="7" cm="1">
        <f t="array" ref="Q412:S412">VLOOKUP(P412,Hoja1!C:F,{2,3,4},FALSE)</f>
        <v>46294</v>
      </c>
      <c r="R412" t="str">
        <v>C35</v>
      </c>
      <c r="S412" t="str">
        <v>1000011519 SALLAGO FEDERICO MIGUEL</v>
      </c>
      <c r="T412" t="str">
        <f>VLOOKUP(P412,Hoja2!C:D,2,FALSE)</f>
        <v>FSOTO</v>
      </c>
    </row>
    <row r="413" spans="1:20" x14ac:dyDescent="0.3">
      <c r="A413" s="2" t="s">
        <v>15</v>
      </c>
      <c r="B413" s="3" t="s">
        <v>15</v>
      </c>
      <c r="C413" s="3" t="s">
        <v>460</v>
      </c>
      <c r="D413" s="3" t="s">
        <v>25</v>
      </c>
      <c r="E413" s="3" t="s">
        <v>149</v>
      </c>
      <c r="F413" s="4">
        <v>46289</v>
      </c>
      <c r="G413" s="3" t="s">
        <v>50</v>
      </c>
      <c r="H413" s="6">
        <v>-53183.25</v>
      </c>
      <c r="I413" s="3" t="s">
        <v>19</v>
      </c>
      <c r="J413" s="3" t="s">
        <v>15</v>
      </c>
      <c r="K413" s="3" t="s">
        <v>15</v>
      </c>
      <c r="L413" s="3" t="s">
        <v>444</v>
      </c>
      <c r="M413" s="4">
        <v>46289</v>
      </c>
      <c r="N413" s="3" t="s">
        <v>461</v>
      </c>
      <c r="O413" s="3" t="s">
        <v>32</v>
      </c>
      <c r="P413" t="str">
        <f t="shared" si="6"/>
        <v>450013930310</v>
      </c>
      <c r="Q413" s="7" cm="1">
        <f t="array" ref="Q413:S413">VLOOKUP(P413,Hoja1!C:F,{2,3,4},FALSE)</f>
        <v>46295</v>
      </c>
      <c r="R413" t="str">
        <v>C27</v>
      </c>
      <c r="S413" t="str">
        <v>1000007610 IMPLEMENTOS INDUSTRIALES S R L</v>
      </c>
      <c r="T413" t="str">
        <f>VLOOKUP(P413,Hoja2!C:D,2,FALSE)</f>
        <v>PRODRIGUEZ</v>
      </c>
    </row>
    <row r="414" spans="1:20" x14ac:dyDescent="0.3">
      <c r="A414" s="2" t="s">
        <v>15</v>
      </c>
      <c r="B414" s="3" t="s">
        <v>15</v>
      </c>
      <c r="C414" s="3" t="s">
        <v>460</v>
      </c>
      <c r="D414" s="3" t="s">
        <v>15</v>
      </c>
      <c r="E414" s="3" t="s">
        <v>149</v>
      </c>
      <c r="F414" s="4">
        <v>46289</v>
      </c>
      <c r="G414" s="3" t="s">
        <v>50</v>
      </c>
      <c r="H414" s="6">
        <v>-4979.8999999999996</v>
      </c>
      <c r="I414" s="3" t="s">
        <v>19</v>
      </c>
      <c r="J414" s="3" t="s">
        <v>15</v>
      </c>
      <c r="K414" s="3" t="s">
        <v>15</v>
      </c>
      <c r="L414" s="3" t="s">
        <v>444</v>
      </c>
      <c r="M414" s="4">
        <v>46289</v>
      </c>
      <c r="N414" s="3" t="s">
        <v>461</v>
      </c>
      <c r="O414" s="3" t="s">
        <v>23</v>
      </c>
      <c r="P414" t="str">
        <f t="shared" si="6"/>
        <v>450013930340</v>
      </c>
      <c r="Q414" s="7" cm="1">
        <f t="array" ref="Q414:S414">VLOOKUP(P414,Hoja1!C:F,{2,3,4},FALSE)</f>
        <v>46295</v>
      </c>
      <c r="R414" t="str">
        <v>C27</v>
      </c>
      <c r="S414" t="str">
        <v>1000007610 IMPLEMENTOS INDUSTRIALES S R L</v>
      </c>
      <c r="T414" t="str">
        <f>VLOOKUP(P414,Hoja2!C:D,2,FALSE)</f>
        <v>PRODRIGUEZ</v>
      </c>
    </row>
    <row r="415" spans="1:20" x14ac:dyDescent="0.3">
      <c r="A415" s="2" t="s">
        <v>15</v>
      </c>
      <c r="B415" s="3" t="s">
        <v>15</v>
      </c>
      <c r="C415" s="3" t="s">
        <v>460</v>
      </c>
      <c r="D415" s="3" t="s">
        <v>25</v>
      </c>
      <c r="E415" s="3" t="s">
        <v>149</v>
      </c>
      <c r="F415" s="4">
        <v>46289</v>
      </c>
      <c r="G415" s="3" t="s">
        <v>50</v>
      </c>
      <c r="H415" s="6">
        <v>-27095.39</v>
      </c>
      <c r="I415" s="3" t="s">
        <v>19</v>
      </c>
      <c r="J415" s="3" t="s">
        <v>15</v>
      </c>
      <c r="K415" s="3" t="s">
        <v>15</v>
      </c>
      <c r="L415" s="3" t="s">
        <v>444</v>
      </c>
      <c r="M415" s="4">
        <v>46289</v>
      </c>
      <c r="N415" s="3" t="s">
        <v>461</v>
      </c>
      <c r="O415" s="3" t="s">
        <v>81</v>
      </c>
      <c r="P415" t="str">
        <f t="shared" si="6"/>
        <v>450013930370</v>
      </c>
      <c r="Q415" s="7" cm="1">
        <f t="array" ref="Q415:S415">VLOOKUP(P415,Hoja1!C:F,{2,3,4},FALSE)</f>
        <v>46295</v>
      </c>
      <c r="R415" t="str">
        <v>C27</v>
      </c>
      <c r="S415" t="str">
        <v>1000007610 IMPLEMENTOS INDUSTRIALES S R L</v>
      </c>
      <c r="T415" t="str">
        <f>VLOOKUP(P415,Hoja2!C:D,2,FALSE)</f>
        <v>PRODRIGUEZ</v>
      </c>
    </row>
    <row r="416" spans="1:20" x14ac:dyDescent="0.3">
      <c r="A416" s="2" t="s">
        <v>15</v>
      </c>
      <c r="B416" s="3" t="s">
        <v>15</v>
      </c>
      <c r="C416" s="3" t="s">
        <v>462</v>
      </c>
      <c r="D416" s="3" t="s">
        <v>15</v>
      </c>
      <c r="E416" s="3" t="s">
        <v>149</v>
      </c>
      <c r="F416" s="4">
        <v>46287</v>
      </c>
      <c r="G416" s="3" t="s">
        <v>50</v>
      </c>
      <c r="H416" s="6">
        <v>-201192</v>
      </c>
      <c r="I416" s="3" t="s">
        <v>19</v>
      </c>
      <c r="J416" s="3" t="s">
        <v>15</v>
      </c>
      <c r="K416" s="3" t="s">
        <v>15</v>
      </c>
      <c r="L416" s="3" t="s">
        <v>463</v>
      </c>
      <c r="M416" s="4">
        <v>46290</v>
      </c>
      <c r="N416" s="3" t="s">
        <v>464</v>
      </c>
      <c r="O416" s="3" t="s">
        <v>32</v>
      </c>
      <c r="P416" t="str">
        <f t="shared" si="6"/>
        <v>450013847910</v>
      </c>
      <c r="Q416" s="7" cm="1">
        <f t="array" ref="Q416:S416">VLOOKUP(P416,Hoja1!C:F,{2,3,4},FALSE)</f>
        <v>46287</v>
      </c>
      <c r="R416" t="str">
        <v>C03</v>
      </c>
      <c r="S416" t="str">
        <v>1000000286 SULLAIR ARGENTINA S.A</v>
      </c>
      <c r="T416" t="str">
        <f>VLOOKUP(P416,Hoja2!C:D,2,FALSE)</f>
        <v>EFUNES</v>
      </c>
    </row>
    <row r="417" spans="1:20" x14ac:dyDescent="0.3">
      <c r="A417" s="2" t="s">
        <v>15</v>
      </c>
      <c r="B417" s="3" t="s">
        <v>15</v>
      </c>
      <c r="C417" s="3" t="s">
        <v>465</v>
      </c>
      <c r="D417" s="3" t="s">
        <v>25</v>
      </c>
      <c r="E417" s="3" t="s">
        <v>149</v>
      </c>
      <c r="F417" s="4">
        <v>46290</v>
      </c>
      <c r="G417" s="3" t="s">
        <v>50</v>
      </c>
      <c r="H417" s="6">
        <v>-272700</v>
      </c>
      <c r="I417" s="3" t="s">
        <v>19</v>
      </c>
      <c r="J417" s="3" t="s">
        <v>15</v>
      </c>
      <c r="K417" s="3" t="s">
        <v>15</v>
      </c>
      <c r="L417" s="3" t="s">
        <v>447</v>
      </c>
      <c r="M417" s="4">
        <v>46290</v>
      </c>
      <c r="N417" s="3" t="s">
        <v>466</v>
      </c>
      <c r="O417" s="3" t="s">
        <v>32</v>
      </c>
      <c r="P417" t="str">
        <f t="shared" si="6"/>
        <v>450013951410</v>
      </c>
      <c r="Q417" s="7" cm="1">
        <f t="array" ref="Q417:S417">VLOOKUP(P417,Hoja1!C:F,{2,3,4},FALSE)</f>
        <v>46301</v>
      </c>
      <c r="R417" t="str">
        <v>C19</v>
      </c>
      <c r="S417" t="str">
        <v>1000011893 BEVACQUA CARLOS IVAN LEONARDO</v>
      </c>
      <c r="T417" t="str">
        <f>VLOOKUP(P417,Hoja2!C:D,2,FALSE)</f>
        <v>JPUPULIN</v>
      </c>
    </row>
    <row r="418" spans="1:20" x14ac:dyDescent="0.3">
      <c r="A418" s="2" t="s">
        <v>15</v>
      </c>
      <c r="B418" s="3" t="s">
        <v>15</v>
      </c>
      <c r="C418" s="3" t="s">
        <v>467</v>
      </c>
      <c r="D418" s="3" t="s">
        <v>25</v>
      </c>
      <c r="E418" s="3" t="s">
        <v>149</v>
      </c>
      <c r="F418" s="4">
        <v>46292</v>
      </c>
      <c r="G418" s="3" t="s">
        <v>50</v>
      </c>
      <c r="H418" s="6">
        <v>-100000</v>
      </c>
      <c r="I418" s="3" t="s">
        <v>19</v>
      </c>
      <c r="J418" s="3" t="s">
        <v>15</v>
      </c>
      <c r="K418" s="3" t="s">
        <v>15</v>
      </c>
      <c r="L418" s="3" t="s">
        <v>468</v>
      </c>
      <c r="M418" s="4">
        <v>46292</v>
      </c>
      <c r="N418" s="3" t="s">
        <v>469</v>
      </c>
      <c r="O418" s="3" t="s">
        <v>32</v>
      </c>
      <c r="P418" t="str">
        <f t="shared" si="6"/>
        <v>450013781410</v>
      </c>
      <c r="Q418" s="7" cm="1">
        <f t="array" ref="Q418:S418">VLOOKUP(P418,Hoja1!C:F,{2,3,4},FALSE)</f>
        <v>46277</v>
      </c>
      <c r="R418" t="str">
        <v>C27</v>
      </c>
      <c r="S418" t="str">
        <v>1000012293 ZAMBRANA SAMUEL</v>
      </c>
      <c r="T418" t="str">
        <f>VLOOKUP(P418,Hoja2!C:D,2,FALSE)</f>
        <v>PRODRIGUEZ</v>
      </c>
    </row>
    <row r="419" spans="1:20" x14ac:dyDescent="0.3">
      <c r="A419" s="2" t="s">
        <v>15</v>
      </c>
      <c r="B419" s="3" t="s">
        <v>15</v>
      </c>
      <c r="C419" s="3" t="s">
        <v>470</v>
      </c>
      <c r="D419" s="3" t="s">
        <v>25</v>
      </c>
      <c r="E419" s="3" t="s">
        <v>149</v>
      </c>
      <c r="F419" s="4">
        <v>46286</v>
      </c>
      <c r="G419" s="3" t="s">
        <v>50</v>
      </c>
      <c r="H419" s="6">
        <v>-309706.02</v>
      </c>
      <c r="I419" s="3" t="s">
        <v>19</v>
      </c>
      <c r="J419" s="3" t="s">
        <v>15</v>
      </c>
      <c r="K419" s="3" t="s">
        <v>15</v>
      </c>
      <c r="L419" s="3" t="s">
        <v>471</v>
      </c>
      <c r="M419" s="4">
        <v>46293</v>
      </c>
      <c r="N419" s="3" t="s">
        <v>472</v>
      </c>
      <c r="O419" s="3" t="s">
        <v>32</v>
      </c>
      <c r="P419" t="str">
        <f t="shared" si="6"/>
        <v>450013881210</v>
      </c>
      <c r="Q419" s="7" cm="1">
        <f t="array" ref="Q419:S419">VLOOKUP(P419,Hoja1!C:F,{2,3,4},FALSE)</f>
        <v>46293</v>
      </c>
      <c r="R419" t="str">
        <v>C27</v>
      </c>
      <c r="S419" t="str">
        <v>1000001292 PRODUCTORES DE ACERO PROAR SRL</v>
      </c>
      <c r="T419" t="str">
        <f>VLOOKUP(P419,Hoja2!C:D,2,FALSE)</f>
        <v>PRODRIGUEZ</v>
      </c>
    </row>
    <row r="420" spans="1:20" x14ac:dyDescent="0.3">
      <c r="A420" s="2" t="s">
        <v>15</v>
      </c>
      <c r="B420" s="3" t="s">
        <v>15</v>
      </c>
      <c r="C420" s="3" t="s">
        <v>470</v>
      </c>
      <c r="D420" s="3" t="s">
        <v>25</v>
      </c>
      <c r="E420" s="3" t="s">
        <v>149</v>
      </c>
      <c r="F420" s="4">
        <v>46286</v>
      </c>
      <c r="G420" s="3" t="s">
        <v>50</v>
      </c>
      <c r="H420" s="6">
        <v>-461349.72</v>
      </c>
      <c r="I420" s="3" t="s">
        <v>19</v>
      </c>
      <c r="J420" s="3" t="s">
        <v>15</v>
      </c>
      <c r="K420" s="3" t="s">
        <v>15</v>
      </c>
      <c r="L420" s="3" t="s">
        <v>471</v>
      </c>
      <c r="M420" s="4">
        <v>46293</v>
      </c>
      <c r="N420" s="3" t="s">
        <v>472</v>
      </c>
      <c r="O420" s="3" t="s">
        <v>28</v>
      </c>
      <c r="P420" t="str">
        <f t="shared" si="6"/>
        <v>450013881220</v>
      </c>
      <c r="Q420" s="7" cm="1">
        <f t="array" ref="Q420:S420">VLOOKUP(P420,Hoja1!C:F,{2,3,4},FALSE)</f>
        <v>46293</v>
      </c>
      <c r="R420" t="str">
        <v>C27</v>
      </c>
      <c r="S420" t="str">
        <v>1000001292 PRODUCTORES DE ACERO PROAR SRL</v>
      </c>
      <c r="T420" t="str">
        <f>VLOOKUP(P420,Hoja2!C:D,2,FALSE)</f>
        <v>PRODRIGUEZ</v>
      </c>
    </row>
    <row r="421" spans="1:20" x14ac:dyDescent="0.3">
      <c r="A421" s="2" t="s">
        <v>15</v>
      </c>
      <c r="B421" s="3" t="s">
        <v>15</v>
      </c>
      <c r="C421" s="3" t="s">
        <v>470</v>
      </c>
      <c r="D421" s="3" t="s">
        <v>25</v>
      </c>
      <c r="E421" s="3" t="s">
        <v>149</v>
      </c>
      <c r="F421" s="4">
        <v>46286</v>
      </c>
      <c r="G421" s="3" t="s">
        <v>50</v>
      </c>
      <c r="H421" s="6">
        <v>-335045.88</v>
      </c>
      <c r="I421" s="3" t="s">
        <v>19</v>
      </c>
      <c r="J421" s="3" t="s">
        <v>15</v>
      </c>
      <c r="K421" s="3" t="s">
        <v>15</v>
      </c>
      <c r="L421" s="3" t="s">
        <v>471</v>
      </c>
      <c r="M421" s="4">
        <v>46293</v>
      </c>
      <c r="N421" s="3" t="s">
        <v>472</v>
      </c>
      <c r="O421" s="3" t="s">
        <v>54</v>
      </c>
      <c r="P421" t="str">
        <f t="shared" si="6"/>
        <v>450013881230</v>
      </c>
      <c r="Q421" s="7" cm="1">
        <f t="array" ref="Q421:S421">VLOOKUP(P421,Hoja1!C:F,{2,3,4},FALSE)</f>
        <v>46293</v>
      </c>
      <c r="R421" t="str">
        <v>C27</v>
      </c>
      <c r="S421" t="str">
        <v>1000001292 PRODUCTORES DE ACERO PROAR SRL</v>
      </c>
      <c r="T421" t="str">
        <f>VLOOKUP(P421,Hoja2!C:D,2,FALSE)</f>
        <v>PRODRIGUEZ</v>
      </c>
    </row>
    <row r="422" spans="1:20" x14ac:dyDescent="0.3">
      <c r="A422" s="2" t="s">
        <v>15</v>
      </c>
      <c r="B422" s="3" t="s">
        <v>15</v>
      </c>
      <c r="C422" s="3" t="s">
        <v>473</v>
      </c>
      <c r="D422" s="3" t="s">
        <v>15</v>
      </c>
      <c r="E422" s="3" t="s">
        <v>149</v>
      </c>
      <c r="F422" s="4">
        <v>46290</v>
      </c>
      <c r="G422" s="3" t="s">
        <v>50</v>
      </c>
      <c r="H422" s="6">
        <v>-57147.91</v>
      </c>
      <c r="I422" s="3" t="s">
        <v>19</v>
      </c>
      <c r="J422" s="3" t="s">
        <v>15</v>
      </c>
      <c r="K422" s="3" t="s">
        <v>15</v>
      </c>
      <c r="L422" s="3" t="s">
        <v>217</v>
      </c>
      <c r="M422" s="4">
        <v>46293</v>
      </c>
      <c r="N422" s="3" t="s">
        <v>474</v>
      </c>
      <c r="O422" s="3" t="s">
        <v>28</v>
      </c>
      <c r="P422" t="str">
        <f t="shared" si="6"/>
        <v>450013912220</v>
      </c>
      <c r="Q422" s="7" cm="1">
        <f t="array" ref="Q422:S422">VLOOKUP(P422,Hoja1!C:F,{2,3,4},FALSE)</f>
        <v>46306</v>
      </c>
      <c r="R422" t="str">
        <v>C03</v>
      </c>
      <c r="S422" t="str">
        <v>1000000012 IGARRETA MAQUINAS S.A.</v>
      </c>
      <c r="T422" t="str">
        <f>VLOOKUP(P422,Hoja2!C:D,2,FALSE)</f>
        <v>EFUNES</v>
      </c>
    </row>
    <row r="423" spans="1:20" x14ac:dyDescent="0.3">
      <c r="A423" s="2" t="s">
        <v>15</v>
      </c>
      <c r="B423" s="3" t="s">
        <v>15</v>
      </c>
      <c r="C423" s="3" t="s">
        <v>473</v>
      </c>
      <c r="D423" s="3" t="s">
        <v>15</v>
      </c>
      <c r="E423" s="3" t="s">
        <v>149</v>
      </c>
      <c r="F423" s="4">
        <v>46290</v>
      </c>
      <c r="G423" s="3" t="s">
        <v>50</v>
      </c>
      <c r="H423" s="6">
        <v>-132438.28</v>
      </c>
      <c r="I423" s="3" t="s">
        <v>19</v>
      </c>
      <c r="J423" s="3" t="s">
        <v>15</v>
      </c>
      <c r="K423" s="3" t="s">
        <v>15</v>
      </c>
      <c r="L423" s="3" t="s">
        <v>217</v>
      </c>
      <c r="M423" s="4">
        <v>46293</v>
      </c>
      <c r="N423" s="3" t="s">
        <v>474</v>
      </c>
      <c r="O423" s="3" t="s">
        <v>54</v>
      </c>
      <c r="P423" t="str">
        <f t="shared" si="6"/>
        <v>450013912230</v>
      </c>
      <c r="Q423" s="7" cm="1">
        <f t="array" ref="Q423:S423">VLOOKUP(P423,Hoja1!C:F,{2,3,4},FALSE)</f>
        <v>46306</v>
      </c>
      <c r="R423" t="str">
        <v>C03</v>
      </c>
      <c r="S423" t="str">
        <v>1000000012 IGARRETA MAQUINAS S.A.</v>
      </c>
      <c r="T423" t="str">
        <f>VLOOKUP(P423,Hoja2!C:D,2,FALSE)</f>
        <v>EFUNES</v>
      </c>
    </row>
    <row r="424" spans="1:20" x14ac:dyDescent="0.3">
      <c r="A424" s="2" t="s">
        <v>15</v>
      </c>
      <c r="B424" s="3" t="s">
        <v>15</v>
      </c>
      <c r="C424" s="3" t="s">
        <v>475</v>
      </c>
      <c r="D424" s="3" t="s">
        <v>15</v>
      </c>
      <c r="E424" s="3" t="s">
        <v>149</v>
      </c>
      <c r="F424" s="4">
        <v>46293</v>
      </c>
      <c r="G424" s="3" t="s">
        <v>50</v>
      </c>
      <c r="H424" s="6">
        <v>-54520.800000000003</v>
      </c>
      <c r="I424" s="3" t="s">
        <v>19</v>
      </c>
      <c r="J424" s="3" t="s">
        <v>15</v>
      </c>
      <c r="K424" s="3" t="s">
        <v>15</v>
      </c>
      <c r="L424" s="3" t="s">
        <v>99</v>
      </c>
      <c r="M424" s="4">
        <v>46293</v>
      </c>
      <c r="N424" s="3" t="s">
        <v>476</v>
      </c>
      <c r="O424" s="3" t="s">
        <v>32</v>
      </c>
      <c r="P424" t="str">
        <f t="shared" si="6"/>
        <v>450013844310</v>
      </c>
      <c r="Q424" s="7" cm="1">
        <f t="array" ref="Q424:S424">VLOOKUP(P424,Hoja1!C:F,{2,3,4},FALSE)</f>
        <v>46289</v>
      </c>
      <c r="R424" t="str">
        <v>C35</v>
      </c>
      <c r="S424" t="str">
        <v>1000012333 GO CLEAN S.A.S.</v>
      </c>
      <c r="T424" t="str">
        <f>VLOOKUP(P424,Hoja2!C:D,2,FALSE)</f>
        <v>FSOTO</v>
      </c>
    </row>
    <row r="425" spans="1:20" x14ac:dyDescent="0.3">
      <c r="A425" s="2" t="s">
        <v>15</v>
      </c>
      <c r="B425" s="3" t="s">
        <v>15</v>
      </c>
      <c r="C425" s="3" t="s">
        <v>475</v>
      </c>
      <c r="D425" s="3" t="s">
        <v>15</v>
      </c>
      <c r="E425" s="3" t="s">
        <v>149</v>
      </c>
      <c r="F425" s="4">
        <v>46293</v>
      </c>
      <c r="G425" s="3" t="s">
        <v>50</v>
      </c>
      <c r="H425" s="6">
        <v>-36347.199999999997</v>
      </c>
      <c r="I425" s="3" t="s">
        <v>19</v>
      </c>
      <c r="J425" s="3" t="s">
        <v>15</v>
      </c>
      <c r="K425" s="3" t="s">
        <v>15</v>
      </c>
      <c r="L425" s="3" t="s">
        <v>99</v>
      </c>
      <c r="M425" s="4">
        <v>46293</v>
      </c>
      <c r="N425" s="3" t="s">
        <v>476</v>
      </c>
      <c r="O425" s="3" t="s">
        <v>28</v>
      </c>
      <c r="P425" t="str">
        <f t="shared" si="6"/>
        <v>450013844320</v>
      </c>
      <c r="Q425" s="7" cm="1">
        <f t="array" ref="Q425:S425">VLOOKUP(P425,Hoja1!C:F,{2,3,4},FALSE)</f>
        <v>46289</v>
      </c>
      <c r="R425" t="str">
        <v>C35</v>
      </c>
      <c r="S425" t="str">
        <v>1000012333 GO CLEAN S.A.S.</v>
      </c>
      <c r="T425" t="str">
        <f>VLOOKUP(P425,Hoja2!C:D,2,FALSE)</f>
        <v>FSOTO</v>
      </c>
    </row>
    <row r="426" spans="1:20" x14ac:dyDescent="0.3">
      <c r="A426" s="2" t="s">
        <v>15</v>
      </c>
      <c r="B426" s="3" t="s">
        <v>15</v>
      </c>
      <c r="C426" s="3" t="s">
        <v>475</v>
      </c>
      <c r="D426" s="3" t="s">
        <v>25</v>
      </c>
      <c r="E426" s="3" t="s">
        <v>149</v>
      </c>
      <c r="F426" s="4">
        <v>46293</v>
      </c>
      <c r="G426" s="3" t="s">
        <v>50</v>
      </c>
      <c r="H426" s="6">
        <v>-123966.12</v>
      </c>
      <c r="I426" s="3" t="s">
        <v>19</v>
      </c>
      <c r="J426" s="3" t="s">
        <v>15</v>
      </c>
      <c r="K426" s="3" t="s">
        <v>15</v>
      </c>
      <c r="L426" s="3" t="s">
        <v>99</v>
      </c>
      <c r="M426" s="4">
        <v>46293</v>
      </c>
      <c r="N426" s="3" t="s">
        <v>476</v>
      </c>
      <c r="O426" s="3" t="s">
        <v>54</v>
      </c>
      <c r="P426" t="str">
        <f t="shared" si="6"/>
        <v>450013844330</v>
      </c>
      <c r="Q426" s="7" cm="1">
        <f t="array" ref="Q426:S426">VLOOKUP(P426,Hoja1!C:F,{2,3,4},FALSE)</f>
        <v>46289</v>
      </c>
      <c r="R426" t="str">
        <v>C35</v>
      </c>
      <c r="S426" t="str">
        <v>1000012333 GO CLEAN S.A.S.</v>
      </c>
      <c r="T426" t="str">
        <f>VLOOKUP(P426,Hoja2!C:D,2,FALSE)</f>
        <v>FSOTO</v>
      </c>
    </row>
    <row r="427" spans="1:20" x14ac:dyDescent="0.3">
      <c r="A427" s="2" t="s">
        <v>15</v>
      </c>
      <c r="B427" s="3" t="s">
        <v>15</v>
      </c>
      <c r="C427" s="3" t="s">
        <v>475</v>
      </c>
      <c r="D427" s="3" t="s">
        <v>25</v>
      </c>
      <c r="E427" s="3" t="s">
        <v>149</v>
      </c>
      <c r="F427" s="4">
        <v>46293</v>
      </c>
      <c r="G427" s="3" t="s">
        <v>50</v>
      </c>
      <c r="H427" s="6">
        <v>-23553</v>
      </c>
      <c r="I427" s="3" t="s">
        <v>19</v>
      </c>
      <c r="J427" s="3" t="s">
        <v>15</v>
      </c>
      <c r="K427" s="3" t="s">
        <v>15</v>
      </c>
      <c r="L427" s="3" t="s">
        <v>99</v>
      </c>
      <c r="M427" s="4">
        <v>46293</v>
      </c>
      <c r="N427" s="3" t="s">
        <v>476</v>
      </c>
      <c r="O427" s="3" t="s">
        <v>23</v>
      </c>
      <c r="P427" t="str">
        <f t="shared" si="6"/>
        <v>450013844340</v>
      </c>
      <c r="Q427" s="7" cm="1">
        <f t="array" ref="Q427:S427">VLOOKUP(P427,Hoja1!C:F,{2,3,4},FALSE)</f>
        <v>46289</v>
      </c>
      <c r="R427" t="str">
        <v>C35</v>
      </c>
      <c r="S427" t="str">
        <v>1000012333 GO CLEAN S.A.S.</v>
      </c>
      <c r="T427" t="str">
        <f>VLOOKUP(P427,Hoja2!C:D,2,FALSE)</f>
        <v>FSOTO</v>
      </c>
    </row>
    <row r="428" spans="1:20" x14ac:dyDescent="0.3">
      <c r="A428" s="2" t="s">
        <v>15</v>
      </c>
      <c r="B428" s="3" t="s">
        <v>15</v>
      </c>
      <c r="C428" s="3" t="s">
        <v>477</v>
      </c>
      <c r="D428" s="3" t="s">
        <v>15</v>
      </c>
      <c r="E428" s="3" t="s">
        <v>149</v>
      </c>
      <c r="F428" s="4">
        <v>46293</v>
      </c>
      <c r="G428" s="3" t="s">
        <v>50</v>
      </c>
      <c r="H428" s="6">
        <v>-818298</v>
      </c>
      <c r="I428" s="3" t="s">
        <v>19</v>
      </c>
      <c r="J428" s="3" t="s">
        <v>15</v>
      </c>
      <c r="K428" s="3" t="s">
        <v>15</v>
      </c>
      <c r="L428" s="3" t="s">
        <v>70</v>
      </c>
      <c r="M428" s="4">
        <v>46293</v>
      </c>
      <c r="N428" s="3" t="s">
        <v>478</v>
      </c>
      <c r="O428" s="3" t="s">
        <v>32</v>
      </c>
      <c r="P428" t="str">
        <f t="shared" si="6"/>
        <v>450013875010</v>
      </c>
      <c r="Q428" s="7" cm="1">
        <f t="array" ref="Q428:S428">VLOOKUP(P428,Hoja1!C:F,{2,3,4},FALSE)</f>
        <v>46286</v>
      </c>
      <c r="R428" t="str">
        <v>C35</v>
      </c>
      <c r="S428" t="str">
        <v>1000011519 SALLAGO FEDERICO MIGUEL</v>
      </c>
      <c r="T428" t="str">
        <f>VLOOKUP(P428,Hoja2!C:D,2,FALSE)</f>
        <v>FSOTO</v>
      </c>
    </row>
    <row r="429" spans="1:20" x14ac:dyDescent="0.3">
      <c r="A429" s="2" t="s">
        <v>15</v>
      </c>
      <c r="B429" s="3" t="s">
        <v>15</v>
      </c>
      <c r="C429" s="3" t="s">
        <v>479</v>
      </c>
      <c r="D429" s="3" t="s">
        <v>25</v>
      </c>
      <c r="E429" s="3" t="s">
        <v>149</v>
      </c>
      <c r="F429" s="4">
        <v>46294</v>
      </c>
      <c r="G429" s="3" t="s">
        <v>50</v>
      </c>
      <c r="H429" s="6">
        <v>-3344000</v>
      </c>
      <c r="I429" s="3" t="s">
        <v>19</v>
      </c>
      <c r="J429" s="3" t="s">
        <v>15</v>
      </c>
      <c r="K429" s="3" t="s">
        <v>15</v>
      </c>
      <c r="L429" s="3" t="s">
        <v>75</v>
      </c>
      <c r="M429" s="4">
        <v>46294</v>
      </c>
      <c r="N429" s="3" t="s">
        <v>480</v>
      </c>
      <c r="O429" s="3" t="s">
        <v>32</v>
      </c>
      <c r="P429" t="str">
        <f t="shared" si="6"/>
        <v>450013011110</v>
      </c>
      <c r="Q429" s="7" cm="1">
        <f t="array" ref="Q429:S429">VLOOKUP(P429,Hoja1!C:F,{2,3,4},FALSE)</f>
        <v>46446</v>
      </c>
      <c r="R429" t="str">
        <v>C04</v>
      </c>
      <c r="S429" t="str">
        <v>1000008821 TSM EQUIPOS S. R. L.</v>
      </c>
      <c r="T429" t="str">
        <f>VLOOKUP(P429,Hoja2!C:D,2,FALSE)</f>
        <v>GROSES</v>
      </c>
    </row>
    <row r="430" spans="1:20" x14ac:dyDescent="0.3">
      <c r="A430" s="2" t="s">
        <v>15</v>
      </c>
      <c r="B430" s="3" t="s">
        <v>15</v>
      </c>
      <c r="C430" s="3" t="s">
        <v>481</v>
      </c>
      <c r="D430" s="3" t="s">
        <v>15</v>
      </c>
      <c r="E430" s="3" t="s">
        <v>149</v>
      </c>
      <c r="F430" s="4">
        <v>46294</v>
      </c>
      <c r="G430" s="3" t="s">
        <v>50</v>
      </c>
      <c r="H430" s="6">
        <v>-69114.399999999994</v>
      </c>
      <c r="I430" s="3" t="s">
        <v>19</v>
      </c>
      <c r="J430" s="3" t="s">
        <v>15</v>
      </c>
      <c r="K430" s="3" t="s">
        <v>15</v>
      </c>
      <c r="L430" s="3" t="s">
        <v>224</v>
      </c>
      <c r="M430" s="4">
        <v>46294</v>
      </c>
      <c r="N430" s="3" t="s">
        <v>482</v>
      </c>
      <c r="O430" s="3" t="s">
        <v>32</v>
      </c>
      <c r="P430" t="str">
        <f t="shared" si="6"/>
        <v>450013951810</v>
      </c>
      <c r="Q430" s="7" cm="1">
        <f t="array" ref="Q430:S430">VLOOKUP(P430,Hoja1!C:F,{2,3,4},FALSE)</f>
        <v>46269</v>
      </c>
      <c r="R430" t="str">
        <v>AGV</v>
      </c>
      <c r="S430" t="str">
        <v>1000007668 TADEMAQ EQUIPOS PESADOS S.R.L.</v>
      </c>
      <c r="T430" t="str">
        <f>VLOOKUP(P430,Hoja2!C:D,2,FALSE)</f>
        <v>ILAHORGUE</v>
      </c>
    </row>
    <row r="431" spans="1:20" x14ac:dyDescent="0.3">
      <c r="A431" s="2" t="s">
        <v>15</v>
      </c>
      <c r="B431" s="3" t="s">
        <v>15</v>
      </c>
      <c r="C431" s="3" t="s">
        <v>481</v>
      </c>
      <c r="D431" s="3" t="s">
        <v>15</v>
      </c>
      <c r="E431" s="3" t="s">
        <v>149</v>
      </c>
      <c r="F431" s="4">
        <v>46294</v>
      </c>
      <c r="G431" s="3" t="s">
        <v>50</v>
      </c>
      <c r="H431" s="6">
        <v>-1102912</v>
      </c>
      <c r="I431" s="3" t="s">
        <v>19</v>
      </c>
      <c r="J431" s="3" t="s">
        <v>15</v>
      </c>
      <c r="K431" s="3" t="s">
        <v>15</v>
      </c>
      <c r="L431" s="3" t="s">
        <v>224</v>
      </c>
      <c r="M431" s="4">
        <v>46294</v>
      </c>
      <c r="N431" s="3" t="s">
        <v>482</v>
      </c>
      <c r="O431" s="3" t="s">
        <v>28</v>
      </c>
      <c r="P431" t="str">
        <f t="shared" si="6"/>
        <v>450013951820</v>
      </c>
      <c r="Q431" s="7" cm="1">
        <f t="array" ref="Q431:S431">VLOOKUP(P431,Hoja1!C:F,{2,3,4},FALSE)</f>
        <v>46284</v>
      </c>
      <c r="R431" t="str">
        <v>AGV</v>
      </c>
      <c r="S431" t="str">
        <v>1000007668 TADEMAQ EQUIPOS PESADOS S.R.L.</v>
      </c>
      <c r="T431" t="str">
        <f>VLOOKUP(P431,Hoja2!C:D,2,FALSE)</f>
        <v>ILAHORGUE</v>
      </c>
    </row>
    <row r="432" spans="1:20" x14ac:dyDescent="0.3">
      <c r="A432" s="2" t="s">
        <v>15</v>
      </c>
      <c r="B432" s="3" t="s">
        <v>15</v>
      </c>
      <c r="C432" s="3" t="s">
        <v>481</v>
      </c>
      <c r="D432" s="3" t="s">
        <v>15</v>
      </c>
      <c r="E432" s="3" t="s">
        <v>149</v>
      </c>
      <c r="F432" s="4">
        <v>46294</v>
      </c>
      <c r="G432" s="3" t="s">
        <v>50</v>
      </c>
      <c r="H432" s="6">
        <v>-380030.4</v>
      </c>
      <c r="I432" s="3" t="s">
        <v>19</v>
      </c>
      <c r="J432" s="3" t="s">
        <v>15</v>
      </c>
      <c r="K432" s="3" t="s">
        <v>15</v>
      </c>
      <c r="L432" s="3" t="s">
        <v>224</v>
      </c>
      <c r="M432" s="4">
        <v>46294</v>
      </c>
      <c r="N432" s="3" t="s">
        <v>482</v>
      </c>
      <c r="O432" s="3" t="s">
        <v>54</v>
      </c>
      <c r="P432" t="str">
        <f t="shared" si="6"/>
        <v>450013951830</v>
      </c>
      <c r="Q432" s="7" cm="1">
        <f t="array" ref="Q432:S432">VLOOKUP(P432,Hoja1!C:F,{2,3,4},FALSE)</f>
        <v>46286</v>
      </c>
      <c r="R432" t="str">
        <v>AGV</v>
      </c>
      <c r="S432" t="str">
        <v>1000007668 TADEMAQ EQUIPOS PESADOS S.R.L.</v>
      </c>
      <c r="T432" t="str">
        <f>VLOOKUP(P432,Hoja2!C:D,2,FALSE)</f>
        <v>ILAHORGUE</v>
      </c>
    </row>
    <row r="433" spans="1:20" x14ac:dyDescent="0.3">
      <c r="A433" s="2" t="s">
        <v>15</v>
      </c>
      <c r="B433" s="3" t="s">
        <v>15</v>
      </c>
      <c r="C433" s="3" t="s">
        <v>481</v>
      </c>
      <c r="D433" s="3" t="s">
        <v>15</v>
      </c>
      <c r="E433" s="3" t="s">
        <v>149</v>
      </c>
      <c r="F433" s="4">
        <v>46294</v>
      </c>
      <c r="G433" s="3" t="s">
        <v>50</v>
      </c>
      <c r="H433" s="6">
        <v>-380030.4</v>
      </c>
      <c r="I433" s="3" t="s">
        <v>19</v>
      </c>
      <c r="J433" s="3" t="s">
        <v>15</v>
      </c>
      <c r="K433" s="3" t="s">
        <v>15</v>
      </c>
      <c r="L433" s="3" t="s">
        <v>224</v>
      </c>
      <c r="M433" s="4">
        <v>46294</v>
      </c>
      <c r="N433" s="3" t="s">
        <v>482</v>
      </c>
      <c r="O433" s="3" t="s">
        <v>23</v>
      </c>
      <c r="P433" t="str">
        <f t="shared" si="6"/>
        <v>450013951840</v>
      </c>
      <c r="Q433" s="7" cm="1">
        <f t="array" ref="Q433:S433">VLOOKUP(P433,Hoja1!C:F,{2,3,4},FALSE)</f>
        <v>46286</v>
      </c>
      <c r="R433" t="str">
        <v>AGV</v>
      </c>
      <c r="S433" t="str">
        <v>1000007668 TADEMAQ EQUIPOS PESADOS S.R.L.</v>
      </c>
      <c r="T433" t="str">
        <f>VLOOKUP(P433,Hoja2!C:D,2,FALSE)</f>
        <v>ILAHORGUE</v>
      </c>
    </row>
    <row r="434" spans="1:20" x14ac:dyDescent="0.3">
      <c r="A434" s="2" t="s">
        <v>15</v>
      </c>
      <c r="B434" s="3" t="s">
        <v>15</v>
      </c>
      <c r="C434" s="3" t="s">
        <v>481</v>
      </c>
      <c r="D434" s="3" t="s">
        <v>15</v>
      </c>
      <c r="E434" s="3" t="s">
        <v>149</v>
      </c>
      <c r="F434" s="4">
        <v>46294</v>
      </c>
      <c r="G434" s="3" t="s">
        <v>50</v>
      </c>
      <c r="H434" s="6">
        <v>-119168</v>
      </c>
      <c r="I434" s="3" t="s">
        <v>19</v>
      </c>
      <c r="J434" s="3" t="s">
        <v>15</v>
      </c>
      <c r="K434" s="3" t="s">
        <v>15</v>
      </c>
      <c r="L434" s="3" t="s">
        <v>224</v>
      </c>
      <c r="M434" s="4">
        <v>46294</v>
      </c>
      <c r="N434" s="3" t="s">
        <v>482</v>
      </c>
      <c r="O434" s="3" t="s">
        <v>80</v>
      </c>
      <c r="P434" t="str">
        <f t="shared" si="6"/>
        <v>450013951860</v>
      </c>
      <c r="Q434" s="7" cm="1">
        <f t="array" ref="Q434:S434">VLOOKUP(P434,Hoja1!C:F,{2,3,4},FALSE)</f>
        <v>46302</v>
      </c>
      <c r="R434" t="str">
        <v>AGV</v>
      </c>
      <c r="S434" t="str">
        <v>1000007668 TADEMAQ EQUIPOS PESADOS S.R.L.</v>
      </c>
      <c r="T434" t="str">
        <f>VLOOKUP(P434,Hoja2!C:D,2,FALSE)</f>
        <v>ILAHORGUE</v>
      </c>
    </row>
    <row r="435" spans="1:20" x14ac:dyDescent="0.3">
      <c r="A435" s="2" t="s">
        <v>15</v>
      </c>
      <c r="B435" s="3" t="s">
        <v>15</v>
      </c>
      <c r="C435" s="3" t="s">
        <v>481</v>
      </c>
      <c r="D435" s="3" t="s">
        <v>15</v>
      </c>
      <c r="E435" s="3" t="s">
        <v>149</v>
      </c>
      <c r="F435" s="4">
        <v>46294</v>
      </c>
      <c r="G435" s="3" t="s">
        <v>50</v>
      </c>
      <c r="H435" s="6">
        <v>-178341.6</v>
      </c>
      <c r="I435" s="3" t="s">
        <v>19</v>
      </c>
      <c r="J435" s="3" t="s">
        <v>15</v>
      </c>
      <c r="K435" s="3" t="s">
        <v>15</v>
      </c>
      <c r="L435" s="3" t="s">
        <v>224</v>
      </c>
      <c r="M435" s="4">
        <v>46294</v>
      </c>
      <c r="N435" s="3" t="s">
        <v>482</v>
      </c>
      <c r="O435" s="3" t="s">
        <v>81</v>
      </c>
      <c r="P435" t="str">
        <f t="shared" si="6"/>
        <v>450013951870</v>
      </c>
      <c r="Q435" s="7" cm="1">
        <f t="array" ref="Q435:S435">VLOOKUP(P435,Hoja1!C:F,{2,3,4},FALSE)</f>
        <v>46302</v>
      </c>
      <c r="R435" t="str">
        <v>AGV</v>
      </c>
      <c r="S435" t="str">
        <v>1000007668 TADEMAQ EQUIPOS PESADOS S.R.L.</v>
      </c>
      <c r="T435" t="str">
        <f>VLOOKUP(P435,Hoja2!C:D,2,FALSE)</f>
        <v>ILAHORGUE</v>
      </c>
    </row>
    <row r="436" spans="1:20" x14ac:dyDescent="0.3">
      <c r="A436" s="2" t="s">
        <v>15</v>
      </c>
      <c r="B436" s="3" t="s">
        <v>15</v>
      </c>
      <c r="C436" s="3" t="s">
        <v>481</v>
      </c>
      <c r="D436" s="3" t="s">
        <v>15</v>
      </c>
      <c r="E436" s="3" t="s">
        <v>149</v>
      </c>
      <c r="F436" s="4">
        <v>46294</v>
      </c>
      <c r="G436" s="3" t="s">
        <v>50</v>
      </c>
      <c r="H436" s="6">
        <v>-413592</v>
      </c>
      <c r="I436" s="3" t="s">
        <v>19</v>
      </c>
      <c r="J436" s="3" t="s">
        <v>15</v>
      </c>
      <c r="K436" s="3" t="s">
        <v>15</v>
      </c>
      <c r="L436" s="3" t="s">
        <v>224</v>
      </c>
      <c r="M436" s="4">
        <v>46294</v>
      </c>
      <c r="N436" s="3" t="s">
        <v>482</v>
      </c>
      <c r="O436" s="3" t="s">
        <v>82</v>
      </c>
      <c r="P436" t="str">
        <f t="shared" si="6"/>
        <v>450013951880</v>
      </c>
      <c r="Q436" s="7" cm="1">
        <f t="array" ref="Q436:S436">VLOOKUP(P436,Hoja1!C:F,{2,3,4},FALSE)</f>
        <v>46313</v>
      </c>
      <c r="R436" t="str">
        <v>AGV</v>
      </c>
      <c r="S436" t="str">
        <v>1000007668 TADEMAQ EQUIPOS PESADOS S.R.L.</v>
      </c>
      <c r="T436" t="str">
        <f>VLOOKUP(P436,Hoja2!C:D,2,FALSE)</f>
        <v>ILAHORGUE</v>
      </c>
    </row>
    <row r="437" spans="1:20" x14ac:dyDescent="0.3">
      <c r="A437" s="2" t="s">
        <v>15</v>
      </c>
      <c r="B437" s="3" t="s">
        <v>15</v>
      </c>
      <c r="C437" s="3" t="s">
        <v>481</v>
      </c>
      <c r="D437" s="3" t="s">
        <v>15</v>
      </c>
      <c r="E437" s="3" t="s">
        <v>149</v>
      </c>
      <c r="F437" s="4">
        <v>46294</v>
      </c>
      <c r="G437" s="3" t="s">
        <v>50</v>
      </c>
      <c r="H437" s="6">
        <v>-167929.60000000001</v>
      </c>
      <c r="I437" s="3" t="s">
        <v>19</v>
      </c>
      <c r="J437" s="3" t="s">
        <v>15</v>
      </c>
      <c r="K437" s="3" t="s">
        <v>15</v>
      </c>
      <c r="L437" s="3" t="s">
        <v>224</v>
      </c>
      <c r="M437" s="4">
        <v>46294</v>
      </c>
      <c r="N437" s="3" t="s">
        <v>482</v>
      </c>
      <c r="O437" s="3" t="s">
        <v>83</v>
      </c>
      <c r="P437" t="str">
        <f t="shared" si="6"/>
        <v>450013951890</v>
      </c>
      <c r="Q437" s="7" cm="1">
        <f t="array" ref="Q437:S437">VLOOKUP(P437,Hoja1!C:F,{2,3,4},FALSE)</f>
        <v>46316</v>
      </c>
      <c r="R437" t="str">
        <v>AGV</v>
      </c>
      <c r="S437" t="str">
        <v>1000007668 TADEMAQ EQUIPOS PESADOS S.R.L.</v>
      </c>
      <c r="T437" t="str">
        <f>VLOOKUP(P437,Hoja2!C:D,2,FALSE)</f>
        <v>ILAHORGUE</v>
      </c>
    </row>
    <row r="438" spans="1:20" x14ac:dyDescent="0.3">
      <c r="A438" s="2" t="s">
        <v>15</v>
      </c>
      <c r="B438" s="3" t="s">
        <v>15</v>
      </c>
      <c r="C438" s="3" t="s">
        <v>481</v>
      </c>
      <c r="D438" s="3" t="s">
        <v>15</v>
      </c>
      <c r="E438" s="3" t="s">
        <v>149</v>
      </c>
      <c r="F438" s="4">
        <v>46294</v>
      </c>
      <c r="G438" s="3" t="s">
        <v>50</v>
      </c>
      <c r="H438" s="6">
        <v>-61848.800000000003</v>
      </c>
      <c r="I438" s="3" t="s">
        <v>19</v>
      </c>
      <c r="J438" s="3" t="s">
        <v>15</v>
      </c>
      <c r="K438" s="3" t="s">
        <v>15</v>
      </c>
      <c r="L438" s="3" t="s">
        <v>224</v>
      </c>
      <c r="M438" s="4">
        <v>46294</v>
      </c>
      <c r="N438" s="3" t="s">
        <v>482</v>
      </c>
      <c r="O438" s="3" t="s">
        <v>84</v>
      </c>
      <c r="P438" t="str">
        <f t="shared" si="6"/>
        <v>4500139518100</v>
      </c>
      <c r="Q438" s="7" cm="1">
        <f t="array" ref="Q438:S438">VLOOKUP(P438,Hoja1!C:F,{2,3,4},FALSE)</f>
        <v>46316</v>
      </c>
      <c r="R438" t="str">
        <v>AGV</v>
      </c>
      <c r="S438" t="str">
        <v>1000007668 TADEMAQ EQUIPOS PESADOS S.R.L.</v>
      </c>
      <c r="T438" t="str">
        <f>VLOOKUP(P438,Hoja2!C:D,2,FALSE)</f>
        <v>ILAHORGUE</v>
      </c>
    </row>
    <row r="439" spans="1:20" x14ac:dyDescent="0.3">
      <c r="A439" s="2" t="s">
        <v>15</v>
      </c>
      <c r="B439" s="3" t="s">
        <v>15</v>
      </c>
      <c r="C439" s="3" t="s">
        <v>481</v>
      </c>
      <c r="D439" s="3" t="s">
        <v>15</v>
      </c>
      <c r="E439" s="3" t="s">
        <v>149</v>
      </c>
      <c r="F439" s="4">
        <v>46294</v>
      </c>
      <c r="G439" s="3" t="s">
        <v>50</v>
      </c>
      <c r="H439" s="6">
        <v>-20368</v>
      </c>
      <c r="I439" s="3" t="s">
        <v>19</v>
      </c>
      <c r="J439" s="3" t="s">
        <v>15</v>
      </c>
      <c r="K439" s="3" t="s">
        <v>15</v>
      </c>
      <c r="L439" s="3" t="s">
        <v>224</v>
      </c>
      <c r="M439" s="4">
        <v>46294</v>
      </c>
      <c r="N439" s="3" t="s">
        <v>483</v>
      </c>
      <c r="O439" s="3" t="s">
        <v>32</v>
      </c>
      <c r="P439" t="str">
        <f t="shared" si="6"/>
        <v>450013951310</v>
      </c>
      <c r="Q439" s="7" cm="1">
        <f t="array" ref="Q439:S439">VLOOKUP(P439,Hoja1!C:F,{2,3,4},FALSE)</f>
        <v>46269</v>
      </c>
      <c r="R439" t="str">
        <v>AGV</v>
      </c>
      <c r="S439" t="str">
        <v>1000007668 TADEMAQ EQUIPOS PESADOS S.R.L.</v>
      </c>
      <c r="T439" t="str">
        <f>VLOOKUP(P439,Hoja2!C:D,2,FALSE)</f>
        <v>ILAHORGUE</v>
      </c>
    </row>
    <row r="440" spans="1:20" x14ac:dyDescent="0.3">
      <c r="A440" s="2" t="s">
        <v>15</v>
      </c>
      <c r="B440" s="3" t="s">
        <v>15</v>
      </c>
      <c r="C440" s="3" t="s">
        <v>481</v>
      </c>
      <c r="D440" s="3" t="s">
        <v>15</v>
      </c>
      <c r="E440" s="3" t="s">
        <v>149</v>
      </c>
      <c r="F440" s="4">
        <v>46294</v>
      </c>
      <c r="G440" s="3" t="s">
        <v>50</v>
      </c>
      <c r="H440" s="6">
        <v>-22389.599999999999</v>
      </c>
      <c r="I440" s="3" t="s">
        <v>19</v>
      </c>
      <c r="J440" s="3" t="s">
        <v>15</v>
      </c>
      <c r="K440" s="3" t="s">
        <v>15</v>
      </c>
      <c r="L440" s="3" t="s">
        <v>224</v>
      </c>
      <c r="M440" s="4">
        <v>46294</v>
      </c>
      <c r="N440" s="3" t="s">
        <v>483</v>
      </c>
      <c r="O440" s="3" t="s">
        <v>28</v>
      </c>
      <c r="P440" t="str">
        <f t="shared" si="6"/>
        <v>450013951320</v>
      </c>
      <c r="Q440" s="7" cm="1">
        <f t="array" ref="Q440:S440">VLOOKUP(P440,Hoja1!C:F,{2,3,4},FALSE)</f>
        <v>46269</v>
      </c>
      <c r="R440" t="str">
        <v>AGV</v>
      </c>
      <c r="S440" t="str">
        <v>1000007668 TADEMAQ EQUIPOS PESADOS S.R.L.</v>
      </c>
      <c r="T440" t="str">
        <f>VLOOKUP(P440,Hoja2!C:D,2,FALSE)</f>
        <v>ILAHORGUE</v>
      </c>
    </row>
    <row r="441" spans="1:20" x14ac:dyDescent="0.3">
      <c r="A441" s="2" t="s">
        <v>15</v>
      </c>
      <c r="B441" s="3" t="s">
        <v>15</v>
      </c>
      <c r="C441" s="3" t="s">
        <v>481</v>
      </c>
      <c r="D441" s="3" t="s">
        <v>15</v>
      </c>
      <c r="E441" s="3" t="s">
        <v>149</v>
      </c>
      <c r="F441" s="4">
        <v>46294</v>
      </c>
      <c r="G441" s="3" t="s">
        <v>50</v>
      </c>
      <c r="H441" s="6">
        <v>-91200</v>
      </c>
      <c r="I441" s="3" t="s">
        <v>19</v>
      </c>
      <c r="J441" s="3" t="s">
        <v>15</v>
      </c>
      <c r="K441" s="3" t="s">
        <v>15</v>
      </c>
      <c r="L441" s="3" t="s">
        <v>224</v>
      </c>
      <c r="M441" s="4">
        <v>46294</v>
      </c>
      <c r="N441" s="3" t="s">
        <v>483</v>
      </c>
      <c r="O441" s="3" t="s">
        <v>54</v>
      </c>
      <c r="P441" t="str">
        <f t="shared" si="6"/>
        <v>450013951330</v>
      </c>
      <c r="Q441" s="7" cm="1">
        <f t="array" ref="Q441:S441">VLOOKUP(P441,Hoja1!C:F,{2,3,4},FALSE)</f>
        <v>46304</v>
      </c>
      <c r="R441" t="str">
        <v>AGV</v>
      </c>
      <c r="S441" t="str">
        <v>1000007668 TADEMAQ EQUIPOS PESADOS S.R.L.</v>
      </c>
      <c r="T441" t="str">
        <f>VLOOKUP(P441,Hoja2!C:D,2,FALSE)</f>
        <v>ILAHORGUE</v>
      </c>
    </row>
    <row r="442" spans="1:20" x14ac:dyDescent="0.3">
      <c r="A442" s="2" t="s">
        <v>15</v>
      </c>
      <c r="B442" s="3" t="s">
        <v>15</v>
      </c>
      <c r="C442" s="3" t="s">
        <v>481</v>
      </c>
      <c r="D442" s="3" t="s">
        <v>15</v>
      </c>
      <c r="E442" s="3" t="s">
        <v>149</v>
      </c>
      <c r="F442" s="4">
        <v>46294</v>
      </c>
      <c r="G442" s="3" t="s">
        <v>50</v>
      </c>
      <c r="H442" s="6">
        <v>-145920</v>
      </c>
      <c r="I442" s="3" t="s">
        <v>19</v>
      </c>
      <c r="J442" s="3" t="s">
        <v>15</v>
      </c>
      <c r="K442" s="3" t="s">
        <v>15</v>
      </c>
      <c r="L442" s="3" t="s">
        <v>224</v>
      </c>
      <c r="M442" s="4">
        <v>46294</v>
      </c>
      <c r="N442" s="3" t="s">
        <v>483</v>
      </c>
      <c r="O442" s="3" t="s">
        <v>23</v>
      </c>
      <c r="P442" t="str">
        <f t="shared" si="6"/>
        <v>450013951340</v>
      </c>
      <c r="Q442" s="7" cm="1">
        <f t="array" ref="Q442:S442">VLOOKUP(P442,Hoja1!C:F,{2,3,4},FALSE)</f>
        <v>46304</v>
      </c>
      <c r="R442" t="str">
        <v>AGV</v>
      </c>
      <c r="S442" t="str">
        <v>1000007668 TADEMAQ EQUIPOS PESADOS S.R.L.</v>
      </c>
      <c r="T442" t="str">
        <f>VLOOKUP(P442,Hoja2!C:D,2,FALSE)</f>
        <v>ILAHORGUE</v>
      </c>
    </row>
    <row r="443" spans="1:20" x14ac:dyDescent="0.3">
      <c r="A443" s="2" t="s">
        <v>15</v>
      </c>
      <c r="B443" s="3" t="s">
        <v>15</v>
      </c>
      <c r="C443" s="3" t="s">
        <v>481</v>
      </c>
      <c r="D443" s="3" t="s">
        <v>15</v>
      </c>
      <c r="E443" s="3" t="s">
        <v>149</v>
      </c>
      <c r="F443" s="4">
        <v>46294</v>
      </c>
      <c r="G443" s="3" t="s">
        <v>50</v>
      </c>
      <c r="H443" s="6">
        <v>-103390.39999999999</v>
      </c>
      <c r="I443" s="3" t="s">
        <v>19</v>
      </c>
      <c r="J443" s="3" t="s">
        <v>15</v>
      </c>
      <c r="K443" s="3" t="s">
        <v>15</v>
      </c>
      <c r="L443" s="3" t="s">
        <v>224</v>
      </c>
      <c r="M443" s="4">
        <v>46294</v>
      </c>
      <c r="N443" s="3" t="s">
        <v>483</v>
      </c>
      <c r="O443" s="3" t="s">
        <v>55</v>
      </c>
      <c r="P443" t="str">
        <f t="shared" si="6"/>
        <v>450013951350</v>
      </c>
      <c r="Q443" s="7" cm="1">
        <f t="array" ref="Q443:S443">VLOOKUP(P443,Hoja1!C:F,{2,3,4},FALSE)</f>
        <v>46304</v>
      </c>
      <c r="R443" t="str">
        <v>AGV</v>
      </c>
      <c r="S443" t="str">
        <v>1000007668 TADEMAQ EQUIPOS PESADOS S.R.L.</v>
      </c>
      <c r="T443" t="str">
        <f>VLOOKUP(P443,Hoja2!C:D,2,FALSE)</f>
        <v>ILAHORGUE</v>
      </c>
    </row>
    <row r="444" spans="1:20" x14ac:dyDescent="0.3">
      <c r="A444" s="2" t="s">
        <v>15</v>
      </c>
      <c r="B444" s="3" t="s">
        <v>15</v>
      </c>
      <c r="C444" s="3" t="s">
        <v>481</v>
      </c>
      <c r="D444" s="3" t="s">
        <v>15</v>
      </c>
      <c r="E444" s="3" t="s">
        <v>149</v>
      </c>
      <c r="F444" s="4">
        <v>46294</v>
      </c>
      <c r="G444" s="3" t="s">
        <v>50</v>
      </c>
      <c r="H444" s="6">
        <v>-32923.199999999997</v>
      </c>
      <c r="I444" s="3" t="s">
        <v>19</v>
      </c>
      <c r="J444" s="3" t="s">
        <v>15</v>
      </c>
      <c r="K444" s="3" t="s">
        <v>15</v>
      </c>
      <c r="L444" s="3" t="s">
        <v>224</v>
      </c>
      <c r="M444" s="4">
        <v>46294</v>
      </c>
      <c r="N444" s="3" t="s">
        <v>483</v>
      </c>
      <c r="O444" s="3" t="s">
        <v>80</v>
      </c>
      <c r="P444" t="str">
        <f t="shared" si="6"/>
        <v>450013951360</v>
      </c>
      <c r="Q444" s="7" cm="1">
        <f t="array" ref="Q444:S444">VLOOKUP(P444,Hoja1!C:F,{2,3,4},FALSE)</f>
        <v>46304</v>
      </c>
      <c r="R444" t="str">
        <v>AGV</v>
      </c>
      <c r="S444" t="str">
        <v>1000007668 TADEMAQ EQUIPOS PESADOS S.R.L.</v>
      </c>
      <c r="T444" t="str">
        <f>VLOOKUP(P444,Hoja2!C:D,2,FALSE)</f>
        <v>ILAHORGUE</v>
      </c>
    </row>
    <row r="445" spans="1:20" x14ac:dyDescent="0.3">
      <c r="A445" s="2" t="s">
        <v>15</v>
      </c>
      <c r="B445" s="3" t="s">
        <v>15</v>
      </c>
      <c r="C445" s="3" t="s">
        <v>484</v>
      </c>
      <c r="D445" s="3" t="s">
        <v>15</v>
      </c>
      <c r="E445" s="3" t="s">
        <v>149</v>
      </c>
      <c r="F445" s="4">
        <v>46293</v>
      </c>
      <c r="G445" s="3" t="s">
        <v>50</v>
      </c>
      <c r="H445" s="6">
        <v>-261385.03</v>
      </c>
      <c r="I445" s="3" t="s">
        <v>19</v>
      </c>
      <c r="J445" s="3" t="s">
        <v>15</v>
      </c>
      <c r="K445" s="3" t="s">
        <v>15</v>
      </c>
      <c r="L445" s="3" t="s">
        <v>217</v>
      </c>
      <c r="M445" s="4">
        <v>46294</v>
      </c>
      <c r="N445" s="3" t="s">
        <v>485</v>
      </c>
      <c r="O445" s="3" t="s">
        <v>28</v>
      </c>
      <c r="P445" t="str">
        <f t="shared" si="6"/>
        <v>450013918520</v>
      </c>
      <c r="Q445" s="7" cm="1">
        <f t="array" ref="Q445:S445">VLOOKUP(P445,Hoja1!C:F,{2,3,4},FALSE)</f>
        <v>46306</v>
      </c>
      <c r="R445" t="str">
        <v>C03</v>
      </c>
      <c r="S445" t="str">
        <v>1000000012 IGARRETA MAQUINAS S.A.</v>
      </c>
      <c r="T445" t="str">
        <f>VLOOKUP(P445,Hoja2!C:D,2,FALSE)</f>
        <v>EFUNES</v>
      </c>
    </row>
    <row r="446" spans="1:20" x14ac:dyDescent="0.3">
      <c r="A446" s="2" t="s">
        <v>15</v>
      </c>
      <c r="B446" s="3" t="s">
        <v>15</v>
      </c>
      <c r="C446" s="3" t="s">
        <v>484</v>
      </c>
      <c r="D446" s="3" t="s">
        <v>15</v>
      </c>
      <c r="E446" s="3" t="s">
        <v>149</v>
      </c>
      <c r="F446" s="4">
        <v>46293</v>
      </c>
      <c r="G446" s="3" t="s">
        <v>50</v>
      </c>
      <c r="H446" s="6">
        <v>-261385.03</v>
      </c>
      <c r="I446" s="3" t="s">
        <v>19</v>
      </c>
      <c r="J446" s="3" t="s">
        <v>15</v>
      </c>
      <c r="K446" s="3" t="s">
        <v>15</v>
      </c>
      <c r="L446" s="3" t="s">
        <v>217</v>
      </c>
      <c r="M446" s="4">
        <v>46294</v>
      </c>
      <c r="N446" s="3" t="s">
        <v>485</v>
      </c>
      <c r="O446" s="3" t="s">
        <v>83</v>
      </c>
      <c r="P446" t="str">
        <f t="shared" si="6"/>
        <v>450013918590</v>
      </c>
      <c r="Q446" s="7" cm="1">
        <f t="array" ref="Q446:S446">VLOOKUP(P446,Hoja1!C:F,{2,3,4},FALSE)</f>
        <v>46306</v>
      </c>
      <c r="R446" t="str">
        <v>C03</v>
      </c>
      <c r="S446" t="str">
        <v>1000000012 IGARRETA MAQUINAS S.A.</v>
      </c>
      <c r="T446" t="str">
        <f>VLOOKUP(P446,Hoja2!C:D,2,FALSE)</f>
        <v>EFUNES</v>
      </c>
    </row>
    <row r="447" spans="1:20" x14ac:dyDescent="0.3">
      <c r="A447" s="2" t="s">
        <v>15</v>
      </c>
      <c r="B447" s="3" t="s">
        <v>15</v>
      </c>
      <c r="C447" s="3" t="s">
        <v>486</v>
      </c>
      <c r="D447" s="3" t="s">
        <v>15</v>
      </c>
      <c r="E447" s="3" t="s">
        <v>149</v>
      </c>
      <c r="F447" s="4">
        <v>46293</v>
      </c>
      <c r="G447" s="3" t="s">
        <v>50</v>
      </c>
      <c r="H447" s="6">
        <v>-57991.4</v>
      </c>
      <c r="I447" s="3" t="s">
        <v>19</v>
      </c>
      <c r="J447" s="3" t="s">
        <v>15</v>
      </c>
      <c r="K447" s="3" t="s">
        <v>15</v>
      </c>
      <c r="L447" s="3" t="s">
        <v>217</v>
      </c>
      <c r="M447" s="4">
        <v>46294</v>
      </c>
      <c r="N447" s="3" t="s">
        <v>485</v>
      </c>
      <c r="O447" s="3" t="s">
        <v>23</v>
      </c>
      <c r="P447" t="str">
        <f t="shared" si="6"/>
        <v>450013918540</v>
      </c>
      <c r="Q447" s="7" cm="1">
        <f t="array" ref="Q447:S447">VLOOKUP(P447,Hoja1!C:F,{2,3,4},FALSE)</f>
        <v>46306</v>
      </c>
      <c r="R447" t="str">
        <v>C03</v>
      </c>
      <c r="S447" t="str">
        <v>1000000012 IGARRETA MAQUINAS S.A.</v>
      </c>
      <c r="T447" t="str">
        <f>VLOOKUP(P447,Hoja2!C:D,2,FALSE)</f>
        <v>EFUNES</v>
      </c>
    </row>
    <row r="448" spans="1:20" x14ac:dyDescent="0.3">
      <c r="A448" s="2" t="s">
        <v>15</v>
      </c>
      <c r="B448" s="3" t="s">
        <v>15</v>
      </c>
      <c r="C448" s="3" t="s">
        <v>486</v>
      </c>
      <c r="D448" s="3" t="s">
        <v>15</v>
      </c>
      <c r="E448" s="3" t="s">
        <v>149</v>
      </c>
      <c r="F448" s="4">
        <v>46293</v>
      </c>
      <c r="G448" s="3" t="s">
        <v>50</v>
      </c>
      <c r="H448" s="6">
        <v>-103339.87</v>
      </c>
      <c r="I448" s="3" t="s">
        <v>19</v>
      </c>
      <c r="J448" s="3" t="s">
        <v>15</v>
      </c>
      <c r="K448" s="3" t="s">
        <v>15</v>
      </c>
      <c r="L448" s="3" t="s">
        <v>217</v>
      </c>
      <c r="M448" s="4">
        <v>46294</v>
      </c>
      <c r="N448" s="3" t="s">
        <v>485</v>
      </c>
      <c r="O448" s="3" t="s">
        <v>55</v>
      </c>
      <c r="P448" t="str">
        <f t="shared" si="6"/>
        <v>450013918550</v>
      </c>
      <c r="Q448" s="7" cm="1">
        <f t="array" ref="Q448:S448">VLOOKUP(P448,Hoja1!C:F,{2,3,4},FALSE)</f>
        <v>46306</v>
      </c>
      <c r="R448" t="str">
        <v>C03</v>
      </c>
      <c r="S448" t="str">
        <v>1000000012 IGARRETA MAQUINAS S.A.</v>
      </c>
      <c r="T448" t="str">
        <f>VLOOKUP(P448,Hoja2!C:D,2,FALSE)</f>
        <v>EFUNES</v>
      </c>
    </row>
    <row r="449" spans="1:20" x14ac:dyDescent="0.3">
      <c r="A449" s="2" t="s">
        <v>15</v>
      </c>
      <c r="B449" s="3" t="s">
        <v>15</v>
      </c>
      <c r="C449" s="3" t="s">
        <v>487</v>
      </c>
      <c r="D449" s="3" t="s">
        <v>15</v>
      </c>
      <c r="E449" s="3" t="s">
        <v>149</v>
      </c>
      <c r="F449" s="4">
        <v>46293</v>
      </c>
      <c r="G449" s="3" t="s">
        <v>50</v>
      </c>
      <c r="H449" s="6">
        <v>-155769.60000000001</v>
      </c>
      <c r="I449" s="3" t="s">
        <v>19</v>
      </c>
      <c r="J449" s="3" t="s">
        <v>15</v>
      </c>
      <c r="K449" s="3" t="s">
        <v>15</v>
      </c>
      <c r="L449" s="3" t="s">
        <v>217</v>
      </c>
      <c r="M449" s="4">
        <v>46294</v>
      </c>
      <c r="N449" s="3" t="s">
        <v>488</v>
      </c>
      <c r="O449" s="3" t="s">
        <v>32</v>
      </c>
      <c r="P449" t="str">
        <f t="shared" si="6"/>
        <v>450013941710</v>
      </c>
      <c r="Q449" s="7" cm="1">
        <f t="array" ref="Q449:S449">VLOOKUP(P449,Hoja1!C:F,{2,3,4},FALSE)</f>
        <v>46297</v>
      </c>
      <c r="R449" t="str">
        <v>C29</v>
      </c>
      <c r="S449" t="str">
        <v>1000000012 IGARRETA MAQUINAS S.A.</v>
      </c>
      <c r="T449" t="str">
        <f>VLOOKUP(P449,Hoja2!C:D,2,FALSE)</f>
        <v>RPEREZ</v>
      </c>
    </row>
    <row r="450" spans="1:20" x14ac:dyDescent="0.3">
      <c r="A450" s="2" t="s">
        <v>15</v>
      </c>
      <c r="B450" s="3" t="s">
        <v>15</v>
      </c>
      <c r="C450" s="3" t="s">
        <v>487</v>
      </c>
      <c r="D450" s="3" t="s">
        <v>15</v>
      </c>
      <c r="E450" s="3" t="s">
        <v>149</v>
      </c>
      <c r="F450" s="4">
        <v>46293</v>
      </c>
      <c r="G450" s="3" t="s">
        <v>50</v>
      </c>
      <c r="H450" s="6">
        <v>-105913.60000000001</v>
      </c>
      <c r="I450" s="3" t="s">
        <v>19</v>
      </c>
      <c r="J450" s="3" t="s">
        <v>15</v>
      </c>
      <c r="K450" s="3" t="s">
        <v>15</v>
      </c>
      <c r="L450" s="3" t="s">
        <v>217</v>
      </c>
      <c r="M450" s="4">
        <v>46294</v>
      </c>
      <c r="N450" s="3" t="s">
        <v>488</v>
      </c>
      <c r="O450" s="3" t="s">
        <v>28</v>
      </c>
      <c r="P450" t="str">
        <f t="shared" si="6"/>
        <v>450013941720</v>
      </c>
      <c r="Q450" s="7" cm="1">
        <f t="array" ref="Q450:S450">VLOOKUP(P450,Hoja1!C:F,{2,3,4},FALSE)</f>
        <v>46297</v>
      </c>
      <c r="R450" t="str">
        <v>C29</v>
      </c>
      <c r="S450" t="str">
        <v>1000000012 IGARRETA MAQUINAS S.A.</v>
      </c>
      <c r="T450" t="str">
        <f>VLOOKUP(P450,Hoja2!C:D,2,FALSE)</f>
        <v>RPEREZ</v>
      </c>
    </row>
    <row r="451" spans="1:20" x14ac:dyDescent="0.3">
      <c r="A451" s="2" t="s">
        <v>15</v>
      </c>
      <c r="B451" s="3" t="s">
        <v>15</v>
      </c>
      <c r="C451" s="3" t="s">
        <v>487</v>
      </c>
      <c r="D451" s="3" t="s">
        <v>15</v>
      </c>
      <c r="E451" s="3" t="s">
        <v>149</v>
      </c>
      <c r="F451" s="4">
        <v>46293</v>
      </c>
      <c r="G451" s="3" t="s">
        <v>50</v>
      </c>
      <c r="H451" s="6">
        <v>-86336</v>
      </c>
      <c r="I451" s="3" t="s">
        <v>19</v>
      </c>
      <c r="J451" s="3" t="s">
        <v>15</v>
      </c>
      <c r="K451" s="3" t="s">
        <v>15</v>
      </c>
      <c r="L451" s="3" t="s">
        <v>217</v>
      </c>
      <c r="M451" s="4">
        <v>46294</v>
      </c>
      <c r="N451" s="3" t="s">
        <v>488</v>
      </c>
      <c r="O451" s="3" t="s">
        <v>54</v>
      </c>
      <c r="P451" t="str">
        <f t="shared" ref="P451:P514" si="7">_xlfn.CONCAT(N451:O451)</f>
        <v>450013941730</v>
      </c>
      <c r="Q451" s="7" cm="1">
        <f t="array" ref="Q451:S451">VLOOKUP(P451,Hoja1!C:F,{2,3,4},FALSE)</f>
        <v>46297</v>
      </c>
      <c r="R451" t="str">
        <v>C29</v>
      </c>
      <c r="S451" t="str">
        <v>1000000012 IGARRETA MAQUINAS S.A.</v>
      </c>
      <c r="T451" t="str">
        <f>VLOOKUP(P451,Hoja2!C:D,2,FALSE)</f>
        <v>RPEREZ</v>
      </c>
    </row>
    <row r="452" spans="1:20" x14ac:dyDescent="0.3">
      <c r="A452" s="2" t="s">
        <v>15</v>
      </c>
      <c r="B452" s="3" t="s">
        <v>15</v>
      </c>
      <c r="C452" s="3" t="s">
        <v>487</v>
      </c>
      <c r="D452" s="3" t="s">
        <v>15</v>
      </c>
      <c r="E452" s="3" t="s">
        <v>149</v>
      </c>
      <c r="F452" s="4">
        <v>46293</v>
      </c>
      <c r="G452" s="3" t="s">
        <v>50</v>
      </c>
      <c r="H452" s="6">
        <v>-107920</v>
      </c>
      <c r="I452" s="3" t="s">
        <v>19</v>
      </c>
      <c r="J452" s="3" t="s">
        <v>15</v>
      </c>
      <c r="K452" s="3" t="s">
        <v>15</v>
      </c>
      <c r="L452" s="3" t="s">
        <v>217</v>
      </c>
      <c r="M452" s="4">
        <v>46294</v>
      </c>
      <c r="N452" s="3" t="s">
        <v>488</v>
      </c>
      <c r="O452" s="3" t="s">
        <v>23</v>
      </c>
      <c r="P452" t="str">
        <f t="shared" si="7"/>
        <v>450013941740</v>
      </c>
      <c r="Q452" s="7" cm="1">
        <f t="array" ref="Q452:S452">VLOOKUP(P452,Hoja1!C:F,{2,3,4},FALSE)</f>
        <v>46297</v>
      </c>
      <c r="R452" t="str">
        <v>C29</v>
      </c>
      <c r="S452" t="str">
        <v>1000000012 IGARRETA MAQUINAS S.A.</v>
      </c>
      <c r="T452" t="str">
        <f>VLOOKUP(P452,Hoja2!C:D,2,FALSE)</f>
        <v>RPEREZ</v>
      </c>
    </row>
    <row r="453" spans="1:20" x14ac:dyDescent="0.3">
      <c r="A453" s="2" t="s">
        <v>15</v>
      </c>
      <c r="B453" s="3" t="s">
        <v>15</v>
      </c>
      <c r="C453" s="3" t="s">
        <v>489</v>
      </c>
      <c r="D453" s="3" t="s">
        <v>15</v>
      </c>
      <c r="E453" s="3" t="s">
        <v>149</v>
      </c>
      <c r="F453" s="4">
        <v>46294</v>
      </c>
      <c r="G453" s="3" t="s">
        <v>50</v>
      </c>
      <c r="H453" s="6">
        <v>-407512</v>
      </c>
      <c r="I453" s="3" t="s">
        <v>19</v>
      </c>
      <c r="J453" s="3" t="s">
        <v>15</v>
      </c>
      <c r="K453" s="3" t="s">
        <v>15</v>
      </c>
      <c r="L453" s="3" t="s">
        <v>101</v>
      </c>
      <c r="M453" s="4">
        <v>46294</v>
      </c>
      <c r="N453" s="3" t="s">
        <v>490</v>
      </c>
      <c r="O453" s="3" t="s">
        <v>32</v>
      </c>
      <c r="P453" t="str">
        <f t="shared" si="7"/>
        <v>450013914010</v>
      </c>
      <c r="Q453" s="7" cm="1">
        <f t="array" ref="Q453:S453">VLOOKUP(P453,Hoja1!C:F,{2,3,4},FALSE)</f>
        <v>46297</v>
      </c>
      <c r="R453" t="str">
        <v>C29</v>
      </c>
      <c r="S453" t="str">
        <v>1000000561 ESCANDINAVIA DEL PLATA SA</v>
      </c>
      <c r="T453" t="str">
        <f>VLOOKUP(P453,Hoja2!C:D,2,FALSE)</f>
        <v>RPEREZ</v>
      </c>
    </row>
    <row r="454" spans="1:20" x14ac:dyDescent="0.3">
      <c r="A454" s="2" t="s">
        <v>15</v>
      </c>
      <c r="B454" s="3" t="s">
        <v>15</v>
      </c>
      <c r="C454" s="3" t="s">
        <v>491</v>
      </c>
      <c r="D454" s="3" t="s">
        <v>15</v>
      </c>
      <c r="E454" s="3" t="s">
        <v>149</v>
      </c>
      <c r="F454" s="4">
        <v>46294</v>
      </c>
      <c r="G454" s="3" t="s">
        <v>50</v>
      </c>
      <c r="H454" s="6">
        <v>-652809.6</v>
      </c>
      <c r="I454" s="3" t="s">
        <v>19</v>
      </c>
      <c r="J454" s="3" t="s">
        <v>15</v>
      </c>
      <c r="K454" s="3" t="s">
        <v>15</v>
      </c>
      <c r="L454" s="3" t="s">
        <v>224</v>
      </c>
      <c r="M454" s="4">
        <v>46294</v>
      </c>
      <c r="N454" s="3" t="s">
        <v>492</v>
      </c>
      <c r="O454" s="3" t="s">
        <v>32</v>
      </c>
      <c r="P454" t="str">
        <f t="shared" si="7"/>
        <v>450013976910</v>
      </c>
      <c r="Q454" s="7" cm="1">
        <f t="array" ref="Q454:S454">VLOOKUP(P454,Hoja1!C:F,{2,3,4},FALSE)</f>
        <v>46313</v>
      </c>
      <c r="R454" t="str">
        <v>AGV</v>
      </c>
      <c r="S454" t="str">
        <v>1000007668 TADEMAQ EQUIPOS PESADOS S.R.L.</v>
      </c>
      <c r="T454" t="str">
        <f>VLOOKUP(P454,Hoja2!C:D,2,FALSE)</f>
        <v>ILAHORGUE</v>
      </c>
    </row>
    <row r="455" spans="1:20" x14ac:dyDescent="0.3">
      <c r="A455" s="2" t="s">
        <v>15</v>
      </c>
      <c r="B455" s="3" t="s">
        <v>15</v>
      </c>
      <c r="C455" s="3" t="s">
        <v>491</v>
      </c>
      <c r="D455" s="3" t="s">
        <v>15</v>
      </c>
      <c r="E455" s="3" t="s">
        <v>149</v>
      </c>
      <c r="F455" s="4">
        <v>46294</v>
      </c>
      <c r="G455" s="3" t="s">
        <v>50</v>
      </c>
      <c r="H455" s="6">
        <v>-334384.8</v>
      </c>
      <c r="I455" s="3" t="s">
        <v>19</v>
      </c>
      <c r="J455" s="3" t="s">
        <v>15</v>
      </c>
      <c r="K455" s="3" t="s">
        <v>15</v>
      </c>
      <c r="L455" s="3" t="s">
        <v>224</v>
      </c>
      <c r="M455" s="4">
        <v>46294</v>
      </c>
      <c r="N455" s="3" t="s">
        <v>492</v>
      </c>
      <c r="O455" s="3" t="s">
        <v>28</v>
      </c>
      <c r="P455" t="str">
        <f t="shared" si="7"/>
        <v>450013976920</v>
      </c>
      <c r="Q455" s="7" cm="1">
        <f t="array" ref="Q455:S455">VLOOKUP(P455,Hoja1!C:F,{2,3,4},FALSE)</f>
        <v>46305</v>
      </c>
      <c r="R455" t="str">
        <v>AGV</v>
      </c>
      <c r="S455" t="str">
        <v>1000007668 TADEMAQ EQUIPOS PESADOS S.R.L.</v>
      </c>
      <c r="T455" t="str">
        <f>VLOOKUP(P455,Hoja2!C:D,2,FALSE)</f>
        <v>ILAHORGUE</v>
      </c>
    </row>
    <row r="456" spans="1:20" x14ac:dyDescent="0.3">
      <c r="A456" s="2" t="s">
        <v>15</v>
      </c>
      <c r="B456" s="3" t="s">
        <v>15</v>
      </c>
      <c r="C456" s="3" t="s">
        <v>493</v>
      </c>
      <c r="D456" s="3" t="s">
        <v>15</v>
      </c>
      <c r="E456" s="3" t="s">
        <v>149</v>
      </c>
      <c r="F456" s="4">
        <v>46295</v>
      </c>
      <c r="G456" s="3" t="s">
        <v>50</v>
      </c>
      <c r="H456" s="6">
        <v>-86952.75</v>
      </c>
      <c r="I456" s="3" t="s">
        <v>19</v>
      </c>
      <c r="J456" s="3" t="s">
        <v>15</v>
      </c>
      <c r="K456" s="3" t="s">
        <v>15</v>
      </c>
      <c r="L456" s="3" t="s">
        <v>257</v>
      </c>
      <c r="M456" s="4">
        <v>46295</v>
      </c>
      <c r="N456" s="3" t="s">
        <v>494</v>
      </c>
      <c r="O456" s="3" t="s">
        <v>32</v>
      </c>
      <c r="P456" t="str">
        <f t="shared" si="7"/>
        <v>450013874810</v>
      </c>
      <c r="Q456" s="7" cm="1">
        <f t="array" ref="Q456:S456">VLOOKUP(P456,Hoja1!C:F,{2,3,4},FALSE)</f>
        <v>46300</v>
      </c>
      <c r="R456" t="str">
        <v>C29</v>
      </c>
      <c r="S456" t="str">
        <v>1000000062 FINNING ARGENTINA S.A.</v>
      </c>
      <c r="T456" t="str">
        <f>VLOOKUP(P456,Hoja2!C:D,2,FALSE)</f>
        <v>RPEREZ</v>
      </c>
    </row>
    <row r="457" spans="1:20" x14ac:dyDescent="0.3">
      <c r="A457" s="2" t="s">
        <v>15</v>
      </c>
      <c r="B457" s="3" t="s">
        <v>15</v>
      </c>
      <c r="C457" s="3" t="s">
        <v>493</v>
      </c>
      <c r="D457" s="3" t="s">
        <v>15</v>
      </c>
      <c r="E457" s="3" t="s">
        <v>149</v>
      </c>
      <c r="F457" s="4">
        <v>46295</v>
      </c>
      <c r="G457" s="3" t="s">
        <v>50</v>
      </c>
      <c r="H457" s="6">
        <v>-683937.25</v>
      </c>
      <c r="I457" s="3" t="s">
        <v>19</v>
      </c>
      <c r="J457" s="3" t="s">
        <v>15</v>
      </c>
      <c r="K457" s="3" t="s">
        <v>15</v>
      </c>
      <c r="L457" s="3" t="s">
        <v>257</v>
      </c>
      <c r="M457" s="4">
        <v>46295</v>
      </c>
      <c r="N457" s="3" t="s">
        <v>494</v>
      </c>
      <c r="O457" s="3" t="s">
        <v>28</v>
      </c>
      <c r="P457" t="str">
        <f t="shared" si="7"/>
        <v>450013874820</v>
      </c>
      <c r="Q457" s="7" cm="1">
        <f t="array" ref="Q457:S457">VLOOKUP(P457,Hoja1!C:F,{2,3,4},FALSE)</f>
        <v>46300</v>
      </c>
      <c r="R457" t="str">
        <v>C29</v>
      </c>
      <c r="S457" t="str">
        <v>1000000062 FINNING ARGENTINA S.A.</v>
      </c>
      <c r="T457" t="str">
        <f>VLOOKUP(P457,Hoja2!C:D,2,FALSE)</f>
        <v>RPEREZ</v>
      </c>
    </row>
    <row r="458" spans="1:20" x14ac:dyDescent="0.3">
      <c r="A458" s="2" t="s">
        <v>15</v>
      </c>
      <c r="B458" s="3" t="s">
        <v>15</v>
      </c>
      <c r="C458" s="3" t="s">
        <v>495</v>
      </c>
      <c r="D458" s="3" t="s">
        <v>15</v>
      </c>
      <c r="E458" s="3" t="s">
        <v>149</v>
      </c>
      <c r="F458" s="4">
        <v>46295</v>
      </c>
      <c r="G458" s="3" t="s">
        <v>50</v>
      </c>
      <c r="H458" s="6">
        <v>-40176</v>
      </c>
      <c r="I458" s="3" t="s">
        <v>19</v>
      </c>
      <c r="J458" s="3" t="s">
        <v>15</v>
      </c>
      <c r="K458" s="3" t="s">
        <v>15</v>
      </c>
      <c r="L458" s="3" t="s">
        <v>73</v>
      </c>
      <c r="M458" s="4">
        <v>46295</v>
      </c>
      <c r="N458" s="3" t="s">
        <v>496</v>
      </c>
      <c r="O458" s="3" t="s">
        <v>32</v>
      </c>
      <c r="P458" t="str">
        <f t="shared" si="7"/>
        <v>450013977010</v>
      </c>
      <c r="Q458" s="7" cm="1">
        <f t="array" ref="Q458:S458">VLOOKUP(P458,Hoja1!C:F,{2,3,4},FALSE)</f>
        <v>46301</v>
      </c>
      <c r="R458" t="str">
        <v>C35</v>
      </c>
      <c r="S458" t="str">
        <v>1000007451 FLORES CARLOS FELIPE Y OTROS S H</v>
      </c>
      <c r="T458" t="str">
        <f>VLOOKUP(P458,Hoja2!C:D,2,FALSE)</f>
        <v>FSOTO</v>
      </c>
    </row>
    <row r="459" spans="1:20" x14ac:dyDescent="0.3">
      <c r="A459" s="2" t="s">
        <v>15</v>
      </c>
      <c r="B459" s="3" t="s">
        <v>15</v>
      </c>
      <c r="C459" s="3" t="s">
        <v>495</v>
      </c>
      <c r="D459" s="3" t="s">
        <v>15</v>
      </c>
      <c r="E459" s="3" t="s">
        <v>149</v>
      </c>
      <c r="F459" s="4">
        <v>46295</v>
      </c>
      <c r="G459" s="3" t="s">
        <v>50</v>
      </c>
      <c r="H459" s="6">
        <v>-40176</v>
      </c>
      <c r="I459" s="3" t="s">
        <v>19</v>
      </c>
      <c r="J459" s="3" t="s">
        <v>15</v>
      </c>
      <c r="K459" s="3" t="s">
        <v>15</v>
      </c>
      <c r="L459" s="3" t="s">
        <v>73</v>
      </c>
      <c r="M459" s="4">
        <v>46295</v>
      </c>
      <c r="N459" s="3" t="s">
        <v>496</v>
      </c>
      <c r="O459" s="3" t="s">
        <v>28</v>
      </c>
      <c r="P459" t="str">
        <f t="shared" si="7"/>
        <v>450013977020</v>
      </c>
      <c r="Q459" s="7" cm="1">
        <f t="array" ref="Q459:S459">VLOOKUP(P459,Hoja1!C:F,{2,3,4},FALSE)</f>
        <v>46301</v>
      </c>
      <c r="R459" t="str">
        <v>C35</v>
      </c>
      <c r="S459" t="str">
        <v>1000007451 FLORES CARLOS FELIPE Y OTROS S H</v>
      </c>
      <c r="T459" t="str">
        <f>VLOOKUP(P459,Hoja2!C:D,2,FALSE)</f>
        <v>FSOTO</v>
      </c>
    </row>
    <row r="460" spans="1:20" x14ac:dyDescent="0.3">
      <c r="A460" s="2" t="s">
        <v>15</v>
      </c>
      <c r="B460" s="3" t="s">
        <v>15</v>
      </c>
      <c r="C460" s="3" t="s">
        <v>495</v>
      </c>
      <c r="D460" s="3" t="s">
        <v>15</v>
      </c>
      <c r="E460" s="3" t="s">
        <v>149</v>
      </c>
      <c r="F460" s="4">
        <v>46295</v>
      </c>
      <c r="G460" s="3" t="s">
        <v>50</v>
      </c>
      <c r="H460" s="6">
        <v>-52148.14</v>
      </c>
      <c r="I460" s="3" t="s">
        <v>19</v>
      </c>
      <c r="J460" s="3" t="s">
        <v>15</v>
      </c>
      <c r="K460" s="3" t="s">
        <v>15</v>
      </c>
      <c r="L460" s="3" t="s">
        <v>73</v>
      </c>
      <c r="M460" s="4">
        <v>46295</v>
      </c>
      <c r="N460" s="3" t="s">
        <v>496</v>
      </c>
      <c r="O460" s="3" t="s">
        <v>54</v>
      </c>
      <c r="P460" t="str">
        <f t="shared" si="7"/>
        <v>450013977030</v>
      </c>
      <c r="Q460" s="7" cm="1">
        <f t="array" ref="Q460:S460">VLOOKUP(P460,Hoja1!C:F,{2,3,4},FALSE)</f>
        <v>46301</v>
      </c>
      <c r="R460" t="str">
        <v>C35</v>
      </c>
      <c r="S460" t="str">
        <v>1000007451 FLORES CARLOS FELIPE Y OTROS S H</v>
      </c>
      <c r="T460" t="str">
        <f>VLOOKUP(P460,Hoja2!C:D,2,FALSE)</f>
        <v>FSOTO</v>
      </c>
    </row>
    <row r="461" spans="1:20" x14ac:dyDescent="0.3">
      <c r="A461" s="2" t="s">
        <v>15</v>
      </c>
      <c r="B461" s="3" t="s">
        <v>15</v>
      </c>
      <c r="C461" s="3" t="s">
        <v>495</v>
      </c>
      <c r="D461" s="3" t="s">
        <v>15</v>
      </c>
      <c r="E461" s="3" t="s">
        <v>149</v>
      </c>
      <c r="F461" s="4">
        <v>46295</v>
      </c>
      <c r="G461" s="3" t="s">
        <v>50</v>
      </c>
      <c r="H461" s="6">
        <v>-52148.14</v>
      </c>
      <c r="I461" s="3" t="s">
        <v>19</v>
      </c>
      <c r="J461" s="3" t="s">
        <v>15</v>
      </c>
      <c r="K461" s="3" t="s">
        <v>15</v>
      </c>
      <c r="L461" s="3" t="s">
        <v>73</v>
      </c>
      <c r="M461" s="4">
        <v>46295</v>
      </c>
      <c r="N461" s="3" t="s">
        <v>496</v>
      </c>
      <c r="O461" s="3" t="s">
        <v>23</v>
      </c>
      <c r="P461" t="str">
        <f t="shared" si="7"/>
        <v>450013977040</v>
      </c>
      <c r="Q461" s="7" cm="1">
        <f t="array" ref="Q461:S461">VLOOKUP(P461,Hoja1!C:F,{2,3,4},FALSE)</f>
        <v>46301</v>
      </c>
      <c r="R461" t="str">
        <v>C35</v>
      </c>
      <c r="S461" t="str">
        <v>1000007451 FLORES CARLOS FELIPE Y OTROS S H</v>
      </c>
      <c r="T461" t="str">
        <f>VLOOKUP(P461,Hoja2!C:D,2,FALSE)</f>
        <v>FSOTO</v>
      </c>
    </row>
    <row r="462" spans="1:20" x14ac:dyDescent="0.3">
      <c r="A462" s="2" t="s">
        <v>15</v>
      </c>
      <c r="B462" s="3" t="s">
        <v>15</v>
      </c>
      <c r="C462" s="3" t="s">
        <v>497</v>
      </c>
      <c r="D462" s="3" t="s">
        <v>15</v>
      </c>
      <c r="E462" s="3" t="s">
        <v>149</v>
      </c>
      <c r="F462" s="4">
        <v>46295</v>
      </c>
      <c r="G462" s="3" t="s">
        <v>50</v>
      </c>
      <c r="H462" s="6">
        <v>-482486.4</v>
      </c>
      <c r="I462" s="3" t="s">
        <v>19</v>
      </c>
      <c r="J462" s="3" t="s">
        <v>15</v>
      </c>
      <c r="K462" s="3" t="s">
        <v>15</v>
      </c>
      <c r="L462" s="3" t="s">
        <v>106</v>
      </c>
      <c r="M462" s="4">
        <v>46295</v>
      </c>
      <c r="N462" s="3" t="s">
        <v>498</v>
      </c>
      <c r="O462" s="3" t="s">
        <v>28</v>
      </c>
      <c r="P462" t="str">
        <f t="shared" si="7"/>
        <v>450013653020</v>
      </c>
      <c r="Q462" s="7" cm="1">
        <f t="array" ref="Q462:S462">VLOOKUP(P462,Hoja1!C:F,{2,3,4},FALSE)</f>
        <v>46301</v>
      </c>
      <c r="R462" t="str">
        <v>C29</v>
      </c>
      <c r="S462" t="str">
        <v>1000001154 TRAVEL FILTERS SRL</v>
      </c>
      <c r="T462" t="str">
        <f>VLOOKUP(P462,Hoja2!C:D,2,FALSE)</f>
        <v>RPEREZ</v>
      </c>
    </row>
    <row r="463" spans="1:20" x14ac:dyDescent="0.3">
      <c r="A463" s="2" t="s">
        <v>15</v>
      </c>
      <c r="B463" s="3" t="s">
        <v>15</v>
      </c>
      <c r="C463" s="3" t="s">
        <v>499</v>
      </c>
      <c r="D463" s="3" t="s">
        <v>25</v>
      </c>
      <c r="E463" s="3" t="s">
        <v>149</v>
      </c>
      <c r="F463" s="4">
        <v>46295</v>
      </c>
      <c r="G463" s="3" t="s">
        <v>50</v>
      </c>
      <c r="H463" s="6">
        <v>-197275</v>
      </c>
      <c r="I463" s="3" t="s">
        <v>19</v>
      </c>
      <c r="J463" s="3" t="s">
        <v>15</v>
      </c>
      <c r="K463" s="3" t="s">
        <v>15</v>
      </c>
      <c r="L463" s="3" t="s">
        <v>447</v>
      </c>
      <c r="M463" s="4">
        <v>46295</v>
      </c>
      <c r="N463" s="3" t="s">
        <v>448</v>
      </c>
      <c r="O463" s="3" t="s">
        <v>32</v>
      </c>
      <c r="P463" t="str">
        <f t="shared" si="7"/>
        <v>450013682210</v>
      </c>
      <c r="Q463" s="7" cm="1">
        <f t="array" ref="Q463:S463">VLOOKUP(P463,Hoja1!C:F,{2,3,4},FALSE)</f>
        <v>46295</v>
      </c>
      <c r="R463" t="str">
        <v>C19</v>
      </c>
      <c r="S463" t="str">
        <v>1000011893 BEVACQUA CARLOS IVAN LEONARDO</v>
      </c>
      <c r="T463" t="str">
        <f>VLOOKUP(P463,Hoja2!C:D,2,FALSE)</f>
        <v>JPUPULIN</v>
      </c>
    </row>
    <row r="464" spans="1:20" x14ac:dyDescent="0.3">
      <c r="A464" s="2" t="s">
        <v>15</v>
      </c>
      <c r="B464" s="3" t="s">
        <v>15</v>
      </c>
      <c r="C464" s="3" t="s">
        <v>500</v>
      </c>
      <c r="D464" s="3" t="s">
        <v>25</v>
      </c>
      <c r="E464" s="3" t="s">
        <v>149</v>
      </c>
      <c r="F464" s="4">
        <v>46295</v>
      </c>
      <c r="G464" s="3" t="s">
        <v>50</v>
      </c>
      <c r="H464" s="6">
        <v>-208606.5</v>
      </c>
      <c r="I464" s="3" t="s">
        <v>19</v>
      </c>
      <c r="J464" s="3" t="s">
        <v>15</v>
      </c>
      <c r="K464" s="3" t="s">
        <v>15</v>
      </c>
      <c r="L464" s="3" t="s">
        <v>501</v>
      </c>
      <c r="M464" s="4">
        <v>46295</v>
      </c>
      <c r="N464" s="3" t="s">
        <v>502</v>
      </c>
      <c r="O464" s="3" t="s">
        <v>32</v>
      </c>
      <c r="P464" t="str">
        <f t="shared" si="7"/>
        <v>450013873810</v>
      </c>
      <c r="Q464" s="7" cm="1">
        <f t="array" ref="Q464:S464">VLOOKUP(P464,Hoja1!C:F,{2,3,4},FALSE)</f>
        <v>46287</v>
      </c>
      <c r="R464" t="str">
        <v>C35</v>
      </c>
      <c r="S464" t="str">
        <v>1000008137 ROVI S.R.L.</v>
      </c>
      <c r="T464" t="str">
        <f>VLOOKUP(P464,Hoja2!C:D,2,FALSE)</f>
        <v>FSOTO</v>
      </c>
    </row>
    <row r="465" spans="1:20" x14ac:dyDescent="0.3">
      <c r="A465" s="2" t="s">
        <v>15</v>
      </c>
      <c r="B465" s="3" t="s">
        <v>15</v>
      </c>
      <c r="C465" s="3" t="s">
        <v>503</v>
      </c>
      <c r="D465" s="3" t="s">
        <v>15</v>
      </c>
      <c r="E465" s="3" t="s">
        <v>149</v>
      </c>
      <c r="F465" s="4">
        <v>46295</v>
      </c>
      <c r="G465" s="3" t="s">
        <v>50</v>
      </c>
      <c r="H465" s="6">
        <v>-536653</v>
      </c>
      <c r="I465" s="3" t="s">
        <v>19</v>
      </c>
      <c r="J465" s="3" t="s">
        <v>15</v>
      </c>
      <c r="K465" s="3" t="s">
        <v>15</v>
      </c>
      <c r="L465" s="3" t="s">
        <v>99</v>
      </c>
      <c r="M465" s="4">
        <v>46295</v>
      </c>
      <c r="N465" s="3" t="s">
        <v>504</v>
      </c>
      <c r="O465" s="3" t="s">
        <v>32</v>
      </c>
      <c r="P465" t="str">
        <f t="shared" si="7"/>
        <v>450013975610</v>
      </c>
      <c r="Q465" s="7" cm="1">
        <f t="array" ref="Q465:S465">VLOOKUP(P465,Hoja1!C:F,{2,3,4},FALSE)</f>
        <v>46311</v>
      </c>
      <c r="R465" t="str">
        <v>C17</v>
      </c>
      <c r="S465" t="str">
        <v>1000012333 GO CLEAN S.A.S.</v>
      </c>
      <c r="T465" t="str">
        <f>VLOOKUP(P465,Hoja2!C:D,2,FALSE)</f>
        <v>GJULIANI</v>
      </c>
    </row>
    <row r="466" spans="1:20" x14ac:dyDescent="0.3">
      <c r="A466" s="2" t="s">
        <v>15</v>
      </c>
      <c r="B466" s="3" t="s">
        <v>15</v>
      </c>
      <c r="C466" s="3" t="s">
        <v>503</v>
      </c>
      <c r="D466" s="3" t="s">
        <v>15</v>
      </c>
      <c r="E466" s="3" t="s">
        <v>149</v>
      </c>
      <c r="F466" s="4">
        <v>46295</v>
      </c>
      <c r="G466" s="3" t="s">
        <v>50</v>
      </c>
      <c r="H466" s="6">
        <v>-570992.1</v>
      </c>
      <c r="I466" s="3" t="s">
        <v>19</v>
      </c>
      <c r="J466" s="3" t="s">
        <v>15</v>
      </c>
      <c r="K466" s="3" t="s">
        <v>15</v>
      </c>
      <c r="L466" s="3" t="s">
        <v>99</v>
      </c>
      <c r="M466" s="4">
        <v>46295</v>
      </c>
      <c r="N466" s="3" t="s">
        <v>504</v>
      </c>
      <c r="O466" s="3" t="s">
        <v>28</v>
      </c>
      <c r="P466" t="str">
        <f t="shared" si="7"/>
        <v>450013975620</v>
      </c>
      <c r="Q466" s="7" cm="1">
        <f t="array" ref="Q466:S466">VLOOKUP(P466,Hoja1!C:F,{2,3,4},FALSE)</f>
        <v>46311</v>
      </c>
      <c r="R466" t="str">
        <v>C17</v>
      </c>
      <c r="S466" t="str">
        <v>1000012333 GO CLEAN S.A.S.</v>
      </c>
      <c r="T466" t="str">
        <f>VLOOKUP(P466,Hoja2!C:D,2,FALSE)</f>
        <v>GJULIANI</v>
      </c>
    </row>
    <row r="467" spans="1:20" x14ac:dyDescent="0.3">
      <c r="A467" s="2" t="s">
        <v>15</v>
      </c>
      <c r="B467" s="3" t="s">
        <v>15</v>
      </c>
      <c r="C467" s="3" t="s">
        <v>503</v>
      </c>
      <c r="D467" s="3" t="s">
        <v>15</v>
      </c>
      <c r="E467" s="3" t="s">
        <v>149</v>
      </c>
      <c r="F467" s="4">
        <v>46295</v>
      </c>
      <c r="G467" s="3" t="s">
        <v>50</v>
      </c>
      <c r="H467" s="6">
        <v>-361978.5</v>
      </c>
      <c r="I467" s="3" t="s">
        <v>19</v>
      </c>
      <c r="J467" s="3" t="s">
        <v>15</v>
      </c>
      <c r="K467" s="3" t="s">
        <v>15</v>
      </c>
      <c r="L467" s="3" t="s">
        <v>99</v>
      </c>
      <c r="M467" s="4">
        <v>46295</v>
      </c>
      <c r="N467" s="3" t="s">
        <v>504</v>
      </c>
      <c r="O467" s="3" t="s">
        <v>54</v>
      </c>
      <c r="P467" t="str">
        <f t="shared" si="7"/>
        <v>450013975630</v>
      </c>
      <c r="Q467" s="7" cm="1">
        <f t="array" ref="Q467:S467">VLOOKUP(P467,Hoja1!C:F,{2,3,4},FALSE)</f>
        <v>46311</v>
      </c>
      <c r="R467" t="str">
        <v>C17</v>
      </c>
      <c r="S467" t="str">
        <v>1000012333 GO CLEAN S.A.S.</v>
      </c>
      <c r="T467" t="str">
        <f>VLOOKUP(P467,Hoja2!C:D,2,FALSE)</f>
        <v>GJULIANI</v>
      </c>
    </row>
    <row r="468" spans="1:20" x14ac:dyDescent="0.3">
      <c r="A468" s="2" t="s">
        <v>15</v>
      </c>
      <c r="B468" s="3" t="s">
        <v>15</v>
      </c>
      <c r="C468" s="3" t="s">
        <v>503</v>
      </c>
      <c r="D468" s="3" t="s">
        <v>15</v>
      </c>
      <c r="E468" s="3" t="s">
        <v>149</v>
      </c>
      <c r="F468" s="4">
        <v>46295</v>
      </c>
      <c r="G468" s="3" t="s">
        <v>50</v>
      </c>
      <c r="H468" s="6">
        <v>-46274.400000000001</v>
      </c>
      <c r="I468" s="3" t="s">
        <v>19</v>
      </c>
      <c r="J468" s="3" t="s">
        <v>15</v>
      </c>
      <c r="K468" s="3" t="s">
        <v>15</v>
      </c>
      <c r="L468" s="3" t="s">
        <v>99</v>
      </c>
      <c r="M468" s="4">
        <v>46295</v>
      </c>
      <c r="N468" s="3" t="s">
        <v>504</v>
      </c>
      <c r="O468" s="3" t="s">
        <v>23</v>
      </c>
      <c r="P468" t="str">
        <f t="shared" si="7"/>
        <v>450013975640</v>
      </c>
      <c r="Q468" s="7" cm="1">
        <f t="array" ref="Q468:S468">VLOOKUP(P468,Hoja1!C:F,{2,3,4},FALSE)</f>
        <v>46311</v>
      </c>
      <c r="R468" t="str">
        <v>C17</v>
      </c>
      <c r="S468" t="str">
        <v>1000012333 GO CLEAN S.A.S.</v>
      </c>
      <c r="T468" t="str">
        <f>VLOOKUP(P468,Hoja2!C:D,2,FALSE)</f>
        <v>GJULIANI</v>
      </c>
    </row>
    <row r="469" spans="1:20" x14ac:dyDescent="0.3">
      <c r="A469" s="2" t="s">
        <v>15</v>
      </c>
      <c r="B469" s="3" t="s">
        <v>15</v>
      </c>
      <c r="C469" s="3" t="s">
        <v>505</v>
      </c>
      <c r="D469" s="3" t="s">
        <v>15</v>
      </c>
      <c r="E469" s="3" t="s">
        <v>149</v>
      </c>
      <c r="F469" s="4">
        <v>46295</v>
      </c>
      <c r="G469" s="3" t="s">
        <v>50</v>
      </c>
      <c r="H469" s="6">
        <v>-26239.65</v>
      </c>
      <c r="I469" s="3" t="s">
        <v>19</v>
      </c>
      <c r="J469" s="3" t="s">
        <v>15</v>
      </c>
      <c r="K469" s="3" t="s">
        <v>15</v>
      </c>
      <c r="L469" s="3" t="s">
        <v>99</v>
      </c>
      <c r="M469" s="4">
        <v>46295</v>
      </c>
      <c r="N469" s="3" t="s">
        <v>506</v>
      </c>
      <c r="O469" s="3" t="s">
        <v>54</v>
      </c>
      <c r="P469" t="str">
        <f t="shared" si="7"/>
        <v>450013978630</v>
      </c>
      <c r="Q469" s="7" cm="1">
        <f t="array" ref="Q469:S469">VLOOKUP(P469,Hoja1!C:F,{2,3,4},FALSE)</f>
        <v>46301</v>
      </c>
      <c r="R469" t="str">
        <v>C35</v>
      </c>
      <c r="S469" t="str">
        <v>1000012333 GO CLEAN S.A.S.</v>
      </c>
      <c r="T469" t="str">
        <f>VLOOKUP(P469,Hoja2!C:D,2,FALSE)</f>
        <v>FSOTO</v>
      </c>
    </row>
    <row r="470" spans="1:20" x14ac:dyDescent="0.3">
      <c r="A470" s="2" t="s">
        <v>15</v>
      </c>
      <c r="B470" s="3" t="s">
        <v>15</v>
      </c>
      <c r="C470" s="3" t="s">
        <v>505</v>
      </c>
      <c r="D470" s="3" t="s">
        <v>15</v>
      </c>
      <c r="E470" s="3" t="s">
        <v>149</v>
      </c>
      <c r="F470" s="4">
        <v>46295</v>
      </c>
      <c r="G470" s="3" t="s">
        <v>50</v>
      </c>
      <c r="H470" s="6">
        <v>-7438.02</v>
      </c>
      <c r="I470" s="3" t="s">
        <v>19</v>
      </c>
      <c r="J470" s="3" t="s">
        <v>15</v>
      </c>
      <c r="K470" s="3" t="s">
        <v>15</v>
      </c>
      <c r="L470" s="3" t="s">
        <v>99</v>
      </c>
      <c r="M470" s="4">
        <v>46295</v>
      </c>
      <c r="N470" s="3" t="s">
        <v>506</v>
      </c>
      <c r="O470" s="3" t="s">
        <v>23</v>
      </c>
      <c r="P470" t="str">
        <f t="shared" si="7"/>
        <v>450013978640</v>
      </c>
      <c r="Q470" s="7" cm="1">
        <f t="array" ref="Q470:S470">VLOOKUP(P470,Hoja1!C:F,{2,3,4},FALSE)</f>
        <v>46301</v>
      </c>
      <c r="R470" t="str">
        <v>C35</v>
      </c>
      <c r="S470" t="str">
        <v>1000012333 GO CLEAN S.A.S.</v>
      </c>
      <c r="T470" t="str">
        <f>VLOOKUP(P470,Hoja2!C:D,2,FALSE)</f>
        <v>FSOTO</v>
      </c>
    </row>
    <row r="471" spans="1:20" x14ac:dyDescent="0.3">
      <c r="A471" s="2" t="s">
        <v>15</v>
      </c>
      <c r="B471" s="3" t="s">
        <v>15</v>
      </c>
      <c r="C471" s="3" t="s">
        <v>505</v>
      </c>
      <c r="D471" s="3" t="s">
        <v>25</v>
      </c>
      <c r="E471" s="3" t="s">
        <v>149</v>
      </c>
      <c r="F471" s="4">
        <v>46295</v>
      </c>
      <c r="G471" s="3" t="s">
        <v>50</v>
      </c>
      <c r="H471" s="6">
        <v>-8262.7999999999993</v>
      </c>
      <c r="I471" s="3" t="s">
        <v>19</v>
      </c>
      <c r="J471" s="3" t="s">
        <v>15</v>
      </c>
      <c r="K471" s="3" t="s">
        <v>15</v>
      </c>
      <c r="L471" s="3" t="s">
        <v>99</v>
      </c>
      <c r="M471" s="4">
        <v>46295</v>
      </c>
      <c r="N471" s="3" t="s">
        <v>506</v>
      </c>
      <c r="O471" s="3" t="s">
        <v>55</v>
      </c>
      <c r="P471" t="str">
        <f t="shared" si="7"/>
        <v>450013978650</v>
      </c>
      <c r="Q471" s="7" cm="1">
        <f t="array" ref="Q471:S471">VLOOKUP(P471,Hoja1!C:F,{2,3,4},FALSE)</f>
        <v>46301</v>
      </c>
      <c r="R471" t="str">
        <v>C35</v>
      </c>
      <c r="S471" t="str">
        <v>1000012333 GO CLEAN S.A.S.</v>
      </c>
      <c r="T471" t="str">
        <f>VLOOKUP(P471,Hoja2!C:D,2,FALSE)</f>
        <v>FSOTO</v>
      </c>
    </row>
    <row r="472" spans="1:20" x14ac:dyDescent="0.3">
      <c r="A472" s="2" t="s">
        <v>15</v>
      </c>
      <c r="B472" s="3" t="s">
        <v>15</v>
      </c>
      <c r="C472" s="3" t="s">
        <v>505</v>
      </c>
      <c r="D472" s="3" t="s">
        <v>15</v>
      </c>
      <c r="E472" s="3" t="s">
        <v>149</v>
      </c>
      <c r="F472" s="4">
        <v>46295</v>
      </c>
      <c r="G472" s="3" t="s">
        <v>50</v>
      </c>
      <c r="H472" s="6">
        <v>-15694.2</v>
      </c>
      <c r="I472" s="3" t="s">
        <v>19</v>
      </c>
      <c r="J472" s="3" t="s">
        <v>15</v>
      </c>
      <c r="K472" s="3" t="s">
        <v>15</v>
      </c>
      <c r="L472" s="3" t="s">
        <v>99</v>
      </c>
      <c r="M472" s="4">
        <v>46295</v>
      </c>
      <c r="N472" s="3" t="s">
        <v>506</v>
      </c>
      <c r="O472" s="3" t="s">
        <v>80</v>
      </c>
      <c r="P472" t="str">
        <f t="shared" si="7"/>
        <v>450013978660</v>
      </c>
      <c r="Q472" s="7" cm="1">
        <f t="array" ref="Q472:S472">VLOOKUP(P472,Hoja1!C:F,{2,3,4},FALSE)</f>
        <v>46301</v>
      </c>
      <c r="R472" t="str">
        <v>C35</v>
      </c>
      <c r="S472" t="str">
        <v>1000012333 GO CLEAN S.A.S.</v>
      </c>
      <c r="T472" t="str">
        <f>VLOOKUP(P472,Hoja2!C:D,2,FALSE)</f>
        <v>FSOTO</v>
      </c>
    </row>
    <row r="473" spans="1:20" x14ac:dyDescent="0.3">
      <c r="A473" s="2" t="s">
        <v>15</v>
      </c>
      <c r="B473" s="3" t="s">
        <v>15</v>
      </c>
      <c r="C473" s="3" t="s">
        <v>505</v>
      </c>
      <c r="D473" s="3" t="s">
        <v>15</v>
      </c>
      <c r="E473" s="3" t="s">
        <v>149</v>
      </c>
      <c r="F473" s="4">
        <v>46295</v>
      </c>
      <c r="G473" s="3" t="s">
        <v>50</v>
      </c>
      <c r="H473" s="6">
        <v>-76446.3</v>
      </c>
      <c r="I473" s="3" t="s">
        <v>19</v>
      </c>
      <c r="J473" s="3" t="s">
        <v>15</v>
      </c>
      <c r="K473" s="3" t="s">
        <v>15</v>
      </c>
      <c r="L473" s="3" t="s">
        <v>99</v>
      </c>
      <c r="M473" s="4">
        <v>46295</v>
      </c>
      <c r="N473" s="3" t="s">
        <v>506</v>
      </c>
      <c r="O473" s="3" t="s">
        <v>81</v>
      </c>
      <c r="P473" t="str">
        <f t="shared" si="7"/>
        <v>450013978670</v>
      </c>
      <c r="Q473" s="7" cm="1">
        <f t="array" ref="Q473:S473">VLOOKUP(P473,Hoja1!C:F,{2,3,4},FALSE)</f>
        <v>46301</v>
      </c>
      <c r="R473" t="str">
        <v>C35</v>
      </c>
      <c r="S473" t="str">
        <v>1000012333 GO CLEAN S.A.S.</v>
      </c>
      <c r="T473" t="str">
        <f>VLOOKUP(P473,Hoja2!C:D,2,FALSE)</f>
        <v>FSOTO</v>
      </c>
    </row>
    <row r="474" spans="1:20" x14ac:dyDescent="0.3">
      <c r="A474" s="2" t="s">
        <v>15</v>
      </c>
      <c r="B474" s="3" t="s">
        <v>15</v>
      </c>
      <c r="C474" s="3" t="s">
        <v>505</v>
      </c>
      <c r="D474" s="3" t="s">
        <v>15</v>
      </c>
      <c r="E474" s="3" t="s">
        <v>149</v>
      </c>
      <c r="F474" s="4">
        <v>46295</v>
      </c>
      <c r="G474" s="3" t="s">
        <v>50</v>
      </c>
      <c r="H474" s="6">
        <v>-53553.72</v>
      </c>
      <c r="I474" s="3" t="s">
        <v>19</v>
      </c>
      <c r="J474" s="3" t="s">
        <v>15</v>
      </c>
      <c r="K474" s="3" t="s">
        <v>15</v>
      </c>
      <c r="L474" s="3" t="s">
        <v>99</v>
      </c>
      <c r="M474" s="4">
        <v>46295</v>
      </c>
      <c r="N474" s="3" t="s">
        <v>506</v>
      </c>
      <c r="O474" s="3" t="s">
        <v>82</v>
      </c>
      <c r="P474" t="str">
        <f t="shared" si="7"/>
        <v>450013978680</v>
      </c>
      <c r="Q474" s="7" cm="1">
        <f t="array" ref="Q474:S474">VLOOKUP(P474,Hoja1!C:F,{2,3,4},FALSE)</f>
        <v>46301</v>
      </c>
      <c r="R474" t="str">
        <v>C35</v>
      </c>
      <c r="S474" t="str">
        <v>1000012333 GO CLEAN S.A.S.</v>
      </c>
      <c r="T474" t="str">
        <f>VLOOKUP(P474,Hoja2!C:D,2,FALSE)</f>
        <v>FSOTO</v>
      </c>
    </row>
    <row r="475" spans="1:20" x14ac:dyDescent="0.3">
      <c r="A475" s="2" t="s">
        <v>15</v>
      </c>
      <c r="B475" s="3" t="s">
        <v>15</v>
      </c>
      <c r="C475" s="3" t="s">
        <v>505</v>
      </c>
      <c r="D475" s="3" t="s">
        <v>25</v>
      </c>
      <c r="E475" s="3" t="s">
        <v>149</v>
      </c>
      <c r="F475" s="4">
        <v>46295</v>
      </c>
      <c r="G475" s="3" t="s">
        <v>50</v>
      </c>
      <c r="H475" s="6">
        <v>-4297.5200000000004</v>
      </c>
      <c r="I475" s="3" t="s">
        <v>19</v>
      </c>
      <c r="J475" s="3" t="s">
        <v>15</v>
      </c>
      <c r="K475" s="3" t="s">
        <v>15</v>
      </c>
      <c r="L475" s="3" t="s">
        <v>99</v>
      </c>
      <c r="M475" s="4">
        <v>46295</v>
      </c>
      <c r="N475" s="3" t="s">
        <v>506</v>
      </c>
      <c r="O475" s="3" t="s">
        <v>83</v>
      </c>
      <c r="P475" t="str">
        <f t="shared" si="7"/>
        <v>450013978690</v>
      </c>
      <c r="Q475" s="7" cm="1">
        <f t="array" ref="Q475:S475">VLOOKUP(P475,Hoja1!C:F,{2,3,4},FALSE)</f>
        <v>46301</v>
      </c>
      <c r="R475" t="str">
        <v>C35</v>
      </c>
      <c r="S475" t="str">
        <v>1000012333 GO CLEAN S.A.S.</v>
      </c>
      <c r="T475" t="str">
        <f>VLOOKUP(P475,Hoja2!C:D,2,FALSE)</f>
        <v>FSOTO</v>
      </c>
    </row>
    <row r="476" spans="1:20" x14ac:dyDescent="0.3">
      <c r="A476" s="2" t="s">
        <v>15</v>
      </c>
      <c r="B476" s="3" t="s">
        <v>15</v>
      </c>
      <c r="C476" s="3" t="s">
        <v>505</v>
      </c>
      <c r="D476" s="3" t="s">
        <v>15</v>
      </c>
      <c r="E476" s="3" t="s">
        <v>149</v>
      </c>
      <c r="F476" s="4">
        <v>46295</v>
      </c>
      <c r="G476" s="3" t="s">
        <v>50</v>
      </c>
      <c r="H476" s="6">
        <v>-2478.5100000000002</v>
      </c>
      <c r="I476" s="3" t="s">
        <v>19</v>
      </c>
      <c r="J476" s="3" t="s">
        <v>15</v>
      </c>
      <c r="K476" s="3" t="s">
        <v>15</v>
      </c>
      <c r="L476" s="3" t="s">
        <v>99</v>
      </c>
      <c r="M476" s="4">
        <v>46295</v>
      </c>
      <c r="N476" s="3" t="s">
        <v>506</v>
      </c>
      <c r="O476" s="3" t="s">
        <v>84</v>
      </c>
      <c r="P476" t="str">
        <f t="shared" si="7"/>
        <v>4500139786100</v>
      </c>
      <c r="Q476" s="7" cm="1">
        <f t="array" ref="Q476:S476">VLOOKUP(P476,Hoja1!C:F,{2,3,4},FALSE)</f>
        <v>46301</v>
      </c>
      <c r="R476" t="str">
        <v>C35</v>
      </c>
      <c r="S476" t="str">
        <v>1000012333 GO CLEAN S.A.S.</v>
      </c>
      <c r="T476" t="str">
        <f>VLOOKUP(P476,Hoja2!C:D,2,FALSE)</f>
        <v>FSOTO</v>
      </c>
    </row>
    <row r="477" spans="1:20" x14ac:dyDescent="0.3">
      <c r="A477" s="2" t="s">
        <v>15</v>
      </c>
      <c r="B477" s="3" t="s">
        <v>15</v>
      </c>
      <c r="C477" s="3" t="s">
        <v>505</v>
      </c>
      <c r="D477" s="3" t="s">
        <v>25</v>
      </c>
      <c r="E477" s="3" t="s">
        <v>149</v>
      </c>
      <c r="F477" s="4">
        <v>46295</v>
      </c>
      <c r="G477" s="3" t="s">
        <v>50</v>
      </c>
      <c r="H477" s="6">
        <v>-13842.98</v>
      </c>
      <c r="I477" s="3" t="s">
        <v>19</v>
      </c>
      <c r="J477" s="3" t="s">
        <v>15</v>
      </c>
      <c r="K477" s="3" t="s">
        <v>15</v>
      </c>
      <c r="L477" s="3" t="s">
        <v>99</v>
      </c>
      <c r="M477" s="4">
        <v>46295</v>
      </c>
      <c r="N477" s="3" t="s">
        <v>506</v>
      </c>
      <c r="O477" s="3" t="s">
        <v>85</v>
      </c>
      <c r="P477" t="str">
        <f t="shared" si="7"/>
        <v>4500139786110</v>
      </c>
      <c r="Q477" s="7" cm="1">
        <f t="array" ref="Q477:S477">VLOOKUP(P477,Hoja1!C:F,{2,3,4},FALSE)</f>
        <v>46301</v>
      </c>
      <c r="R477" t="str">
        <v>C35</v>
      </c>
      <c r="S477" t="str">
        <v>1000012333 GO CLEAN S.A.S.</v>
      </c>
      <c r="T477" t="str">
        <f>VLOOKUP(P477,Hoja2!C:D,2,FALSE)</f>
        <v>FSOTO</v>
      </c>
    </row>
    <row r="478" spans="1:20" x14ac:dyDescent="0.3">
      <c r="A478" s="2" t="s">
        <v>15</v>
      </c>
      <c r="B478" s="3" t="s">
        <v>15</v>
      </c>
      <c r="C478" s="3" t="s">
        <v>507</v>
      </c>
      <c r="D478" s="3" t="s">
        <v>15</v>
      </c>
      <c r="E478" s="3" t="s">
        <v>149</v>
      </c>
      <c r="F478" s="4">
        <v>46296</v>
      </c>
      <c r="G478" s="3" t="s">
        <v>50</v>
      </c>
      <c r="H478" s="6">
        <v>-503448.87</v>
      </c>
      <c r="I478" s="3" t="s">
        <v>19</v>
      </c>
      <c r="J478" s="3" t="s">
        <v>15</v>
      </c>
      <c r="K478" s="3" t="s">
        <v>15</v>
      </c>
      <c r="L478" s="3" t="s">
        <v>217</v>
      </c>
      <c r="M478" s="4">
        <v>46296</v>
      </c>
      <c r="N478" s="3" t="s">
        <v>474</v>
      </c>
      <c r="O478" s="3" t="s">
        <v>23</v>
      </c>
      <c r="P478" t="str">
        <f t="shared" si="7"/>
        <v>450013912240</v>
      </c>
      <c r="Q478" s="7" cm="1">
        <f t="array" ref="Q478:S478">VLOOKUP(P478,Hoja1!C:F,{2,3,4},FALSE)</f>
        <v>46306</v>
      </c>
      <c r="R478" t="str">
        <v>C03</v>
      </c>
      <c r="S478" t="str">
        <v>1000000012 IGARRETA MAQUINAS S.A.</v>
      </c>
      <c r="T478" t="str">
        <f>VLOOKUP(P478,Hoja2!C:D,2,FALSE)</f>
        <v>EFUNES</v>
      </c>
    </row>
    <row r="479" spans="1:20" x14ac:dyDescent="0.3">
      <c r="A479" s="2" t="s">
        <v>15</v>
      </c>
      <c r="B479" s="3" t="s">
        <v>15</v>
      </c>
      <c r="C479" s="3" t="s">
        <v>508</v>
      </c>
      <c r="D479" s="3" t="s">
        <v>15</v>
      </c>
      <c r="E479" s="3" t="s">
        <v>149</v>
      </c>
      <c r="F479" s="4">
        <v>46296</v>
      </c>
      <c r="G479" s="3" t="s">
        <v>50</v>
      </c>
      <c r="H479" s="6">
        <v>-259393.2</v>
      </c>
      <c r="I479" s="3" t="s">
        <v>19</v>
      </c>
      <c r="J479" s="3" t="s">
        <v>15</v>
      </c>
      <c r="K479" s="3" t="s">
        <v>15</v>
      </c>
      <c r="L479" s="3" t="s">
        <v>73</v>
      </c>
      <c r="M479" s="4">
        <v>46296</v>
      </c>
      <c r="N479" s="3" t="s">
        <v>509</v>
      </c>
      <c r="O479" s="3" t="s">
        <v>85</v>
      </c>
      <c r="P479" t="str">
        <f t="shared" si="7"/>
        <v>4500139775110</v>
      </c>
      <c r="Q479" s="7" cm="1">
        <f t="array" ref="Q479:S479">VLOOKUP(P479,Hoja1!C:F,{2,3,4},FALSE)</f>
        <v>46301</v>
      </c>
      <c r="R479" t="str">
        <v>C35</v>
      </c>
      <c r="S479" t="str">
        <v>1000007451 FLORES CARLOS FELIPE Y OTROS S H</v>
      </c>
      <c r="T479" t="str">
        <f>VLOOKUP(P479,Hoja2!C:D,2,FALSE)</f>
        <v>FSOTO</v>
      </c>
    </row>
    <row r="480" spans="1:20" x14ac:dyDescent="0.3">
      <c r="A480" s="2" t="s">
        <v>15</v>
      </c>
      <c r="B480" s="3" t="s">
        <v>15</v>
      </c>
      <c r="C480" s="3" t="s">
        <v>508</v>
      </c>
      <c r="D480" s="3" t="s">
        <v>15</v>
      </c>
      <c r="E480" s="3" t="s">
        <v>149</v>
      </c>
      <c r="F480" s="4">
        <v>46296</v>
      </c>
      <c r="G480" s="3" t="s">
        <v>50</v>
      </c>
      <c r="H480" s="6">
        <v>-554880</v>
      </c>
      <c r="I480" s="3" t="s">
        <v>19</v>
      </c>
      <c r="J480" s="3" t="s">
        <v>15</v>
      </c>
      <c r="K480" s="3" t="s">
        <v>15</v>
      </c>
      <c r="L480" s="3" t="s">
        <v>73</v>
      </c>
      <c r="M480" s="4">
        <v>46296</v>
      </c>
      <c r="N480" s="3" t="s">
        <v>509</v>
      </c>
      <c r="O480" s="3" t="s">
        <v>43</v>
      </c>
      <c r="P480" t="str">
        <f t="shared" si="7"/>
        <v>4500139775210</v>
      </c>
      <c r="Q480" s="7" cm="1">
        <f t="array" ref="Q480:S480">VLOOKUP(P480,Hoja1!C:F,{2,3,4},FALSE)</f>
        <v>46301</v>
      </c>
      <c r="R480" t="str">
        <v>C35</v>
      </c>
      <c r="S480" t="str">
        <v>1000007451 FLORES CARLOS FELIPE Y OTROS S H</v>
      </c>
      <c r="T480" t="str">
        <f>VLOOKUP(P480,Hoja2!C:D,2,FALSE)</f>
        <v>FSOTO</v>
      </c>
    </row>
    <row r="481" spans="1:20" x14ac:dyDescent="0.3">
      <c r="A481" s="2" t="s">
        <v>15</v>
      </c>
      <c r="B481" s="3" t="s">
        <v>15</v>
      </c>
      <c r="C481" s="3" t="s">
        <v>511</v>
      </c>
      <c r="D481" s="3" t="s">
        <v>25</v>
      </c>
      <c r="E481" s="3" t="s">
        <v>149</v>
      </c>
      <c r="F481" s="4">
        <v>46296</v>
      </c>
      <c r="G481" s="3" t="s">
        <v>50</v>
      </c>
      <c r="H481" s="6">
        <v>-42975.199999999997</v>
      </c>
      <c r="I481" s="3" t="s">
        <v>19</v>
      </c>
      <c r="J481" s="3" t="s">
        <v>15</v>
      </c>
      <c r="K481" s="3" t="s">
        <v>15</v>
      </c>
      <c r="L481" s="3" t="s">
        <v>99</v>
      </c>
      <c r="M481" s="4">
        <v>46296</v>
      </c>
      <c r="N481" s="3" t="s">
        <v>510</v>
      </c>
      <c r="O481" s="3" t="s">
        <v>28</v>
      </c>
      <c r="P481" t="str">
        <f t="shared" si="7"/>
        <v>450013979120</v>
      </c>
      <c r="Q481" s="7" cm="1">
        <f t="array" ref="Q481:S481">VLOOKUP(P481,Hoja1!C:F,{2,3,4},FALSE)</f>
        <v>46303</v>
      </c>
      <c r="R481" t="str">
        <v>C35</v>
      </c>
      <c r="S481" t="str">
        <v>1000012333 GO CLEAN S.A.S.</v>
      </c>
      <c r="T481" t="str">
        <f>VLOOKUP(P481,Hoja2!C:D,2,FALSE)</f>
        <v>FSOTO</v>
      </c>
    </row>
    <row r="482" spans="1:20" x14ac:dyDescent="0.3">
      <c r="A482" s="2" t="s">
        <v>15</v>
      </c>
      <c r="B482" s="3" t="s">
        <v>15</v>
      </c>
      <c r="C482" s="3" t="s">
        <v>511</v>
      </c>
      <c r="D482" s="3" t="s">
        <v>15</v>
      </c>
      <c r="E482" s="3" t="s">
        <v>149</v>
      </c>
      <c r="F482" s="4">
        <v>46296</v>
      </c>
      <c r="G482" s="3" t="s">
        <v>50</v>
      </c>
      <c r="H482" s="6">
        <v>-24785.1</v>
      </c>
      <c r="I482" s="3" t="s">
        <v>19</v>
      </c>
      <c r="J482" s="3" t="s">
        <v>15</v>
      </c>
      <c r="K482" s="3" t="s">
        <v>15</v>
      </c>
      <c r="L482" s="3" t="s">
        <v>99</v>
      </c>
      <c r="M482" s="4">
        <v>46296</v>
      </c>
      <c r="N482" s="3" t="s">
        <v>510</v>
      </c>
      <c r="O482" s="3" t="s">
        <v>54</v>
      </c>
      <c r="P482" t="str">
        <f t="shared" si="7"/>
        <v>450013979130</v>
      </c>
      <c r="Q482" s="7" cm="1">
        <f t="array" ref="Q482:S482">VLOOKUP(P482,Hoja1!C:F,{2,3,4},FALSE)</f>
        <v>46303</v>
      </c>
      <c r="R482" t="str">
        <v>C35</v>
      </c>
      <c r="S482" t="str">
        <v>1000012333 GO CLEAN S.A.S.</v>
      </c>
      <c r="T482" t="str">
        <f>VLOOKUP(P482,Hoja2!C:D,2,FALSE)</f>
        <v>FSOTO</v>
      </c>
    </row>
    <row r="483" spans="1:20" x14ac:dyDescent="0.3">
      <c r="A483" s="2" t="s">
        <v>15</v>
      </c>
      <c r="B483" s="3" t="s">
        <v>15</v>
      </c>
      <c r="C483" s="3" t="s">
        <v>511</v>
      </c>
      <c r="D483" s="3" t="s">
        <v>25</v>
      </c>
      <c r="E483" s="3" t="s">
        <v>149</v>
      </c>
      <c r="F483" s="4">
        <v>46296</v>
      </c>
      <c r="G483" s="3" t="s">
        <v>50</v>
      </c>
      <c r="H483" s="6">
        <v>-51818.1</v>
      </c>
      <c r="I483" s="3" t="s">
        <v>19</v>
      </c>
      <c r="J483" s="3" t="s">
        <v>15</v>
      </c>
      <c r="K483" s="3" t="s">
        <v>15</v>
      </c>
      <c r="L483" s="3" t="s">
        <v>99</v>
      </c>
      <c r="M483" s="4">
        <v>46296</v>
      </c>
      <c r="N483" s="3" t="s">
        <v>510</v>
      </c>
      <c r="O483" s="3" t="s">
        <v>23</v>
      </c>
      <c r="P483" t="str">
        <f t="shared" si="7"/>
        <v>450013979140</v>
      </c>
      <c r="Q483" s="7" cm="1">
        <f t="array" ref="Q483:S483">VLOOKUP(P483,Hoja1!C:F,{2,3,4},FALSE)</f>
        <v>46303</v>
      </c>
      <c r="R483" t="str">
        <v>C35</v>
      </c>
      <c r="S483" t="str">
        <v>1000012333 GO CLEAN S.A.S.</v>
      </c>
      <c r="T483" t="str">
        <f>VLOOKUP(P483,Hoja2!C:D,2,FALSE)</f>
        <v>FSOTO</v>
      </c>
    </row>
    <row r="484" spans="1:20" x14ac:dyDescent="0.3">
      <c r="A484" s="2" t="s">
        <v>15</v>
      </c>
      <c r="B484" s="3" t="s">
        <v>15</v>
      </c>
      <c r="C484" s="3" t="s">
        <v>511</v>
      </c>
      <c r="D484" s="3" t="s">
        <v>25</v>
      </c>
      <c r="E484" s="3" t="s">
        <v>149</v>
      </c>
      <c r="F484" s="4">
        <v>46296</v>
      </c>
      <c r="G484" s="3" t="s">
        <v>50</v>
      </c>
      <c r="H484" s="6">
        <v>-69421.5</v>
      </c>
      <c r="I484" s="3" t="s">
        <v>19</v>
      </c>
      <c r="J484" s="3" t="s">
        <v>15</v>
      </c>
      <c r="K484" s="3" t="s">
        <v>15</v>
      </c>
      <c r="L484" s="3" t="s">
        <v>99</v>
      </c>
      <c r="M484" s="4">
        <v>46296</v>
      </c>
      <c r="N484" s="3" t="s">
        <v>510</v>
      </c>
      <c r="O484" s="3" t="s">
        <v>55</v>
      </c>
      <c r="P484" t="str">
        <f t="shared" si="7"/>
        <v>450013979150</v>
      </c>
      <c r="Q484" s="7" cm="1">
        <f t="array" ref="Q484:S484">VLOOKUP(P484,Hoja1!C:F,{2,3,4},FALSE)</f>
        <v>46303</v>
      </c>
      <c r="R484" t="str">
        <v>C35</v>
      </c>
      <c r="S484" t="str">
        <v>1000012333 GO CLEAN S.A.S.</v>
      </c>
      <c r="T484" t="str">
        <f>VLOOKUP(P484,Hoja2!C:D,2,FALSE)</f>
        <v>FSOTO</v>
      </c>
    </row>
    <row r="485" spans="1:20" x14ac:dyDescent="0.3">
      <c r="A485" s="2" t="s">
        <v>15</v>
      </c>
      <c r="B485" s="3" t="s">
        <v>15</v>
      </c>
      <c r="C485" s="3" t="s">
        <v>511</v>
      </c>
      <c r="D485" s="3" t="s">
        <v>25</v>
      </c>
      <c r="E485" s="3" t="s">
        <v>149</v>
      </c>
      <c r="F485" s="4">
        <v>46296</v>
      </c>
      <c r="G485" s="3" t="s">
        <v>50</v>
      </c>
      <c r="H485" s="6">
        <v>-25611.599999999999</v>
      </c>
      <c r="I485" s="3" t="s">
        <v>19</v>
      </c>
      <c r="J485" s="3" t="s">
        <v>15</v>
      </c>
      <c r="K485" s="3" t="s">
        <v>15</v>
      </c>
      <c r="L485" s="3" t="s">
        <v>99</v>
      </c>
      <c r="M485" s="4">
        <v>46296</v>
      </c>
      <c r="N485" s="3" t="s">
        <v>510</v>
      </c>
      <c r="O485" s="3" t="s">
        <v>80</v>
      </c>
      <c r="P485" t="str">
        <f t="shared" si="7"/>
        <v>450013979160</v>
      </c>
      <c r="Q485" s="7" cm="1">
        <f t="array" ref="Q485:S485">VLOOKUP(P485,Hoja1!C:F,{2,3,4},FALSE)</f>
        <v>46303</v>
      </c>
      <c r="R485" t="str">
        <v>C35</v>
      </c>
      <c r="S485" t="str">
        <v>1000012333 GO CLEAN S.A.S.</v>
      </c>
      <c r="T485" t="str">
        <f>VLOOKUP(P485,Hoja2!C:D,2,FALSE)</f>
        <v>FSOTO</v>
      </c>
    </row>
    <row r="486" spans="1:20" x14ac:dyDescent="0.3">
      <c r="A486" s="2" t="s">
        <v>15</v>
      </c>
      <c r="B486" s="3" t="s">
        <v>15</v>
      </c>
      <c r="C486" s="3" t="s">
        <v>511</v>
      </c>
      <c r="D486" s="3" t="s">
        <v>15</v>
      </c>
      <c r="E486" s="3" t="s">
        <v>149</v>
      </c>
      <c r="F486" s="4">
        <v>46296</v>
      </c>
      <c r="G486" s="3" t="s">
        <v>50</v>
      </c>
      <c r="H486" s="6">
        <v>-31388.400000000001</v>
      </c>
      <c r="I486" s="3" t="s">
        <v>19</v>
      </c>
      <c r="J486" s="3" t="s">
        <v>15</v>
      </c>
      <c r="K486" s="3" t="s">
        <v>15</v>
      </c>
      <c r="L486" s="3" t="s">
        <v>99</v>
      </c>
      <c r="M486" s="4">
        <v>46296</v>
      </c>
      <c r="N486" s="3" t="s">
        <v>510</v>
      </c>
      <c r="O486" s="3" t="s">
        <v>81</v>
      </c>
      <c r="P486" t="str">
        <f t="shared" si="7"/>
        <v>450013979170</v>
      </c>
      <c r="Q486" s="7" cm="1">
        <f t="array" ref="Q486:S486">VLOOKUP(P486,Hoja1!C:F,{2,3,4},FALSE)</f>
        <v>46303</v>
      </c>
      <c r="R486" t="str">
        <v>C35</v>
      </c>
      <c r="S486" t="str">
        <v>1000012333 GO CLEAN S.A.S.</v>
      </c>
      <c r="T486" t="str">
        <f>VLOOKUP(P486,Hoja2!C:D,2,FALSE)</f>
        <v>FSOTO</v>
      </c>
    </row>
    <row r="487" spans="1:20" x14ac:dyDescent="0.3">
      <c r="A487" s="2" t="s">
        <v>15</v>
      </c>
      <c r="B487" s="3" t="s">
        <v>15</v>
      </c>
      <c r="C487" s="3" t="s">
        <v>511</v>
      </c>
      <c r="D487" s="3" t="s">
        <v>25</v>
      </c>
      <c r="E487" s="3" t="s">
        <v>149</v>
      </c>
      <c r="F487" s="4">
        <v>46296</v>
      </c>
      <c r="G487" s="3" t="s">
        <v>50</v>
      </c>
      <c r="H487" s="6">
        <v>-13842.98</v>
      </c>
      <c r="I487" s="3" t="s">
        <v>19</v>
      </c>
      <c r="J487" s="3" t="s">
        <v>15</v>
      </c>
      <c r="K487" s="3" t="s">
        <v>15</v>
      </c>
      <c r="L487" s="3" t="s">
        <v>99</v>
      </c>
      <c r="M487" s="4">
        <v>46296</v>
      </c>
      <c r="N487" s="3" t="s">
        <v>510</v>
      </c>
      <c r="O487" s="3" t="s">
        <v>83</v>
      </c>
      <c r="P487" t="str">
        <f t="shared" si="7"/>
        <v>450013979190</v>
      </c>
      <c r="Q487" s="7" cm="1">
        <f t="array" ref="Q487:S487">VLOOKUP(P487,Hoja1!C:F,{2,3,4},FALSE)</f>
        <v>46303</v>
      </c>
      <c r="R487" t="str">
        <v>C35</v>
      </c>
      <c r="S487" t="str">
        <v>1000012333 GO CLEAN S.A.S.</v>
      </c>
      <c r="T487" t="str">
        <f>VLOOKUP(P487,Hoja2!C:D,2,FALSE)</f>
        <v>FSOTO</v>
      </c>
    </row>
    <row r="488" spans="1:20" x14ac:dyDescent="0.3">
      <c r="A488" s="2" t="s">
        <v>15</v>
      </c>
      <c r="B488" s="3" t="s">
        <v>15</v>
      </c>
      <c r="C488" s="3" t="s">
        <v>512</v>
      </c>
      <c r="D488" s="3" t="s">
        <v>25</v>
      </c>
      <c r="E488" s="3" t="s">
        <v>149</v>
      </c>
      <c r="F488" s="4">
        <v>46296</v>
      </c>
      <c r="G488" s="3" t="s">
        <v>50</v>
      </c>
      <c r="H488" s="6">
        <v>-638986</v>
      </c>
      <c r="I488" s="3" t="s">
        <v>19</v>
      </c>
      <c r="J488" s="3" t="s">
        <v>15</v>
      </c>
      <c r="K488" s="3" t="s">
        <v>15</v>
      </c>
      <c r="L488" s="3" t="s">
        <v>513</v>
      </c>
      <c r="M488" s="4">
        <v>46296</v>
      </c>
      <c r="N488" s="3" t="s">
        <v>514</v>
      </c>
      <c r="O488" s="3" t="s">
        <v>32</v>
      </c>
      <c r="P488" t="str">
        <f t="shared" si="7"/>
        <v>450013958810</v>
      </c>
      <c r="Q488" s="7" cm="1">
        <f t="array" ref="Q488:S488">VLOOKUP(P488,Hoja1!C:F,{2,3,4},FALSE)</f>
        <v>46297</v>
      </c>
      <c r="R488" t="str">
        <v>C35</v>
      </c>
      <c r="S488" t="str">
        <v>1000002751 WORKLIFT SA</v>
      </c>
      <c r="T488" t="str">
        <f>VLOOKUP(P488,Hoja2!C:D,2,FALSE)</f>
        <v>FSOTO</v>
      </c>
    </row>
    <row r="489" spans="1:20" x14ac:dyDescent="0.3">
      <c r="A489" s="2" t="s">
        <v>15</v>
      </c>
      <c r="B489" s="3" t="s">
        <v>15</v>
      </c>
      <c r="C489" s="3" t="s">
        <v>512</v>
      </c>
      <c r="D489" s="3" t="s">
        <v>25</v>
      </c>
      <c r="E489" s="3" t="s">
        <v>149</v>
      </c>
      <c r="F489" s="4">
        <v>46296</v>
      </c>
      <c r="G489" s="3" t="s">
        <v>50</v>
      </c>
      <c r="H489" s="6">
        <v>-130000</v>
      </c>
      <c r="I489" s="3" t="s">
        <v>19</v>
      </c>
      <c r="J489" s="3" t="s">
        <v>15</v>
      </c>
      <c r="K489" s="3" t="s">
        <v>15</v>
      </c>
      <c r="L489" s="3" t="s">
        <v>513</v>
      </c>
      <c r="M489" s="4">
        <v>46296</v>
      </c>
      <c r="N489" s="3" t="s">
        <v>514</v>
      </c>
      <c r="O489" s="3" t="s">
        <v>28</v>
      </c>
      <c r="P489" t="str">
        <f t="shared" si="7"/>
        <v>450013958820</v>
      </c>
      <c r="Q489" s="7" cm="1">
        <f t="array" ref="Q489:S489">VLOOKUP(P489,Hoja1!C:F,{2,3,4},FALSE)</f>
        <v>46297</v>
      </c>
      <c r="R489" t="str">
        <v>C35</v>
      </c>
      <c r="S489" t="str">
        <v>1000002751 WORKLIFT SA</v>
      </c>
      <c r="T489" t="str">
        <f>VLOOKUP(P489,Hoja2!C:D,2,FALSE)</f>
        <v>FSOTO</v>
      </c>
    </row>
    <row r="490" spans="1:20" x14ac:dyDescent="0.3">
      <c r="A490" s="2" t="s">
        <v>15</v>
      </c>
      <c r="B490" s="3" t="s">
        <v>15</v>
      </c>
      <c r="C490" s="3" t="s">
        <v>515</v>
      </c>
      <c r="D490" s="3" t="s">
        <v>15</v>
      </c>
      <c r="E490" s="3" t="s">
        <v>149</v>
      </c>
      <c r="F490" s="4">
        <v>46296</v>
      </c>
      <c r="G490" s="3" t="s">
        <v>50</v>
      </c>
      <c r="H490" s="6">
        <v>-200000</v>
      </c>
      <c r="I490" s="3" t="s">
        <v>19</v>
      </c>
      <c r="J490" s="3" t="s">
        <v>15</v>
      </c>
      <c r="K490" s="3" t="s">
        <v>15</v>
      </c>
      <c r="L490" s="3" t="s">
        <v>70</v>
      </c>
      <c r="M490" s="4">
        <v>46296</v>
      </c>
      <c r="N490" s="3" t="s">
        <v>516</v>
      </c>
      <c r="O490" s="3" t="s">
        <v>32</v>
      </c>
      <c r="P490" t="str">
        <f t="shared" si="7"/>
        <v>450013988910</v>
      </c>
      <c r="Q490" s="7" cm="1">
        <f t="array" ref="Q490:S490">VLOOKUP(P490,Hoja1!C:F,{2,3,4},FALSE)</f>
        <v>46297</v>
      </c>
      <c r="R490" t="str">
        <v>C35</v>
      </c>
      <c r="S490" t="str">
        <v>1000011519 SALLAGO FEDERICO MIGUEL</v>
      </c>
      <c r="T490" t="str">
        <f>VLOOKUP(P490,Hoja2!C:D,2,FALSE)</f>
        <v>FSOTO</v>
      </c>
    </row>
    <row r="491" spans="1:20" x14ac:dyDescent="0.3">
      <c r="A491" s="2" t="s">
        <v>15</v>
      </c>
      <c r="B491" s="3" t="s">
        <v>15</v>
      </c>
      <c r="C491" s="3" t="s">
        <v>517</v>
      </c>
      <c r="D491" s="3" t="s">
        <v>25</v>
      </c>
      <c r="E491" s="3" t="s">
        <v>149</v>
      </c>
      <c r="F491" s="4">
        <v>46296</v>
      </c>
      <c r="G491" s="3" t="s">
        <v>50</v>
      </c>
      <c r="H491" s="6">
        <v>-166889.25</v>
      </c>
      <c r="I491" s="3" t="s">
        <v>19</v>
      </c>
      <c r="J491" s="3" t="s">
        <v>15</v>
      </c>
      <c r="K491" s="3" t="s">
        <v>15</v>
      </c>
      <c r="L491" s="3" t="s">
        <v>518</v>
      </c>
      <c r="M491" s="4">
        <v>46296</v>
      </c>
      <c r="N491" s="3" t="s">
        <v>519</v>
      </c>
      <c r="O491" s="3" t="s">
        <v>32</v>
      </c>
      <c r="P491" t="str">
        <f t="shared" si="7"/>
        <v>450011908310</v>
      </c>
      <c r="Q491" s="7" cm="1">
        <f t="array" ref="Q491:S491">VLOOKUP(P491,Hoja1!C:F,{2,3,4},FALSE)</f>
        <v>46447</v>
      </c>
      <c r="R491" t="str">
        <v>C25</v>
      </c>
      <c r="S491" t="str">
        <v>1000007795 JAWIT S.A.</v>
      </c>
      <c r="T491" t="str">
        <f>VLOOKUP(P491,Hoja2!C:D,2,FALSE)</f>
        <v>MPITTIA</v>
      </c>
    </row>
    <row r="492" spans="1:20" x14ac:dyDescent="0.3">
      <c r="A492" s="2" t="s">
        <v>15</v>
      </c>
      <c r="B492" s="3" t="s">
        <v>15</v>
      </c>
      <c r="C492" s="3" t="s">
        <v>517</v>
      </c>
      <c r="D492" s="3" t="s">
        <v>25</v>
      </c>
      <c r="E492" s="3" t="s">
        <v>149</v>
      </c>
      <c r="F492" s="4">
        <v>46296</v>
      </c>
      <c r="G492" s="3" t="s">
        <v>50</v>
      </c>
      <c r="H492" s="6">
        <v>-166889.25</v>
      </c>
      <c r="I492" s="3" t="s">
        <v>19</v>
      </c>
      <c r="J492" s="3" t="s">
        <v>15</v>
      </c>
      <c r="K492" s="3" t="s">
        <v>15</v>
      </c>
      <c r="L492" s="3" t="s">
        <v>518</v>
      </c>
      <c r="M492" s="4">
        <v>46296</v>
      </c>
      <c r="N492" s="3" t="s">
        <v>519</v>
      </c>
      <c r="O492" s="3" t="s">
        <v>28</v>
      </c>
      <c r="P492" t="str">
        <f t="shared" si="7"/>
        <v>450011908320</v>
      </c>
      <c r="Q492" s="7" cm="1">
        <f t="array" ref="Q492:S492">VLOOKUP(P492,Hoja1!C:F,{2,3,4},FALSE)</f>
        <v>46447</v>
      </c>
      <c r="R492" t="str">
        <v>C25</v>
      </c>
      <c r="S492" t="str">
        <v>1000007795 JAWIT S.A.</v>
      </c>
      <c r="T492" t="str">
        <f>VLOOKUP(P492,Hoja2!C:D,2,FALSE)</f>
        <v>MPITTIA</v>
      </c>
    </row>
    <row r="493" spans="1:20" x14ac:dyDescent="0.3">
      <c r="A493" s="2" t="s">
        <v>15</v>
      </c>
      <c r="B493" s="3" t="s">
        <v>15</v>
      </c>
      <c r="C493" s="3" t="s">
        <v>520</v>
      </c>
      <c r="D493" s="3" t="s">
        <v>25</v>
      </c>
      <c r="E493" s="3" t="s">
        <v>149</v>
      </c>
      <c r="F493" s="4">
        <v>46296</v>
      </c>
      <c r="G493" s="3" t="s">
        <v>50</v>
      </c>
      <c r="H493" s="6">
        <v>-2576574</v>
      </c>
      <c r="I493" s="3" t="s">
        <v>19</v>
      </c>
      <c r="J493" s="3" t="s">
        <v>15</v>
      </c>
      <c r="K493" s="3" t="s">
        <v>15</v>
      </c>
      <c r="L493" s="3" t="s">
        <v>518</v>
      </c>
      <c r="M493" s="4">
        <v>46296</v>
      </c>
      <c r="N493" s="3" t="s">
        <v>521</v>
      </c>
      <c r="O493" s="3" t="s">
        <v>32</v>
      </c>
      <c r="P493" t="str">
        <f t="shared" si="7"/>
        <v>450013481110</v>
      </c>
      <c r="Q493" s="7" cm="1">
        <f t="array" ref="Q493:S493">VLOOKUP(P493,Hoja1!C:F,{2,3,4},FALSE)</f>
        <v>46630</v>
      </c>
      <c r="R493" t="str">
        <v>C25</v>
      </c>
      <c r="S493" t="str">
        <v>1000007795 JAWIT S.A.</v>
      </c>
      <c r="T493" t="str">
        <f>VLOOKUP(P493,Hoja2!C:D,2,FALSE)</f>
        <v>MPITTIA</v>
      </c>
    </row>
    <row r="494" spans="1:20" x14ac:dyDescent="0.3">
      <c r="A494" s="2" t="s">
        <v>15</v>
      </c>
      <c r="B494" s="3" t="s">
        <v>15</v>
      </c>
      <c r="C494" s="3" t="s">
        <v>522</v>
      </c>
      <c r="D494" s="3" t="s">
        <v>25</v>
      </c>
      <c r="E494" s="3" t="s">
        <v>149</v>
      </c>
      <c r="F494" s="4">
        <v>46296</v>
      </c>
      <c r="G494" s="3" t="s">
        <v>50</v>
      </c>
      <c r="H494" s="6">
        <v>-167675.75</v>
      </c>
      <c r="I494" s="3" t="s">
        <v>19</v>
      </c>
      <c r="J494" s="3" t="s">
        <v>15</v>
      </c>
      <c r="K494" s="3" t="s">
        <v>15</v>
      </c>
      <c r="L494" s="3" t="s">
        <v>518</v>
      </c>
      <c r="M494" s="4">
        <v>46296</v>
      </c>
      <c r="N494" s="3" t="s">
        <v>523</v>
      </c>
      <c r="O494" s="3" t="s">
        <v>32</v>
      </c>
      <c r="P494" t="str">
        <f t="shared" si="7"/>
        <v>450013467310</v>
      </c>
      <c r="Q494" s="7" cm="1">
        <f t="array" ref="Q494:S494">VLOOKUP(P494,Hoja1!C:F,{2,3,4},FALSE)</f>
        <v>46447</v>
      </c>
      <c r="R494" t="str">
        <v>C25</v>
      </c>
      <c r="S494" t="str">
        <v>1000007795 JAWIT S.A.</v>
      </c>
      <c r="T494" t="str">
        <f>VLOOKUP(P494,Hoja2!C:D,2,FALSE)</f>
        <v>MPITTIA</v>
      </c>
    </row>
    <row r="495" spans="1:20" x14ac:dyDescent="0.3">
      <c r="A495" s="2" t="s">
        <v>15</v>
      </c>
      <c r="B495" s="3" t="s">
        <v>15</v>
      </c>
      <c r="C495" s="3" t="s">
        <v>524</v>
      </c>
      <c r="D495" s="3" t="s">
        <v>25</v>
      </c>
      <c r="E495" s="3" t="s">
        <v>149</v>
      </c>
      <c r="F495" s="4">
        <v>46296</v>
      </c>
      <c r="G495" s="3" t="s">
        <v>50</v>
      </c>
      <c r="H495" s="6">
        <v>-7481220.5499999998</v>
      </c>
      <c r="I495" s="3" t="s">
        <v>19</v>
      </c>
      <c r="J495" s="3" t="s">
        <v>15</v>
      </c>
      <c r="K495" s="3" t="s">
        <v>15</v>
      </c>
      <c r="L495" s="3" t="s">
        <v>525</v>
      </c>
      <c r="M495" s="4">
        <v>46296</v>
      </c>
      <c r="N495" s="3" t="s">
        <v>526</v>
      </c>
      <c r="O495" s="3" t="s">
        <v>32</v>
      </c>
      <c r="P495" t="str">
        <f t="shared" si="7"/>
        <v>450012510610</v>
      </c>
      <c r="Q495" s="7" cm="1">
        <f t="array" ref="Q495:S495">VLOOKUP(P495,Hoja1!C:F,{2,3,4},FALSE)</f>
        <v>46300</v>
      </c>
      <c r="R495" t="str">
        <v>C25</v>
      </c>
      <c r="S495" t="str">
        <v>1000007691 DELGADO JORGE ESTEBAN</v>
      </c>
      <c r="T495" t="str">
        <f>VLOOKUP(P495,Hoja2!C:D,2,FALSE)</f>
        <v>MPITTIA</v>
      </c>
    </row>
    <row r="496" spans="1:20" x14ac:dyDescent="0.3">
      <c r="A496" s="2" t="s">
        <v>15</v>
      </c>
      <c r="B496" s="3" t="s">
        <v>15</v>
      </c>
      <c r="C496" s="3" t="s">
        <v>527</v>
      </c>
      <c r="D496" s="3" t="s">
        <v>25</v>
      </c>
      <c r="E496" s="3" t="s">
        <v>149</v>
      </c>
      <c r="F496" s="4">
        <v>46296</v>
      </c>
      <c r="G496" s="3" t="s">
        <v>50</v>
      </c>
      <c r="H496" s="6">
        <v>-13026406.25</v>
      </c>
      <c r="I496" s="3" t="s">
        <v>19</v>
      </c>
      <c r="J496" s="3" t="s">
        <v>15</v>
      </c>
      <c r="K496" s="3" t="s">
        <v>15</v>
      </c>
      <c r="L496" s="3" t="s">
        <v>528</v>
      </c>
      <c r="M496" s="4">
        <v>46296</v>
      </c>
      <c r="N496" s="3" t="s">
        <v>529</v>
      </c>
      <c r="O496" s="3" t="s">
        <v>32</v>
      </c>
      <c r="P496" t="str">
        <f t="shared" si="7"/>
        <v>450013118210</v>
      </c>
      <c r="Q496" s="7" cm="1">
        <f t="array" ref="Q496:S496">VLOOKUP(P496,Hoja1!C:F,{2,3,4},FALSE)</f>
        <v>46387</v>
      </c>
      <c r="R496" t="str">
        <v>C25</v>
      </c>
      <c r="S496" t="str">
        <v>1000000567 AREA PABLO</v>
      </c>
      <c r="T496" t="str">
        <f>VLOOKUP(P496,Hoja2!C:D,2,FALSE)</f>
        <v>MPITTIA</v>
      </c>
    </row>
    <row r="497" spans="1:20" x14ac:dyDescent="0.3">
      <c r="A497" s="2" t="s">
        <v>15</v>
      </c>
      <c r="B497" s="3" t="s">
        <v>15</v>
      </c>
      <c r="C497" s="3" t="s">
        <v>527</v>
      </c>
      <c r="D497" s="3" t="s">
        <v>25</v>
      </c>
      <c r="E497" s="3" t="s">
        <v>149</v>
      </c>
      <c r="F497" s="4">
        <v>46296</v>
      </c>
      <c r="G497" s="3" t="s">
        <v>50</v>
      </c>
      <c r="H497" s="6">
        <v>-945312.5</v>
      </c>
      <c r="I497" s="3" t="s">
        <v>19</v>
      </c>
      <c r="J497" s="3" t="s">
        <v>15</v>
      </c>
      <c r="K497" s="3" t="s">
        <v>15</v>
      </c>
      <c r="L497" s="3" t="s">
        <v>528</v>
      </c>
      <c r="M497" s="4">
        <v>46296</v>
      </c>
      <c r="N497" s="3" t="s">
        <v>529</v>
      </c>
      <c r="O497" s="3" t="s">
        <v>28</v>
      </c>
      <c r="P497" t="str">
        <f t="shared" si="7"/>
        <v>450013118220</v>
      </c>
      <c r="Q497" s="7" cm="1">
        <f t="array" ref="Q497:S497">VLOOKUP(P497,Hoja1!C:F,{2,3,4},FALSE)</f>
        <v>46387</v>
      </c>
      <c r="R497" t="str">
        <v>C25</v>
      </c>
      <c r="S497" t="str">
        <v>1000000567 AREA PABLO</v>
      </c>
      <c r="T497" t="str">
        <f>VLOOKUP(P497,Hoja2!C:D,2,FALSE)</f>
        <v>MPITTIA</v>
      </c>
    </row>
    <row r="498" spans="1:20" x14ac:dyDescent="0.3">
      <c r="A498" s="2" t="s">
        <v>15</v>
      </c>
      <c r="B498" s="3" t="s">
        <v>15</v>
      </c>
      <c r="C498" s="3" t="s">
        <v>530</v>
      </c>
      <c r="D498" s="3" t="s">
        <v>25</v>
      </c>
      <c r="E498" s="3" t="s">
        <v>149</v>
      </c>
      <c r="F498" s="4">
        <v>46296</v>
      </c>
      <c r="G498" s="3" t="s">
        <v>50</v>
      </c>
      <c r="H498" s="6">
        <v>-1680000</v>
      </c>
      <c r="I498" s="3" t="s">
        <v>19</v>
      </c>
      <c r="J498" s="3" t="s">
        <v>15</v>
      </c>
      <c r="K498" s="3" t="s">
        <v>15</v>
      </c>
      <c r="L498" s="3" t="s">
        <v>323</v>
      </c>
      <c r="M498" s="4">
        <v>46296</v>
      </c>
      <c r="N498" s="3" t="s">
        <v>531</v>
      </c>
      <c r="O498" s="3" t="s">
        <v>32</v>
      </c>
      <c r="P498" t="str">
        <f t="shared" si="7"/>
        <v>450013924310</v>
      </c>
      <c r="Q498" s="7" cm="1">
        <f t="array" ref="Q498:S498">VLOOKUP(P498,Hoja1!C:F,{2,3,4},FALSE)</f>
        <v>46302</v>
      </c>
      <c r="R498" t="str">
        <v>C35</v>
      </c>
      <c r="S498" t="str">
        <v>1000001560 MARADONA PRADO ISABEL MARGARIT</v>
      </c>
      <c r="T498" t="str">
        <f>VLOOKUP(P498,Hoja2!C:D,2,FALSE)</f>
        <v>FSOTO</v>
      </c>
    </row>
    <row r="499" spans="1:20" x14ac:dyDescent="0.3">
      <c r="A499" s="2" t="s">
        <v>15</v>
      </c>
      <c r="B499" s="3" t="s">
        <v>15</v>
      </c>
      <c r="C499" s="3" t="s">
        <v>532</v>
      </c>
      <c r="D499" s="3" t="s">
        <v>15</v>
      </c>
      <c r="E499" s="3" t="s">
        <v>149</v>
      </c>
      <c r="F499" s="4">
        <v>46297</v>
      </c>
      <c r="G499" s="3" t="s">
        <v>50</v>
      </c>
      <c r="H499" s="6">
        <v>-532727.27</v>
      </c>
      <c r="I499" s="3" t="s">
        <v>19</v>
      </c>
      <c r="J499" s="3" t="s">
        <v>15</v>
      </c>
      <c r="K499" s="3" t="s">
        <v>15</v>
      </c>
      <c r="L499" s="3" t="s">
        <v>62</v>
      </c>
      <c r="M499" s="4">
        <v>46297</v>
      </c>
      <c r="N499" s="3" t="s">
        <v>533</v>
      </c>
      <c r="O499" s="3" t="s">
        <v>32</v>
      </c>
      <c r="P499" t="str">
        <f t="shared" si="7"/>
        <v>450014001610</v>
      </c>
      <c r="Q499" s="7" cm="1">
        <f t="array" ref="Q499:S499">VLOOKUP(P499,Hoja1!C:F,{2,3,4},FALSE)</f>
        <v>46300</v>
      </c>
      <c r="R499" t="str">
        <v>C35</v>
      </c>
      <c r="S499" t="str">
        <v>1000000566 AUTOLUX SA</v>
      </c>
      <c r="T499" t="str">
        <f>VLOOKUP(P499,Hoja2!C:D,2,FALSE)</f>
        <v>FSOTO</v>
      </c>
    </row>
    <row r="500" spans="1:20" x14ac:dyDescent="0.3">
      <c r="A500" s="2" t="s">
        <v>15</v>
      </c>
      <c r="B500" s="3" t="s">
        <v>15</v>
      </c>
      <c r="C500" s="3" t="s">
        <v>534</v>
      </c>
      <c r="D500" s="3" t="s">
        <v>25</v>
      </c>
      <c r="E500" s="3" t="s">
        <v>149</v>
      </c>
      <c r="F500" s="4">
        <v>46297</v>
      </c>
      <c r="G500" s="3" t="s">
        <v>50</v>
      </c>
      <c r="H500" s="6">
        <v>-5198400</v>
      </c>
      <c r="I500" s="3" t="s">
        <v>19</v>
      </c>
      <c r="J500" s="3" t="s">
        <v>15</v>
      </c>
      <c r="K500" s="3" t="s">
        <v>15</v>
      </c>
      <c r="L500" s="3" t="s">
        <v>73</v>
      </c>
      <c r="M500" s="4">
        <v>46297</v>
      </c>
      <c r="N500" s="3" t="s">
        <v>535</v>
      </c>
      <c r="O500" s="3" t="s">
        <v>32</v>
      </c>
      <c r="P500" t="str">
        <f t="shared" si="7"/>
        <v>450013935910</v>
      </c>
      <c r="Q500" s="7" cm="1">
        <f t="array" ref="Q500:S500">VLOOKUP(P500,Hoja1!C:F,{2,3,4},FALSE)</f>
        <v>46296</v>
      </c>
      <c r="R500" t="str">
        <v>C35</v>
      </c>
      <c r="S500" t="str">
        <v>1000007451 FLORES CARLOS FELIPE Y OTROS S H</v>
      </c>
      <c r="T500" t="str">
        <f>VLOOKUP(P500,Hoja2!C:D,2,FALSE)</f>
        <v>FSOTO</v>
      </c>
    </row>
    <row r="501" spans="1:20" x14ac:dyDescent="0.3">
      <c r="A501" s="2" t="s">
        <v>15</v>
      </c>
      <c r="B501" s="3" t="s">
        <v>15</v>
      </c>
      <c r="C501" s="3" t="s">
        <v>536</v>
      </c>
      <c r="D501" s="3" t="s">
        <v>15</v>
      </c>
      <c r="E501" s="3" t="s">
        <v>149</v>
      </c>
      <c r="F501" s="4">
        <v>46297</v>
      </c>
      <c r="G501" s="3" t="s">
        <v>50</v>
      </c>
      <c r="H501" s="6">
        <v>-64220</v>
      </c>
      <c r="I501" s="3" t="s">
        <v>19</v>
      </c>
      <c r="J501" s="3" t="s">
        <v>15</v>
      </c>
      <c r="K501" s="3" t="s">
        <v>15</v>
      </c>
      <c r="L501" s="3" t="s">
        <v>73</v>
      </c>
      <c r="M501" s="4">
        <v>46297</v>
      </c>
      <c r="N501" s="3" t="s">
        <v>537</v>
      </c>
      <c r="O501" s="3" t="s">
        <v>32</v>
      </c>
      <c r="P501" t="str">
        <f t="shared" si="7"/>
        <v>450013974210</v>
      </c>
      <c r="Q501" s="7" cm="1">
        <f t="array" ref="Q501:S501">VLOOKUP(P501,Hoja1!C:F,{2,3,4},FALSE)</f>
        <v>46318</v>
      </c>
      <c r="R501" t="str">
        <v>C28</v>
      </c>
      <c r="S501" t="str">
        <v>1000007451 FLORES CARLOS FELIPE Y OTROS S H</v>
      </c>
      <c r="T501" t="str">
        <f>VLOOKUP(P501,Hoja2!C:D,2,FALSE)</f>
        <v>GJULIANI</v>
      </c>
    </row>
    <row r="502" spans="1:20" x14ac:dyDescent="0.3">
      <c r="A502" s="2" t="s">
        <v>15</v>
      </c>
      <c r="B502" s="3" t="s">
        <v>15</v>
      </c>
      <c r="C502" s="3" t="s">
        <v>536</v>
      </c>
      <c r="D502" s="3" t="s">
        <v>15</v>
      </c>
      <c r="E502" s="3" t="s">
        <v>149</v>
      </c>
      <c r="F502" s="4">
        <v>46297</v>
      </c>
      <c r="G502" s="3" t="s">
        <v>50</v>
      </c>
      <c r="H502" s="6">
        <v>-22024.799999999999</v>
      </c>
      <c r="I502" s="3" t="s">
        <v>19</v>
      </c>
      <c r="J502" s="3" t="s">
        <v>15</v>
      </c>
      <c r="K502" s="3" t="s">
        <v>15</v>
      </c>
      <c r="L502" s="3" t="s">
        <v>73</v>
      </c>
      <c r="M502" s="4">
        <v>46297</v>
      </c>
      <c r="N502" s="3" t="s">
        <v>537</v>
      </c>
      <c r="O502" s="3" t="s">
        <v>28</v>
      </c>
      <c r="P502" t="str">
        <f t="shared" si="7"/>
        <v>450013974220</v>
      </c>
      <c r="Q502" s="7" cm="1">
        <f t="array" ref="Q502:S502">VLOOKUP(P502,Hoja1!C:F,{2,3,4},FALSE)</f>
        <v>46318</v>
      </c>
      <c r="R502" t="str">
        <v>C28</v>
      </c>
      <c r="S502" t="str">
        <v>1000007451 FLORES CARLOS FELIPE Y OTROS S H</v>
      </c>
      <c r="T502" t="str">
        <f>VLOOKUP(P502,Hoja2!C:D,2,FALSE)</f>
        <v>GJULIANI</v>
      </c>
    </row>
    <row r="503" spans="1:20" x14ac:dyDescent="0.3">
      <c r="A503" s="2" t="s">
        <v>15</v>
      </c>
      <c r="B503" s="3" t="s">
        <v>15</v>
      </c>
      <c r="C503" s="3" t="s">
        <v>536</v>
      </c>
      <c r="D503" s="3" t="s">
        <v>15</v>
      </c>
      <c r="E503" s="3" t="s">
        <v>149</v>
      </c>
      <c r="F503" s="4">
        <v>46297</v>
      </c>
      <c r="G503" s="3" t="s">
        <v>50</v>
      </c>
      <c r="H503" s="6">
        <v>-157684.79999999999</v>
      </c>
      <c r="I503" s="3" t="s">
        <v>19</v>
      </c>
      <c r="J503" s="3" t="s">
        <v>15</v>
      </c>
      <c r="K503" s="3" t="s">
        <v>15</v>
      </c>
      <c r="L503" s="3" t="s">
        <v>73</v>
      </c>
      <c r="M503" s="4">
        <v>46297</v>
      </c>
      <c r="N503" s="3" t="s">
        <v>537</v>
      </c>
      <c r="O503" s="3" t="s">
        <v>23</v>
      </c>
      <c r="P503" t="str">
        <f t="shared" si="7"/>
        <v>450013974240</v>
      </c>
      <c r="Q503" s="7" cm="1">
        <f t="array" ref="Q503:S503">VLOOKUP(P503,Hoja1!C:F,{2,3,4},FALSE)</f>
        <v>46318</v>
      </c>
      <c r="R503" t="str">
        <v>C28</v>
      </c>
      <c r="S503" t="str">
        <v>1000007451 FLORES CARLOS FELIPE Y OTROS S H</v>
      </c>
      <c r="T503" t="str">
        <f>VLOOKUP(P503,Hoja2!C:D,2,FALSE)</f>
        <v>GJULIANI</v>
      </c>
    </row>
    <row r="504" spans="1:20" x14ac:dyDescent="0.3">
      <c r="A504" s="2" t="s">
        <v>15</v>
      </c>
      <c r="B504" s="3" t="s">
        <v>15</v>
      </c>
      <c r="C504" s="3" t="s">
        <v>536</v>
      </c>
      <c r="D504" s="3" t="s">
        <v>15</v>
      </c>
      <c r="E504" s="3" t="s">
        <v>149</v>
      </c>
      <c r="F504" s="4">
        <v>46297</v>
      </c>
      <c r="G504" s="3" t="s">
        <v>50</v>
      </c>
      <c r="H504" s="6">
        <v>-621984</v>
      </c>
      <c r="I504" s="3" t="s">
        <v>19</v>
      </c>
      <c r="J504" s="3" t="s">
        <v>15</v>
      </c>
      <c r="K504" s="3" t="s">
        <v>15</v>
      </c>
      <c r="L504" s="3" t="s">
        <v>73</v>
      </c>
      <c r="M504" s="4">
        <v>46297</v>
      </c>
      <c r="N504" s="3" t="s">
        <v>537</v>
      </c>
      <c r="O504" s="3" t="s">
        <v>55</v>
      </c>
      <c r="P504" t="str">
        <f t="shared" si="7"/>
        <v>450013974250</v>
      </c>
      <c r="Q504" s="7" cm="1">
        <f t="array" ref="Q504:S504">VLOOKUP(P504,Hoja1!C:F,{2,3,4},FALSE)</f>
        <v>46318</v>
      </c>
      <c r="R504" t="str">
        <v>C28</v>
      </c>
      <c r="S504" t="str">
        <v>1000007451 FLORES CARLOS FELIPE Y OTROS S H</v>
      </c>
      <c r="T504" t="str">
        <f>VLOOKUP(P504,Hoja2!C:D,2,FALSE)</f>
        <v>GJULIANI</v>
      </c>
    </row>
    <row r="505" spans="1:20" x14ac:dyDescent="0.3">
      <c r="A505" s="2" t="s">
        <v>15</v>
      </c>
      <c r="B505" s="3" t="s">
        <v>15</v>
      </c>
      <c r="C505" s="3" t="s">
        <v>538</v>
      </c>
      <c r="D505" s="3" t="s">
        <v>15</v>
      </c>
      <c r="E505" s="3" t="s">
        <v>149</v>
      </c>
      <c r="F505" s="4">
        <v>46296</v>
      </c>
      <c r="G505" s="3" t="s">
        <v>50</v>
      </c>
      <c r="H505" s="6">
        <v>-29944</v>
      </c>
      <c r="I505" s="3" t="s">
        <v>19</v>
      </c>
      <c r="J505" s="3" t="s">
        <v>15</v>
      </c>
      <c r="K505" s="3" t="s">
        <v>15</v>
      </c>
      <c r="L505" s="3" t="s">
        <v>257</v>
      </c>
      <c r="M505" s="4">
        <v>46297</v>
      </c>
      <c r="N505" s="3" t="s">
        <v>539</v>
      </c>
      <c r="O505" s="3" t="s">
        <v>32</v>
      </c>
      <c r="P505" t="str">
        <f t="shared" si="7"/>
        <v>450013972010</v>
      </c>
      <c r="Q505" s="7" cm="1">
        <f t="array" ref="Q505:S505">VLOOKUP(P505,Hoja1!C:F,{2,3,4},FALSE)</f>
        <v>46304</v>
      </c>
      <c r="R505" t="str">
        <v>C29</v>
      </c>
      <c r="S505" t="str">
        <v>1000000062 FINNING ARGENTINA S.A.</v>
      </c>
      <c r="T505" t="str">
        <f>VLOOKUP(P505,Hoja2!C:D,2,FALSE)</f>
        <v>RPEREZ</v>
      </c>
    </row>
    <row r="506" spans="1:20" x14ac:dyDescent="0.3">
      <c r="A506" s="2" t="s">
        <v>15</v>
      </c>
      <c r="B506" s="3" t="s">
        <v>15</v>
      </c>
      <c r="C506" s="3" t="s">
        <v>538</v>
      </c>
      <c r="D506" s="3" t="s">
        <v>15</v>
      </c>
      <c r="E506" s="3" t="s">
        <v>149</v>
      </c>
      <c r="F506" s="4">
        <v>46296</v>
      </c>
      <c r="G506" s="3" t="s">
        <v>50</v>
      </c>
      <c r="H506" s="6">
        <v>-55312.800000000003</v>
      </c>
      <c r="I506" s="3" t="s">
        <v>19</v>
      </c>
      <c r="J506" s="3" t="s">
        <v>15</v>
      </c>
      <c r="K506" s="3" t="s">
        <v>15</v>
      </c>
      <c r="L506" s="3" t="s">
        <v>257</v>
      </c>
      <c r="M506" s="4">
        <v>46297</v>
      </c>
      <c r="N506" s="3" t="s">
        <v>539</v>
      </c>
      <c r="O506" s="3" t="s">
        <v>28</v>
      </c>
      <c r="P506" t="str">
        <f t="shared" si="7"/>
        <v>450013972020</v>
      </c>
      <c r="Q506" s="7" cm="1">
        <f t="array" ref="Q506:S506">VLOOKUP(P506,Hoja1!C:F,{2,3,4},FALSE)</f>
        <v>46304</v>
      </c>
      <c r="R506" t="str">
        <v>C29</v>
      </c>
      <c r="S506" t="str">
        <v>1000000062 FINNING ARGENTINA S.A.</v>
      </c>
      <c r="T506" t="str">
        <f>VLOOKUP(P506,Hoja2!C:D,2,FALSE)</f>
        <v>RPEREZ</v>
      </c>
    </row>
    <row r="507" spans="1:20" x14ac:dyDescent="0.3">
      <c r="A507" s="2" t="s">
        <v>15</v>
      </c>
      <c r="B507" s="3" t="s">
        <v>15</v>
      </c>
      <c r="C507" s="3" t="s">
        <v>538</v>
      </c>
      <c r="D507" s="3" t="s">
        <v>15</v>
      </c>
      <c r="E507" s="3" t="s">
        <v>149</v>
      </c>
      <c r="F507" s="4">
        <v>46296</v>
      </c>
      <c r="G507" s="3" t="s">
        <v>50</v>
      </c>
      <c r="H507" s="6">
        <v>-360483.2</v>
      </c>
      <c r="I507" s="3" t="s">
        <v>19</v>
      </c>
      <c r="J507" s="3" t="s">
        <v>15</v>
      </c>
      <c r="K507" s="3" t="s">
        <v>15</v>
      </c>
      <c r="L507" s="3" t="s">
        <v>257</v>
      </c>
      <c r="M507" s="4">
        <v>46297</v>
      </c>
      <c r="N507" s="3" t="s">
        <v>539</v>
      </c>
      <c r="O507" s="3" t="s">
        <v>54</v>
      </c>
      <c r="P507" t="str">
        <f t="shared" si="7"/>
        <v>450013972030</v>
      </c>
      <c r="Q507" s="7" cm="1">
        <f t="array" ref="Q507:S507">VLOOKUP(P507,Hoja1!C:F,{2,3,4},FALSE)</f>
        <v>46304</v>
      </c>
      <c r="R507" t="str">
        <v>C29</v>
      </c>
      <c r="S507" t="str">
        <v>1000000062 FINNING ARGENTINA S.A.</v>
      </c>
      <c r="T507" t="str">
        <f>VLOOKUP(P507,Hoja2!C:D,2,FALSE)</f>
        <v>RPEREZ</v>
      </c>
    </row>
    <row r="508" spans="1:20" x14ac:dyDescent="0.3">
      <c r="A508" s="2" t="s">
        <v>15</v>
      </c>
      <c r="B508" s="3" t="s">
        <v>15</v>
      </c>
      <c r="C508" s="3" t="s">
        <v>538</v>
      </c>
      <c r="D508" s="3" t="s">
        <v>15</v>
      </c>
      <c r="E508" s="3" t="s">
        <v>149</v>
      </c>
      <c r="F508" s="4">
        <v>46296</v>
      </c>
      <c r="G508" s="3" t="s">
        <v>50</v>
      </c>
      <c r="H508" s="6">
        <v>-84223.2</v>
      </c>
      <c r="I508" s="3" t="s">
        <v>19</v>
      </c>
      <c r="J508" s="3" t="s">
        <v>15</v>
      </c>
      <c r="K508" s="3" t="s">
        <v>15</v>
      </c>
      <c r="L508" s="3" t="s">
        <v>257</v>
      </c>
      <c r="M508" s="4">
        <v>46297</v>
      </c>
      <c r="N508" s="3" t="s">
        <v>539</v>
      </c>
      <c r="O508" s="3" t="s">
        <v>23</v>
      </c>
      <c r="P508" t="str">
        <f t="shared" si="7"/>
        <v>450013972040</v>
      </c>
      <c r="Q508" s="7" cm="1">
        <f t="array" ref="Q508:S508">VLOOKUP(P508,Hoja1!C:F,{2,3,4},FALSE)</f>
        <v>46304</v>
      </c>
      <c r="R508" t="str">
        <v>C29</v>
      </c>
      <c r="S508" t="str">
        <v>1000000062 FINNING ARGENTINA S.A.</v>
      </c>
      <c r="T508" t="str">
        <f>VLOOKUP(P508,Hoja2!C:D,2,FALSE)</f>
        <v>RPEREZ</v>
      </c>
    </row>
    <row r="509" spans="1:20" x14ac:dyDescent="0.3">
      <c r="A509" s="2" t="s">
        <v>15</v>
      </c>
      <c r="B509" s="3" t="s">
        <v>15</v>
      </c>
      <c r="C509" s="3" t="s">
        <v>538</v>
      </c>
      <c r="D509" s="3" t="s">
        <v>15</v>
      </c>
      <c r="E509" s="3" t="s">
        <v>149</v>
      </c>
      <c r="F509" s="4">
        <v>46296</v>
      </c>
      <c r="G509" s="3" t="s">
        <v>50</v>
      </c>
      <c r="H509" s="6">
        <v>-183737.60000000001</v>
      </c>
      <c r="I509" s="3" t="s">
        <v>19</v>
      </c>
      <c r="J509" s="3" t="s">
        <v>15</v>
      </c>
      <c r="K509" s="3" t="s">
        <v>15</v>
      </c>
      <c r="L509" s="3" t="s">
        <v>257</v>
      </c>
      <c r="M509" s="4">
        <v>46297</v>
      </c>
      <c r="N509" s="3" t="s">
        <v>539</v>
      </c>
      <c r="O509" s="3" t="s">
        <v>55</v>
      </c>
      <c r="P509" t="str">
        <f t="shared" si="7"/>
        <v>450013972050</v>
      </c>
      <c r="Q509" s="7" cm="1">
        <f t="array" ref="Q509:S509">VLOOKUP(P509,Hoja1!C:F,{2,3,4},FALSE)</f>
        <v>46304</v>
      </c>
      <c r="R509" t="str">
        <v>C29</v>
      </c>
      <c r="S509" t="str">
        <v>1000000062 FINNING ARGENTINA S.A.</v>
      </c>
      <c r="T509" t="str">
        <f>VLOOKUP(P509,Hoja2!C:D,2,FALSE)</f>
        <v>RPEREZ</v>
      </c>
    </row>
    <row r="510" spans="1:20" x14ac:dyDescent="0.3">
      <c r="A510" s="2" t="s">
        <v>15</v>
      </c>
      <c r="B510" s="3" t="s">
        <v>15</v>
      </c>
      <c r="C510" s="3" t="s">
        <v>538</v>
      </c>
      <c r="D510" s="3" t="s">
        <v>15</v>
      </c>
      <c r="E510" s="3" t="s">
        <v>149</v>
      </c>
      <c r="F510" s="4">
        <v>46296</v>
      </c>
      <c r="G510" s="3" t="s">
        <v>50</v>
      </c>
      <c r="H510" s="6">
        <v>-82931.199999999997</v>
      </c>
      <c r="I510" s="3" t="s">
        <v>19</v>
      </c>
      <c r="J510" s="3" t="s">
        <v>15</v>
      </c>
      <c r="K510" s="3" t="s">
        <v>15</v>
      </c>
      <c r="L510" s="3" t="s">
        <v>257</v>
      </c>
      <c r="M510" s="4">
        <v>46297</v>
      </c>
      <c r="N510" s="3" t="s">
        <v>539</v>
      </c>
      <c r="O510" s="3" t="s">
        <v>80</v>
      </c>
      <c r="P510" t="str">
        <f t="shared" si="7"/>
        <v>450013972060</v>
      </c>
      <c r="Q510" s="7" cm="1">
        <f t="array" ref="Q510:S510">VLOOKUP(P510,Hoja1!C:F,{2,3,4},FALSE)</f>
        <v>46304</v>
      </c>
      <c r="R510" t="str">
        <v>C29</v>
      </c>
      <c r="S510" t="str">
        <v>1000000062 FINNING ARGENTINA S.A.</v>
      </c>
      <c r="T510" t="str">
        <f>VLOOKUP(P510,Hoja2!C:D,2,FALSE)</f>
        <v>RPEREZ</v>
      </c>
    </row>
    <row r="511" spans="1:20" x14ac:dyDescent="0.3">
      <c r="A511" s="2" t="s">
        <v>15</v>
      </c>
      <c r="B511" s="3" t="s">
        <v>15</v>
      </c>
      <c r="C511" s="3" t="s">
        <v>538</v>
      </c>
      <c r="D511" s="3" t="s">
        <v>15</v>
      </c>
      <c r="E511" s="3" t="s">
        <v>149</v>
      </c>
      <c r="F511" s="4">
        <v>46296</v>
      </c>
      <c r="G511" s="3" t="s">
        <v>50</v>
      </c>
      <c r="H511" s="6">
        <v>-82551.199999999997</v>
      </c>
      <c r="I511" s="3" t="s">
        <v>19</v>
      </c>
      <c r="J511" s="3" t="s">
        <v>15</v>
      </c>
      <c r="K511" s="3" t="s">
        <v>15</v>
      </c>
      <c r="L511" s="3" t="s">
        <v>257</v>
      </c>
      <c r="M511" s="4">
        <v>46297</v>
      </c>
      <c r="N511" s="3" t="s">
        <v>539</v>
      </c>
      <c r="O511" s="3" t="s">
        <v>81</v>
      </c>
      <c r="P511" t="str">
        <f t="shared" si="7"/>
        <v>450013972070</v>
      </c>
      <c r="Q511" s="7" cm="1">
        <f t="array" ref="Q511:S511">VLOOKUP(P511,Hoja1!C:F,{2,3,4},FALSE)</f>
        <v>46304</v>
      </c>
      <c r="R511" t="str">
        <v>C29</v>
      </c>
      <c r="S511" t="str">
        <v>1000000062 FINNING ARGENTINA S.A.</v>
      </c>
      <c r="T511" t="str">
        <f>VLOOKUP(P511,Hoja2!C:D,2,FALSE)</f>
        <v>RPEREZ</v>
      </c>
    </row>
    <row r="512" spans="1:20" x14ac:dyDescent="0.3">
      <c r="A512" s="2" t="s">
        <v>15</v>
      </c>
      <c r="B512" s="3" t="s">
        <v>15</v>
      </c>
      <c r="C512" s="3" t="s">
        <v>538</v>
      </c>
      <c r="D512" s="3" t="s">
        <v>15</v>
      </c>
      <c r="E512" s="3" t="s">
        <v>149</v>
      </c>
      <c r="F512" s="4">
        <v>46296</v>
      </c>
      <c r="G512" s="3" t="s">
        <v>50</v>
      </c>
      <c r="H512" s="6">
        <v>-234475.2</v>
      </c>
      <c r="I512" s="3" t="s">
        <v>19</v>
      </c>
      <c r="J512" s="3" t="s">
        <v>15</v>
      </c>
      <c r="K512" s="3" t="s">
        <v>15</v>
      </c>
      <c r="L512" s="3" t="s">
        <v>257</v>
      </c>
      <c r="M512" s="4">
        <v>46297</v>
      </c>
      <c r="N512" s="3" t="s">
        <v>539</v>
      </c>
      <c r="O512" s="3" t="s">
        <v>82</v>
      </c>
      <c r="P512" t="str">
        <f t="shared" si="7"/>
        <v>450013972080</v>
      </c>
      <c r="Q512" s="7" cm="1">
        <f t="array" ref="Q512:S512">VLOOKUP(P512,Hoja1!C:F,{2,3,4},FALSE)</f>
        <v>46304</v>
      </c>
      <c r="R512" t="str">
        <v>C29</v>
      </c>
      <c r="S512" t="str">
        <v>1000000062 FINNING ARGENTINA S.A.</v>
      </c>
      <c r="T512" t="str">
        <f>VLOOKUP(P512,Hoja2!C:D,2,FALSE)</f>
        <v>RPEREZ</v>
      </c>
    </row>
    <row r="513" spans="1:20" x14ac:dyDescent="0.3">
      <c r="A513" s="2" t="s">
        <v>15</v>
      </c>
      <c r="B513" s="3" t="s">
        <v>15</v>
      </c>
      <c r="C513" s="3" t="s">
        <v>538</v>
      </c>
      <c r="D513" s="3" t="s">
        <v>15</v>
      </c>
      <c r="E513" s="3" t="s">
        <v>149</v>
      </c>
      <c r="F513" s="4">
        <v>46296</v>
      </c>
      <c r="G513" s="3" t="s">
        <v>50</v>
      </c>
      <c r="H513" s="6">
        <v>-89436.800000000003</v>
      </c>
      <c r="I513" s="3" t="s">
        <v>19</v>
      </c>
      <c r="J513" s="3" t="s">
        <v>15</v>
      </c>
      <c r="K513" s="3" t="s">
        <v>15</v>
      </c>
      <c r="L513" s="3" t="s">
        <v>257</v>
      </c>
      <c r="M513" s="4">
        <v>46297</v>
      </c>
      <c r="N513" s="3" t="s">
        <v>539</v>
      </c>
      <c r="O513" s="3" t="s">
        <v>83</v>
      </c>
      <c r="P513" t="str">
        <f t="shared" si="7"/>
        <v>450013972090</v>
      </c>
      <c r="Q513" s="7" cm="1">
        <f t="array" ref="Q513:S513">VLOOKUP(P513,Hoja1!C:F,{2,3,4},FALSE)</f>
        <v>46304</v>
      </c>
      <c r="R513" t="str">
        <v>C29</v>
      </c>
      <c r="S513" t="str">
        <v>1000000062 FINNING ARGENTINA S.A.</v>
      </c>
      <c r="T513" t="str">
        <f>VLOOKUP(P513,Hoja2!C:D,2,FALSE)</f>
        <v>RPEREZ</v>
      </c>
    </row>
    <row r="514" spans="1:20" x14ac:dyDescent="0.3">
      <c r="A514" s="2" t="s">
        <v>15</v>
      </c>
      <c r="B514" s="3" t="s">
        <v>15</v>
      </c>
      <c r="C514" s="3" t="s">
        <v>538</v>
      </c>
      <c r="D514" s="3" t="s">
        <v>15</v>
      </c>
      <c r="E514" s="3" t="s">
        <v>149</v>
      </c>
      <c r="F514" s="4">
        <v>46296</v>
      </c>
      <c r="G514" s="3" t="s">
        <v>50</v>
      </c>
      <c r="H514" s="6">
        <v>-315491.20000000001</v>
      </c>
      <c r="I514" s="3" t="s">
        <v>19</v>
      </c>
      <c r="J514" s="3" t="s">
        <v>15</v>
      </c>
      <c r="K514" s="3" t="s">
        <v>15</v>
      </c>
      <c r="L514" s="3" t="s">
        <v>257</v>
      </c>
      <c r="M514" s="4">
        <v>46297</v>
      </c>
      <c r="N514" s="3" t="s">
        <v>539</v>
      </c>
      <c r="O514" s="3" t="s">
        <v>84</v>
      </c>
      <c r="P514" t="str">
        <f t="shared" si="7"/>
        <v>4500139720100</v>
      </c>
      <c r="Q514" s="7" cm="1">
        <f t="array" ref="Q514:S514">VLOOKUP(P514,Hoja1!C:F,{2,3,4},FALSE)</f>
        <v>46304</v>
      </c>
      <c r="R514" t="str">
        <v>C29</v>
      </c>
      <c r="S514" t="str">
        <v>1000000062 FINNING ARGENTINA S.A.</v>
      </c>
      <c r="T514" t="str">
        <f>VLOOKUP(P514,Hoja2!C:D,2,FALSE)</f>
        <v>RPEREZ</v>
      </c>
    </row>
    <row r="515" spans="1:20" x14ac:dyDescent="0.3">
      <c r="A515" s="2" t="s">
        <v>15</v>
      </c>
      <c r="B515" s="3" t="s">
        <v>15</v>
      </c>
      <c r="C515" s="3" t="s">
        <v>538</v>
      </c>
      <c r="D515" s="3" t="s">
        <v>15</v>
      </c>
      <c r="E515" s="3" t="s">
        <v>149</v>
      </c>
      <c r="F515" s="4">
        <v>46296</v>
      </c>
      <c r="G515" s="3" t="s">
        <v>50</v>
      </c>
      <c r="H515" s="6">
        <v>-337865.6</v>
      </c>
      <c r="I515" s="3" t="s">
        <v>19</v>
      </c>
      <c r="J515" s="3" t="s">
        <v>15</v>
      </c>
      <c r="K515" s="3" t="s">
        <v>15</v>
      </c>
      <c r="L515" s="3" t="s">
        <v>257</v>
      </c>
      <c r="M515" s="4">
        <v>46297</v>
      </c>
      <c r="N515" s="3" t="s">
        <v>539</v>
      </c>
      <c r="O515" s="3" t="s">
        <v>85</v>
      </c>
      <c r="P515" t="str">
        <f t="shared" ref="P515:P578" si="8">_xlfn.CONCAT(N515:O515)</f>
        <v>4500139720110</v>
      </c>
      <c r="Q515" s="7" cm="1">
        <f t="array" ref="Q515:S515">VLOOKUP(P515,Hoja1!C:F,{2,3,4},FALSE)</f>
        <v>46304</v>
      </c>
      <c r="R515" t="str">
        <v>C29</v>
      </c>
      <c r="S515" t="str">
        <v>1000000062 FINNING ARGENTINA S.A.</v>
      </c>
      <c r="T515" t="str">
        <f>VLOOKUP(P515,Hoja2!C:D,2,FALSE)</f>
        <v>RPEREZ</v>
      </c>
    </row>
    <row r="516" spans="1:20" x14ac:dyDescent="0.3">
      <c r="A516" s="2" t="s">
        <v>15</v>
      </c>
      <c r="B516" s="3" t="s">
        <v>15</v>
      </c>
      <c r="C516" s="3" t="s">
        <v>540</v>
      </c>
      <c r="D516" s="3" t="s">
        <v>25</v>
      </c>
      <c r="E516" s="3" t="s">
        <v>149</v>
      </c>
      <c r="F516" s="4">
        <v>46297</v>
      </c>
      <c r="G516" s="3" t="s">
        <v>50</v>
      </c>
      <c r="H516" s="6">
        <v>-181438.3</v>
      </c>
      <c r="I516" s="3" t="s">
        <v>19</v>
      </c>
      <c r="J516" s="3" t="s">
        <v>15</v>
      </c>
      <c r="K516" s="3" t="s">
        <v>15</v>
      </c>
      <c r="L516" s="3" t="s">
        <v>501</v>
      </c>
      <c r="M516" s="4">
        <v>46297</v>
      </c>
      <c r="N516" s="3" t="s">
        <v>541</v>
      </c>
      <c r="O516" s="3" t="s">
        <v>32</v>
      </c>
      <c r="P516" t="str">
        <f t="shared" si="8"/>
        <v>450013979310</v>
      </c>
      <c r="Q516" s="7" cm="1">
        <f t="array" ref="Q516:S516">VLOOKUP(P516,Hoja1!C:F,{2,3,4},FALSE)</f>
        <v>46301</v>
      </c>
      <c r="R516" t="str">
        <v>C35</v>
      </c>
      <c r="S516" t="str">
        <v>1000008137 ROVI S.R.L.</v>
      </c>
      <c r="T516" t="str">
        <f>VLOOKUP(P516,Hoja2!C:D,2,FALSE)</f>
        <v>FSOTO</v>
      </c>
    </row>
    <row r="517" spans="1:20" x14ac:dyDescent="0.3">
      <c r="A517" s="2" t="s">
        <v>15</v>
      </c>
      <c r="B517" s="3" t="s">
        <v>15</v>
      </c>
      <c r="C517" s="3" t="s">
        <v>540</v>
      </c>
      <c r="D517" s="3" t="s">
        <v>25</v>
      </c>
      <c r="E517" s="3" t="s">
        <v>149</v>
      </c>
      <c r="F517" s="4">
        <v>46297</v>
      </c>
      <c r="G517" s="3" t="s">
        <v>50</v>
      </c>
      <c r="H517" s="6">
        <v>-626932.30000000005</v>
      </c>
      <c r="I517" s="3" t="s">
        <v>19</v>
      </c>
      <c r="J517" s="3" t="s">
        <v>15</v>
      </c>
      <c r="K517" s="3" t="s">
        <v>15</v>
      </c>
      <c r="L517" s="3" t="s">
        <v>501</v>
      </c>
      <c r="M517" s="4">
        <v>46297</v>
      </c>
      <c r="N517" s="3" t="s">
        <v>541</v>
      </c>
      <c r="O517" s="3" t="s">
        <v>28</v>
      </c>
      <c r="P517" t="str">
        <f t="shared" si="8"/>
        <v>450013979320</v>
      </c>
      <c r="Q517" s="7" cm="1">
        <f t="array" ref="Q517:S517">VLOOKUP(P517,Hoja1!C:F,{2,3,4},FALSE)</f>
        <v>46301</v>
      </c>
      <c r="R517" t="str">
        <v>C35</v>
      </c>
      <c r="S517" t="str">
        <v>1000008137 ROVI S.R.L.</v>
      </c>
      <c r="T517" t="str">
        <f>VLOOKUP(P517,Hoja2!C:D,2,FALSE)</f>
        <v>FSOTO</v>
      </c>
    </row>
    <row r="518" spans="1:20" x14ac:dyDescent="0.3">
      <c r="A518" s="2" t="s">
        <v>15</v>
      </c>
      <c r="B518" s="3" t="s">
        <v>15</v>
      </c>
      <c r="C518" s="3" t="s">
        <v>542</v>
      </c>
      <c r="D518" s="3" t="s">
        <v>15</v>
      </c>
      <c r="E518" s="3" t="s">
        <v>149</v>
      </c>
      <c r="F518" s="4">
        <v>46297</v>
      </c>
      <c r="G518" s="3" t="s">
        <v>50</v>
      </c>
      <c r="H518" s="6">
        <v>-326800</v>
      </c>
      <c r="I518" s="3" t="s">
        <v>19</v>
      </c>
      <c r="J518" s="3" t="s">
        <v>15</v>
      </c>
      <c r="K518" s="3" t="s">
        <v>15</v>
      </c>
      <c r="L518" s="3" t="s">
        <v>70</v>
      </c>
      <c r="M518" s="4">
        <v>46297</v>
      </c>
      <c r="N518" s="3" t="s">
        <v>543</v>
      </c>
      <c r="O518" s="3" t="s">
        <v>32</v>
      </c>
      <c r="P518" t="str">
        <f t="shared" si="8"/>
        <v>450014005110</v>
      </c>
      <c r="Q518" s="7" cm="1">
        <f t="array" ref="Q518:S518">VLOOKUP(P518,Hoja1!C:F,{2,3,4},FALSE)</f>
        <v>46305</v>
      </c>
      <c r="R518" t="str">
        <v>C38</v>
      </c>
      <c r="S518" t="str">
        <v>1000011519 SALLAGO FEDERICO MIGUEL</v>
      </c>
      <c r="T518" t="str">
        <f>VLOOKUP(P518,Hoja2!C:D,2,FALSE)</f>
        <v>EREGALADO</v>
      </c>
    </row>
    <row r="519" spans="1:20" x14ac:dyDescent="0.3">
      <c r="A519" s="2" t="s">
        <v>15</v>
      </c>
      <c r="B519" s="3" t="s">
        <v>15</v>
      </c>
      <c r="C519" s="3" t="s">
        <v>544</v>
      </c>
      <c r="D519" s="3" t="s">
        <v>25</v>
      </c>
      <c r="E519" s="3" t="s">
        <v>149</v>
      </c>
      <c r="F519" s="4">
        <v>46297</v>
      </c>
      <c r="G519" s="3" t="s">
        <v>50</v>
      </c>
      <c r="H519" s="6">
        <v>-4914000</v>
      </c>
      <c r="I519" s="3" t="s">
        <v>19</v>
      </c>
      <c r="J519" s="3" t="s">
        <v>15</v>
      </c>
      <c r="K519" s="3" t="s">
        <v>15</v>
      </c>
      <c r="L519" s="3" t="s">
        <v>545</v>
      </c>
      <c r="M519" s="4">
        <v>46297</v>
      </c>
      <c r="N519" s="3" t="s">
        <v>546</v>
      </c>
      <c r="O519" s="3" t="s">
        <v>32</v>
      </c>
      <c r="P519" t="str">
        <f t="shared" si="8"/>
        <v>450013924610</v>
      </c>
      <c r="Q519" s="7" cm="1">
        <f t="array" ref="Q519:S519">VLOOKUP(P519,Hoja1!C:F,{2,3,4},FALSE)</f>
        <v>46466</v>
      </c>
      <c r="R519" t="str">
        <v>C25</v>
      </c>
      <c r="S519" t="str">
        <v>1000012228 MED LAB SALTA S.R.L.</v>
      </c>
      <c r="T519" t="str">
        <f>VLOOKUP(P519,Hoja2!C:D,2,FALSE)</f>
        <v>MPITTIA</v>
      </c>
    </row>
    <row r="520" spans="1:20" x14ac:dyDescent="0.3">
      <c r="A520" s="2" t="s">
        <v>15</v>
      </c>
      <c r="B520" s="3" t="s">
        <v>15</v>
      </c>
      <c r="C520" s="3" t="s">
        <v>547</v>
      </c>
      <c r="D520" s="3" t="s">
        <v>25</v>
      </c>
      <c r="E520" s="3" t="s">
        <v>149</v>
      </c>
      <c r="F520" s="4">
        <v>46298</v>
      </c>
      <c r="G520" s="3" t="s">
        <v>50</v>
      </c>
      <c r="H520" s="6">
        <v>-295500</v>
      </c>
      <c r="I520" s="3" t="s">
        <v>19</v>
      </c>
      <c r="J520" s="3" t="s">
        <v>15</v>
      </c>
      <c r="K520" s="3" t="s">
        <v>15</v>
      </c>
      <c r="L520" s="3" t="s">
        <v>548</v>
      </c>
      <c r="M520" s="4">
        <v>46298</v>
      </c>
      <c r="N520" s="3" t="s">
        <v>549</v>
      </c>
      <c r="O520" s="3" t="s">
        <v>32</v>
      </c>
      <c r="P520" t="str">
        <f t="shared" si="8"/>
        <v>450014012810</v>
      </c>
      <c r="Q520" s="7" cm="1">
        <f t="array" ref="Q520:S520">VLOOKUP(P520,Hoja1!C:F,{2,3,4},FALSE)</f>
        <v>46311</v>
      </c>
      <c r="R520" t="str">
        <v>C01</v>
      </c>
      <c r="S520" t="str">
        <v>1000007510 LABTEC S. R. L.</v>
      </c>
      <c r="T520" t="str">
        <f>VLOOKUP(P520,Hoja2!C:D,2,FALSE)</f>
        <v>MFALERO</v>
      </c>
    </row>
    <row r="521" spans="1:20" x14ac:dyDescent="0.3">
      <c r="A521" s="2" t="s">
        <v>15</v>
      </c>
      <c r="B521" s="3" t="s">
        <v>15</v>
      </c>
      <c r="C521" s="3" t="s">
        <v>547</v>
      </c>
      <c r="D521" s="3" t="s">
        <v>25</v>
      </c>
      <c r="E521" s="3" t="s">
        <v>149</v>
      </c>
      <c r="F521" s="4">
        <v>46298</v>
      </c>
      <c r="G521" s="3" t="s">
        <v>50</v>
      </c>
      <c r="H521" s="6">
        <v>-407500</v>
      </c>
      <c r="I521" s="3" t="s">
        <v>19</v>
      </c>
      <c r="J521" s="3" t="s">
        <v>15</v>
      </c>
      <c r="K521" s="3" t="s">
        <v>15</v>
      </c>
      <c r="L521" s="3" t="s">
        <v>548</v>
      </c>
      <c r="M521" s="4">
        <v>46298</v>
      </c>
      <c r="N521" s="3" t="s">
        <v>549</v>
      </c>
      <c r="O521" s="3" t="s">
        <v>28</v>
      </c>
      <c r="P521" t="str">
        <f t="shared" si="8"/>
        <v>450014012820</v>
      </c>
      <c r="Q521" s="7" cm="1">
        <f t="array" ref="Q521:S521">VLOOKUP(P521,Hoja1!C:F,{2,3,4},FALSE)</f>
        <v>46311</v>
      </c>
      <c r="R521" t="str">
        <v>C01</v>
      </c>
      <c r="S521" t="str">
        <v>1000007510 LABTEC S. R. L.</v>
      </c>
      <c r="T521" t="str">
        <f>VLOOKUP(P521,Hoja2!C:D,2,FALSE)</f>
        <v>MFALERO</v>
      </c>
    </row>
    <row r="522" spans="1:20" x14ac:dyDescent="0.3">
      <c r="A522" s="2" t="s">
        <v>15</v>
      </c>
      <c r="B522" s="3" t="s">
        <v>15</v>
      </c>
      <c r="C522" s="3" t="s">
        <v>550</v>
      </c>
      <c r="D522" s="3" t="s">
        <v>15</v>
      </c>
      <c r="E522" s="3" t="s">
        <v>149</v>
      </c>
      <c r="F522" s="4">
        <v>46298</v>
      </c>
      <c r="G522" s="3" t="s">
        <v>50</v>
      </c>
      <c r="H522" s="6">
        <v>-175504.64000000001</v>
      </c>
      <c r="I522" s="3" t="s">
        <v>19</v>
      </c>
      <c r="J522" s="3" t="s">
        <v>15</v>
      </c>
      <c r="K522" s="3" t="s">
        <v>15</v>
      </c>
      <c r="L522" s="3" t="s">
        <v>428</v>
      </c>
      <c r="M522" s="4">
        <v>46298</v>
      </c>
      <c r="N522" s="3" t="s">
        <v>551</v>
      </c>
      <c r="O522" s="3" t="s">
        <v>32</v>
      </c>
      <c r="P522" t="str">
        <f t="shared" si="8"/>
        <v>450014000610</v>
      </c>
      <c r="Q522" s="7" cm="1">
        <f t="array" ref="Q522:S522">VLOOKUP(P522,Hoja1!C:F,{2,3,4},FALSE)</f>
        <v>46318</v>
      </c>
      <c r="R522" t="str">
        <v>C11</v>
      </c>
      <c r="S522" t="str">
        <v>1000009037 FELTRIN S.A</v>
      </c>
      <c r="T522" t="str">
        <f>VLOOKUP(P522,Hoja2!C:D,2,FALSE)</f>
        <v>PRODRIGUEZ</v>
      </c>
    </row>
    <row r="523" spans="1:20" x14ac:dyDescent="0.3">
      <c r="A523" s="2" t="s">
        <v>15</v>
      </c>
      <c r="B523" s="3" t="s">
        <v>15</v>
      </c>
      <c r="C523" s="3" t="s">
        <v>550</v>
      </c>
      <c r="D523" s="3" t="s">
        <v>15</v>
      </c>
      <c r="E523" s="3" t="s">
        <v>149</v>
      </c>
      <c r="F523" s="4">
        <v>46298</v>
      </c>
      <c r="G523" s="3" t="s">
        <v>50</v>
      </c>
      <c r="H523" s="6">
        <v>-123949.98</v>
      </c>
      <c r="I523" s="3" t="s">
        <v>19</v>
      </c>
      <c r="J523" s="3" t="s">
        <v>15</v>
      </c>
      <c r="K523" s="3" t="s">
        <v>15</v>
      </c>
      <c r="L523" s="3" t="s">
        <v>428</v>
      </c>
      <c r="M523" s="4">
        <v>46298</v>
      </c>
      <c r="N523" s="3" t="s">
        <v>551</v>
      </c>
      <c r="O523" s="3" t="s">
        <v>54</v>
      </c>
      <c r="P523" t="str">
        <f t="shared" si="8"/>
        <v>450014000630</v>
      </c>
      <c r="Q523" s="7" cm="1">
        <f t="array" ref="Q523:S523">VLOOKUP(P523,Hoja1!C:F,{2,3,4},FALSE)</f>
        <v>46318</v>
      </c>
      <c r="R523" t="str">
        <v>C11</v>
      </c>
      <c r="S523" t="str">
        <v>1000009037 FELTRIN S.A</v>
      </c>
      <c r="T523" t="str">
        <f>VLOOKUP(P523,Hoja2!C:D,2,FALSE)</f>
        <v>PRODRIGUEZ</v>
      </c>
    </row>
    <row r="524" spans="1:20" x14ac:dyDescent="0.3">
      <c r="A524" s="2" t="s">
        <v>15</v>
      </c>
      <c r="B524" s="3" t="s">
        <v>15</v>
      </c>
      <c r="C524" s="3" t="s">
        <v>550</v>
      </c>
      <c r="D524" s="3" t="s">
        <v>15</v>
      </c>
      <c r="E524" s="3" t="s">
        <v>149</v>
      </c>
      <c r="F524" s="4">
        <v>46298</v>
      </c>
      <c r="G524" s="3" t="s">
        <v>50</v>
      </c>
      <c r="H524" s="6">
        <v>-94258.08</v>
      </c>
      <c r="I524" s="3" t="s">
        <v>19</v>
      </c>
      <c r="J524" s="3" t="s">
        <v>15</v>
      </c>
      <c r="K524" s="3" t="s">
        <v>15</v>
      </c>
      <c r="L524" s="3" t="s">
        <v>428</v>
      </c>
      <c r="M524" s="4">
        <v>46298</v>
      </c>
      <c r="N524" s="3" t="s">
        <v>551</v>
      </c>
      <c r="O524" s="3" t="s">
        <v>55</v>
      </c>
      <c r="P524" t="str">
        <f t="shared" si="8"/>
        <v>450014000650</v>
      </c>
      <c r="Q524" s="7" cm="1">
        <f t="array" ref="Q524:S524">VLOOKUP(P524,Hoja1!C:F,{2,3,4},FALSE)</f>
        <v>46318</v>
      </c>
      <c r="R524" t="str">
        <v>C11</v>
      </c>
      <c r="S524" t="str">
        <v>1000009037 FELTRIN S.A</v>
      </c>
      <c r="T524" t="str">
        <f>VLOOKUP(P524,Hoja2!C:D,2,FALSE)</f>
        <v>PRODRIGUEZ</v>
      </c>
    </row>
    <row r="525" spans="1:20" x14ac:dyDescent="0.3">
      <c r="A525" s="2" t="s">
        <v>15</v>
      </c>
      <c r="B525" s="3" t="s">
        <v>15</v>
      </c>
      <c r="C525" s="3" t="s">
        <v>550</v>
      </c>
      <c r="D525" s="3" t="s">
        <v>15</v>
      </c>
      <c r="E525" s="3" t="s">
        <v>149</v>
      </c>
      <c r="F525" s="4">
        <v>46298</v>
      </c>
      <c r="G525" s="3" t="s">
        <v>50</v>
      </c>
      <c r="H525" s="6">
        <v>-60525.27</v>
      </c>
      <c r="I525" s="3" t="s">
        <v>19</v>
      </c>
      <c r="J525" s="3" t="s">
        <v>15</v>
      </c>
      <c r="K525" s="3" t="s">
        <v>15</v>
      </c>
      <c r="L525" s="3" t="s">
        <v>428</v>
      </c>
      <c r="M525" s="4">
        <v>46298</v>
      </c>
      <c r="N525" s="3" t="s">
        <v>551</v>
      </c>
      <c r="O525" s="3" t="s">
        <v>84</v>
      </c>
      <c r="P525" t="str">
        <f t="shared" si="8"/>
        <v>4500140006100</v>
      </c>
      <c r="Q525" s="7" cm="1">
        <f t="array" ref="Q525:S525">VLOOKUP(P525,Hoja1!C:F,{2,3,4},FALSE)</f>
        <v>46318</v>
      </c>
      <c r="R525" t="str">
        <v>C11</v>
      </c>
      <c r="S525" t="str">
        <v>1000009037 FELTRIN S.A</v>
      </c>
      <c r="T525" t="str">
        <f>VLOOKUP(P525,Hoja2!C:D,2,FALSE)</f>
        <v>PRODRIGUEZ</v>
      </c>
    </row>
    <row r="526" spans="1:20" x14ac:dyDescent="0.3">
      <c r="A526" s="2" t="s">
        <v>15</v>
      </c>
      <c r="B526" s="3" t="s">
        <v>15</v>
      </c>
      <c r="C526" s="3" t="s">
        <v>550</v>
      </c>
      <c r="D526" s="3" t="s">
        <v>15</v>
      </c>
      <c r="E526" s="3" t="s">
        <v>149</v>
      </c>
      <c r="F526" s="4">
        <v>46298</v>
      </c>
      <c r="G526" s="3" t="s">
        <v>50</v>
      </c>
      <c r="H526" s="6">
        <v>-16605.48</v>
      </c>
      <c r="I526" s="3" t="s">
        <v>19</v>
      </c>
      <c r="J526" s="3" t="s">
        <v>15</v>
      </c>
      <c r="K526" s="3" t="s">
        <v>15</v>
      </c>
      <c r="L526" s="3" t="s">
        <v>428</v>
      </c>
      <c r="M526" s="4">
        <v>46298</v>
      </c>
      <c r="N526" s="3" t="s">
        <v>551</v>
      </c>
      <c r="O526" s="3" t="s">
        <v>86</v>
      </c>
      <c r="P526" t="str">
        <f t="shared" si="8"/>
        <v>4500140006120</v>
      </c>
      <c r="Q526" s="7" cm="1">
        <f t="array" ref="Q526:S526">VLOOKUP(P526,Hoja1!C:F,{2,3,4},FALSE)</f>
        <v>46318</v>
      </c>
      <c r="R526" t="str">
        <v>C11</v>
      </c>
      <c r="S526" t="str">
        <v>1000009037 FELTRIN S.A</v>
      </c>
      <c r="T526" t="str">
        <f>VLOOKUP(P526,Hoja2!C:D,2,FALSE)</f>
        <v>PRODRIGUEZ</v>
      </c>
    </row>
    <row r="527" spans="1:20" x14ac:dyDescent="0.3">
      <c r="A527" s="2" t="s">
        <v>15</v>
      </c>
      <c r="B527" s="3" t="s">
        <v>15</v>
      </c>
      <c r="C527" s="3" t="s">
        <v>550</v>
      </c>
      <c r="D527" s="3" t="s">
        <v>15</v>
      </c>
      <c r="E527" s="3" t="s">
        <v>149</v>
      </c>
      <c r="F527" s="4">
        <v>46298</v>
      </c>
      <c r="G527" s="3" t="s">
        <v>50</v>
      </c>
      <c r="H527" s="6">
        <v>-70921.399999999994</v>
      </c>
      <c r="I527" s="3" t="s">
        <v>19</v>
      </c>
      <c r="J527" s="3" t="s">
        <v>15</v>
      </c>
      <c r="K527" s="3" t="s">
        <v>15</v>
      </c>
      <c r="L527" s="3" t="s">
        <v>428</v>
      </c>
      <c r="M527" s="4">
        <v>46298</v>
      </c>
      <c r="N527" s="3" t="s">
        <v>551</v>
      </c>
      <c r="O527" s="3" t="s">
        <v>65</v>
      </c>
      <c r="P527" t="str">
        <f t="shared" si="8"/>
        <v>4500140006130</v>
      </c>
      <c r="Q527" s="7" cm="1">
        <f t="array" ref="Q527:S527">VLOOKUP(P527,Hoja1!C:F,{2,3,4},FALSE)</f>
        <v>46318</v>
      </c>
      <c r="R527" t="str">
        <v>C11</v>
      </c>
      <c r="S527" t="str">
        <v>1000009037 FELTRIN S.A</v>
      </c>
      <c r="T527" t="str">
        <f>VLOOKUP(P527,Hoja2!C:D,2,FALSE)</f>
        <v>PRODRIGUEZ</v>
      </c>
    </row>
    <row r="528" spans="1:20" x14ac:dyDescent="0.3">
      <c r="A528" s="2" t="s">
        <v>15</v>
      </c>
      <c r="B528" s="3" t="s">
        <v>15</v>
      </c>
      <c r="C528" s="3" t="s">
        <v>550</v>
      </c>
      <c r="D528" s="3" t="s">
        <v>15</v>
      </c>
      <c r="E528" s="3" t="s">
        <v>149</v>
      </c>
      <c r="F528" s="4">
        <v>46298</v>
      </c>
      <c r="G528" s="3" t="s">
        <v>50</v>
      </c>
      <c r="H528" s="6">
        <v>-34351.300000000003</v>
      </c>
      <c r="I528" s="3" t="s">
        <v>19</v>
      </c>
      <c r="J528" s="3" t="s">
        <v>15</v>
      </c>
      <c r="K528" s="3" t="s">
        <v>15</v>
      </c>
      <c r="L528" s="3" t="s">
        <v>428</v>
      </c>
      <c r="M528" s="4">
        <v>46298</v>
      </c>
      <c r="N528" s="3" t="s">
        <v>551</v>
      </c>
      <c r="O528" s="3" t="s">
        <v>66</v>
      </c>
      <c r="P528" t="str">
        <f t="shared" si="8"/>
        <v>4500140006140</v>
      </c>
      <c r="Q528" s="7" cm="1">
        <f t="array" ref="Q528:S528">VLOOKUP(P528,Hoja1!C:F,{2,3,4},FALSE)</f>
        <v>46318</v>
      </c>
      <c r="R528" t="str">
        <v>C11</v>
      </c>
      <c r="S528" t="str">
        <v>1000009037 FELTRIN S.A</v>
      </c>
      <c r="T528" t="str">
        <f>VLOOKUP(P528,Hoja2!C:D,2,FALSE)</f>
        <v>PRODRIGUEZ</v>
      </c>
    </row>
    <row r="529" spans="1:20" x14ac:dyDescent="0.3">
      <c r="A529" s="2" t="s">
        <v>15</v>
      </c>
      <c r="B529" s="3" t="s">
        <v>15</v>
      </c>
      <c r="C529" s="3" t="s">
        <v>550</v>
      </c>
      <c r="D529" s="3" t="s">
        <v>15</v>
      </c>
      <c r="E529" s="3" t="s">
        <v>149</v>
      </c>
      <c r="F529" s="4">
        <v>46298</v>
      </c>
      <c r="G529" s="3" t="s">
        <v>50</v>
      </c>
      <c r="H529" s="6">
        <v>-55944.68</v>
      </c>
      <c r="I529" s="3" t="s">
        <v>19</v>
      </c>
      <c r="J529" s="3" t="s">
        <v>15</v>
      </c>
      <c r="K529" s="3" t="s">
        <v>15</v>
      </c>
      <c r="L529" s="3" t="s">
        <v>428</v>
      </c>
      <c r="M529" s="4">
        <v>46298</v>
      </c>
      <c r="N529" s="3" t="s">
        <v>551</v>
      </c>
      <c r="O529" s="3" t="s">
        <v>87</v>
      </c>
      <c r="P529" t="str">
        <f t="shared" si="8"/>
        <v>4500140006150</v>
      </c>
      <c r="Q529" s="7" cm="1">
        <f t="array" ref="Q529:S529">VLOOKUP(P529,Hoja1!C:F,{2,3,4},FALSE)</f>
        <v>46318</v>
      </c>
      <c r="R529" t="str">
        <v>C11</v>
      </c>
      <c r="S529" t="str">
        <v>1000009037 FELTRIN S.A</v>
      </c>
      <c r="T529" t="str">
        <f>VLOOKUP(P529,Hoja2!C:D,2,FALSE)</f>
        <v>PRODRIGUEZ</v>
      </c>
    </row>
    <row r="530" spans="1:20" x14ac:dyDescent="0.3">
      <c r="A530" s="2" t="s">
        <v>15</v>
      </c>
      <c r="B530" s="3" t="s">
        <v>15</v>
      </c>
      <c r="C530" s="3" t="s">
        <v>550</v>
      </c>
      <c r="D530" s="3" t="s">
        <v>15</v>
      </c>
      <c r="E530" s="3" t="s">
        <v>149</v>
      </c>
      <c r="F530" s="4">
        <v>46298</v>
      </c>
      <c r="G530" s="3" t="s">
        <v>50</v>
      </c>
      <c r="H530" s="6">
        <v>-168725.52</v>
      </c>
      <c r="I530" s="3" t="s">
        <v>19</v>
      </c>
      <c r="J530" s="3" t="s">
        <v>15</v>
      </c>
      <c r="K530" s="3" t="s">
        <v>15</v>
      </c>
      <c r="L530" s="3" t="s">
        <v>428</v>
      </c>
      <c r="M530" s="4">
        <v>46298</v>
      </c>
      <c r="N530" s="3" t="s">
        <v>551</v>
      </c>
      <c r="O530" s="3" t="s">
        <v>67</v>
      </c>
      <c r="P530" t="str">
        <f t="shared" si="8"/>
        <v>4500140006170</v>
      </c>
      <c r="Q530" s="7" cm="1">
        <f t="array" ref="Q530:S530">VLOOKUP(P530,Hoja1!C:F,{2,3,4},FALSE)</f>
        <v>46318</v>
      </c>
      <c r="R530" t="str">
        <v>C11</v>
      </c>
      <c r="S530" t="str">
        <v>1000009037 FELTRIN S.A</v>
      </c>
      <c r="T530" t="str">
        <f>VLOOKUP(P530,Hoja2!C:D,2,FALSE)</f>
        <v>PRODRIGUEZ</v>
      </c>
    </row>
    <row r="531" spans="1:20" x14ac:dyDescent="0.3">
      <c r="A531" s="2" t="s">
        <v>15</v>
      </c>
      <c r="B531" s="3" t="s">
        <v>15</v>
      </c>
      <c r="C531" s="3" t="s">
        <v>550</v>
      </c>
      <c r="D531" s="3" t="s">
        <v>15</v>
      </c>
      <c r="E531" s="3" t="s">
        <v>149</v>
      </c>
      <c r="F531" s="4">
        <v>46298</v>
      </c>
      <c r="G531" s="3" t="s">
        <v>50</v>
      </c>
      <c r="H531" s="6">
        <v>-14644.2</v>
      </c>
      <c r="I531" s="3" t="s">
        <v>19</v>
      </c>
      <c r="J531" s="3" t="s">
        <v>15</v>
      </c>
      <c r="K531" s="3" t="s">
        <v>15</v>
      </c>
      <c r="L531" s="3" t="s">
        <v>428</v>
      </c>
      <c r="M531" s="4">
        <v>46298</v>
      </c>
      <c r="N531" s="3" t="s">
        <v>551</v>
      </c>
      <c r="O531" s="3" t="s">
        <v>125</v>
      </c>
      <c r="P531" t="str">
        <f t="shared" si="8"/>
        <v>4500140006180</v>
      </c>
      <c r="Q531" s="7" cm="1">
        <f t="array" ref="Q531:S531">VLOOKUP(P531,Hoja1!C:F,{2,3,4},FALSE)</f>
        <v>46318</v>
      </c>
      <c r="R531" t="str">
        <v>C11</v>
      </c>
      <c r="S531" t="str">
        <v>1000009037 FELTRIN S.A</v>
      </c>
      <c r="T531" t="str">
        <f>VLOOKUP(P531,Hoja2!C:D,2,FALSE)</f>
        <v>PRODRIGUEZ</v>
      </c>
    </row>
    <row r="532" spans="1:20" x14ac:dyDescent="0.3">
      <c r="A532" s="2" t="s">
        <v>15</v>
      </c>
      <c r="B532" s="3" t="s">
        <v>15</v>
      </c>
      <c r="C532" s="3" t="s">
        <v>550</v>
      </c>
      <c r="D532" s="3" t="s">
        <v>15</v>
      </c>
      <c r="E532" s="3" t="s">
        <v>149</v>
      </c>
      <c r="F532" s="4">
        <v>46298</v>
      </c>
      <c r="G532" s="3" t="s">
        <v>50</v>
      </c>
      <c r="H532" s="6">
        <v>-2457.27</v>
      </c>
      <c r="I532" s="3" t="s">
        <v>19</v>
      </c>
      <c r="J532" s="3" t="s">
        <v>15</v>
      </c>
      <c r="K532" s="3" t="s">
        <v>15</v>
      </c>
      <c r="L532" s="3" t="s">
        <v>428</v>
      </c>
      <c r="M532" s="4">
        <v>46298</v>
      </c>
      <c r="N532" s="3" t="s">
        <v>551</v>
      </c>
      <c r="O532" s="3" t="s">
        <v>91</v>
      </c>
      <c r="P532" t="str">
        <f t="shared" si="8"/>
        <v>4500140006190</v>
      </c>
      <c r="Q532" s="7" cm="1">
        <f t="array" ref="Q532:S532">VLOOKUP(P532,Hoja1!C:F,{2,3,4},FALSE)</f>
        <v>46318</v>
      </c>
      <c r="R532" t="str">
        <v>C11</v>
      </c>
      <c r="S532" t="str">
        <v>1000009037 FELTRIN S.A</v>
      </c>
      <c r="T532" t="str">
        <f>VLOOKUP(P532,Hoja2!C:D,2,FALSE)</f>
        <v>PRODRIGUEZ</v>
      </c>
    </row>
    <row r="533" spans="1:20" x14ac:dyDescent="0.3">
      <c r="A533" s="2" t="s">
        <v>15</v>
      </c>
      <c r="B533" s="3" t="s">
        <v>15</v>
      </c>
      <c r="C533" s="3" t="s">
        <v>550</v>
      </c>
      <c r="D533" s="3" t="s">
        <v>15</v>
      </c>
      <c r="E533" s="3" t="s">
        <v>149</v>
      </c>
      <c r="F533" s="4">
        <v>46298</v>
      </c>
      <c r="G533" s="3" t="s">
        <v>50</v>
      </c>
      <c r="H533" s="6">
        <v>-963.7</v>
      </c>
      <c r="I533" s="3" t="s">
        <v>19</v>
      </c>
      <c r="J533" s="3" t="s">
        <v>15</v>
      </c>
      <c r="K533" s="3" t="s">
        <v>15</v>
      </c>
      <c r="L533" s="3" t="s">
        <v>428</v>
      </c>
      <c r="M533" s="4">
        <v>46298</v>
      </c>
      <c r="N533" s="3" t="s">
        <v>551</v>
      </c>
      <c r="O533" s="3" t="s">
        <v>92</v>
      </c>
      <c r="P533" t="str">
        <f t="shared" si="8"/>
        <v>4500140006200</v>
      </c>
      <c r="Q533" s="7" cm="1">
        <f t="array" ref="Q533:S533">VLOOKUP(P533,Hoja1!C:F,{2,3,4},FALSE)</f>
        <v>46318</v>
      </c>
      <c r="R533" t="str">
        <v>C11</v>
      </c>
      <c r="S533" t="str">
        <v>1000009037 FELTRIN S.A</v>
      </c>
      <c r="T533" t="str">
        <f>VLOOKUP(P533,Hoja2!C:D,2,FALSE)</f>
        <v>PRODRIGUEZ</v>
      </c>
    </row>
    <row r="534" spans="1:20" x14ac:dyDescent="0.3">
      <c r="A534" s="2" t="s">
        <v>15</v>
      </c>
      <c r="B534" s="3" t="s">
        <v>15</v>
      </c>
      <c r="C534" s="3" t="s">
        <v>550</v>
      </c>
      <c r="D534" s="3" t="s">
        <v>15</v>
      </c>
      <c r="E534" s="3" t="s">
        <v>149</v>
      </c>
      <c r="F534" s="4">
        <v>46298</v>
      </c>
      <c r="G534" s="3" t="s">
        <v>50</v>
      </c>
      <c r="H534" s="6">
        <v>-1942.2</v>
      </c>
      <c r="I534" s="3" t="s">
        <v>19</v>
      </c>
      <c r="J534" s="3" t="s">
        <v>15</v>
      </c>
      <c r="K534" s="3" t="s">
        <v>15</v>
      </c>
      <c r="L534" s="3" t="s">
        <v>428</v>
      </c>
      <c r="M534" s="4">
        <v>46298</v>
      </c>
      <c r="N534" s="3" t="s">
        <v>551</v>
      </c>
      <c r="O534" s="3" t="s">
        <v>44</v>
      </c>
      <c r="P534" t="str">
        <f t="shared" si="8"/>
        <v>4500140006220</v>
      </c>
      <c r="Q534" s="7" cm="1">
        <f t="array" ref="Q534:S534">VLOOKUP(P534,Hoja1!C:F,{2,3,4},FALSE)</f>
        <v>46318</v>
      </c>
      <c r="R534" t="str">
        <v>C11</v>
      </c>
      <c r="S534" t="str">
        <v>1000009037 FELTRIN S.A</v>
      </c>
      <c r="T534" t="str">
        <f>VLOOKUP(P534,Hoja2!C:D,2,FALSE)</f>
        <v>PRODRIGUEZ</v>
      </c>
    </row>
    <row r="535" spans="1:20" x14ac:dyDescent="0.3">
      <c r="A535" s="2" t="s">
        <v>15</v>
      </c>
      <c r="B535" s="3" t="s">
        <v>15</v>
      </c>
      <c r="C535" s="3" t="s">
        <v>550</v>
      </c>
      <c r="D535" s="3" t="s">
        <v>15</v>
      </c>
      <c r="E535" s="3" t="s">
        <v>149</v>
      </c>
      <c r="F535" s="4">
        <v>46298</v>
      </c>
      <c r="G535" s="3" t="s">
        <v>50</v>
      </c>
      <c r="H535" s="6">
        <v>-3716.34</v>
      </c>
      <c r="I535" s="3" t="s">
        <v>19</v>
      </c>
      <c r="J535" s="3" t="s">
        <v>15</v>
      </c>
      <c r="K535" s="3" t="s">
        <v>15</v>
      </c>
      <c r="L535" s="3" t="s">
        <v>428</v>
      </c>
      <c r="M535" s="4">
        <v>46298</v>
      </c>
      <c r="N535" s="3" t="s">
        <v>551</v>
      </c>
      <c r="O535" s="3" t="s">
        <v>126</v>
      </c>
      <c r="P535" t="str">
        <f t="shared" si="8"/>
        <v>4500140006230</v>
      </c>
      <c r="Q535" s="7" cm="1">
        <f t="array" ref="Q535:S535">VLOOKUP(P535,Hoja1!C:F,{2,3,4},FALSE)</f>
        <v>46318</v>
      </c>
      <c r="R535" t="str">
        <v>C11</v>
      </c>
      <c r="S535" t="str">
        <v>1000009037 FELTRIN S.A</v>
      </c>
      <c r="T535" t="str">
        <f>VLOOKUP(P535,Hoja2!C:D,2,FALSE)</f>
        <v>PRODRIGUEZ</v>
      </c>
    </row>
    <row r="536" spans="1:20" x14ac:dyDescent="0.3">
      <c r="A536" s="2" t="s">
        <v>15</v>
      </c>
      <c r="B536" s="3" t="s">
        <v>15</v>
      </c>
      <c r="C536" s="3" t="s">
        <v>550</v>
      </c>
      <c r="D536" s="3" t="s">
        <v>15</v>
      </c>
      <c r="E536" s="3" t="s">
        <v>149</v>
      </c>
      <c r="F536" s="4">
        <v>46298</v>
      </c>
      <c r="G536" s="3" t="s">
        <v>50</v>
      </c>
      <c r="H536" s="6">
        <v>-9830.34</v>
      </c>
      <c r="I536" s="3" t="s">
        <v>19</v>
      </c>
      <c r="J536" s="3" t="s">
        <v>15</v>
      </c>
      <c r="K536" s="3" t="s">
        <v>15</v>
      </c>
      <c r="L536" s="3" t="s">
        <v>428</v>
      </c>
      <c r="M536" s="4">
        <v>46298</v>
      </c>
      <c r="N536" s="3" t="s">
        <v>551</v>
      </c>
      <c r="O536" s="3" t="s">
        <v>128</v>
      </c>
      <c r="P536" t="str">
        <f t="shared" si="8"/>
        <v>4500140006250</v>
      </c>
      <c r="Q536" s="7" cm="1">
        <f t="array" ref="Q536:S536">VLOOKUP(P536,Hoja1!C:F,{2,3,4},FALSE)</f>
        <v>46318</v>
      </c>
      <c r="R536" t="str">
        <v>C11</v>
      </c>
      <c r="S536" t="str">
        <v>1000009037 FELTRIN S.A</v>
      </c>
      <c r="T536" t="str">
        <f>VLOOKUP(P536,Hoja2!C:D,2,FALSE)</f>
        <v>PRODRIGUEZ</v>
      </c>
    </row>
    <row r="537" spans="1:20" x14ac:dyDescent="0.3">
      <c r="A537" s="2" t="s">
        <v>15</v>
      </c>
      <c r="B537" s="3" t="s">
        <v>15</v>
      </c>
      <c r="C537" s="3" t="s">
        <v>550</v>
      </c>
      <c r="D537" s="3" t="s">
        <v>15</v>
      </c>
      <c r="E537" s="3" t="s">
        <v>149</v>
      </c>
      <c r="F537" s="4">
        <v>46298</v>
      </c>
      <c r="G537" s="3" t="s">
        <v>50</v>
      </c>
      <c r="H537" s="6">
        <v>-4616.66</v>
      </c>
      <c r="I537" s="3" t="s">
        <v>19</v>
      </c>
      <c r="J537" s="3" t="s">
        <v>15</v>
      </c>
      <c r="K537" s="3" t="s">
        <v>15</v>
      </c>
      <c r="L537" s="3" t="s">
        <v>428</v>
      </c>
      <c r="M537" s="4">
        <v>46298</v>
      </c>
      <c r="N537" s="3" t="s">
        <v>551</v>
      </c>
      <c r="O537" s="3" t="s">
        <v>129</v>
      </c>
      <c r="P537" t="str">
        <f t="shared" si="8"/>
        <v>4500140006260</v>
      </c>
      <c r="Q537" s="7" cm="1">
        <f t="array" ref="Q537:S537">VLOOKUP(P537,Hoja1!C:F,{2,3,4},FALSE)</f>
        <v>46318</v>
      </c>
      <c r="R537" t="str">
        <v>C11</v>
      </c>
      <c r="S537" t="str">
        <v>1000009037 FELTRIN S.A</v>
      </c>
      <c r="T537" t="str">
        <f>VLOOKUP(P537,Hoja2!C:D,2,FALSE)</f>
        <v>PRODRIGUEZ</v>
      </c>
    </row>
    <row r="538" spans="1:20" x14ac:dyDescent="0.3">
      <c r="A538" s="2" t="s">
        <v>15</v>
      </c>
      <c r="B538" s="3" t="s">
        <v>15</v>
      </c>
      <c r="C538" s="3" t="s">
        <v>550</v>
      </c>
      <c r="D538" s="3" t="s">
        <v>15</v>
      </c>
      <c r="E538" s="3" t="s">
        <v>149</v>
      </c>
      <c r="F538" s="4">
        <v>46298</v>
      </c>
      <c r="G538" s="3" t="s">
        <v>50</v>
      </c>
      <c r="H538" s="6">
        <v>-3658.38</v>
      </c>
      <c r="I538" s="3" t="s">
        <v>19</v>
      </c>
      <c r="J538" s="3" t="s">
        <v>15</v>
      </c>
      <c r="K538" s="3" t="s">
        <v>15</v>
      </c>
      <c r="L538" s="3" t="s">
        <v>428</v>
      </c>
      <c r="M538" s="4">
        <v>46298</v>
      </c>
      <c r="N538" s="3" t="s">
        <v>551</v>
      </c>
      <c r="O538" s="3" t="s">
        <v>130</v>
      </c>
      <c r="P538" t="str">
        <f t="shared" si="8"/>
        <v>4500140006270</v>
      </c>
      <c r="Q538" s="7" cm="1">
        <f t="array" ref="Q538:S538">VLOOKUP(P538,Hoja1!C:F,{2,3,4},FALSE)</f>
        <v>46318</v>
      </c>
      <c r="R538" t="str">
        <v>C11</v>
      </c>
      <c r="S538" t="str">
        <v>1000009037 FELTRIN S.A</v>
      </c>
      <c r="T538" t="str">
        <f>VLOOKUP(P538,Hoja2!C:D,2,FALSE)</f>
        <v>PRODRIGUEZ</v>
      </c>
    </row>
    <row r="539" spans="1:20" x14ac:dyDescent="0.3">
      <c r="A539" s="2" t="s">
        <v>15</v>
      </c>
      <c r="B539" s="3" t="s">
        <v>15</v>
      </c>
      <c r="C539" s="3" t="s">
        <v>550</v>
      </c>
      <c r="D539" s="3" t="s">
        <v>15</v>
      </c>
      <c r="E539" s="3" t="s">
        <v>149</v>
      </c>
      <c r="F539" s="4">
        <v>46298</v>
      </c>
      <c r="G539" s="3" t="s">
        <v>50</v>
      </c>
      <c r="H539" s="6">
        <v>-7316.76</v>
      </c>
      <c r="I539" s="3" t="s">
        <v>19</v>
      </c>
      <c r="J539" s="3" t="s">
        <v>15</v>
      </c>
      <c r="K539" s="3" t="s">
        <v>15</v>
      </c>
      <c r="L539" s="3" t="s">
        <v>428</v>
      </c>
      <c r="M539" s="4">
        <v>46298</v>
      </c>
      <c r="N539" s="3" t="s">
        <v>551</v>
      </c>
      <c r="O539" s="3" t="s">
        <v>131</v>
      </c>
      <c r="P539" t="str">
        <f t="shared" si="8"/>
        <v>4500140006280</v>
      </c>
      <c r="Q539" s="7" cm="1">
        <f t="array" ref="Q539:S539">VLOOKUP(P539,Hoja1!C:F,{2,3,4},FALSE)</f>
        <v>46318</v>
      </c>
      <c r="R539" t="str">
        <v>C11</v>
      </c>
      <c r="S539" t="str">
        <v>1000009037 FELTRIN S.A</v>
      </c>
      <c r="T539" t="str">
        <f>VLOOKUP(P539,Hoja2!C:D,2,FALSE)</f>
        <v>PRODRIGUEZ</v>
      </c>
    </row>
    <row r="540" spans="1:20" x14ac:dyDescent="0.3">
      <c r="A540" s="2" t="s">
        <v>15</v>
      </c>
      <c r="B540" s="3" t="s">
        <v>15</v>
      </c>
      <c r="C540" s="3" t="s">
        <v>550</v>
      </c>
      <c r="D540" s="3" t="s">
        <v>15</v>
      </c>
      <c r="E540" s="3" t="s">
        <v>149</v>
      </c>
      <c r="F540" s="4">
        <v>46298</v>
      </c>
      <c r="G540" s="3" t="s">
        <v>50</v>
      </c>
      <c r="H540" s="6">
        <v>-2887.8</v>
      </c>
      <c r="I540" s="3" t="s">
        <v>19</v>
      </c>
      <c r="J540" s="3" t="s">
        <v>15</v>
      </c>
      <c r="K540" s="3" t="s">
        <v>15</v>
      </c>
      <c r="L540" s="3" t="s">
        <v>428</v>
      </c>
      <c r="M540" s="4">
        <v>46298</v>
      </c>
      <c r="N540" s="3" t="s">
        <v>551</v>
      </c>
      <c r="O540" s="3" t="s">
        <v>132</v>
      </c>
      <c r="P540" t="str">
        <f t="shared" si="8"/>
        <v>4500140006290</v>
      </c>
      <c r="Q540" s="7" cm="1">
        <f t="array" ref="Q540:S540">VLOOKUP(P540,Hoja1!C:F,{2,3,4},FALSE)</f>
        <v>46318</v>
      </c>
      <c r="R540" t="str">
        <v>C11</v>
      </c>
      <c r="S540" t="str">
        <v>1000009037 FELTRIN S.A</v>
      </c>
      <c r="T540" t="str">
        <f>VLOOKUP(P540,Hoja2!C:D,2,FALSE)</f>
        <v>PRODRIGUEZ</v>
      </c>
    </row>
    <row r="541" spans="1:20" x14ac:dyDescent="0.3">
      <c r="A541" s="2" t="s">
        <v>15</v>
      </c>
      <c r="B541" s="3" t="s">
        <v>15</v>
      </c>
      <c r="C541" s="3" t="s">
        <v>552</v>
      </c>
      <c r="D541" s="3" t="s">
        <v>15</v>
      </c>
      <c r="E541" s="3" t="s">
        <v>149</v>
      </c>
      <c r="F541" s="4">
        <v>46298</v>
      </c>
      <c r="G541" s="3" t="s">
        <v>50</v>
      </c>
      <c r="H541" s="6">
        <v>-73851.539999999994</v>
      </c>
      <c r="I541" s="3" t="s">
        <v>19</v>
      </c>
      <c r="J541" s="3" t="s">
        <v>15</v>
      </c>
      <c r="K541" s="3" t="s">
        <v>15</v>
      </c>
      <c r="L541" s="3" t="s">
        <v>428</v>
      </c>
      <c r="M541" s="4">
        <v>46298</v>
      </c>
      <c r="N541" s="3" t="s">
        <v>429</v>
      </c>
      <c r="O541" s="3" t="s">
        <v>87</v>
      </c>
      <c r="P541" t="str">
        <f t="shared" si="8"/>
        <v>4500137794150</v>
      </c>
      <c r="Q541" s="7" cm="1">
        <f t="array" ref="Q541:S541">VLOOKUP(P541,Hoja1!C:F,{2,3,4},FALSE)</f>
        <v>46284</v>
      </c>
      <c r="R541" t="str">
        <v>C35</v>
      </c>
      <c r="S541" t="str">
        <v>1000009037 FELTRIN S.A</v>
      </c>
      <c r="T541" t="str">
        <f>VLOOKUP(P541,Hoja2!C:D,2,FALSE)</f>
        <v>FSOTO</v>
      </c>
    </row>
    <row r="542" spans="1:20" x14ac:dyDescent="0.3">
      <c r="A542" s="2" t="s">
        <v>15</v>
      </c>
      <c r="B542" s="3" t="s">
        <v>15</v>
      </c>
      <c r="C542" s="3" t="s">
        <v>553</v>
      </c>
      <c r="D542" s="3" t="s">
        <v>25</v>
      </c>
      <c r="E542" s="3" t="s">
        <v>149</v>
      </c>
      <c r="F542" s="4">
        <v>46298</v>
      </c>
      <c r="G542" s="3" t="s">
        <v>50</v>
      </c>
      <c r="H542" s="6">
        <v>-6507.82</v>
      </c>
      <c r="I542" s="3" t="s">
        <v>19</v>
      </c>
      <c r="J542" s="3" t="s">
        <v>15</v>
      </c>
      <c r="K542" s="3" t="s">
        <v>15</v>
      </c>
      <c r="L542" s="3" t="s">
        <v>428</v>
      </c>
      <c r="M542" s="4">
        <v>46298</v>
      </c>
      <c r="N542" s="3" t="s">
        <v>554</v>
      </c>
      <c r="O542" s="3" t="s">
        <v>28</v>
      </c>
      <c r="P542" t="str">
        <f t="shared" si="8"/>
        <v>450014001420</v>
      </c>
      <c r="Q542" s="7" cm="1">
        <f t="array" ref="Q542:S542">VLOOKUP(P542,Hoja1!C:F,{2,3,4},FALSE)</f>
        <v>46309</v>
      </c>
      <c r="R542" t="str">
        <v>C11</v>
      </c>
      <c r="S542" t="str">
        <v>1000009037 FELTRIN S.A</v>
      </c>
      <c r="T542" t="str">
        <f>VLOOKUP(P542,Hoja2!C:D,2,FALSE)</f>
        <v>PRODRIGUEZ</v>
      </c>
    </row>
    <row r="543" spans="1:20" x14ac:dyDescent="0.3">
      <c r="A543" s="2" t="s">
        <v>15</v>
      </c>
      <c r="B543" s="3" t="s">
        <v>15</v>
      </c>
      <c r="C543" s="3" t="s">
        <v>553</v>
      </c>
      <c r="D543" s="3" t="s">
        <v>25</v>
      </c>
      <c r="E543" s="3" t="s">
        <v>149</v>
      </c>
      <c r="F543" s="4">
        <v>46298</v>
      </c>
      <c r="G543" s="3" t="s">
        <v>50</v>
      </c>
      <c r="H543" s="6">
        <v>-6507.82</v>
      </c>
      <c r="I543" s="3" t="s">
        <v>19</v>
      </c>
      <c r="J543" s="3" t="s">
        <v>15</v>
      </c>
      <c r="K543" s="3" t="s">
        <v>15</v>
      </c>
      <c r="L543" s="3" t="s">
        <v>428</v>
      </c>
      <c r="M543" s="4">
        <v>46298</v>
      </c>
      <c r="N543" s="3" t="s">
        <v>554</v>
      </c>
      <c r="O543" s="3" t="s">
        <v>54</v>
      </c>
      <c r="P543" t="str">
        <f t="shared" si="8"/>
        <v>450014001430</v>
      </c>
      <c r="Q543" s="7" cm="1">
        <f t="array" ref="Q543:S543">VLOOKUP(P543,Hoja1!C:F,{2,3,4},FALSE)</f>
        <v>46309</v>
      </c>
      <c r="R543" t="str">
        <v>C11</v>
      </c>
      <c r="S543" t="str">
        <v>1000009037 FELTRIN S.A</v>
      </c>
      <c r="T543" t="str">
        <f>VLOOKUP(P543,Hoja2!C:D,2,FALSE)</f>
        <v>PRODRIGUEZ</v>
      </c>
    </row>
    <row r="544" spans="1:20" x14ac:dyDescent="0.3">
      <c r="A544" s="2" t="s">
        <v>15</v>
      </c>
      <c r="B544" s="3" t="s">
        <v>15</v>
      </c>
      <c r="C544" s="3" t="s">
        <v>555</v>
      </c>
      <c r="D544" s="3" t="s">
        <v>15</v>
      </c>
      <c r="E544" s="3" t="s">
        <v>149</v>
      </c>
      <c r="F544" s="4">
        <v>46298</v>
      </c>
      <c r="G544" s="3" t="s">
        <v>50</v>
      </c>
      <c r="H544" s="6">
        <v>-1678752</v>
      </c>
      <c r="I544" s="3" t="s">
        <v>19</v>
      </c>
      <c r="J544" s="3" t="s">
        <v>15</v>
      </c>
      <c r="K544" s="3" t="s">
        <v>15</v>
      </c>
      <c r="L544" s="3" t="s">
        <v>51</v>
      </c>
      <c r="M544" s="4">
        <v>46298</v>
      </c>
      <c r="N544" s="3" t="s">
        <v>556</v>
      </c>
      <c r="O544" s="3" t="s">
        <v>28</v>
      </c>
      <c r="P544" t="str">
        <f t="shared" si="8"/>
        <v>450013995420</v>
      </c>
      <c r="Q544" s="7" cm="1">
        <f t="array" ref="Q544:S544">VLOOKUP(P544,Hoja1!C:F,{2,3,4},FALSE)</f>
        <v>46317</v>
      </c>
      <c r="R544" t="str">
        <v>C27</v>
      </c>
      <c r="S544" t="str">
        <v>1000007607 TUKUY S.R.L.</v>
      </c>
      <c r="T544" t="str">
        <f>VLOOKUP(P544,Hoja2!C:D,2,FALSE)</f>
        <v>PRODRIGUEZ</v>
      </c>
    </row>
    <row r="545" spans="1:20" x14ac:dyDescent="0.3">
      <c r="A545" s="2" t="s">
        <v>15</v>
      </c>
      <c r="B545" s="3" t="s">
        <v>15</v>
      </c>
      <c r="C545" s="3" t="s">
        <v>557</v>
      </c>
      <c r="D545" s="3" t="s">
        <v>25</v>
      </c>
      <c r="E545" s="3" t="s">
        <v>149</v>
      </c>
      <c r="F545" s="4">
        <v>46298</v>
      </c>
      <c r="G545" s="3" t="s">
        <v>50</v>
      </c>
      <c r="H545" s="6">
        <v>-463817.98</v>
      </c>
      <c r="I545" s="3" t="s">
        <v>19</v>
      </c>
      <c r="J545" s="3" t="s">
        <v>15</v>
      </c>
      <c r="K545" s="3" t="s">
        <v>15</v>
      </c>
      <c r="L545" s="3" t="s">
        <v>189</v>
      </c>
      <c r="M545" s="4">
        <v>46298</v>
      </c>
      <c r="N545" s="3" t="s">
        <v>558</v>
      </c>
      <c r="O545" s="3" t="s">
        <v>32</v>
      </c>
      <c r="P545" t="str">
        <f t="shared" si="8"/>
        <v>450013958510</v>
      </c>
      <c r="Q545" s="7" cm="1">
        <f t="array" ref="Q545:S545">VLOOKUP(P545,Hoja1!C:F,{2,3,4},FALSE)</f>
        <v>46295</v>
      </c>
      <c r="R545" t="str">
        <v>C35</v>
      </c>
      <c r="S545" t="str">
        <v>1000007608 GRUPO H Y S S.R.L.</v>
      </c>
      <c r="T545" t="str">
        <f>VLOOKUP(P545,Hoja2!C:D,2,FALSE)</f>
        <v>FSOTO</v>
      </c>
    </row>
    <row r="546" spans="1:20" x14ac:dyDescent="0.3">
      <c r="A546" s="2" t="s">
        <v>15</v>
      </c>
      <c r="B546" s="3" t="s">
        <v>15</v>
      </c>
      <c r="C546" s="3" t="s">
        <v>557</v>
      </c>
      <c r="D546" s="3" t="s">
        <v>15</v>
      </c>
      <c r="E546" s="3" t="s">
        <v>149</v>
      </c>
      <c r="F546" s="4">
        <v>46298</v>
      </c>
      <c r="G546" s="3" t="s">
        <v>50</v>
      </c>
      <c r="H546" s="6">
        <v>-161817.22</v>
      </c>
      <c r="I546" s="3" t="s">
        <v>19</v>
      </c>
      <c r="J546" s="3" t="s">
        <v>15</v>
      </c>
      <c r="K546" s="3" t="s">
        <v>15</v>
      </c>
      <c r="L546" s="3" t="s">
        <v>189</v>
      </c>
      <c r="M546" s="4">
        <v>46298</v>
      </c>
      <c r="N546" s="3" t="s">
        <v>558</v>
      </c>
      <c r="O546" s="3" t="s">
        <v>28</v>
      </c>
      <c r="P546" t="str">
        <f t="shared" si="8"/>
        <v>450013958520</v>
      </c>
      <c r="Q546" s="7" cm="1">
        <f t="array" ref="Q546:S546">VLOOKUP(P546,Hoja1!C:F,{2,3,4},FALSE)</f>
        <v>46295</v>
      </c>
      <c r="R546" t="str">
        <v>C35</v>
      </c>
      <c r="S546" t="str">
        <v>1000007608 GRUPO H Y S S.R.L.</v>
      </c>
      <c r="T546" t="str">
        <f>VLOOKUP(P546,Hoja2!C:D,2,FALSE)</f>
        <v>FSOTO</v>
      </c>
    </row>
    <row r="547" spans="1:20" x14ac:dyDescent="0.3">
      <c r="A547" s="2" t="s">
        <v>15</v>
      </c>
      <c r="B547" s="3" t="s">
        <v>15</v>
      </c>
      <c r="C547" s="3" t="s">
        <v>557</v>
      </c>
      <c r="D547" s="3" t="s">
        <v>25</v>
      </c>
      <c r="E547" s="3" t="s">
        <v>149</v>
      </c>
      <c r="F547" s="4">
        <v>46298</v>
      </c>
      <c r="G547" s="3" t="s">
        <v>50</v>
      </c>
      <c r="H547" s="6">
        <v>-188743.5</v>
      </c>
      <c r="I547" s="3" t="s">
        <v>19</v>
      </c>
      <c r="J547" s="3" t="s">
        <v>15</v>
      </c>
      <c r="K547" s="3" t="s">
        <v>15</v>
      </c>
      <c r="L547" s="3" t="s">
        <v>189</v>
      </c>
      <c r="M547" s="4">
        <v>46298</v>
      </c>
      <c r="N547" s="3" t="s">
        <v>558</v>
      </c>
      <c r="O547" s="3" t="s">
        <v>54</v>
      </c>
      <c r="P547" t="str">
        <f t="shared" si="8"/>
        <v>450013958530</v>
      </c>
      <c r="Q547" s="7" cm="1">
        <f t="array" ref="Q547:S547">VLOOKUP(P547,Hoja1!C:F,{2,3,4},FALSE)</f>
        <v>46295</v>
      </c>
      <c r="R547" t="str">
        <v>C35</v>
      </c>
      <c r="S547" t="str">
        <v>1000007608 GRUPO H Y S S.R.L.</v>
      </c>
      <c r="T547" t="str">
        <f>VLOOKUP(P547,Hoja2!C:D,2,FALSE)</f>
        <v>FSOTO</v>
      </c>
    </row>
    <row r="548" spans="1:20" x14ac:dyDescent="0.3">
      <c r="A548" s="2" t="s">
        <v>15</v>
      </c>
      <c r="B548" s="3" t="s">
        <v>15</v>
      </c>
      <c r="C548" s="3" t="s">
        <v>559</v>
      </c>
      <c r="D548" s="3" t="s">
        <v>25</v>
      </c>
      <c r="E548" s="3" t="s">
        <v>149</v>
      </c>
      <c r="F548" s="4">
        <v>46298</v>
      </c>
      <c r="G548" s="3" t="s">
        <v>50</v>
      </c>
      <c r="H548" s="6">
        <v>-37190</v>
      </c>
      <c r="I548" s="3" t="s">
        <v>19</v>
      </c>
      <c r="J548" s="3" t="s">
        <v>15</v>
      </c>
      <c r="K548" s="3" t="s">
        <v>15</v>
      </c>
      <c r="L548" s="3" t="s">
        <v>560</v>
      </c>
      <c r="M548" s="4">
        <v>46298</v>
      </c>
      <c r="N548" s="3" t="s">
        <v>561</v>
      </c>
      <c r="O548" s="3" t="s">
        <v>32</v>
      </c>
      <c r="P548" t="str">
        <f t="shared" si="8"/>
        <v>450013958610</v>
      </c>
      <c r="Q548" s="7" cm="1">
        <f t="array" ref="Q548:S548">VLOOKUP(P548,Hoja1!C:F,{2,3,4},FALSE)</f>
        <v>46294</v>
      </c>
      <c r="R548" t="str">
        <v>C35</v>
      </c>
      <c r="S548" t="str">
        <v>1000006352 SUAREZ BASALO RICARDO FEDERICO</v>
      </c>
      <c r="T548" t="str">
        <f>VLOOKUP(P548,Hoja2!C:D,2,FALSE)</f>
        <v>FSOTO</v>
      </c>
    </row>
    <row r="549" spans="1:20" x14ac:dyDescent="0.3">
      <c r="A549" s="2" t="s">
        <v>15</v>
      </c>
      <c r="B549" s="3" t="s">
        <v>15</v>
      </c>
      <c r="C549" s="3" t="s">
        <v>562</v>
      </c>
      <c r="D549" s="3" t="s">
        <v>25</v>
      </c>
      <c r="E549" s="3" t="s">
        <v>149</v>
      </c>
      <c r="F549" s="4">
        <v>46298</v>
      </c>
      <c r="G549" s="3" t="s">
        <v>50</v>
      </c>
      <c r="H549" s="6">
        <v>-220000</v>
      </c>
      <c r="I549" s="3" t="s">
        <v>19</v>
      </c>
      <c r="J549" s="3" t="s">
        <v>15</v>
      </c>
      <c r="K549" s="3" t="s">
        <v>15</v>
      </c>
      <c r="L549" s="3" t="s">
        <v>323</v>
      </c>
      <c r="M549" s="4">
        <v>46298</v>
      </c>
      <c r="N549" s="3" t="s">
        <v>563</v>
      </c>
      <c r="O549" s="3" t="s">
        <v>32</v>
      </c>
      <c r="P549" t="str">
        <f t="shared" si="8"/>
        <v>450013967710</v>
      </c>
      <c r="Q549" s="7" cm="1">
        <f t="array" ref="Q549:S549">VLOOKUP(P549,Hoja1!C:F,{2,3,4},FALSE)</f>
        <v>46296</v>
      </c>
      <c r="R549" t="str">
        <v>C35</v>
      </c>
      <c r="S549" t="str">
        <v>1000001560 MARADONA PRADO ISABEL MARGARIT</v>
      </c>
      <c r="T549" t="str">
        <f>VLOOKUP(P549,Hoja2!C:D,2,FALSE)</f>
        <v>FSOTO</v>
      </c>
    </row>
    <row r="550" spans="1:20" x14ac:dyDescent="0.3">
      <c r="A550" s="2" t="s">
        <v>15</v>
      </c>
      <c r="B550" s="3" t="s">
        <v>15</v>
      </c>
      <c r="C550" s="3" t="s">
        <v>564</v>
      </c>
      <c r="D550" s="3" t="s">
        <v>15</v>
      </c>
      <c r="E550" s="3" t="s">
        <v>149</v>
      </c>
      <c r="F550" s="4">
        <v>46298</v>
      </c>
      <c r="G550" s="3" t="s">
        <v>50</v>
      </c>
      <c r="H550" s="6">
        <v>-1817084.5</v>
      </c>
      <c r="I550" s="3" t="s">
        <v>19</v>
      </c>
      <c r="J550" s="3" t="s">
        <v>15</v>
      </c>
      <c r="K550" s="3" t="s">
        <v>15</v>
      </c>
      <c r="L550" s="3" t="s">
        <v>70</v>
      </c>
      <c r="M550" s="4">
        <v>46298</v>
      </c>
      <c r="N550" s="3" t="s">
        <v>565</v>
      </c>
      <c r="O550" s="3" t="s">
        <v>32</v>
      </c>
      <c r="P550" t="str">
        <f t="shared" si="8"/>
        <v>450013877210</v>
      </c>
      <c r="Q550" s="7" cm="1">
        <f t="array" ref="Q550:S550">VLOOKUP(P550,Hoja1!C:F,{2,3,4},FALSE)</f>
        <v>46288</v>
      </c>
      <c r="R550" t="str">
        <v>C35</v>
      </c>
      <c r="S550" t="str">
        <v>1000011519 SALLAGO FEDERICO MIGUEL</v>
      </c>
      <c r="T550" t="str">
        <f>VLOOKUP(P550,Hoja2!C:D,2,FALSE)</f>
        <v>FSOTO</v>
      </c>
    </row>
    <row r="551" spans="1:20" x14ac:dyDescent="0.3">
      <c r="A551" s="2" t="s">
        <v>15</v>
      </c>
      <c r="B551" s="3" t="s">
        <v>15</v>
      </c>
      <c r="C551" s="3" t="s">
        <v>566</v>
      </c>
      <c r="D551" s="3" t="s">
        <v>25</v>
      </c>
      <c r="E551" s="3" t="s">
        <v>149</v>
      </c>
      <c r="F551" s="4">
        <v>46298</v>
      </c>
      <c r="G551" s="3" t="s">
        <v>50</v>
      </c>
      <c r="H551" s="6">
        <v>-63651</v>
      </c>
      <c r="I551" s="3" t="s">
        <v>19</v>
      </c>
      <c r="J551" s="3" t="s">
        <v>15</v>
      </c>
      <c r="K551" s="3" t="s">
        <v>15</v>
      </c>
      <c r="L551" s="3" t="s">
        <v>447</v>
      </c>
      <c r="M551" s="4">
        <v>46298</v>
      </c>
      <c r="N551" s="3" t="s">
        <v>567</v>
      </c>
      <c r="O551" s="3" t="s">
        <v>32</v>
      </c>
      <c r="P551" t="str">
        <f t="shared" si="8"/>
        <v>450013982510</v>
      </c>
      <c r="Q551" s="7" cm="1">
        <f t="array" ref="Q551:S551">VLOOKUP(P551,Hoja1!C:F,{2,3,4},FALSE)</f>
        <v>46303</v>
      </c>
      <c r="R551" t="str">
        <v>C35</v>
      </c>
      <c r="S551" t="str">
        <v>1000011893 BEVACQUA CARLOS IVAN LEONARDO</v>
      </c>
      <c r="T551" t="str">
        <f>VLOOKUP(P551,Hoja2!C:D,2,FALSE)</f>
        <v>FSOTO</v>
      </c>
    </row>
    <row r="552" spans="1:20" x14ac:dyDescent="0.3">
      <c r="A552" s="2" t="s">
        <v>15</v>
      </c>
      <c r="B552" s="3" t="s">
        <v>15</v>
      </c>
      <c r="C552" s="3" t="s">
        <v>568</v>
      </c>
      <c r="D552" s="3" t="s">
        <v>25</v>
      </c>
      <c r="E552" s="3" t="s">
        <v>149</v>
      </c>
      <c r="F552" s="4">
        <v>46299</v>
      </c>
      <c r="G552" s="3" t="s">
        <v>50</v>
      </c>
      <c r="H552" s="6">
        <v>-764155</v>
      </c>
      <c r="I552" s="3" t="s">
        <v>19</v>
      </c>
      <c r="J552" s="3" t="s">
        <v>15</v>
      </c>
      <c r="K552" s="3" t="s">
        <v>15</v>
      </c>
      <c r="L552" s="3" t="s">
        <v>341</v>
      </c>
      <c r="M552" s="4">
        <v>46299</v>
      </c>
      <c r="N552" s="3" t="s">
        <v>342</v>
      </c>
      <c r="O552" s="3" t="s">
        <v>32</v>
      </c>
      <c r="P552" t="str">
        <f t="shared" si="8"/>
        <v>450013271710</v>
      </c>
      <c r="Q552" s="7" cm="1">
        <f t="array" ref="Q552:S552">VLOOKUP(P552,Hoja1!C:F,{2,3,4},FALSE)</f>
        <v>46366</v>
      </c>
      <c r="R552" t="str">
        <v>C25</v>
      </c>
      <c r="S552" t="str">
        <v>1000008772 MORON ARANSAY OSCAR ALFREDO</v>
      </c>
      <c r="T552" t="str">
        <f>VLOOKUP(P552,Hoja2!C:D,2,FALSE)</f>
        <v>ALOPEZ</v>
      </c>
    </row>
    <row r="553" spans="1:20" x14ac:dyDescent="0.3">
      <c r="A553" s="2" t="s">
        <v>15</v>
      </c>
      <c r="B553" s="3" t="s">
        <v>15</v>
      </c>
      <c r="C553" s="3" t="s">
        <v>570</v>
      </c>
      <c r="D553" s="3" t="s">
        <v>15</v>
      </c>
      <c r="E553" s="3" t="s">
        <v>149</v>
      </c>
      <c r="F553" s="4">
        <v>46300</v>
      </c>
      <c r="G553" s="3" t="s">
        <v>50</v>
      </c>
      <c r="H553" s="6">
        <v>-191512</v>
      </c>
      <c r="I553" s="3" t="s">
        <v>19</v>
      </c>
      <c r="J553" s="3" t="s">
        <v>15</v>
      </c>
      <c r="K553" s="3" t="s">
        <v>15</v>
      </c>
      <c r="L553" s="3" t="s">
        <v>106</v>
      </c>
      <c r="M553" s="4">
        <v>46300</v>
      </c>
      <c r="N553" s="3" t="s">
        <v>571</v>
      </c>
      <c r="O553" s="3" t="s">
        <v>32</v>
      </c>
      <c r="P553" t="str">
        <f t="shared" si="8"/>
        <v>450013974810</v>
      </c>
      <c r="Q553" s="7" cm="1">
        <f t="array" ref="Q553:S553">VLOOKUP(P553,Hoja1!C:F,{2,3,4},FALSE)</f>
        <v>46305</v>
      </c>
      <c r="R553" t="str">
        <v>C29</v>
      </c>
      <c r="S553" t="str">
        <v>1000001154 TRAVEL FILTERS SRL</v>
      </c>
      <c r="T553" t="str">
        <f>VLOOKUP(P553,Hoja2!C:D,2,FALSE)</f>
        <v>RPEREZ</v>
      </c>
    </row>
    <row r="554" spans="1:20" x14ac:dyDescent="0.3">
      <c r="A554" s="2" t="s">
        <v>15</v>
      </c>
      <c r="B554" s="3" t="s">
        <v>15</v>
      </c>
      <c r="C554" s="3" t="s">
        <v>570</v>
      </c>
      <c r="D554" s="3" t="s">
        <v>15</v>
      </c>
      <c r="E554" s="3" t="s">
        <v>149</v>
      </c>
      <c r="F554" s="4">
        <v>46300</v>
      </c>
      <c r="G554" s="3" t="s">
        <v>50</v>
      </c>
      <c r="H554" s="6">
        <v>-249151</v>
      </c>
      <c r="I554" s="3" t="s">
        <v>19</v>
      </c>
      <c r="J554" s="3" t="s">
        <v>15</v>
      </c>
      <c r="K554" s="3" t="s">
        <v>15</v>
      </c>
      <c r="L554" s="3" t="s">
        <v>106</v>
      </c>
      <c r="M554" s="4">
        <v>46300</v>
      </c>
      <c r="N554" s="3" t="s">
        <v>571</v>
      </c>
      <c r="O554" s="3" t="s">
        <v>28</v>
      </c>
      <c r="P554" t="str">
        <f t="shared" si="8"/>
        <v>450013974820</v>
      </c>
      <c r="Q554" s="7" cm="1">
        <f t="array" ref="Q554:S554">VLOOKUP(P554,Hoja1!C:F,{2,3,4},FALSE)</f>
        <v>46305</v>
      </c>
      <c r="R554" t="str">
        <v>C29</v>
      </c>
      <c r="S554" t="str">
        <v>1000001154 TRAVEL FILTERS SRL</v>
      </c>
      <c r="T554" t="str">
        <f>VLOOKUP(P554,Hoja2!C:D,2,FALSE)</f>
        <v>RPEREZ</v>
      </c>
    </row>
    <row r="555" spans="1:20" x14ac:dyDescent="0.3">
      <c r="A555" s="2" t="s">
        <v>15</v>
      </c>
      <c r="B555" s="3" t="s">
        <v>15</v>
      </c>
      <c r="C555" s="3" t="s">
        <v>572</v>
      </c>
      <c r="D555" s="3" t="s">
        <v>25</v>
      </c>
      <c r="E555" s="3" t="s">
        <v>149</v>
      </c>
      <c r="F555" s="4">
        <v>46300</v>
      </c>
      <c r="G555" s="3" t="s">
        <v>50</v>
      </c>
      <c r="H555" s="6">
        <v>-81249.2</v>
      </c>
      <c r="I555" s="3" t="s">
        <v>19</v>
      </c>
      <c r="J555" s="3" t="s">
        <v>15</v>
      </c>
      <c r="K555" s="3" t="s">
        <v>15</v>
      </c>
      <c r="L555" s="3" t="s">
        <v>73</v>
      </c>
      <c r="M555" s="4">
        <v>46300</v>
      </c>
      <c r="N555" s="3" t="s">
        <v>573</v>
      </c>
      <c r="O555" s="3" t="s">
        <v>54</v>
      </c>
      <c r="P555" t="str">
        <f t="shared" si="8"/>
        <v>450013914430</v>
      </c>
      <c r="Q555" s="7" cm="1">
        <f t="array" ref="Q555:S555">VLOOKUP(P555,Hoja1!C:F,{2,3,4},FALSE)</f>
        <v>46293</v>
      </c>
      <c r="R555" t="str">
        <v>C35</v>
      </c>
      <c r="S555" t="str">
        <v>1000007451 FLORES CARLOS FELIPE Y OTROS S H</v>
      </c>
      <c r="T555" t="str">
        <f>VLOOKUP(P555,Hoja2!C:D,2,FALSE)</f>
        <v>FSOTO</v>
      </c>
    </row>
    <row r="556" spans="1:20" x14ac:dyDescent="0.3">
      <c r="A556" s="2" t="s">
        <v>15</v>
      </c>
      <c r="B556" s="3" t="s">
        <v>15</v>
      </c>
      <c r="C556" s="3" t="s">
        <v>574</v>
      </c>
      <c r="D556" s="3" t="s">
        <v>25</v>
      </c>
      <c r="E556" s="3" t="s">
        <v>149</v>
      </c>
      <c r="F556" s="4">
        <v>46300</v>
      </c>
      <c r="G556" s="3" t="s">
        <v>50</v>
      </c>
      <c r="H556" s="6">
        <v>-398208</v>
      </c>
      <c r="I556" s="3" t="s">
        <v>19</v>
      </c>
      <c r="J556" s="3" t="s">
        <v>15</v>
      </c>
      <c r="K556" s="3" t="s">
        <v>15</v>
      </c>
      <c r="L556" s="3" t="s">
        <v>73</v>
      </c>
      <c r="M556" s="4">
        <v>46300</v>
      </c>
      <c r="N556" s="3" t="s">
        <v>575</v>
      </c>
      <c r="O556" s="3" t="s">
        <v>83</v>
      </c>
      <c r="P556" t="str">
        <f t="shared" si="8"/>
        <v>450013929090</v>
      </c>
      <c r="Q556" s="7" cm="1">
        <f t="array" ref="Q556:S556">VLOOKUP(P556,Hoja1!C:F,{2,3,4},FALSE)</f>
        <v>46295</v>
      </c>
      <c r="R556" t="str">
        <v>C27</v>
      </c>
      <c r="S556" t="str">
        <v>1000007451 FLORES CARLOS FELIPE Y OTROS S H</v>
      </c>
      <c r="T556" t="str">
        <f>VLOOKUP(P556,Hoja2!C:D,2,FALSE)</f>
        <v>PRODRIGUEZ</v>
      </c>
    </row>
    <row r="557" spans="1:20" x14ac:dyDescent="0.3">
      <c r="A557" s="2" t="s">
        <v>15</v>
      </c>
      <c r="B557" s="3" t="s">
        <v>15</v>
      </c>
      <c r="C557" s="3" t="s">
        <v>576</v>
      </c>
      <c r="D557" s="3" t="s">
        <v>25</v>
      </c>
      <c r="E557" s="3" t="s">
        <v>149</v>
      </c>
      <c r="F557" s="4">
        <v>46300</v>
      </c>
      <c r="G557" s="3" t="s">
        <v>50</v>
      </c>
      <c r="H557" s="6">
        <v>-100820.72</v>
      </c>
      <c r="I557" s="3" t="s">
        <v>19</v>
      </c>
      <c r="J557" s="3" t="s">
        <v>15</v>
      </c>
      <c r="K557" s="3" t="s">
        <v>15</v>
      </c>
      <c r="L557" s="3" t="s">
        <v>73</v>
      </c>
      <c r="M557" s="4">
        <v>46300</v>
      </c>
      <c r="N557" s="3" t="s">
        <v>509</v>
      </c>
      <c r="O557" s="3" t="s">
        <v>91</v>
      </c>
      <c r="P557" t="str">
        <f t="shared" si="8"/>
        <v>4500139775190</v>
      </c>
      <c r="Q557" s="7" cm="1">
        <f t="array" ref="Q557:S557">VLOOKUP(P557,Hoja1!C:F,{2,3,4},FALSE)</f>
        <v>46301</v>
      </c>
      <c r="R557" t="str">
        <v>C35</v>
      </c>
      <c r="S557" t="str">
        <v>1000007451 FLORES CARLOS FELIPE Y OTROS S H</v>
      </c>
      <c r="T557" t="str">
        <f>VLOOKUP(P557,Hoja2!C:D,2,FALSE)</f>
        <v>FSOTO</v>
      </c>
    </row>
    <row r="558" spans="1:20" x14ac:dyDescent="0.3">
      <c r="A558" s="2" t="s">
        <v>15</v>
      </c>
      <c r="B558" s="3" t="s">
        <v>15</v>
      </c>
      <c r="C558" s="3" t="s">
        <v>577</v>
      </c>
      <c r="D558" s="3" t="s">
        <v>25</v>
      </c>
      <c r="E558" s="3" t="s">
        <v>149</v>
      </c>
      <c r="F558" s="4">
        <v>46300</v>
      </c>
      <c r="G558" s="3" t="s">
        <v>50</v>
      </c>
      <c r="H558" s="6">
        <v>-785124</v>
      </c>
      <c r="I558" s="3" t="s">
        <v>19</v>
      </c>
      <c r="J558" s="3" t="s">
        <v>15</v>
      </c>
      <c r="K558" s="3" t="s">
        <v>15</v>
      </c>
      <c r="L558" s="3" t="s">
        <v>112</v>
      </c>
      <c r="M558" s="4">
        <v>46300</v>
      </c>
      <c r="N558" s="3" t="s">
        <v>578</v>
      </c>
      <c r="O558" s="3" t="s">
        <v>32</v>
      </c>
      <c r="P558" t="str">
        <f t="shared" si="8"/>
        <v>450013982210</v>
      </c>
      <c r="Q558" s="7" cm="1">
        <f t="array" ref="Q558:S558">VLOOKUP(P558,Hoja1!C:F,{2,3,4},FALSE)</f>
        <v>46300</v>
      </c>
      <c r="R558" t="str">
        <v>C35</v>
      </c>
      <c r="S558" t="str">
        <v>1000010025 RAMOS MARIO SEBASTIAN</v>
      </c>
      <c r="T558" t="str">
        <f>VLOOKUP(P558,Hoja2!C:D,2,FALSE)</f>
        <v>FSOTO</v>
      </c>
    </row>
    <row r="559" spans="1:20" x14ac:dyDescent="0.3">
      <c r="A559" s="2" t="s">
        <v>15</v>
      </c>
      <c r="B559" s="3" t="s">
        <v>15</v>
      </c>
      <c r="C559" s="3" t="s">
        <v>580</v>
      </c>
      <c r="D559" s="3" t="s">
        <v>25</v>
      </c>
      <c r="E559" s="3" t="s">
        <v>149</v>
      </c>
      <c r="F559" s="4">
        <v>46300</v>
      </c>
      <c r="G559" s="3" t="s">
        <v>50</v>
      </c>
      <c r="H559" s="6">
        <v>-28595.040000000001</v>
      </c>
      <c r="I559" s="3" t="s">
        <v>19</v>
      </c>
      <c r="J559" s="3" t="s">
        <v>15</v>
      </c>
      <c r="K559" s="3" t="s">
        <v>15</v>
      </c>
      <c r="L559" s="3" t="s">
        <v>560</v>
      </c>
      <c r="M559" s="4">
        <v>46300</v>
      </c>
      <c r="N559" s="3" t="s">
        <v>581</v>
      </c>
      <c r="O559" s="3" t="s">
        <v>32</v>
      </c>
      <c r="P559" t="str">
        <f t="shared" si="8"/>
        <v>450013942110</v>
      </c>
      <c r="Q559" s="7" cm="1">
        <f t="array" ref="Q559:S559">VLOOKUP(P559,Hoja1!C:F,{2,3,4},FALSE)</f>
        <v>46297</v>
      </c>
      <c r="R559" t="str">
        <v>C27</v>
      </c>
      <c r="S559" t="str">
        <v>1000006352 SUAREZ BASALO RICARDO FEDERICO</v>
      </c>
      <c r="T559" t="str">
        <f>VLOOKUP(P559,Hoja2!C:D,2,FALSE)</f>
        <v>PRODRIGUEZ</v>
      </c>
    </row>
    <row r="560" spans="1:20" x14ac:dyDescent="0.3">
      <c r="A560" s="2" t="s">
        <v>15</v>
      </c>
      <c r="B560" s="3" t="s">
        <v>15</v>
      </c>
      <c r="C560" s="3" t="s">
        <v>741</v>
      </c>
      <c r="D560" s="3" t="s">
        <v>15</v>
      </c>
      <c r="E560" s="3" t="s">
        <v>149</v>
      </c>
      <c r="F560" s="4">
        <v>46300</v>
      </c>
      <c r="G560" s="3" t="s">
        <v>50</v>
      </c>
      <c r="H560" s="6">
        <v>-2409645</v>
      </c>
      <c r="I560" s="3" t="s">
        <v>19</v>
      </c>
      <c r="J560" s="3" t="s">
        <v>15</v>
      </c>
      <c r="K560" s="3" t="s">
        <v>15</v>
      </c>
      <c r="L560" s="3" t="s">
        <v>257</v>
      </c>
      <c r="M560" s="4">
        <v>46300</v>
      </c>
      <c r="N560" s="3" t="s">
        <v>742</v>
      </c>
      <c r="O560" s="3" t="s">
        <v>32</v>
      </c>
      <c r="P560" t="str">
        <f t="shared" si="8"/>
        <v>450013978110</v>
      </c>
      <c r="Q560" s="7" cm="1">
        <f t="array" ref="Q560:S560">VLOOKUP(P560,Hoja1!C:F,{2,3,4},FALSE)</f>
        <v>46315</v>
      </c>
      <c r="R560" t="str">
        <v>C29</v>
      </c>
      <c r="S560" t="str">
        <v>1000000062 FINNING ARGENTINA S.A.</v>
      </c>
      <c r="T560" t="str">
        <f>VLOOKUP(P560,Hoja2!C:D,2,FALSE)</f>
        <v>RPEREZ</v>
      </c>
    </row>
    <row r="561" spans="1:20" x14ac:dyDescent="0.3">
      <c r="A561" s="2" t="s">
        <v>15</v>
      </c>
      <c r="B561" s="3" t="s">
        <v>15</v>
      </c>
      <c r="C561" s="3" t="s">
        <v>743</v>
      </c>
      <c r="D561" s="3" t="s">
        <v>15</v>
      </c>
      <c r="E561" s="3" t="s">
        <v>149</v>
      </c>
      <c r="F561" s="4">
        <v>46300</v>
      </c>
      <c r="G561" s="3" t="s">
        <v>50</v>
      </c>
      <c r="H561" s="6">
        <v>-129018</v>
      </c>
      <c r="I561" s="3" t="s">
        <v>19</v>
      </c>
      <c r="J561" s="3" t="s">
        <v>15</v>
      </c>
      <c r="K561" s="3" t="s">
        <v>15</v>
      </c>
      <c r="L561" s="3" t="s">
        <v>141</v>
      </c>
      <c r="M561" s="4">
        <v>46300</v>
      </c>
      <c r="N561" s="3" t="s">
        <v>744</v>
      </c>
      <c r="O561" s="3" t="s">
        <v>32</v>
      </c>
      <c r="P561" t="str">
        <f t="shared" si="8"/>
        <v>450013987010</v>
      </c>
      <c r="Q561" s="7" cm="1">
        <f t="array" ref="Q561:S561">VLOOKUP(P561,Hoja1!C:F,{2,3,4},FALSE)</f>
        <v>46304</v>
      </c>
      <c r="R561" t="str">
        <v>C22</v>
      </c>
      <c r="S561" t="str">
        <v>1000000295 BOLLINI S.A</v>
      </c>
      <c r="T561" t="str">
        <f>VLOOKUP(P561,Hoja2!C:D,2,FALSE)</f>
        <v>GJULIANI</v>
      </c>
    </row>
    <row r="562" spans="1:20" x14ac:dyDescent="0.3">
      <c r="A562" s="2" t="s">
        <v>15</v>
      </c>
      <c r="B562" s="3" t="s">
        <v>15</v>
      </c>
      <c r="C562" s="3" t="s">
        <v>743</v>
      </c>
      <c r="D562" s="3" t="s">
        <v>15</v>
      </c>
      <c r="E562" s="3" t="s">
        <v>149</v>
      </c>
      <c r="F562" s="4">
        <v>46300</v>
      </c>
      <c r="G562" s="3" t="s">
        <v>50</v>
      </c>
      <c r="H562" s="6">
        <v>-129018</v>
      </c>
      <c r="I562" s="3" t="s">
        <v>19</v>
      </c>
      <c r="J562" s="3" t="s">
        <v>15</v>
      </c>
      <c r="K562" s="3" t="s">
        <v>15</v>
      </c>
      <c r="L562" s="3" t="s">
        <v>141</v>
      </c>
      <c r="M562" s="4">
        <v>46300</v>
      </c>
      <c r="N562" s="3" t="s">
        <v>744</v>
      </c>
      <c r="O562" s="3" t="s">
        <v>28</v>
      </c>
      <c r="P562" t="str">
        <f t="shared" si="8"/>
        <v>450013987020</v>
      </c>
      <c r="Q562" s="7" cm="1">
        <f t="array" ref="Q562:S562">VLOOKUP(P562,Hoja1!C:F,{2,3,4},FALSE)</f>
        <v>46304</v>
      </c>
      <c r="R562" t="str">
        <v>C22</v>
      </c>
      <c r="S562" t="str">
        <v>1000000295 BOLLINI S.A</v>
      </c>
      <c r="T562" t="str">
        <f>VLOOKUP(P562,Hoja2!C:D,2,FALSE)</f>
        <v>GJULIANI</v>
      </c>
    </row>
    <row r="563" spans="1:20" x14ac:dyDescent="0.3">
      <c r="A563" s="2" t="s">
        <v>15</v>
      </c>
      <c r="B563" s="3" t="s">
        <v>15</v>
      </c>
      <c r="C563" s="3" t="s">
        <v>743</v>
      </c>
      <c r="D563" s="3" t="s">
        <v>15</v>
      </c>
      <c r="E563" s="3" t="s">
        <v>149</v>
      </c>
      <c r="F563" s="4">
        <v>46300</v>
      </c>
      <c r="G563" s="3" t="s">
        <v>50</v>
      </c>
      <c r="H563" s="6">
        <v>-129018</v>
      </c>
      <c r="I563" s="3" t="s">
        <v>19</v>
      </c>
      <c r="J563" s="3" t="s">
        <v>15</v>
      </c>
      <c r="K563" s="3" t="s">
        <v>15</v>
      </c>
      <c r="L563" s="3" t="s">
        <v>141</v>
      </c>
      <c r="M563" s="4">
        <v>46300</v>
      </c>
      <c r="N563" s="3" t="s">
        <v>744</v>
      </c>
      <c r="O563" s="3" t="s">
        <v>54</v>
      </c>
      <c r="P563" t="str">
        <f t="shared" si="8"/>
        <v>450013987030</v>
      </c>
      <c r="Q563" s="7" cm="1">
        <f t="array" ref="Q563:S563">VLOOKUP(P563,Hoja1!C:F,{2,3,4},FALSE)</f>
        <v>46304</v>
      </c>
      <c r="R563" t="str">
        <v>C22</v>
      </c>
      <c r="S563" t="str">
        <v>1000000295 BOLLINI S.A</v>
      </c>
    </row>
    <row r="564" spans="1:20" x14ac:dyDescent="0.3">
      <c r="A564" s="2" t="s">
        <v>15</v>
      </c>
      <c r="B564" s="3" t="s">
        <v>15</v>
      </c>
      <c r="C564" s="3" t="s">
        <v>743</v>
      </c>
      <c r="D564" s="3" t="s">
        <v>15</v>
      </c>
      <c r="E564" s="3" t="s">
        <v>149</v>
      </c>
      <c r="F564" s="4">
        <v>46300</v>
      </c>
      <c r="G564" s="3" t="s">
        <v>50</v>
      </c>
      <c r="H564" s="6">
        <v>-25803.599999999999</v>
      </c>
      <c r="I564" s="3" t="s">
        <v>19</v>
      </c>
      <c r="J564" s="3" t="s">
        <v>15</v>
      </c>
      <c r="K564" s="3" t="s">
        <v>15</v>
      </c>
      <c r="L564" s="3" t="s">
        <v>141</v>
      </c>
      <c r="M564" s="4">
        <v>46300</v>
      </c>
      <c r="N564" s="3" t="s">
        <v>744</v>
      </c>
      <c r="O564" s="3" t="s">
        <v>23</v>
      </c>
      <c r="P564" t="str">
        <f t="shared" si="8"/>
        <v>450013987040</v>
      </c>
      <c r="Q564" s="7" cm="1">
        <f t="array" ref="Q564:S564">VLOOKUP(P564,Hoja1!C:F,{2,3,4},FALSE)</f>
        <v>46304</v>
      </c>
      <c r="R564" t="str">
        <v>C22</v>
      </c>
      <c r="S564" t="str">
        <v>1000000295 BOLLINI S.A</v>
      </c>
    </row>
    <row r="565" spans="1:20" x14ac:dyDescent="0.3">
      <c r="A565" s="2" t="s">
        <v>15</v>
      </c>
      <c r="B565" s="3" t="s">
        <v>15</v>
      </c>
      <c r="C565" s="3" t="s">
        <v>743</v>
      </c>
      <c r="D565" s="3" t="s">
        <v>25</v>
      </c>
      <c r="E565" s="3" t="s">
        <v>149</v>
      </c>
      <c r="F565" s="4">
        <v>46300</v>
      </c>
      <c r="G565" s="3" t="s">
        <v>50</v>
      </c>
      <c r="H565" s="6">
        <v>-33456.699999999997</v>
      </c>
      <c r="I565" s="3" t="s">
        <v>19</v>
      </c>
      <c r="J565" s="3" t="s">
        <v>15</v>
      </c>
      <c r="K565" s="3" t="s">
        <v>15</v>
      </c>
      <c r="L565" s="3" t="s">
        <v>141</v>
      </c>
      <c r="M565" s="4">
        <v>46300</v>
      </c>
      <c r="N565" s="3" t="s">
        <v>744</v>
      </c>
      <c r="O565" s="3" t="s">
        <v>55</v>
      </c>
      <c r="P565" t="str">
        <f t="shared" si="8"/>
        <v>450013987050</v>
      </c>
      <c r="Q565" s="7" cm="1">
        <f t="array" ref="Q565:S565">VLOOKUP(P565,Hoja1!C:F,{2,3,4},FALSE)</f>
        <v>46304</v>
      </c>
      <c r="R565" t="str">
        <v>C22</v>
      </c>
      <c r="S565" t="str">
        <v>1000000295 BOLLINI S.A</v>
      </c>
    </row>
    <row r="566" spans="1:20" x14ac:dyDescent="0.3">
      <c r="A566" s="2" t="s">
        <v>15</v>
      </c>
      <c r="B566" s="3" t="s">
        <v>15</v>
      </c>
      <c r="C566" s="3" t="s">
        <v>745</v>
      </c>
      <c r="D566" s="3" t="s">
        <v>25</v>
      </c>
      <c r="E566" s="3" t="s">
        <v>149</v>
      </c>
      <c r="F566" s="4">
        <v>46300</v>
      </c>
      <c r="G566" s="3" t="s">
        <v>50</v>
      </c>
      <c r="H566" s="6">
        <v>-453720</v>
      </c>
      <c r="I566" s="3" t="s">
        <v>19</v>
      </c>
      <c r="J566" s="3" t="s">
        <v>15</v>
      </c>
      <c r="K566" s="3" t="s">
        <v>15</v>
      </c>
      <c r="L566" s="3" t="s">
        <v>141</v>
      </c>
      <c r="M566" s="4">
        <v>46300</v>
      </c>
      <c r="N566" s="3" t="s">
        <v>746</v>
      </c>
      <c r="O566" s="3" t="s">
        <v>32</v>
      </c>
      <c r="P566" t="str">
        <f t="shared" si="8"/>
        <v>450013940610</v>
      </c>
      <c r="Q566" s="7" cm="1">
        <f t="array" ref="Q566:S566">VLOOKUP(P566,Hoja1!C:F,{2,3,4},FALSE)</f>
        <v>46297</v>
      </c>
      <c r="R566" t="str">
        <v>C35</v>
      </c>
      <c r="S566" t="str">
        <v>1000000295 BOLLINI S.A</v>
      </c>
    </row>
    <row r="567" spans="1:20" x14ac:dyDescent="0.3">
      <c r="A567" s="2" t="s">
        <v>15</v>
      </c>
      <c r="B567" s="3" t="s">
        <v>15</v>
      </c>
      <c r="C567" s="3" t="s">
        <v>745</v>
      </c>
      <c r="D567" s="3" t="s">
        <v>25</v>
      </c>
      <c r="E567" s="3" t="s">
        <v>149</v>
      </c>
      <c r="F567" s="4">
        <v>46300</v>
      </c>
      <c r="G567" s="3" t="s">
        <v>50</v>
      </c>
      <c r="H567" s="6">
        <v>-102920</v>
      </c>
      <c r="I567" s="3" t="s">
        <v>19</v>
      </c>
      <c r="J567" s="3" t="s">
        <v>15</v>
      </c>
      <c r="K567" s="3" t="s">
        <v>15</v>
      </c>
      <c r="L567" s="3" t="s">
        <v>141</v>
      </c>
      <c r="M567" s="4">
        <v>46300</v>
      </c>
      <c r="N567" s="3" t="s">
        <v>746</v>
      </c>
      <c r="O567" s="3" t="s">
        <v>28</v>
      </c>
      <c r="P567" t="str">
        <f t="shared" si="8"/>
        <v>450013940620</v>
      </c>
      <c r="Q567" s="7" cm="1">
        <f t="array" ref="Q567:S567">VLOOKUP(P567,Hoja1!C:F,{2,3,4},FALSE)</f>
        <v>46297</v>
      </c>
      <c r="R567" t="str">
        <v>C35</v>
      </c>
      <c r="S567" t="str">
        <v>1000000295 BOLLINI S.A</v>
      </c>
    </row>
    <row r="568" spans="1:20" x14ac:dyDescent="0.3">
      <c r="A568" s="2" t="s">
        <v>15</v>
      </c>
      <c r="B568" s="3" t="s">
        <v>15</v>
      </c>
      <c r="C568" s="3" t="s">
        <v>745</v>
      </c>
      <c r="D568" s="3" t="s">
        <v>25</v>
      </c>
      <c r="E568" s="3" t="s">
        <v>149</v>
      </c>
      <c r="F568" s="4">
        <v>46300</v>
      </c>
      <c r="G568" s="3" t="s">
        <v>50</v>
      </c>
      <c r="H568" s="6">
        <v>-12990</v>
      </c>
      <c r="I568" s="3" t="s">
        <v>19</v>
      </c>
      <c r="J568" s="3" t="s">
        <v>15</v>
      </c>
      <c r="K568" s="3" t="s">
        <v>15</v>
      </c>
      <c r="L568" s="3" t="s">
        <v>141</v>
      </c>
      <c r="M568" s="4">
        <v>46300</v>
      </c>
      <c r="N568" s="3" t="s">
        <v>746</v>
      </c>
      <c r="O568" s="3" t="s">
        <v>54</v>
      </c>
      <c r="P568" t="str">
        <f t="shared" si="8"/>
        <v>450013940630</v>
      </c>
      <c r="Q568" s="7" cm="1">
        <f t="array" ref="Q568:S568">VLOOKUP(P568,Hoja1!C:F,{2,3,4},FALSE)</f>
        <v>46297</v>
      </c>
      <c r="R568" t="str">
        <v>C35</v>
      </c>
      <c r="S568" t="str">
        <v>1000000295 BOLLINI S.A</v>
      </c>
    </row>
    <row r="569" spans="1:20" x14ac:dyDescent="0.3">
      <c r="A569" s="2" t="s">
        <v>15</v>
      </c>
      <c r="B569" s="3" t="s">
        <v>15</v>
      </c>
      <c r="C569" s="3" t="s">
        <v>745</v>
      </c>
      <c r="D569" s="3" t="s">
        <v>25</v>
      </c>
      <c r="E569" s="3" t="s">
        <v>149</v>
      </c>
      <c r="F569" s="4">
        <v>46300</v>
      </c>
      <c r="G569" s="3" t="s">
        <v>50</v>
      </c>
      <c r="H569" s="6">
        <v>-25282.799999999999</v>
      </c>
      <c r="I569" s="3" t="s">
        <v>19</v>
      </c>
      <c r="J569" s="3" t="s">
        <v>15</v>
      </c>
      <c r="K569" s="3" t="s">
        <v>15</v>
      </c>
      <c r="L569" s="3" t="s">
        <v>141</v>
      </c>
      <c r="M569" s="4">
        <v>46300</v>
      </c>
      <c r="N569" s="3" t="s">
        <v>746</v>
      </c>
      <c r="O569" s="3" t="s">
        <v>23</v>
      </c>
      <c r="P569" t="str">
        <f t="shared" si="8"/>
        <v>450013940640</v>
      </c>
      <c r="Q569" s="7" cm="1">
        <f t="array" ref="Q569:S569">VLOOKUP(P569,Hoja1!C:F,{2,3,4},FALSE)</f>
        <v>46297</v>
      </c>
      <c r="R569" t="str">
        <v>C35</v>
      </c>
      <c r="S569" t="str">
        <v>1000000295 BOLLINI S.A</v>
      </c>
    </row>
    <row r="570" spans="1:20" x14ac:dyDescent="0.3">
      <c r="A570" s="2" t="s">
        <v>15</v>
      </c>
      <c r="B570" s="3" t="s">
        <v>15</v>
      </c>
      <c r="C570" s="3" t="s">
        <v>745</v>
      </c>
      <c r="D570" s="3" t="s">
        <v>25</v>
      </c>
      <c r="E570" s="3" t="s">
        <v>149</v>
      </c>
      <c r="F570" s="4">
        <v>46300</v>
      </c>
      <c r="G570" s="3" t="s">
        <v>50</v>
      </c>
      <c r="H570" s="6">
        <v>-155070</v>
      </c>
      <c r="I570" s="3" t="s">
        <v>19</v>
      </c>
      <c r="J570" s="3" t="s">
        <v>15</v>
      </c>
      <c r="K570" s="3" t="s">
        <v>15</v>
      </c>
      <c r="L570" s="3" t="s">
        <v>141</v>
      </c>
      <c r="M570" s="4">
        <v>46300</v>
      </c>
      <c r="N570" s="3" t="s">
        <v>746</v>
      </c>
      <c r="O570" s="3" t="s">
        <v>55</v>
      </c>
      <c r="P570" t="str">
        <f t="shared" si="8"/>
        <v>450013940650</v>
      </c>
      <c r="Q570" s="7" cm="1">
        <f t="array" ref="Q570:S570">VLOOKUP(P570,Hoja1!C:F,{2,3,4},FALSE)</f>
        <v>46297</v>
      </c>
      <c r="R570" t="str">
        <v>C35</v>
      </c>
      <c r="S570" t="str">
        <v>1000000295 BOLLINI S.A</v>
      </c>
    </row>
    <row r="571" spans="1:20" x14ac:dyDescent="0.3">
      <c r="A571" s="2" t="s">
        <v>15</v>
      </c>
      <c r="B571" s="3" t="s">
        <v>15</v>
      </c>
      <c r="C571" s="3" t="s">
        <v>747</v>
      </c>
      <c r="D571" s="3" t="s">
        <v>25</v>
      </c>
      <c r="E571" s="3" t="s">
        <v>149</v>
      </c>
      <c r="F571" s="4">
        <v>46300</v>
      </c>
      <c r="G571" s="3" t="s">
        <v>50</v>
      </c>
      <c r="H571" s="6">
        <v>-6992.4</v>
      </c>
      <c r="I571" s="3" t="s">
        <v>19</v>
      </c>
      <c r="J571" s="3" t="s">
        <v>15</v>
      </c>
      <c r="K571" s="3" t="s">
        <v>15</v>
      </c>
      <c r="L571" s="3" t="s">
        <v>141</v>
      </c>
      <c r="M571" s="4">
        <v>46300</v>
      </c>
      <c r="N571" s="3" t="s">
        <v>748</v>
      </c>
      <c r="O571" s="3" t="s">
        <v>28</v>
      </c>
      <c r="P571" t="str">
        <f t="shared" si="8"/>
        <v>450013910220</v>
      </c>
      <c r="Q571" s="7" cm="1">
        <f t="array" ref="Q571:S571">VLOOKUP(P571,Hoja1!C:F,{2,3,4},FALSE)</f>
        <v>46300</v>
      </c>
      <c r="R571" t="str">
        <v>C27</v>
      </c>
      <c r="S571" t="str">
        <v>1000000295 BOLLINI S.A</v>
      </c>
    </row>
    <row r="572" spans="1:20" x14ac:dyDescent="0.3">
      <c r="A572" s="2" t="s">
        <v>15</v>
      </c>
      <c r="B572" s="3" t="s">
        <v>15</v>
      </c>
      <c r="C572" s="3" t="s">
        <v>747</v>
      </c>
      <c r="D572" s="3" t="s">
        <v>25</v>
      </c>
      <c r="E572" s="3" t="s">
        <v>149</v>
      </c>
      <c r="F572" s="4">
        <v>46300</v>
      </c>
      <c r="G572" s="3" t="s">
        <v>50</v>
      </c>
      <c r="H572" s="6">
        <v>-9215</v>
      </c>
      <c r="I572" s="3" t="s">
        <v>19</v>
      </c>
      <c r="J572" s="3" t="s">
        <v>15</v>
      </c>
      <c r="K572" s="3" t="s">
        <v>15</v>
      </c>
      <c r="L572" s="3" t="s">
        <v>141</v>
      </c>
      <c r="M572" s="4">
        <v>46300</v>
      </c>
      <c r="N572" s="3" t="s">
        <v>748</v>
      </c>
      <c r="O572" s="3" t="s">
        <v>54</v>
      </c>
      <c r="P572" t="str">
        <f t="shared" si="8"/>
        <v>450013910230</v>
      </c>
      <c r="Q572" s="7" cm="1">
        <f t="array" ref="Q572:S572">VLOOKUP(P572,Hoja1!C:F,{2,3,4},FALSE)</f>
        <v>46300</v>
      </c>
      <c r="R572" t="str">
        <v>C27</v>
      </c>
      <c r="S572" t="str">
        <v>1000000295 BOLLINI S.A</v>
      </c>
    </row>
    <row r="573" spans="1:20" x14ac:dyDescent="0.3">
      <c r="A573" s="2" t="s">
        <v>15</v>
      </c>
      <c r="B573" s="3" t="s">
        <v>15</v>
      </c>
      <c r="C573" s="3" t="s">
        <v>747</v>
      </c>
      <c r="D573" s="3" t="s">
        <v>25</v>
      </c>
      <c r="E573" s="3" t="s">
        <v>149</v>
      </c>
      <c r="F573" s="4">
        <v>46300</v>
      </c>
      <c r="G573" s="3" t="s">
        <v>50</v>
      </c>
      <c r="H573" s="6">
        <v>-11723.2</v>
      </c>
      <c r="I573" s="3" t="s">
        <v>19</v>
      </c>
      <c r="J573" s="3" t="s">
        <v>15</v>
      </c>
      <c r="K573" s="3" t="s">
        <v>15</v>
      </c>
      <c r="L573" s="3" t="s">
        <v>141</v>
      </c>
      <c r="M573" s="4">
        <v>46300</v>
      </c>
      <c r="N573" s="3" t="s">
        <v>748</v>
      </c>
      <c r="O573" s="3" t="s">
        <v>23</v>
      </c>
      <c r="P573" t="str">
        <f t="shared" si="8"/>
        <v>450013910240</v>
      </c>
      <c r="Q573" s="7" cm="1">
        <f t="array" ref="Q573:S573">VLOOKUP(P573,Hoja1!C:F,{2,3,4},FALSE)</f>
        <v>46300</v>
      </c>
      <c r="R573" t="str">
        <v>C27</v>
      </c>
      <c r="S573" t="str">
        <v>1000000295 BOLLINI S.A</v>
      </c>
    </row>
    <row r="574" spans="1:20" x14ac:dyDescent="0.3">
      <c r="A574" s="2" t="s">
        <v>15</v>
      </c>
      <c r="B574" s="3" t="s">
        <v>15</v>
      </c>
      <c r="C574" s="3" t="s">
        <v>747</v>
      </c>
      <c r="D574" s="3" t="s">
        <v>25</v>
      </c>
      <c r="E574" s="3" t="s">
        <v>149</v>
      </c>
      <c r="F574" s="4">
        <v>46300</v>
      </c>
      <c r="G574" s="3" t="s">
        <v>50</v>
      </c>
      <c r="H574" s="6">
        <v>-17584.8</v>
      </c>
      <c r="I574" s="3" t="s">
        <v>19</v>
      </c>
      <c r="J574" s="3" t="s">
        <v>15</v>
      </c>
      <c r="K574" s="3" t="s">
        <v>15</v>
      </c>
      <c r="L574" s="3" t="s">
        <v>141</v>
      </c>
      <c r="M574" s="4">
        <v>46300</v>
      </c>
      <c r="N574" s="3" t="s">
        <v>748</v>
      </c>
      <c r="O574" s="3" t="s">
        <v>55</v>
      </c>
      <c r="P574" t="str">
        <f t="shared" si="8"/>
        <v>450013910250</v>
      </c>
      <c r="Q574" s="7" cm="1">
        <f t="array" ref="Q574:S574">VLOOKUP(P574,Hoja1!C:F,{2,3,4},FALSE)</f>
        <v>46300</v>
      </c>
      <c r="R574" t="str">
        <v>C27</v>
      </c>
      <c r="S574" t="str">
        <v>1000000295 BOLLINI S.A</v>
      </c>
    </row>
    <row r="575" spans="1:20" x14ac:dyDescent="0.3">
      <c r="A575" s="2" t="s">
        <v>15</v>
      </c>
      <c r="B575" s="3" t="s">
        <v>15</v>
      </c>
      <c r="C575" s="3" t="s">
        <v>747</v>
      </c>
      <c r="D575" s="3" t="s">
        <v>25</v>
      </c>
      <c r="E575" s="3" t="s">
        <v>149</v>
      </c>
      <c r="F575" s="4">
        <v>46300</v>
      </c>
      <c r="G575" s="3" t="s">
        <v>50</v>
      </c>
      <c r="H575" s="6">
        <v>-17584.8</v>
      </c>
      <c r="I575" s="3" t="s">
        <v>19</v>
      </c>
      <c r="J575" s="3" t="s">
        <v>15</v>
      </c>
      <c r="K575" s="3" t="s">
        <v>15</v>
      </c>
      <c r="L575" s="3" t="s">
        <v>141</v>
      </c>
      <c r="M575" s="4">
        <v>46300</v>
      </c>
      <c r="N575" s="3" t="s">
        <v>748</v>
      </c>
      <c r="O575" s="3" t="s">
        <v>80</v>
      </c>
      <c r="P575" t="str">
        <f t="shared" si="8"/>
        <v>450013910260</v>
      </c>
      <c r="Q575" s="7" cm="1">
        <f t="array" ref="Q575:S575">VLOOKUP(P575,Hoja1!C:F,{2,3,4},FALSE)</f>
        <v>46300</v>
      </c>
      <c r="R575" t="str">
        <v>C27</v>
      </c>
      <c r="S575" t="str">
        <v>1000000295 BOLLINI S.A</v>
      </c>
    </row>
    <row r="576" spans="1:20" x14ac:dyDescent="0.3">
      <c r="A576" s="2" t="s">
        <v>15</v>
      </c>
      <c r="B576" s="3" t="s">
        <v>15</v>
      </c>
      <c r="C576" s="3" t="s">
        <v>747</v>
      </c>
      <c r="D576" s="3" t="s">
        <v>25</v>
      </c>
      <c r="E576" s="3" t="s">
        <v>149</v>
      </c>
      <c r="F576" s="4">
        <v>46300</v>
      </c>
      <c r="G576" s="3" t="s">
        <v>50</v>
      </c>
      <c r="H576" s="6">
        <v>-21470.400000000001</v>
      </c>
      <c r="I576" s="3" t="s">
        <v>19</v>
      </c>
      <c r="J576" s="3" t="s">
        <v>15</v>
      </c>
      <c r="K576" s="3" t="s">
        <v>15</v>
      </c>
      <c r="L576" s="3" t="s">
        <v>141</v>
      </c>
      <c r="M576" s="4">
        <v>46300</v>
      </c>
      <c r="N576" s="3" t="s">
        <v>748</v>
      </c>
      <c r="O576" s="3" t="s">
        <v>81</v>
      </c>
      <c r="P576" t="str">
        <f t="shared" si="8"/>
        <v>450013910270</v>
      </c>
      <c r="Q576" s="7" cm="1">
        <f t="array" ref="Q576:S576">VLOOKUP(P576,Hoja1!C:F,{2,3,4},FALSE)</f>
        <v>46300</v>
      </c>
      <c r="R576" t="str">
        <v>C27</v>
      </c>
      <c r="S576" t="str">
        <v>1000000295 BOLLINI S.A</v>
      </c>
    </row>
    <row r="577" spans="1:19" x14ac:dyDescent="0.3">
      <c r="A577" s="2" t="s">
        <v>15</v>
      </c>
      <c r="B577" s="3" t="s">
        <v>15</v>
      </c>
      <c r="C577" s="3" t="s">
        <v>747</v>
      </c>
      <c r="D577" s="3" t="s">
        <v>25</v>
      </c>
      <c r="E577" s="3" t="s">
        <v>149</v>
      </c>
      <c r="F577" s="4">
        <v>46300</v>
      </c>
      <c r="G577" s="3" t="s">
        <v>50</v>
      </c>
      <c r="H577" s="6">
        <v>-21470.400000000001</v>
      </c>
      <c r="I577" s="3" t="s">
        <v>19</v>
      </c>
      <c r="J577" s="3" t="s">
        <v>15</v>
      </c>
      <c r="K577" s="3" t="s">
        <v>15</v>
      </c>
      <c r="L577" s="3" t="s">
        <v>141</v>
      </c>
      <c r="M577" s="4">
        <v>46300</v>
      </c>
      <c r="N577" s="3" t="s">
        <v>748</v>
      </c>
      <c r="O577" s="3" t="s">
        <v>82</v>
      </c>
      <c r="P577" t="str">
        <f t="shared" si="8"/>
        <v>450013910280</v>
      </c>
      <c r="Q577" s="7" cm="1">
        <f t="array" ref="Q577:S577">VLOOKUP(P577,Hoja1!C:F,{2,3,4},FALSE)</f>
        <v>46300</v>
      </c>
      <c r="R577" t="str">
        <v>C27</v>
      </c>
      <c r="S577" t="str">
        <v>1000000295 BOLLINI S.A</v>
      </c>
    </row>
    <row r="578" spans="1:19" x14ac:dyDescent="0.3">
      <c r="A578" s="2" t="s">
        <v>15</v>
      </c>
      <c r="B578" s="3" t="s">
        <v>15</v>
      </c>
      <c r="C578" s="3" t="s">
        <v>747</v>
      </c>
      <c r="D578" s="3" t="s">
        <v>25</v>
      </c>
      <c r="E578" s="3" t="s">
        <v>149</v>
      </c>
      <c r="F578" s="4">
        <v>46300</v>
      </c>
      <c r="G578" s="3" t="s">
        <v>50</v>
      </c>
      <c r="H578" s="6">
        <v>-25387.4</v>
      </c>
      <c r="I578" s="3" t="s">
        <v>19</v>
      </c>
      <c r="J578" s="3" t="s">
        <v>15</v>
      </c>
      <c r="K578" s="3" t="s">
        <v>15</v>
      </c>
      <c r="L578" s="3" t="s">
        <v>141</v>
      </c>
      <c r="M578" s="4">
        <v>46300</v>
      </c>
      <c r="N578" s="3" t="s">
        <v>748</v>
      </c>
      <c r="O578" s="3" t="s">
        <v>83</v>
      </c>
      <c r="P578" t="str">
        <f t="shared" si="8"/>
        <v>450013910290</v>
      </c>
      <c r="Q578" s="7" cm="1">
        <f t="array" ref="Q578:S578">VLOOKUP(P578,Hoja1!C:F,{2,3,4},FALSE)</f>
        <v>46300</v>
      </c>
      <c r="R578" t="str">
        <v>C27</v>
      </c>
      <c r="S578" t="str">
        <v>1000000295 BOLLINI S.A</v>
      </c>
    </row>
    <row r="579" spans="1:19" x14ac:dyDescent="0.3">
      <c r="A579" s="2" t="s">
        <v>15</v>
      </c>
      <c r="B579" s="3" t="s">
        <v>15</v>
      </c>
      <c r="C579" s="3" t="s">
        <v>747</v>
      </c>
      <c r="D579" s="3" t="s">
        <v>25</v>
      </c>
      <c r="E579" s="3" t="s">
        <v>149</v>
      </c>
      <c r="F579" s="4">
        <v>46300</v>
      </c>
      <c r="G579" s="3" t="s">
        <v>50</v>
      </c>
      <c r="H579" s="6">
        <v>-25387.4</v>
      </c>
      <c r="I579" s="3" t="s">
        <v>19</v>
      </c>
      <c r="J579" s="3" t="s">
        <v>15</v>
      </c>
      <c r="K579" s="3" t="s">
        <v>15</v>
      </c>
      <c r="L579" s="3" t="s">
        <v>141</v>
      </c>
      <c r="M579" s="4">
        <v>46300</v>
      </c>
      <c r="N579" s="3" t="s">
        <v>748</v>
      </c>
      <c r="O579" s="3" t="s">
        <v>84</v>
      </c>
      <c r="P579" t="str">
        <f t="shared" ref="P579:P642" si="9">_xlfn.CONCAT(N579:O579)</f>
        <v>4500139102100</v>
      </c>
      <c r="Q579" s="7" cm="1">
        <f t="array" ref="Q579:S579">VLOOKUP(P579,Hoja1!C:F,{2,3,4},FALSE)</f>
        <v>46300</v>
      </c>
      <c r="R579" t="str">
        <v>C27</v>
      </c>
      <c r="S579" t="str">
        <v>1000000295 BOLLINI S.A</v>
      </c>
    </row>
    <row r="580" spans="1:19" x14ac:dyDescent="0.3">
      <c r="A580" s="2" t="s">
        <v>15</v>
      </c>
      <c r="B580" s="3" t="s">
        <v>15</v>
      </c>
      <c r="C580" s="3" t="s">
        <v>747</v>
      </c>
      <c r="D580" s="3" t="s">
        <v>25</v>
      </c>
      <c r="E580" s="3" t="s">
        <v>149</v>
      </c>
      <c r="F580" s="4">
        <v>46300</v>
      </c>
      <c r="G580" s="3" t="s">
        <v>50</v>
      </c>
      <c r="H580" s="6">
        <v>-33580.800000000003</v>
      </c>
      <c r="I580" s="3" t="s">
        <v>19</v>
      </c>
      <c r="J580" s="3" t="s">
        <v>15</v>
      </c>
      <c r="K580" s="3" t="s">
        <v>15</v>
      </c>
      <c r="L580" s="3" t="s">
        <v>141</v>
      </c>
      <c r="M580" s="4">
        <v>46300</v>
      </c>
      <c r="N580" s="3" t="s">
        <v>748</v>
      </c>
      <c r="O580" s="3" t="s">
        <v>85</v>
      </c>
      <c r="P580" t="str">
        <f t="shared" si="9"/>
        <v>4500139102110</v>
      </c>
      <c r="Q580" s="7" cm="1">
        <f t="array" ref="Q580:S580">VLOOKUP(P580,Hoja1!C:F,{2,3,4},FALSE)</f>
        <v>46300</v>
      </c>
      <c r="R580" t="str">
        <v>C27</v>
      </c>
      <c r="S580" t="str">
        <v>1000000295 BOLLINI S.A</v>
      </c>
    </row>
    <row r="581" spans="1:19" x14ac:dyDescent="0.3">
      <c r="A581" s="2" t="s">
        <v>15</v>
      </c>
      <c r="B581" s="3" t="s">
        <v>15</v>
      </c>
      <c r="C581" s="3" t="s">
        <v>747</v>
      </c>
      <c r="D581" s="3" t="s">
        <v>25</v>
      </c>
      <c r="E581" s="3" t="s">
        <v>149</v>
      </c>
      <c r="F581" s="4">
        <v>46300</v>
      </c>
      <c r="G581" s="3" t="s">
        <v>50</v>
      </c>
      <c r="H581" s="6">
        <v>-27328.6</v>
      </c>
      <c r="I581" s="3" t="s">
        <v>19</v>
      </c>
      <c r="J581" s="3" t="s">
        <v>15</v>
      </c>
      <c r="K581" s="3" t="s">
        <v>15</v>
      </c>
      <c r="L581" s="3" t="s">
        <v>141</v>
      </c>
      <c r="M581" s="4">
        <v>46300</v>
      </c>
      <c r="N581" s="3" t="s">
        <v>748</v>
      </c>
      <c r="O581" s="3" t="s">
        <v>86</v>
      </c>
      <c r="P581" t="str">
        <f t="shared" si="9"/>
        <v>4500139102120</v>
      </c>
      <c r="Q581" s="7" cm="1">
        <f t="array" ref="Q581:S581">VLOOKUP(P581,Hoja1!C:F,{2,3,4},FALSE)</f>
        <v>46300</v>
      </c>
      <c r="R581" t="str">
        <v>C27</v>
      </c>
      <c r="S581" t="str">
        <v>1000000295 BOLLINI S.A</v>
      </c>
    </row>
    <row r="582" spans="1:19" x14ac:dyDescent="0.3">
      <c r="A582" s="2" t="s">
        <v>15</v>
      </c>
      <c r="B582" s="3" t="s">
        <v>15</v>
      </c>
      <c r="C582" s="3" t="s">
        <v>747</v>
      </c>
      <c r="D582" s="3" t="s">
        <v>25</v>
      </c>
      <c r="E582" s="3" t="s">
        <v>149</v>
      </c>
      <c r="F582" s="4">
        <v>46300</v>
      </c>
      <c r="G582" s="3" t="s">
        <v>50</v>
      </c>
      <c r="H582" s="6">
        <v>-35141.599999999999</v>
      </c>
      <c r="I582" s="3" t="s">
        <v>19</v>
      </c>
      <c r="J582" s="3" t="s">
        <v>15</v>
      </c>
      <c r="K582" s="3" t="s">
        <v>15</v>
      </c>
      <c r="L582" s="3" t="s">
        <v>141</v>
      </c>
      <c r="M582" s="4">
        <v>46300</v>
      </c>
      <c r="N582" s="3" t="s">
        <v>748</v>
      </c>
      <c r="O582" s="3" t="s">
        <v>65</v>
      </c>
      <c r="P582" t="str">
        <f t="shared" si="9"/>
        <v>4500139102130</v>
      </c>
      <c r="Q582" s="7" cm="1">
        <f t="array" ref="Q582:S582">VLOOKUP(P582,Hoja1!C:F,{2,3,4},FALSE)</f>
        <v>46300</v>
      </c>
      <c r="R582" t="str">
        <v>C27</v>
      </c>
      <c r="S582" t="str">
        <v>1000000295 BOLLINI S.A</v>
      </c>
    </row>
    <row r="583" spans="1:19" x14ac:dyDescent="0.3">
      <c r="A583" s="2" t="s">
        <v>15</v>
      </c>
      <c r="B583" s="3" t="s">
        <v>15</v>
      </c>
      <c r="C583" s="3" t="s">
        <v>747</v>
      </c>
      <c r="D583" s="3" t="s">
        <v>25</v>
      </c>
      <c r="E583" s="3" t="s">
        <v>149</v>
      </c>
      <c r="F583" s="4">
        <v>46300</v>
      </c>
      <c r="G583" s="3" t="s">
        <v>50</v>
      </c>
      <c r="H583" s="6">
        <v>-35141.599999999999</v>
      </c>
      <c r="I583" s="3" t="s">
        <v>19</v>
      </c>
      <c r="J583" s="3" t="s">
        <v>15</v>
      </c>
      <c r="K583" s="3" t="s">
        <v>15</v>
      </c>
      <c r="L583" s="3" t="s">
        <v>141</v>
      </c>
      <c r="M583" s="4">
        <v>46300</v>
      </c>
      <c r="N583" s="3" t="s">
        <v>748</v>
      </c>
      <c r="O583" s="3" t="s">
        <v>66</v>
      </c>
      <c r="P583" t="str">
        <f t="shared" si="9"/>
        <v>4500139102140</v>
      </c>
      <c r="Q583" s="7" cm="1">
        <f t="array" ref="Q583:S583">VLOOKUP(P583,Hoja1!C:F,{2,3,4},FALSE)</f>
        <v>46300</v>
      </c>
      <c r="R583" t="str">
        <v>C27</v>
      </c>
      <c r="S583" t="str">
        <v>1000000295 BOLLINI S.A</v>
      </c>
    </row>
    <row r="584" spans="1:19" x14ac:dyDescent="0.3">
      <c r="A584" s="2" t="s">
        <v>15</v>
      </c>
      <c r="B584" s="3" t="s">
        <v>15</v>
      </c>
      <c r="C584" s="3" t="s">
        <v>749</v>
      </c>
      <c r="D584" s="3" t="s">
        <v>15</v>
      </c>
      <c r="E584" s="3" t="s">
        <v>149</v>
      </c>
      <c r="F584" s="4">
        <v>46300</v>
      </c>
      <c r="G584" s="3" t="s">
        <v>50</v>
      </c>
      <c r="H584" s="6">
        <v>-642000</v>
      </c>
      <c r="I584" s="3" t="s">
        <v>19</v>
      </c>
      <c r="J584" s="3" t="s">
        <v>15</v>
      </c>
      <c r="K584" s="3" t="s">
        <v>15</v>
      </c>
      <c r="L584" s="3" t="s">
        <v>141</v>
      </c>
      <c r="M584" s="4">
        <v>46300</v>
      </c>
      <c r="N584" s="3" t="s">
        <v>750</v>
      </c>
      <c r="O584" s="3" t="s">
        <v>32</v>
      </c>
      <c r="P584" t="str">
        <f t="shared" si="9"/>
        <v>450013910910</v>
      </c>
      <c r="Q584" s="7" cm="1">
        <f t="array" ref="Q584:S584">VLOOKUP(P584,Hoja1!C:F,{2,3,4},FALSE)</f>
        <v>46297</v>
      </c>
      <c r="R584" t="str">
        <v>C27</v>
      </c>
      <c r="S584" t="str">
        <v>1000000295 BOLLINI S.A</v>
      </c>
    </row>
    <row r="585" spans="1:19" x14ac:dyDescent="0.3">
      <c r="A585" s="2" t="s">
        <v>15</v>
      </c>
      <c r="B585" s="3" t="s">
        <v>15</v>
      </c>
      <c r="C585" s="3" t="s">
        <v>751</v>
      </c>
      <c r="D585" s="3" t="s">
        <v>15</v>
      </c>
      <c r="E585" s="3" t="s">
        <v>149</v>
      </c>
      <c r="F585" s="4">
        <v>46300</v>
      </c>
      <c r="G585" s="3" t="s">
        <v>50</v>
      </c>
      <c r="H585" s="6">
        <v>-464464.8</v>
      </c>
      <c r="I585" s="3" t="s">
        <v>19</v>
      </c>
      <c r="J585" s="3" t="s">
        <v>15</v>
      </c>
      <c r="K585" s="3" t="s">
        <v>15</v>
      </c>
      <c r="L585" s="3" t="s">
        <v>141</v>
      </c>
      <c r="M585" s="4">
        <v>46300</v>
      </c>
      <c r="N585" s="3" t="s">
        <v>752</v>
      </c>
      <c r="O585" s="3" t="s">
        <v>32</v>
      </c>
      <c r="P585" t="str">
        <f t="shared" si="9"/>
        <v>450013993910</v>
      </c>
      <c r="Q585" s="7" cm="1">
        <f t="array" ref="Q585:S585">VLOOKUP(P585,Hoja1!C:F,{2,3,4},FALSE)</f>
        <v>46301</v>
      </c>
      <c r="R585" t="str">
        <v>C35</v>
      </c>
      <c r="S585" t="str">
        <v>1000000295 BOLLINI S.A</v>
      </c>
    </row>
    <row r="586" spans="1:19" x14ac:dyDescent="0.3">
      <c r="A586" s="2" t="s">
        <v>15</v>
      </c>
      <c r="B586" s="3" t="s">
        <v>15</v>
      </c>
      <c r="C586" s="3" t="s">
        <v>753</v>
      </c>
      <c r="D586" s="3" t="s">
        <v>15</v>
      </c>
      <c r="E586" s="3" t="s">
        <v>149</v>
      </c>
      <c r="F586" s="4">
        <v>46300</v>
      </c>
      <c r="G586" s="3" t="s">
        <v>50</v>
      </c>
      <c r="H586" s="6">
        <v>-835200</v>
      </c>
      <c r="I586" s="3" t="s">
        <v>19</v>
      </c>
      <c r="J586" s="3" t="s">
        <v>15</v>
      </c>
      <c r="K586" s="3" t="s">
        <v>15</v>
      </c>
      <c r="L586" s="3" t="s">
        <v>141</v>
      </c>
      <c r="M586" s="4">
        <v>46300</v>
      </c>
      <c r="N586" s="3" t="s">
        <v>754</v>
      </c>
      <c r="O586" s="3" t="s">
        <v>32</v>
      </c>
      <c r="P586" t="str">
        <f t="shared" si="9"/>
        <v>450013981010</v>
      </c>
      <c r="Q586" s="7" cm="1">
        <f t="array" ref="Q586:S586">VLOOKUP(P586,Hoja1!C:F,{2,3,4},FALSE)</f>
        <v>46320</v>
      </c>
      <c r="R586" t="str">
        <v>C27</v>
      </c>
      <c r="S586" t="str">
        <v>1000000295 BOLLINI S.A</v>
      </c>
    </row>
    <row r="587" spans="1:19" x14ac:dyDescent="0.3">
      <c r="A587" s="2" t="s">
        <v>15</v>
      </c>
      <c r="B587" s="3" t="s">
        <v>15</v>
      </c>
      <c r="C587" s="3" t="s">
        <v>753</v>
      </c>
      <c r="D587" s="3" t="s">
        <v>15</v>
      </c>
      <c r="E587" s="3" t="s">
        <v>149</v>
      </c>
      <c r="F587" s="4">
        <v>46300</v>
      </c>
      <c r="G587" s="3" t="s">
        <v>50</v>
      </c>
      <c r="H587" s="6">
        <v>-133564.20000000001</v>
      </c>
      <c r="I587" s="3" t="s">
        <v>19</v>
      </c>
      <c r="J587" s="3" t="s">
        <v>15</v>
      </c>
      <c r="K587" s="3" t="s">
        <v>15</v>
      </c>
      <c r="L587" s="3" t="s">
        <v>141</v>
      </c>
      <c r="M587" s="4">
        <v>46300</v>
      </c>
      <c r="N587" s="3" t="s">
        <v>754</v>
      </c>
      <c r="O587" s="3" t="s">
        <v>28</v>
      </c>
      <c r="P587" t="str">
        <f t="shared" si="9"/>
        <v>450013981020</v>
      </c>
      <c r="Q587" s="7" cm="1">
        <f t="array" ref="Q587:S587">VLOOKUP(P587,Hoja1!C:F,{2,3,4},FALSE)</f>
        <v>46320</v>
      </c>
      <c r="R587" t="str">
        <v>C27</v>
      </c>
      <c r="S587" t="str">
        <v>1000000295 BOLLINI S.A</v>
      </c>
    </row>
    <row r="588" spans="1:19" x14ac:dyDescent="0.3">
      <c r="A588" s="2" t="s">
        <v>15</v>
      </c>
      <c r="B588" s="3" t="s">
        <v>15</v>
      </c>
      <c r="C588" s="3" t="s">
        <v>755</v>
      </c>
      <c r="D588" s="3" t="s">
        <v>15</v>
      </c>
      <c r="E588" s="3" t="s">
        <v>149</v>
      </c>
      <c r="F588" s="4">
        <v>46300</v>
      </c>
      <c r="G588" s="3" t="s">
        <v>50</v>
      </c>
      <c r="H588" s="6">
        <v>-42048</v>
      </c>
      <c r="I588" s="3" t="s">
        <v>19</v>
      </c>
      <c r="J588" s="3" t="s">
        <v>15</v>
      </c>
      <c r="K588" s="3" t="s">
        <v>15</v>
      </c>
      <c r="L588" s="3" t="s">
        <v>141</v>
      </c>
      <c r="M588" s="4">
        <v>46300</v>
      </c>
      <c r="N588" s="3" t="s">
        <v>756</v>
      </c>
      <c r="O588" s="3" t="s">
        <v>32</v>
      </c>
      <c r="P588" t="str">
        <f t="shared" si="9"/>
        <v>450013958210</v>
      </c>
      <c r="Q588" s="7" cm="1">
        <f t="array" ref="Q588:S588">VLOOKUP(P588,Hoja1!C:F,{2,3,4},FALSE)</f>
        <v>46298</v>
      </c>
      <c r="R588" t="str">
        <v>C27</v>
      </c>
      <c r="S588" t="str">
        <v>1000000295 BOLLINI S.A</v>
      </c>
    </row>
    <row r="589" spans="1:19" x14ac:dyDescent="0.3">
      <c r="A589" s="2" t="s">
        <v>15</v>
      </c>
      <c r="B589" s="3" t="s">
        <v>15</v>
      </c>
      <c r="C589" s="3" t="s">
        <v>757</v>
      </c>
      <c r="D589" s="3" t="s">
        <v>25</v>
      </c>
      <c r="E589" s="3" t="s">
        <v>149</v>
      </c>
      <c r="F589" s="4">
        <v>46300</v>
      </c>
      <c r="G589" s="3" t="s">
        <v>50</v>
      </c>
      <c r="H589" s="6">
        <v>-103298.85</v>
      </c>
      <c r="I589" s="3" t="s">
        <v>19</v>
      </c>
      <c r="J589" s="3" t="s">
        <v>15</v>
      </c>
      <c r="K589" s="3" t="s">
        <v>15</v>
      </c>
      <c r="L589" s="3" t="s">
        <v>141</v>
      </c>
      <c r="M589" s="4">
        <v>46300</v>
      </c>
      <c r="N589" s="3" t="s">
        <v>758</v>
      </c>
      <c r="O589" s="3" t="s">
        <v>32</v>
      </c>
      <c r="P589" t="str">
        <f t="shared" si="9"/>
        <v>450013968110</v>
      </c>
      <c r="Q589" s="7" cm="1">
        <f t="array" ref="Q589:S589">VLOOKUP(P589,Hoja1!C:F,{2,3,4},FALSE)</f>
        <v>46310</v>
      </c>
      <c r="R589" t="str">
        <v>C27</v>
      </c>
      <c r="S589" t="str">
        <v>1000000295 BOLLINI S.A</v>
      </c>
    </row>
    <row r="590" spans="1:19" x14ac:dyDescent="0.3">
      <c r="A590" s="2" t="s">
        <v>15</v>
      </c>
      <c r="B590" s="3" t="s">
        <v>15</v>
      </c>
      <c r="C590" s="3" t="s">
        <v>757</v>
      </c>
      <c r="D590" s="3" t="s">
        <v>25</v>
      </c>
      <c r="E590" s="3" t="s">
        <v>149</v>
      </c>
      <c r="F590" s="4">
        <v>46300</v>
      </c>
      <c r="G590" s="3" t="s">
        <v>50</v>
      </c>
      <c r="H590" s="6">
        <v>-26950</v>
      </c>
      <c r="I590" s="3" t="s">
        <v>19</v>
      </c>
      <c r="J590" s="3" t="s">
        <v>15</v>
      </c>
      <c r="K590" s="3" t="s">
        <v>15</v>
      </c>
      <c r="L590" s="3" t="s">
        <v>141</v>
      </c>
      <c r="M590" s="4">
        <v>46300</v>
      </c>
      <c r="N590" s="3" t="s">
        <v>758</v>
      </c>
      <c r="O590" s="3" t="s">
        <v>54</v>
      </c>
      <c r="P590" t="str">
        <f t="shared" si="9"/>
        <v>450013968130</v>
      </c>
      <c r="Q590" s="7" cm="1">
        <f t="array" ref="Q590:S590">VLOOKUP(P590,Hoja1!C:F,{2,3,4},FALSE)</f>
        <v>46310</v>
      </c>
      <c r="R590" t="str">
        <v>C27</v>
      </c>
      <c r="S590" t="str">
        <v>1000000295 BOLLINI S.A</v>
      </c>
    </row>
    <row r="591" spans="1:19" x14ac:dyDescent="0.3">
      <c r="A591" s="2" t="s">
        <v>15</v>
      </c>
      <c r="B591" s="3" t="s">
        <v>15</v>
      </c>
      <c r="C591" s="3" t="s">
        <v>757</v>
      </c>
      <c r="D591" s="3" t="s">
        <v>25</v>
      </c>
      <c r="E591" s="3" t="s">
        <v>149</v>
      </c>
      <c r="F591" s="4">
        <v>46300</v>
      </c>
      <c r="G591" s="3" t="s">
        <v>50</v>
      </c>
      <c r="H591" s="6">
        <v>-2430</v>
      </c>
      <c r="I591" s="3" t="s">
        <v>19</v>
      </c>
      <c r="J591" s="3" t="s">
        <v>15</v>
      </c>
      <c r="K591" s="3" t="s">
        <v>15</v>
      </c>
      <c r="L591" s="3" t="s">
        <v>141</v>
      </c>
      <c r="M591" s="4">
        <v>46300</v>
      </c>
      <c r="N591" s="3" t="s">
        <v>758</v>
      </c>
      <c r="O591" s="3" t="s">
        <v>23</v>
      </c>
      <c r="P591" t="str">
        <f t="shared" si="9"/>
        <v>450013968140</v>
      </c>
      <c r="Q591" s="7" cm="1">
        <f t="array" ref="Q591:S591">VLOOKUP(P591,Hoja1!C:F,{2,3,4},FALSE)</f>
        <v>46310</v>
      </c>
      <c r="R591" t="str">
        <v>C27</v>
      </c>
      <c r="S591" t="str">
        <v>1000000295 BOLLINI S.A</v>
      </c>
    </row>
    <row r="592" spans="1:19" x14ac:dyDescent="0.3">
      <c r="A592" s="2" t="s">
        <v>15</v>
      </c>
      <c r="B592" s="3" t="s">
        <v>15</v>
      </c>
      <c r="C592" s="3" t="s">
        <v>759</v>
      </c>
      <c r="D592" s="3" t="s">
        <v>15</v>
      </c>
      <c r="E592" s="3" t="s">
        <v>149</v>
      </c>
      <c r="F592" s="4">
        <v>46300</v>
      </c>
      <c r="G592" s="3" t="s">
        <v>50</v>
      </c>
      <c r="H592" s="6">
        <v>-87065.48</v>
      </c>
      <c r="I592" s="3" t="s">
        <v>19</v>
      </c>
      <c r="J592" s="3" t="s">
        <v>15</v>
      </c>
      <c r="K592" s="3" t="s">
        <v>15</v>
      </c>
      <c r="L592" s="3" t="s">
        <v>760</v>
      </c>
      <c r="M592" s="4">
        <v>46300</v>
      </c>
      <c r="N592" s="3" t="s">
        <v>761</v>
      </c>
      <c r="O592" s="3" t="s">
        <v>32</v>
      </c>
      <c r="P592" t="str">
        <f t="shared" si="9"/>
        <v>450014016410</v>
      </c>
      <c r="Q592" s="7" cm="1">
        <f t="array" ref="Q592:S592">VLOOKUP(P592,Hoja1!C:F,{2,3,4},FALSE)</f>
        <v>46311</v>
      </c>
      <c r="R592" t="str">
        <v>C29</v>
      </c>
      <c r="S592" t="str">
        <v>1000001084 ALL SERVICE SRL</v>
      </c>
    </row>
    <row r="593" spans="1:19" x14ac:dyDescent="0.3">
      <c r="A593" s="2" t="s">
        <v>15</v>
      </c>
      <c r="B593" s="3" t="s">
        <v>15</v>
      </c>
      <c r="C593" s="3" t="s">
        <v>762</v>
      </c>
      <c r="D593" s="3" t="s">
        <v>15</v>
      </c>
      <c r="E593" s="3" t="s">
        <v>149</v>
      </c>
      <c r="F593" s="4">
        <v>46300</v>
      </c>
      <c r="G593" s="3" t="s">
        <v>50</v>
      </c>
      <c r="H593" s="6">
        <v>-520661.25</v>
      </c>
      <c r="I593" s="3" t="s">
        <v>19</v>
      </c>
      <c r="J593" s="3" t="s">
        <v>15</v>
      </c>
      <c r="K593" s="3" t="s">
        <v>15</v>
      </c>
      <c r="L593" s="3" t="s">
        <v>97</v>
      </c>
      <c r="M593" s="4">
        <v>46300</v>
      </c>
      <c r="N593" s="3" t="s">
        <v>763</v>
      </c>
      <c r="O593" s="3" t="s">
        <v>32</v>
      </c>
      <c r="P593" t="str">
        <f t="shared" si="9"/>
        <v>450014006510</v>
      </c>
      <c r="Q593" s="7" cm="1">
        <f t="array" ref="Q593:S593">VLOOKUP(P593,Hoja1!C:F,{2,3,4},FALSE)</f>
        <v>46311</v>
      </c>
      <c r="R593" t="str">
        <v>C28</v>
      </c>
      <c r="S593" t="str">
        <v>1000010215 ARZE MIGUEL ANGEL</v>
      </c>
    </row>
    <row r="594" spans="1:19" x14ac:dyDescent="0.3">
      <c r="A594" s="2" t="s">
        <v>15</v>
      </c>
      <c r="B594" s="3" t="s">
        <v>15</v>
      </c>
      <c r="C594" s="3" t="s">
        <v>764</v>
      </c>
      <c r="D594" s="3" t="s">
        <v>25</v>
      </c>
      <c r="E594" s="3" t="s">
        <v>149</v>
      </c>
      <c r="F594" s="4">
        <v>46300</v>
      </c>
      <c r="G594" s="3" t="s">
        <v>50</v>
      </c>
      <c r="H594" s="6">
        <v>-367768.6</v>
      </c>
      <c r="I594" s="3" t="s">
        <v>19</v>
      </c>
      <c r="J594" s="3" t="s">
        <v>15</v>
      </c>
      <c r="K594" s="3" t="s">
        <v>15</v>
      </c>
      <c r="L594" s="3" t="s">
        <v>99</v>
      </c>
      <c r="M594" s="4">
        <v>46300</v>
      </c>
      <c r="N594" s="3" t="s">
        <v>510</v>
      </c>
      <c r="O594" s="3" t="s">
        <v>84</v>
      </c>
      <c r="P594" t="str">
        <f t="shared" si="9"/>
        <v>4500139791100</v>
      </c>
      <c r="Q594" s="7" cm="1">
        <f t="array" ref="Q594:S594">VLOOKUP(P594,Hoja1!C:F,{2,3,4},FALSE)</f>
        <v>46303</v>
      </c>
      <c r="R594" t="str">
        <v>C35</v>
      </c>
      <c r="S594" t="str">
        <v>1000012333 GO CLEAN S.A.S.</v>
      </c>
    </row>
    <row r="595" spans="1:19" x14ac:dyDescent="0.3">
      <c r="A595" s="2" t="s">
        <v>15</v>
      </c>
      <c r="B595" s="3" t="s">
        <v>15</v>
      </c>
      <c r="C595" s="3" t="s">
        <v>765</v>
      </c>
      <c r="D595" s="3" t="s">
        <v>15</v>
      </c>
      <c r="E595" s="3" t="s">
        <v>149</v>
      </c>
      <c r="F595" s="4">
        <v>46300</v>
      </c>
      <c r="G595" s="3" t="s">
        <v>50</v>
      </c>
      <c r="H595" s="6">
        <v>-969494.03</v>
      </c>
      <c r="I595" s="3" t="s">
        <v>19</v>
      </c>
      <c r="J595" s="3" t="s">
        <v>15</v>
      </c>
      <c r="K595" s="3" t="s">
        <v>15</v>
      </c>
      <c r="L595" s="3" t="s">
        <v>352</v>
      </c>
      <c r="M595" s="4">
        <v>46300</v>
      </c>
      <c r="N595" s="3" t="s">
        <v>766</v>
      </c>
      <c r="O595" s="3" t="s">
        <v>32</v>
      </c>
      <c r="P595" t="str">
        <f t="shared" si="9"/>
        <v>450013926210</v>
      </c>
      <c r="Q595" s="7" cm="1">
        <f t="array" ref="Q595:S595">VLOOKUP(P595,Hoja1!C:F,{2,3,4},FALSE)</f>
        <v>46317</v>
      </c>
      <c r="R595" t="str">
        <v>C29</v>
      </c>
      <c r="S595" t="str">
        <v>1000000038 YPF S.A.</v>
      </c>
    </row>
    <row r="596" spans="1:19" x14ac:dyDescent="0.3">
      <c r="A596" s="2" t="s">
        <v>15</v>
      </c>
      <c r="B596" s="3" t="s">
        <v>15</v>
      </c>
      <c r="C596" s="3" t="s">
        <v>765</v>
      </c>
      <c r="D596" s="3" t="s">
        <v>15</v>
      </c>
      <c r="E596" s="3" t="s">
        <v>149</v>
      </c>
      <c r="F596" s="4">
        <v>46300</v>
      </c>
      <c r="G596" s="3" t="s">
        <v>50</v>
      </c>
      <c r="H596" s="6">
        <v>-11316098.4</v>
      </c>
      <c r="I596" s="3" t="s">
        <v>19</v>
      </c>
      <c r="J596" s="3" t="s">
        <v>15</v>
      </c>
      <c r="K596" s="3" t="s">
        <v>15</v>
      </c>
      <c r="L596" s="3" t="s">
        <v>352</v>
      </c>
      <c r="M596" s="4">
        <v>46300</v>
      </c>
      <c r="N596" s="3" t="s">
        <v>766</v>
      </c>
      <c r="O596" s="3" t="s">
        <v>28</v>
      </c>
      <c r="P596" t="str">
        <f t="shared" si="9"/>
        <v>450013926220</v>
      </c>
      <c r="Q596" s="7" cm="1">
        <f t="array" ref="Q596:S596">VLOOKUP(P596,Hoja1!C:F,{2,3,4},FALSE)</f>
        <v>46317</v>
      </c>
      <c r="R596" t="str">
        <v>C29</v>
      </c>
      <c r="S596" t="str">
        <v>1000000038 YPF S.A.</v>
      </c>
    </row>
    <row r="597" spans="1:19" x14ac:dyDescent="0.3">
      <c r="A597" s="2" t="s">
        <v>15</v>
      </c>
      <c r="B597" s="3" t="s">
        <v>15</v>
      </c>
      <c r="C597" s="3" t="s">
        <v>767</v>
      </c>
      <c r="D597" s="3" t="s">
        <v>15</v>
      </c>
      <c r="E597" s="3" t="s">
        <v>149</v>
      </c>
      <c r="F597" s="4">
        <v>46300</v>
      </c>
      <c r="G597" s="3" t="s">
        <v>50</v>
      </c>
      <c r="H597" s="6">
        <v>-447072.5</v>
      </c>
      <c r="I597" s="3" t="s">
        <v>19</v>
      </c>
      <c r="J597" s="3" t="s">
        <v>15</v>
      </c>
      <c r="K597" s="3" t="s">
        <v>15</v>
      </c>
      <c r="L597" s="3" t="s">
        <v>279</v>
      </c>
      <c r="M597" s="4">
        <v>46300</v>
      </c>
      <c r="N597" s="3" t="s">
        <v>768</v>
      </c>
      <c r="O597" s="3" t="s">
        <v>32</v>
      </c>
      <c r="P597" t="str">
        <f t="shared" si="9"/>
        <v>450013701510</v>
      </c>
      <c r="Q597" s="7" cm="1">
        <f t="array" ref="Q597:S597">VLOOKUP(P597,Hoja1!C:F,{2,3,4},FALSE)</f>
        <v>46295</v>
      </c>
      <c r="R597" t="str">
        <v>AGV</v>
      </c>
      <c r="S597" t="str">
        <v>1000000190 FERNANDEZ INSUA S.A.</v>
      </c>
    </row>
    <row r="598" spans="1:19" x14ac:dyDescent="0.3">
      <c r="A598" s="2" t="s">
        <v>15</v>
      </c>
      <c r="B598" s="3" t="s">
        <v>15</v>
      </c>
      <c r="C598" s="3" t="s">
        <v>767</v>
      </c>
      <c r="D598" s="3" t="s">
        <v>15</v>
      </c>
      <c r="E598" s="3" t="s">
        <v>149</v>
      </c>
      <c r="F598" s="4">
        <v>46300</v>
      </c>
      <c r="G598" s="3" t="s">
        <v>50</v>
      </c>
      <c r="H598" s="6">
        <v>-447072.5</v>
      </c>
      <c r="I598" s="3" t="s">
        <v>19</v>
      </c>
      <c r="J598" s="3" t="s">
        <v>15</v>
      </c>
      <c r="K598" s="3" t="s">
        <v>15</v>
      </c>
      <c r="L598" s="3" t="s">
        <v>279</v>
      </c>
      <c r="M598" s="4">
        <v>46300</v>
      </c>
      <c r="N598" s="3" t="s">
        <v>768</v>
      </c>
      <c r="O598" s="3" t="s">
        <v>28</v>
      </c>
      <c r="P598" t="str">
        <f t="shared" si="9"/>
        <v>450013701520</v>
      </c>
      <c r="Q598" s="7" cm="1">
        <f t="array" ref="Q598:S598">VLOOKUP(P598,Hoja1!C:F,{2,3,4},FALSE)</f>
        <v>46295</v>
      </c>
      <c r="R598" t="str">
        <v>AGV</v>
      </c>
      <c r="S598" t="str">
        <v>1000000190 FERNANDEZ INSUA S.A.</v>
      </c>
    </row>
    <row r="599" spans="1:19" x14ac:dyDescent="0.3">
      <c r="A599" s="2" t="s">
        <v>15</v>
      </c>
      <c r="B599" s="3" t="s">
        <v>15</v>
      </c>
      <c r="C599" s="3" t="s">
        <v>767</v>
      </c>
      <c r="D599" s="3" t="s">
        <v>15</v>
      </c>
      <c r="E599" s="3" t="s">
        <v>149</v>
      </c>
      <c r="F599" s="4">
        <v>46300</v>
      </c>
      <c r="G599" s="3" t="s">
        <v>50</v>
      </c>
      <c r="H599" s="6">
        <v>-447072.5</v>
      </c>
      <c r="I599" s="3" t="s">
        <v>19</v>
      </c>
      <c r="J599" s="3" t="s">
        <v>15</v>
      </c>
      <c r="K599" s="3" t="s">
        <v>15</v>
      </c>
      <c r="L599" s="3" t="s">
        <v>279</v>
      </c>
      <c r="M599" s="4">
        <v>46300</v>
      </c>
      <c r="N599" s="3" t="s">
        <v>768</v>
      </c>
      <c r="O599" s="3" t="s">
        <v>54</v>
      </c>
      <c r="P599" t="str">
        <f t="shared" si="9"/>
        <v>450013701530</v>
      </c>
      <c r="Q599" s="7" cm="1">
        <f t="array" ref="Q599:S599">VLOOKUP(P599,Hoja1!C:F,{2,3,4},FALSE)</f>
        <v>46295</v>
      </c>
      <c r="R599" t="str">
        <v>AGV</v>
      </c>
      <c r="S599" t="str">
        <v>1000000190 FERNANDEZ INSUA S.A.</v>
      </c>
    </row>
    <row r="600" spans="1:19" x14ac:dyDescent="0.3">
      <c r="A600" s="2" t="s">
        <v>15</v>
      </c>
      <c r="B600" s="3" t="s">
        <v>15</v>
      </c>
      <c r="C600" s="3" t="s">
        <v>769</v>
      </c>
      <c r="D600" s="3" t="s">
        <v>15</v>
      </c>
      <c r="E600" s="3" t="s">
        <v>149</v>
      </c>
      <c r="F600" s="4">
        <v>46300</v>
      </c>
      <c r="G600" s="3" t="s">
        <v>50</v>
      </c>
      <c r="H600" s="6">
        <v>-3251050.6</v>
      </c>
      <c r="I600" s="3" t="s">
        <v>19</v>
      </c>
      <c r="J600" s="3" t="s">
        <v>15</v>
      </c>
      <c r="K600" s="3" t="s">
        <v>15</v>
      </c>
      <c r="L600" s="3" t="s">
        <v>73</v>
      </c>
      <c r="M600" s="4">
        <v>46300</v>
      </c>
      <c r="N600" s="3" t="s">
        <v>537</v>
      </c>
      <c r="O600" s="3" t="s">
        <v>55</v>
      </c>
      <c r="P600" t="str">
        <f t="shared" si="9"/>
        <v>450013974250</v>
      </c>
      <c r="Q600" s="7" cm="1">
        <f t="array" ref="Q600:S600">VLOOKUP(P600,Hoja1!C:F,{2,3,4},FALSE)</f>
        <v>46318</v>
      </c>
      <c r="R600" t="str">
        <v>C28</v>
      </c>
      <c r="S600" t="str">
        <v>1000007451 FLORES CARLOS FELIPE Y OTROS S H</v>
      </c>
    </row>
    <row r="601" spans="1:19" x14ac:dyDescent="0.3">
      <c r="A601" s="2" t="s">
        <v>15</v>
      </c>
      <c r="B601" s="3" t="s">
        <v>15</v>
      </c>
      <c r="C601" s="3" t="s">
        <v>770</v>
      </c>
      <c r="D601" s="3" t="s">
        <v>25</v>
      </c>
      <c r="E601" s="3" t="s">
        <v>149</v>
      </c>
      <c r="F601" s="4">
        <v>46300</v>
      </c>
      <c r="G601" s="3" t="s">
        <v>50</v>
      </c>
      <c r="H601" s="6">
        <v>-568000</v>
      </c>
      <c r="I601" s="3" t="s">
        <v>19</v>
      </c>
      <c r="J601" s="3" t="s">
        <v>15</v>
      </c>
      <c r="K601" s="3" t="s">
        <v>15</v>
      </c>
      <c r="L601" s="3" t="s">
        <v>771</v>
      </c>
      <c r="M601" s="4">
        <v>46300</v>
      </c>
      <c r="N601" s="3" t="s">
        <v>772</v>
      </c>
      <c r="O601" s="3" t="s">
        <v>32</v>
      </c>
      <c r="P601" t="str">
        <f t="shared" si="9"/>
        <v>450013857010</v>
      </c>
      <c r="Q601" s="7" cm="1">
        <f t="array" ref="Q601:S601">VLOOKUP(P601,Hoja1!C:F,{2,3,4},FALSE)</f>
        <v>46310</v>
      </c>
      <c r="R601" t="str">
        <v>C17</v>
      </c>
      <c r="S601" t="str">
        <v>1000011285 HANNA SRL</v>
      </c>
    </row>
    <row r="602" spans="1:19" x14ac:dyDescent="0.3">
      <c r="A602" s="2" t="s">
        <v>15</v>
      </c>
      <c r="B602" s="3" t="s">
        <v>15</v>
      </c>
      <c r="C602" s="3" t="s">
        <v>770</v>
      </c>
      <c r="D602" s="3" t="s">
        <v>25</v>
      </c>
      <c r="E602" s="3" t="s">
        <v>149</v>
      </c>
      <c r="F602" s="4">
        <v>46300</v>
      </c>
      <c r="G602" s="3" t="s">
        <v>50</v>
      </c>
      <c r="H602" s="6">
        <v>-558000</v>
      </c>
      <c r="I602" s="3" t="s">
        <v>19</v>
      </c>
      <c r="J602" s="3" t="s">
        <v>15</v>
      </c>
      <c r="K602" s="3" t="s">
        <v>15</v>
      </c>
      <c r="L602" s="3" t="s">
        <v>771</v>
      </c>
      <c r="M602" s="4">
        <v>46300</v>
      </c>
      <c r="N602" s="3" t="s">
        <v>772</v>
      </c>
      <c r="O602" s="3" t="s">
        <v>28</v>
      </c>
      <c r="P602" t="str">
        <f t="shared" si="9"/>
        <v>450013857020</v>
      </c>
      <c r="Q602" s="7" cm="1">
        <f t="array" ref="Q602:S602">VLOOKUP(P602,Hoja1!C:F,{2,3,4},FALSE)</f>
        <v>46310</v>
      </c>
      <c r="R602" t="str">
        <v>C17</v>
      </c>
      <c r="S602" t="str">
        <v>1000011285 HANNA SRL</v>
      </c>
    </row>
    <row r="603" spans="1:19" x14ac:dyDescent="0.3">
      <c r="A603" s="2" t="s">
        <v>15</v>
      </c>
      <c r="B603" s="3" t="s">
        <v>15</v>
      </c>
      <c r="C603" s="3" t="s">
        <v>770</v>
      </c>
      <c r="D603" s="3" t="s">
        <v>25</v>
      </c>
      <c r="E603" s="3" t="s">
        <v>149</v>
      </c>
      <c r="F603" s="4">
        <v>46300</v>
      </c>
      <c r="G603" s="3" t="s">
        <v>50</v>
      </c>
      <c r="H603" s="6">
        <v>-794000</v>
      </c>
      <c r="I603" s="3" t="s">
        <v>19</v>
      </c>
      <c r="J603" s="3" t="s">
        <v>15</v>
      </c>
      <c r="K603" s="3" t="s">
        <v>15</v>
      </c>
      <c r="L603" s="3" t="s">
        <v>771</v>
      </c>
      <c r="M603" s="4">
        <v>46300</v>
      </c>
      <c r="N603" s="3" t="s">
        <v>772</v>
      </c>
      <c r="O603" s="3" t="s">
        <v>54</v>
      </c>
      <c r="P603" t="str">
        <f t="shared" si="9"/>
        <v>450013857030</v>
      </c>
      <c r="Q603" s="7" cm="1">
        <f t="array" ref="Q603:S603">VLOOKUP(P603,Hoja1!C:F,{2,3,4},FALSE)</f>
        <v>46310</v>
      </c>
      <c r="R603" t="str">
        <v>C17</v>
      </c>
      <c r="S603" t="str">
        <v>1000011285 HANNA SRL</v>
      </c>
    </row>
    <row r="604" spans="1:19" x14ac:dyDescent="0.3">
      <c r="A604" s="2" t="s">
        <v>15</v>
      </c>
      <c r="B604" s="3" t="s">
        <v>15</v>
      </c>
      <c r="C604" s="3" t="s">
        <v>770</v>
      </c>
      <c r="D604" s="3" t="s">
        <v>25</v>
      </c>
      <c r="E604" s="3" t="s">
        <v>149</v>
      </c>
      <c r="F604" s="4">
        <v>46300</v>
      </c>
      <c r="G604" s="3" t="s">
        <v>50</v>
      </c>
      <c r="H604" s="6">
        <v>-211000</v>
      </c>
      <c r="I604" s="3" t="s">
        <v>19</v>
      </c>
      <c r="J604" s="3" t="s">
        <v>15</v>
      </c>
      <c r="K604" s="3" t="s">
        <v>15</v>
      </c>
      <c r="L604" s="3" t="s">
        <v>771</v>
      </c>
      <c r="M604" s="4">
        <v>46300</v>
      </c>
      <c r="N604" s="3" t="s">
        <v>772</v>
      </c>
      <c r="O604" s="3" t="s">
        <v>23</v>
      </c>
      <c r="P604" t="str">
        <f t="shared" si="9"/>
        <v>450013857040</v>
      </c>
      <c r="Q604" s="7" cm="1">
        <f t="array" ref="Q604:S604">VLOOKUP(P604,Hoja1!C:F,{2,3,4},FALSE)</f>
        <v>46310</v>
      </c>
      <c r="R604" t="str">
        <v>C17</v>
      </c>
      <c r="S604" t="str">
        <v>1000011285 HANNA SRL</v>
      </c>
    </row>
    <row r="605" spans="1:19" x14ac:dyDescent="0.3">
      <c r="A605" s="2" t="s">
        <v>15</v>
      </c>
      <c r="B605" s="3" t="s">
        <v>15</v>
      </c>
      <c r="C605" s="3" t="s">
        <v>770</v>
      </c>
      <c r="D605" s="3" t="s">
        <v>25</v>
      </c>
      <c r="E605" s="3" t="s">
        <v>149</v>
      </c>
      <c r="F605" s="4">
        <v>46300</v>
      </c>
      <c r="G605" s="3" t="s">
        <v>50</v>
      </c>
      <c r="H605" s="6">
        <v>-1798000</v>
      </c>
      <c r="I605" s="3" t="s">
        <v>19</v>
      </c>
      <c r="J605" s="3" t="s">
        <v>15</v>
      </c>
      <c r="K605" s="3" t="s">
        <v>15</v>
      </c>
      <c r="L605" s="3" t="s">
        <v>771</v>
      </c>
      <c r="M605" s="4">
        <v>46300</v>
      </c>
      <c r="N605" s="3" t="s">
        <v>772</v>
      </c>
      <c r="O605" s="3" t="s">
        <v>55</v>
      </c>
      <c r="P605" t="str">
        <f t="shared" si="9"/>
        <v>450013857050</v>
      </c>
      <c r="Q605" s="7" cm="1">
        <f t="array" ref="Q605:S605">VLOOKUP(P605,Hoja1!C:F,{2,3,4},FALSE)</f>
        <v>46310</v>
      </c>
      <c r="R605" t="str">
        <v>C17</v>
      </c>
      <c r="S605" t="str">
        <v>1000011285 HANNA SRL</v>
      </c>
    </row>
    <row r="606" spans="1:19" x14ac:dyDescent="0.3">
      <c r="A606" s="2" t="s">
        <v>15</v>
      </c>
      <c r="B606" s="3" t="s">
        <v>15</v>
      </c>
      <c r="C606" s="3" t="s">
        <v>770</v>
      </c>
      <c r="D606" s="3" t="s">
        <v>25</v>
      </c>
      <c r="E606" s="3" t="s">
        <v>149</v>
      </c>
      <c r="F606" s="4">
        <v>46300</v>
      </c>
      <c r="G606" s="3" t="s">
        <v>50</v>
      </c>
      <c r="H606" s="6">
        <v>-392500</v>
      </c>
      <c r="I606" s="3" t="s">
        <v>19</v>
      </c>
      <c r="J606" s="3" t="s">
        <v>15</v>
      </c>
      <c r="K606" s="3" t="s">
        <v>15</v>
      </c>
      <c r="L606" s="3" t="s">
        <v>771</v>
      </c>
      <c r="M606" s="4">
        <v>46300</v>
      </c>
      <c r="N606" s="3" t="s">
        <v>772</v>
      </c>
      <c r="O606" s="3" t="s">
        <v>80</v>
      </c>
      <c r="P606" t="str">
        <f t="shared" si="9"/>
        <v>450013857060</v>
      </c>
      <c r="Q606" s="7" cm="1">
        <f t="array" ref="Q606:S606">VLOOKUP(P606,Hoja1!C:F,{2,3,4},FALSE)</f>
        <v>46310</v>
      </c>
      <c r="R606" t="str">
        <v>C17</v>
      </c>
      <c r="S606" t="str">
        <v>1000011285 HANNA SRL</v>
      </c>
    </row>
    <row r="607" spans="1:19" x14ac:dyDescent="0.3">
      <c r="A607" s="2" t="s">
        <v>15</v>
      </c>
      <c r="B607" s="3" t="s">
        <v>15</v>
      </c>
      <c r="C607" s="3" t="s">
        <v>770</v>
      </c>
      <c r="D607" s="3" t="s">
        <v>25</v>
      </c>
      <c r="E607" s="3" t="s">
        <v>149</v>
      </c>
      <c r="F607" s="4">
        <v>46300</v>
      </c>
      <c r="G607" s="3" t="s">
        <v>50</v>
      </c>
      <c r="H607" s="6">
        <v>-499000</v>
      </c>
      <c r="I607" s="3" t="s">
        <v>19</v>
      </c>
      <c r="J607" s="3" t="s">
        <v>15</v>
      </c>
      <c r="K607" s="3" t="s">
        <v>15</v>
      </c>
      <c r="L607" s="3" t="s">
        <v>771</v>
      </c>
      <c r="M607" s="4">
        <v>46300</v>
      </c>
      <c r="N607" s="3" t="s">
        <v>772</v>
      </c>
      <c r="O607" s="3" t="s">
        <v>81</v>
      </c>
      <c r="P607" t="str">
        <f t="shared" si="9"/>
        <v>450013857070</v>
      </c>
      <c r="Q607" s="7" cm="1">
        <f t="array" ref="Q607:S607">VLOOKUP(P607,Hoja1!C:F,{2,3,4},FALSE)</f>
        <v>46310</v>
      </c>
      <c r="R607" t="str">
        <v>C17</v>
      </c>
      <c r="S607" t="str">
        <v>1000011285 HANNA SRL</v>
      </c>
    </row>
    <row r="608" spans="1:19" x14ac:dyDescent="0.3">
      <c r="A608" s="2" t="s">
        <v>15</v>
      </c>
      <c r="B608" s="3" t="s">
        <v>15</v>
      </c>
      <c r="C608" s="3" t="s">
        <v>773</v>
      </c>
      <c r="D608" s="3" t="s">
        <v>25</v>
      </c>
      <c r="E608" s="3" t="s">
        <v>149</v>
      </c>
      <c r="F608" s="4">
        <v>46300</v>
      </c>
      <c r="G608" s="3" t="s">
        <v>50</v>
      </c>
      <c r="H608" s="6">
        <v>-1311210.6000000001</v>
      </c>
      <c r="I608" s="3" t="s">
        <v>19</v>
      </c>
      <c r="J608" s="3" t="s">
        <v>15</v>
      </c>
      <c r="K608" s="3" t="s">
        <v>15</v>
      </c>
      <c r="L608" s="3" t="s">
        <v>518</v>
      </c>
      <c r="M608" s="4">
        <v>46300</v>
      </c>
      <c r="N608" s="3" t="s">
        <v>774</v>
      </c>
      <c r="O608" s="3" t="s">
        <v>32</v>
      </c>
      <c r="P608" t="str">
        <f t="shared" si="9"/>
        <v>450014022810</v>
      </c>
      <c r="Q608" s="7" cm="1">
        <f t="array" ref="Q608:S608">VLOOKUP(P608,Hoja1!C:F,{2,3,4},FALSE)</f>
        <v>46300</v>
      </c>
      <c r="R608" t="str">
        <v>C25</v>
      </c>
      <c r="S608" t="str">
        <v>1000007795 JAWIT S.A.</v>
      </c>
    </row>
    <row r="609" spans="1:19" x14ac:dyDescent="0.3">
      <c r="A609" s="2" t="s">
        <v>15</v>
      </c>
      <c r="B609" s="3" t="s">
        <v>15</v>
      </c>
      <c r="C609" s="3" t="s">
        <v>775</v>
      </c>
      <c r="D609" s="3" t="s">
        <v>15</v>
      </c>
      <c r="E609" s="3" t="s">
        <v>149</v>
      </c>
      <c r="F609" s="4">
        <v>46301</v>
      </c>
      <c r="G609" s="3" t="s">
        <v>50</v>
      </c>
      <c r="H609" s="6">
        <v>-59682</v>
      </c>
      <c r="I609" s="3" t="s">
        <v>19</v>
      </c>
      <c r="J609" s="3" t="s">
        <v>15</v>
      </c>
      <c r="K609" s="3" t="s">
        <v>15</v>
      </c>
      <c r="L609" s="3" t="s">
        <v>734</v>
      </c>
      <c r="M609" s="4">
        <v>46301</v>
      </c>
      <c r="N609" s="3" t="s">
        <v>735</v>
      </c>
      <c r="O609" s="3" t="s">
        <v>32</v>
      </c>
      <c r="P609" t="str">
        <f t="shared" si="9"/>
        <v>450013933710</v>
      </c>
      <c r="Q609" s="7" cm="1">
        <f t="array" ref="Q609:S609">VLOOKUP(P609,Hoja1!C:F,{2,3,4},FALSE)</f>
        <v>46304</v>
      </c>
      <c r="R609" t="str">
        <v>C17</v>
      </c>
      <c r="S609" t="str">
        <v>1000000003 ARROYITO MAQUINARIAS S.R.L.</v>
      </c>
    </row>
    <row r="610" spans="1:19" x14ac:dyDescent="0.3">
      <c r="A610" s="2" t="s">
        <v>15</v>
      </c>
      <c r="B610" s="3" t="s">
        <v>15</v>
      </c>
      <c r="C610" s="3" t="s">
        <v>775</v>
      </c>
      <c r="D610" s="3" t="s">
        <v>15</v>
      </c>
      <c r="E610" s="3" t="s">
        <v>149</v>
      </c>
      <c r="F610" s="4">
        <v>46301</v>
      </c>
      <c r="G610" s="3" t="s">
        <v>50</v>
      </c>
      <c r="H610" s="6">
        <v>-178500</v>
      </c>
      <c r="I610" s="3" t="s">
        <v>19</v>
      </c>
      <c r="J610" s="3" t="s">
        <v>15</v>
      </c>
      <c r="K610" s="3" t="s">
        <v>15</v>
      </c>
      <c r="L610" s="3" t="s">
        <v>734</v>
      </c>
      <c r="M610" s="4">
        <v>46301</v>
      </c>
      <c r="N610" s="3" t="s">
        <v>735</v>
      </c>
      <c r="O610" s="3" t="s">
        <v>28</v>
      </c>
      <c r="P610" t="str">
        <f t="shared" si="9"/>
        <v>450013933720</v>
      </c>
      <c r="Q610" s="7" cm="1">
        <f t="array" ref="Q610:S610">VLOOKUP(P610,Hoja1!C:F,{2,3,4},FALSE)</f>
        <v>46304</v>
      </c>
      <c r="R610" t="str">
        <v>C17</v>
      </c>
      <c r="S610" t="str">
        <v>1000000003 ARROYITO MAQUINARIAS S.R.L.</v>
      </c>
    </row>
    <row r="611" spans="1:19" x14ac:dyDescent="0.3">
      <c r="A611" s="2" t="s">
        <v>15</v>
      </c>
      <c r="B611" s="3" t="s">
        <v>15</v>
      </c>
      <c r="C611" s="3" t="s">
        <v>776</v>
      </c>
      <c r="D611" s="3" t="s">
        <v>15</v>
      </c>
      <c r="E611" s="3" t="s">
        <v>149</v>
      </c>
      <c r="F611" s="4">
        <v>46301</v>
      </c>
      <c r="G611" s="3" t="s">
        <v>50</v>
      </c>
      <c r="H611" s="6">
        <v>-89042.8</v>
      </c>
      <c r="I611" s="3" t="s">
        <v>19</v>
      </c>
      <c r="J611" s="3" t="s">
        <v>15</v>
      </c>
      <c r="K611" s="3" t="s">
        <v>15</v>
      </c>
      <c r="L611" s="3" t="s">
        <v>141</v>
      </c>
      <c r="M611" s="4">
        <v>46301</v>
      </c>
      <c r="N611" s="3" t="s">
        <v>777</v>
      </c>
      <c r="O611" s="3" t="s">
        <v>23</v>
      </c>
      <c r="P611" t="str">
        <f t="shared" si="9"/>
        <v>450013978940</v>
      </c>
      <c r="Q611" s="7" cm="1">
        <f t="array" ref="Q611:S611">VLOOKUP(P611,Hoja1!C:F,{2,3,4},FALSE)</f>
        <v>46321</v>
      </c>
      <c r="R611" t="str">
        <v>C27</v>
      </c>
      <c r="S611" t="str">
        <v>1000000295 BOLLINI S.A</v>
      </c>
    </row>
    <row r="612" spans="1:19" x14ac:dyDescent="0.3">
      <c r="A612" s="2" t="s">
        <v>15</v>
      </c>
      <c r="B612" s="3" t="s">
        <v>15</v>
      </c>
      <c r="C612" s="3" t="s">
        <v>776</v>
      </c>
      <c r="D612" s="3" t="s">
        <v>15</v>
      </c>
      <c r="E612" s="3" t="s">
        <v>149</v>
      </c>
      <c r="F612" s="4">
        <v>46301</v>
      </c>
      <c r="G612" s="3" t="s">
        <v>50</v>
      </c>
      <c r="H612" s="6">
        <v>-29376</v>
      </c>
      <c r="I612" s="3" t="s">
        <v>19</v>
      </c>
      <c r="J612" s="3" t="s">
        <v>15</v>
      </c>
      <c r="K612" s="3" t="s">
        <v>15</v>
      </c>
      <c r="L612" s="3" t="s">
        <v>141</v>
      </c>
      <c r="M612" s="4">
        <v>46301</v>
      </c>
      <c r="N612" s="3" t="s">
        <v>777</v>
      </c>
      <c r="O612" s="3" t="s">
        <v>55</v>
      </c>
      <c r="P612" t="str">
        <f t="shared" si="9"/>
        <v>450013978950</v>
      </c>
      <c r="Q612" s="7" cm="1">
        <f t="array" ref="Q612:S612">VLOOKUP(P612,Hoja1!C:F,{2,3,4},FALSE)</f>
        <v>46321</v>
      </c>
      <c r="R612" t="str">
        <v>C27</v>
      </c>
      <c r="S612" t="str">
        <v>1000000295 BOLLINI S.A</v>
      </c>
    </row>
    <row r="613" spans="1:19" x14ac:dyDescent="0.3">
      <c r="A613" s="2" t="s">
        <v>15</v>
      </c>
      <c r="B613" s="3" t="s">
        <v>15</v>
      </c>
      <c r="C613" s="3" t="s">
        <v>776</v>
      </c>
      <c r="D613" s="3" t="s">
        <v>15</v>
      </c>
      <c r="E613" s="3" t="s">
        <v>149</v>
      </c>
      <c r="F613" s="4">
        <v>46301</v>
      </c>
      <c r="G613" s="3" t="s">
        <v>50</v>
      </c>
      <c r="H613" s="6">
        <v>-4312</v>
      </c>
      <c r="I613" s="3" t="s">
        <v>19</v>
      </c>
      <c r="J613" s="3" t="s">
        <v>15</v>
      </c>
      <c r="K613" s="3" t="s">
        <v>15</v>
      </c>
      <c r="L613" s="3" t="s">
        <v>141</v>
      </c>
      <c r="M613" s="4">
        <v>46301</v>
      </c>
      <c r="N613" s="3" t="s">
        <v>777</v>
      </c>
      <c r="O613" s="3" t="s">
        <v>80</v>
      </c>
      <c r="P613" t="str">
        <f t="shared" si="9"/>
        <v>450013978960</v>
      </c>
      <c r="Q613" s="7" cm="1">
        <f t="array" ref="Q613:S613">VLOOKUP(P613,Hoja1!C:F,{2,3,4},FALSE)</f>
        <v>46321</v>
      </c>
      <c r="R613" t="str">
        <v>C27</v>
      </c>
      <c r="S613" t="str">
        <v>1000000295 BOLLINI S.A</v>
      </c>
    </row>
    <row r="614" spans="1:19" x14ac:dyDescent="0.3">
      <c r="A614" s="2" t="s">
        <v>15</v>
      </c>
      <c r="B614" s="3" t="s">
        <v>15</v>
      </c>
      <c r="C614" s="3" t="s">
        <v>776</v>
      </c>
      <c r="D614" s="3" t="s">
        <v>15</v>
      </c>
      <c r="E614" s="3" t="s">
        <v>149</v>
      </c>
      <c r="F614" s="4">
        <v>46301</v>
      </c>
      <c r="G614" s="3" t="s">
        <v>50</v>
      </c>
      <c r="H614" s="6">
        <v>-31488</v>
      </c>
      <c r="I614" s="3" t="s">
        <v>19</v>
      </c>
      <c r="J614" s="3" t="s">
        <v>15</v>
      </c>
      <c r="K614" s="3" t="s">
        <v>15</v>
      </c>
      <c r="L614" s="3" t="s">
        <v>141</v>
      </c>
      <c r="M614" s="4">
        <v>46301</v>
      </c>
      <c r="N614" s="3" t="s">
        <v>777</v>
      </c>
      <c r="O614" s="3" t="s">
        <v>81</v>
      </c>
      <c r="P614" t="str">
        <f t="shared" si="9"/>
        <v>450013978970</v>
      </c>
      <c r="Q614" s="7" cm="1">
        <f t="array" ref="Q614:S614">VLOOKUP(P614,Hoja1!C:F,{2,3,4},FALSE)</f>
        <v>46321</v>
      </c>
      <c r="R614" t="str">
        <v>C27</v>
      </c>
      <c r="S614" t="str">
        <v>1000000295 BOLLINI S.A</v>
      </c>
    </row>
    <row r="615" spans="1:19" x14ac:dyDescent="0.3">
      <c r="A615" s="2" t="s">
        <v>15</v>
      </c>
      <c r="B615" s="3" t="s">
        <v>15</v>
      </c>
      <c r="C615" s="3" t="s">
        <v>776</v>
      </c>
      <c r="D615" s="3" t="s">
        <v>15</v>
      </c>
      <c r="E615" s="3" t="s">
        <v>149</v>
      </c>
      <c r="F615" s="4">
        <v>46301</v>
      </c>
      <c r="G615" s="3" t="s">
        <v>50</v>
      </c>
      <c r="H615" s="6">
        <v>-1414602</v>
      </c>
      <c r="I615" s="3" t="s">
        <v>19</v>
      </c>
      <c r="J615" s="3" t="s">
        <v>15</v>
      </c>
      <c r="K615" s="3" t="s">
        <v>15</v>
      </c>
      <c r="L615" s="3" t="s">
        <v>141</v>
      </c>
      <c r="M615" s="4">
        <v>46301</v>
      </c>
      <c r="N615" s="3" t="s">
        <v>777</v>
      </c>
      <c r="O615" s="3" t="s">
        <v>84</v>
      </c>
      <c r="P615" t="str">
        <f t="shared" si="9"/>
        <v>4500139789100</v>
      </c>
      <c r="Q615" s="7" cm="1">
        <f t="array" ref="Q615:S615">VLOOKUP(P615,Hoja1!C:F,{2,3,4},FALSE)</f>
        <v>46321</v>
      </c>
      <c r="R615" t="str">
        <v>C27</v>
      </c>
      <c r="S615" t="str">
        <v>1000000295 BOLLINI S.A</v>
      </c>
    </row>
    <row r="616" spans="1:19" x14ac:dyDescent="0.3">
      <c r="A616" s="2" t="s">
        <v>15</v>
      </c>
      <c r="B616" s="3" t="s">
        <v>15</v>
      </c>
      <c r="C616" s="3" t="s">
        <v>776</v>
      </c>
      <c r="D616" s="3" t="s">
        <v>15</v>
      </c>
      <c r="E616" s="3" t="s">
        <v>149</v>
      </c>
      <c r="F616" s="4">
        <v>46301</v>
      </c>
      <c r="G616" s="3" t="s">
        <v>50</v>
      </c>
      <c r="H616" s="6">
        <v>-856240</v>
      </c>
      <c r="I616" s="3" t="s">
        <v>19</v>
      </c>
      <c r="J616" s="3" t="s">
        <v>15</v>
      </c>
      <c r="K616" s="3" t="s">
        <v>15</v>
      </c>
      <c r="L616" s="3" t="s">
        <v>141</v>
      </c>
      <c r="M616" s="4">
        <v>46301</v>
      </c>
      <c r="N616" s="3" t="s">
        <v>777</v>
      </c>
      <c r="O616" s="3" t="s">
        <v>86</v>
      </c>
      <c r="P616" t="str">
        <f t="shared" si="9"/>
        <v>4500139789120</v>
      </c>
      <c r="Q616" s="7" cm="1">
        <f t="array" ref="Q616:S616">VLOOKUP(P616,Hoja1!C:F,{2,3,4},FALSE)</f>
        <v>46321</v>
      </c>
      <c r="R616" t="str">
        <v>C27</v>
      </c>
      <c r="S616" t="str">
        <v>1000000295 BOLLINI S.A</v>
      </c>
    </row>
    <row r="617" spans="1:19" x14ac:dyDescent="0.3">
      <c r="A617" s="2" t="s">
        <v>15</v>
      </c>
      <c r="B617" s="3" t="s">
        <v>15</v>
      </c>
      <c r="C617" s="3" t="s">
        <v>776</v>
      </c>
      <c r="D617" s="3" t="s">
        <v>15</v>
      </c>
      <c r="E617" s="3" t="s">
        <v>149</v>
      </c>
      <c r="F617" s="4">
        <v>46301</v>
      </c>
      <c r="G617" s="3" t="s">
        <v>50</v>
      </c>
      <c r="H617" s="6">
        <v>-13180</v>
      </c>
      <c r="I617" s="3" t="s">
        <v>19</v>
      </c>
      <c r="J617" s="3" t="s">
        <v>15</v>
      </c>
      <c r="K617" s="3" t="s">
        <v>15</v>
      </c>
      <c r="L617" s="3" t="s">
        <v>141</v>
      </c>
      <c r="M617" s="4">
        <v>46301</v>
      </c>
      <c r="N617" s="3" t="s">
        <v>777</v>
      </c>
      <c r="O617" s="3" t="s">
        <v>65</v>
      </c>
      <c r="P617" t="str">
        <f t="shared" si="9"/>
        <v>4500139789130</v>
      </c>
      <c r="Q617" s="7" cm="1">
        <f t="array" ref="Q617:S617">VLOOKUP(P617,Hoja1!C:F,{2,3,4},FALSE)</f>
        <v>46321</v>
      </c>
      <c r="R617" t="str">
        <v>C27</v>
      </c>
      <c r="S617" t="str">
        <v>1000000295 BOLLINI S.A</v>
      </c>
    </row>
    <row r="618" spans="1:19" x14ac:dyDescent="0.3">
      <c r="A618" s="2" t="s">
        <v>15</v>
      </c>
      <c r="B618" s="3" t="s">
        <v>15</v>
      </c>
      <c r="C618" s="3" t="s">
        <v>776</v>
      </c>
      <c r="D618" s="3" t="s">
        <v>15</v>
      </c>
      <c r="E618" s="3" t="s">
        <v>149</v>
      </c>
      <c r="F618" s="4">
        <v>46301</v>
      </c>
      <c r="G618" s="3" t="s">
        <v>50</v>
      </c>
      <c r="H618" s="6">
        <v>-26033.8</v>
      </c>
      <c r="I618" s="3" t="s">
        <v>19</v>
      </c>
      <c r="J618" s="3" t="s">
        <v>15</v>
      </c>
      <c r="K618" s="3" t="s">
        <v>15</v>
      </c>
      <c r="L618" s="3" t="s">
        <v>141</v>
      </c>
      <c r="M618" s="4">
        <v>46301</v>
      </c>
      <c r="N618" s="3" t="s">
        <v>777</v>
      </c>
      <c r="O618" s="3" t="s">
        <v>66</v>
      </c>
      <c r="P618" t="str">
        <f t="shared" si="9"/>
        <v>4500139789140</v>
      </c>
      <c r="Q618" s="7" cm="1">
        <f t="array" ref="Q618:S618">VLOOKUP(P618,Hoja1!C:F,{2,3,4},FALSE)</f>
        <v>46321</v>
      </c>
      <c r="R618" t="str">
        <v>C27</v>
      </c>
      <c r="S618" t="str">
        <v>1000000295 BOLLINI S.A</v>
      </c>
    </row>
    <row r="619" spans="1:19" x14ac:dyDescent="0.3">
      <c r="A619" s="2" t="s">
        <v>15</v>
      </c>
      <c r="B619" s="3" t="s">
        <v>15</v>
      </c>
      <c r="C619" s="3" t="s">
        <v>778</v>
      </c>
      <c r="D619" s="3" t="s">
        <v>15</v>
      </c>
      <c r="E619" s="3" t="s">
        <v>149</v>
      </c>
      <c r="F619" s="4">
        <v>46301</v>
      </c>
      <c r="G619" s="3" t="s">
        <v>50</v>
      </c>
      <c r="H619" s="6">
        <v>-46571.32</v>
      </c>
      <c r="I619" s="3" t="s">
        <v>19</v>
      </c>
      <c r="J619" s="3" t="s">
        <v>15</v>
      </c>
      <c r="K619" s="3" t="s">
        <v>15</v>
      </c>
      <c r="L619" s="3" t="s">
        <v>46</v>
      </c>
      <c r="M619" s="4">
        <v>46301</v>
      </c>
      <c r="N619" s="3" t="s">
        <v>779</v>
      </c>
      <c r="O619" s="3" t="s">
        <v>32</v>
      </c>
      <c r="P619" t="str">
        <f t="shared" si="9"/>
        <v>450013882810</v>
      </c>
      <c r="Q619" s="7" cm="1">
        <f t="array" ref="Q619:S619">VLOOKUP(P619,Hoja1!C:F,{2,3,4},FALSE)</f>
        <v>46295</v>
      </c>
      <c r="R619" t="str">
        <v>AGV</v>
      </c>
      <c r="S619" t="str">
        <v>1000000572 GRUAS SAN BLAS S.A</v>
      </c>
    </row>
    <row r="620" spans="1:19" x14ac:dyDescent="0.3">
      <c r="A620" s="2" t="s">
        <v>15</v>
      </c>
      <c r="B620" s="3" t="s">
        <v>15</v>
      </c>
      <c r="C620" s="3" t="s">
        <v>778</v>
      </c>
      <c r="D620" s="3" t="s">
        <v>15</v>
      </c>
      <c r="E620" s="3" t="s">
        <v>149</v>
      </c>
      <c r="F620" s="4">
        <v>46301</v>
      </c>
      <c r="G620" s="3" t="s">
        <v>50</v>
      </c>
      <c r="H620" s="6">
        <v>-11275.32</v>
      </c>
      <c r="I620" s="3" t="s">
        <v>19</v>
      </c>
      <c r="J620" s="3" t="s">
        <v>15</v>
      </c>
      <c r="K620" s="3" t="s">
        <v>15</v>
      </c>
      <c r="L620" s="3" t="s">
        <v>46</v>
      </c>
      <c r="M620" s="4">
        <v>46301</v>
      </c>
      <c r="N620" s="3" t="s">
        <v>779</v>
      </c>
      <c r="O620" s="3" t="s">
        <v>28</v>
      </c>
      <c r="P620" t="str">
        <f t="shared" si="9"/>
        <v>450013882820</v>
      </c>
      <c r="Q620" s="7" cm="1">
        <f t="array" ref="Q620:S620">VLOOKUP(P620,Hoja1!C:F,{2,3,4},FALSE)</f>
        <v>46295</v>
      </c>
      <c r="R620" t="str">
        <v>AGV</v>
      </c>
      <c r="S620" t="str">
        <v>1000000572 GRUAS SAN BLAS S.A</v>
      </c>
    </row>
    <row r="621" spans="1:19" x14ac:dyDescent="0.3">
      <c r="A621" s="2" t="s">
        <v>15</v>
      </c>
      <c r="B621" s="3" t="s">
        <v>15</v>
      </c>
      <c r="C621" s="3" t="s">
        <v>778</v>
      </c>
      <c r="D621" s="3" t="s">
        <v>15</v>
      </c>
      <c r="E621" s="3" t="s">
        <v>149</v>
      </c>
      <c r="F621" s="4">
        <v>46301</v>
      </c>
      <c r="G621" s="3" t="s">
        <v>50</v>
      </c>
      <c r="H621" s="6">
        <v>-46571.32</v>
      </c>
      <c r="I621" s="3" t="s">
        <v>19</v>
      </c>
      <c r="J621" s="3" t="s">
        <v>15</v>
      </c>
      <c r="K621" s="3" t="s">
        <v>15</v>
      </c>
      <c r="L621" s="3" t="s">
        <v>46</v>
      </c>
      <c r="M621" s="4">
        <v>46301</v>
      </c>
      <c r="N621" s="3" t="s">
        <v>779</v>
      </c>
      <c r="O621" s="3" t="s">
        <v>55</v>
      </c>
      <c r="P621" t="str">
        <f t="shared" si="9"/>
        <v>450013882850</v>
      </c>
      <c r="Q621" s="7" cm="1">
        <f t="array" ref="Q621:S621">VLOOKUP(P621,Hoja1!C:F,{2,3,4},FALSE)</f>
        <v>46302</v>
      </c>
      <c r="R621" t="str">
        <v>AGV</v>
      </c>
      <c r="S621" t="str">
        <v>1000000572 GRUAS SAN BLAS S.A</v>
      </c>
    </row>
    <row r="622" spans="1:19" x14ac:dyDescent="0.3">
      <c r="A622" s="2" t="s">
        <v>15</v>
      </c>
      <c r="B622" s="3" t="s">
        <v>15</v>
      </c>
      <c r="C622" s="3" t="s">
        <v>778</v>
      </c>
      <c r="D622" s="3" t="s">
        <v>15</v>
      </c>
      <c r="E622" s="3" t="s">
        <v>149</v>
      </c>
      <c r="F622" s="4">
        <v>46301</v>
      </c>
      <c r="G622" s="3" t="s">
        <v>50</v>
      </c>
      <c r="H622" s="6">
        <v>-34189.68</v>
      </c>
      <c r="I622" s="3" t="s">
        <v>19</v>
      </c>
      <c r="J622" s="3" t="s">
        <v>15</v>
      </c>
      <c r="K622" s="3" t="s">
        <v>15</v>
      </c>
      <c r="L622" s="3" t="s">
        <v>46</v>
      </c>
      <c r="M622" s="4">
        <v>46301</v>
      </c>
      <c r="N622" s="3" t="s">
        <v>779</v>
      </c>
      <c r="O622" s="3" t="s">
        <v>80</v>
      </c>
      <c r="P622" t="str">
        <f t="shared" si="9"/>
        <v>450013882860</v>
      </c>
      <c r="Q622" s="7" cm="1">
        <f t="array" ref="Q622:S622">VLOOKUP(P622,Hoja1!C:F,{2,3,4},FALSE)</f>
        <v>46302</v>
      </c>
      <c r="R622" t="str">
        <v>AGV</v>
      </c>
      <c r="S622" t="str">
        <v>1000000572 GRUAS SAN BLAS S.A</v>
      </c>
    </row>
    <row r="623" spans="1:19" x14ac:dyDescent="0.3">
      <c r="A623" s="2" t="s">
        <v>15</v>
      </c>
      <c r="B623" s="3" t="s">
        <v>15</v>
      </c>
      <c r="C623" s="3" t="s">
        <v>780</v>
      </c>
      <c r="D623" s="3" t="s">
        <v>15</v>
      </c>
      <c r="E623" s="3" t="s">
        <v>149</v>
      </c>
      <c r="F623" s="4">
        <v>46301</v>
      </c>
      <c r="G623" s="3" t="s">
        <v>50</v>
      </c>
      <c r="H623" s="6">
        <v>-818370</v>
      </c>
      <c r="I623" s="3" t="s">
        <v>19</v>
      </c>
      <c r="J623" s="3" t="s">
        <v>15</v>
      </c>
      <c r="K623" s="3" t="s">
        <v>15</v>
      </c>
      <c r="L623" s="3" t="s">
        <v>70</v>
      </c>
      <c r="M623" s="4">
        <v>46301</v>
      </c>
      <c r="N623" s="3" t="s">
        <v>781</v>
      </c>
      <c r="O623" s="3" t="s">
        <v>32</v>
      </c>
      <c r="P623" t="str">
        <f t="shared" si="9"/>
        <v>450014000310</v>
      </c>
      <c r="Q623" s="7" cm="1">
        <f t="array" ref="Q623:S623">VLOOKUP(P623,Hoja1!C:F,{2,3,4},FALSE)</f>
        <v>46301</v>
      </c>
      <c r="R623" t="str">
        <v>C35</v>
      </c>
      <c r="S623" t="str">
        <v>1000011519 SALLAGO FEDERICO MIGUEL</v>
      </c>
    </row>
    <row r="624" spans="1:19" x14ac:dyDescent="0.3">
      <c r="A624" s="2" t="s">
        <v>15</v>
      </c>
      <c r="B624" s="3" t="s">
        <v>15</v>
      </c>
      <c r="C624" s="3" t="s">
        <v>782</v>
      </c>
      <c r="D624" s="3" t="s">
        <v>25</v>
      </c>
      <c r="E624" s="3" t="s">
        <v>149</v>
      </c>
      <c r="F624" s="4">
        <v>46301</v>
      </c>
      <c r="G624" s="3" t="s">
        <v>50</v>
      </c>
      <c r="H624" s="6">
        <v>-18763.93</v>
      </c>
      <c r="I624" s="3" t="s">
        <v>19</v>
      </c>
      <c r="J624" s="3" t="s">
        <v>15</v>
      </c>
      <c r="K624" s="3" t="s">
        <v>15</v>
      </c>
      <c r="L624" s="3" t="s">
        <v>501</v>
      </c>
      <c r="M624" s="4">
        <v>46301</v>
      </c>
      <c r="N624" s="3" t="s">
        <v>783</v>
      </c>
      <c r="O624" s="3" t="s">
        <v>32</v>
      </c>
      <c r="P624" t="str">
        <f t="shared" si="9"/>
        <v>450014021110</v>
      </c>
      <c r="Q624" s="7" cm="1">
        <f t="array" ref="Q624:S624">VLOOKUP(P624,Hoja1!C:F,{2,3,4},FALSE)</f>
        <v>46304</v>
      </c>
      <c r="R624" t="str">
        <v>C35</v>
      </c>
      <c r="S624" t="str">
        <v>1000008137 ROVI S.R.L.</v>
      </c>
    </row>
    <row r="625" spans="1:19" x14ac:dyDescent="0.3">
      <c r="A625" s="2" t="s">
        <v>15</v>
      </c>
      <c r="B625" s="3" t="s">
        <v>15</v>
      </c>
      <c r="C625" s="3" t="s">
        <v>782</v>
      </c>
      <c r="D625" s="3" t="s">
        <v>25</v>
      </c>
      <c r="E625" s="3" t="s">
        <v>149</v>
      </c>
      <c r="F625" s="4">
        <v>46301</v>
      </c>
      <c r="G625" s="3" t="s">
        <v>50</v>
      </c>
      <c r="H625" s="6">
        <v>-18304.900000000001</v>
      </c>
      <c r="I625" s="3" t="s">
        <v>19</v>
      </c>
      <c r="J625" s="3" t="s">
        <v>15</v>
      </c>
      <c r="K625" s="3" t="s">
        <v>15</v>
      </c>
      <c r="L625" s="3" t="s">
        <v>501</v>
      </c>
      <c r="M625" s="4">
        <v>46301</v>
      </c>
      <c r="N625" s="3" t="s">
        <v>783</v>
      </c>
      <c r="O625" s="3" t="s">
        <v>28</v>
      </c>
      <c r="P625" t="str">
        <f t="shared" si="9"/>
        <v>450014021120</v>
      </c>
      <c r="Q625" s="7" cm="1">
        <f t="array" ref="Q625:S625">VLOOKUP(P625,Hoja1!C:F,{2,3,4},FALSE)</f>
        <v>46304</v>
      </c>
      <c r="R625" t="str">
        <v>C35</v>
      </c>
      <c r="S625" t="str">
        <v>1000008137 ROVI S.R.L.</v>
      </c>
    </row>
    <row r="626" spans="1:19" x14ac:dyDescent="0.3">
      <c r="A626" s="2" t="s">
        <v>15</v>
      </c>
      <c r="B626" s="3" t="s">
        <v>15</v>
      </c>
      <c r="C626" s="3" t="s">
        <v>782</v>
      </c>
      <c r="D626" s="3" t="s">
        <v>25</v>
      </c>
      <c r="E626" s="3" t="s">
        <v>149</v>
      </c>
      <c r="F626" s="4">
        <v>46301</v>
      </c>
      <c r="G626" s="3" t="s">
        <v>50</v>
      </c>
      <c r="H626" s="6">
        <v>-25406.799999999999</v>
      </c>
      <c r="I626" s="3" t="s">
        <v>19</v>
      </c>
      <c r="J626" s="3" t="s">
        <v>15</v>
      </c>
      <c r="K626" s="3" t="s">
        <v>15</v>
      </c>
      <c r="L626" s="3" t="s">
        <v>501</v>
      </c>
      <c r="M626" s="4">
        <v>46301</v>
      </c>
      <c r="N626" s="3" t="s">
        <v>783</v>
      </c>
      <c r="O626" s="3" t="s">
        <v>54</v>
      </c>
      <c r="P626" t="str">
        <f t="shared" si="9"/>
        <v>450014021130</v>
      </c>
      <c r="Q626" s="7" cm="1">
        <f t="array" ref="Q626:S626">VLOOKUP(P626,Hoja1!C:F,{2,3,4},FALSE)</f>
        <v>46304</v>
      </c>
      <c r="R626" t="str">
        <v>C35</v>
      </c>
      <c r="S626" t="str">
        <v>1000008137 ROVI S.R.L.</v>
      </c>
    </row>
    <row r="627" spans="1:19" x14ac:dyDescent="0.3">
      <c r="A627" s="2" t="s">
        <v>15</v>
      </c>
      <c r="B627" s="3" t="s">
        <v>15</v>
      </c>
      <c r="C627" s="3" t="s">
        <v>782</v>
      </c>
      <c r="D627" s="3" t="s">
        <v>25</v>
      </c>
      <c r="E627" s="3" t="s">
        <v>149</v>
      </c>
      <c r="F627" s="4">
        <v>46301</v>
      </c>
      <c r="G627" s="3" t="s">
        <v>50</v>
      </c>
      <c r="H627" s="6">
        <v>-67935.78</v>
      </c>
      <c r="I627" s="3" t="s">
        <v>19</v>
      </c>
      <c r="J627" s="3" t="s">
        <v>15</v>
      </c>
      <c r="K627" s="3" t="s">
        <v>15</v>
      </c>
      <c r="L627" s="3" t="s">
        <v>501</v>
      </c>
      <c r="M627" s="4">
        <v>46301</v>
      </c>
      <c r="N627" s="3" t="s">
        <v>783</v>
      </c>
      <c r="O627" s="3" t="s">
        <v>23</v>
      </c>
      <c r="P627" t="str">
        <f t="shared" si="9"/>
        <v>450014021140</v>
      </c>
      <c r="Q627" s="7" cm="1">
        <f t="array" ref="Q627:S627">VLOOKUP(P627,Hoja1!C:F,{2,3,4},FALSE)</f>
        <v>46304</v>
      </c>
      <c r="R627" t="str">
        <v>C35</v>
      </c>
      <c r="S627" t="str">
        <v>1000008137 ROVI S.R.L.</v>
      </c>
    </row>
    <row r="628" spans="1:19" x14ac:dyDescent="0.3">
      <c r="A628" s="2" t="s">
        <v>15</v>
      </c>
      <c r="B628" s="3" t="s">
        <v>15</v>
      </c>
      <c r="C628" s="3" t="s">
        <v>784</v>
      </c>
      <c r="D628" s="3" t="s">
        <v>15</v>
      </c>
      <c r="E628" s="3" t="s">
        <v>149</v>
      </c>
      <c r="F628" s="4">
        <v>46301</v>
      </c>
      <c r="G628" s="3" t="s">
        <v>50</v>
      </c>
      <c r="H628" s="6">
        <v>-111545.28</v>
      </c>
      <c r="I628" s="3" t="s">
        <v>19</v>
      </c>
      <c r="J628" s="3" t="s">
        <v>15</v>
      </c>
      <c r="K628" s="3" t="s">
        <v>15</v>
      </c>
      <c r="L628" s="3" t="s">
        <v>501</v>
      </c>
      <c r="M628" s="4">
        <v>46301</v>
      </c>
      <c r="N628" s="3" t="s">
        <v>785</v>
      </c>
      <c r="O628" s="3" t="s">
        <v>32</v>
      </c>
      <c r="P628" t="str">
        <f t="shared" si="9"/>
        <v>450014000910</v>
      </c>
      <c r="Q628" s="7" cm="1">
        <f t="array" ref="Q628:S628">VLOOKUP(P628,Hoja1!C:F,{2,3,4},FALSE)</f>
        <v>46318</v>
      </c>
      <c r="R628" t="str">
        <v>C11</v>
      </c>
      <c r="S628" t="str">
        <v>1000008137 ROVI S.R.L.</v>
      </c>
    </row>
    <row r="629" spans="1:19" x14ac:dyDescent="0.3">
      <c r="A629" s="2" t="s">
        <v>15</v>
      </c>
      <c r="B629" s="3" t="s">
        <v>15</v>
      </c>
      <c r="C629" s="3" t="s">
        <v>784</v>
      </c>
      <c r="D629" s="3" t="s">
        <v>15</v>
      </c>
      <c r="E629" s="3" t="s">
        <v>149</v>
      </c>
      <c r="F629" s="4">
        <v>46301</v>
      </c>
      <c r="G629" s="3" t="s">
        <v>50</v>
      </c>
      <c r="H629" s="6">
        <v>-57350.55</v>
      </c>
      <c r="I629" s="3" t="s">
        <v>19</v>
      </c>
      <c r="J629" s="3" t="s">
        <v>15</v>
      </c>
      <c r="K629" s="3" t="s">
        <v>15</v>
      </c>
      <c r="L629" s="3" t="s">
        <v>501</v>
      </c>
      <c r="M629" s="4">
        <v>46301</v>
      </c>
      <c r="N629" s="3" t="s">
        <v>785</v>
      </c>
      <c r="O629" s="3" t="s">
        <v>28</v>
      </c>
      <c r="P629" t="str">
        <f t="shared" si="9"/>
        <v>450014000920</v>
      </c>
      <c r="Q629" s="7" cm="1">
        <f t="array" ref="Q629:S629">VLOOKUP(P629,Hoja1!C:F,{2,3,4},FALSE)</f>
        <v>46318</v>
      </c>
      <c r="R629" t="str">
        <v>C11</v>
      </c>
      <c r="S629" t="str">
        <v>1000008137 ROVI S.R.L.</v>
      </c>
    </row>
    <row r="630" spans="1:19" x14ac:dyDescent="0.3">
      <c r="A630" s="2" t="s">
        <v>15</v>
      </c>
      <c r="B630" s="3" t="s">
        <v>15</v>
      </c>
      <c r="C630" s="3" t="s">
        <v>784</v>
      </c>
      <c r="D630" s="3" t="s">
        <v>15</v>
      </c>
      <c r="E630" s="3" t="s">
        <v>149</v>
      </c>
      <c r="F630" s="4">
        <v>46301</v>
      </c>
      <c r="G630" s="3" t="s">
        <v>50</v>
      </c>
      <c r="H630" s="6">
        <v>-123639.6</v>
      </c>
      <c r="I630" s="3" t="s">
        <v>19</v>
      </c>
      <c r="J630" s="3" t="s">
        <v>15</v>
      </c>
      <c r="K630" s="3" t="s">
        <v>15</v>
      </c>
      <c r="L630" s="3" t="s">
        <v>501</v>
      </c>
      <c r="M630" s="4">
        <v>46301</v>
      </c>
      <c r="N630" s="3" t="s">
        <v>785</v>
      </c>
      <c r="O630" s="3" t="s">
        <v>54</v>
      </c>
      <c r="P630" t="str">
        <f t="shared" si="9"/>
        <v>450014000930</v>
      </c>
      <c r="Q630" s="7" cm="1">
        <f t="array" ref="Q630:S630">VLOOKUP(P630,Hoja1!C:F,{2,3,4},FALSE)</f>
        <v>46318</v>
      </c>
      <c r="R630" t="str">
        <v>C11</v>
      </c>
      <c r="S630" t="str">
        <v>1000008137 ROVI S.R.L.</v>
      </c>
    </row>
    <row r="631" spans="1:19" x14ac:dyDescent="0.3">
      <c r="A631" s="2" t="s">
        <v>15</v>
      </c>
      <c r="B631" s="3" t="s">
        <v>15</v>
      </c>
      <c r="C631" s="3" t="s">
        <v>784</v>
      </c>
      <c r="D631" s="3" t="s">
        <v>15</v>
      </c>
      <c r="E631" s="3" t="s">
        <v>149</v>
      </c>
      <c r="F631" s="4">
        <v>46301</v>
      </c>
      <c r="G631" s="3" t="s">
        <v>50</v>
      </c>
      <c r="H631" s="6">
        <v>-665309.54</v>
      </c>
      <c r="I631" s="3" t="s">
        <v>19</v>
      </c>
      <c r="J631" s="3" t="s">
        <v>15</v>
      </c>
      <c r="K631" s="3" t="s">
        <v>15</v>
      </c>
      <c r="L631" s="3" t="s">
        <v>501</v>
      </c>
      <c r="M631" s="4">
        <v>46301</v>
      </c>
      <c r="N631" s="3" t="s">
        <v>785</v>
      </c>
      <c r="O631" s="3" t="s">
        <v>23</v>
      </c>
      <c r="P631" t="str">
        <f t="shared" si="9"/>
        <v>450014000940</v>
      </c>
      <c r="Q631" s="7" cm="1">
        <f t="array" ref="Q631:S631">VLOOKUP(P631,Hoja1!C:F,{2,3,4},FALSE)</f>
        <v>46318</v>
      </c>
      <c r="R631" t="str">
        <v>C11</v>
      </c>
      <c r="S631" t="str">
        <v>1000008137 ROVI S.R.L.</v>
      </c>
    </row>
    <row r="632" spans="1:19" x14ac:dyDescent="0.3">
      <c r="A632" s="2" t="s">
        <v>15</v>
      </c>
      <c r="B632" s="3" t="s">
        <v>15</v>
      </c>
      <c r="C632" s="3" t="s">
        <v>784</v>
      </c>
      <c r="D632" s="3" t="s">
        <v>15</v>
      </c>
      <c r="E632" s="3" t="s">
        <v>149</v>
      </c>
      <c r="F632" s="4">
        <v>46301</v>
      </c>
      <c r="G632" s="3" t="s">
        <v>50</v>
      </c>
      <c r="H632" s="6">
        <v>-238822.3</v>
      </c>
      <c r="I632" s="3" t="s">
        <v>19</v>
      </c>
      <c r="J632" s="3" t="s">
        <v>15</v>
      </c>
      <c r="K632" s="3" t="s">
        <v>15</v>
      </c>
      <c r="L632" s="3" t="s">
        <v>501</v>
      </c>
      <c r="M632" s="4">
        <v>46301</v>
      </c>
      <c r="N632" s="3" t="s">
        <v>785</v>
      </c>
      <c r="O632" s="3" t="s">
        <v>55</v>
      </c>
      <c r="P632" t="str">
        <f t="shared" si="9"/>
        <v>450014000950</v>
      </c>
      <c r="Q632" s="7" cm="1">
        <f t="array" ref="Q632:S632">VLOOKUP(P632,Hoja1!C:F,{2,3,4},FALSE)</f>
        <v>46318</v>
      </c>
      <c r="R632" t="str">
        <v>C11</v>
      </c>
      <c r="S632" t="str">
        <v>1000008137 ROVI S.R.L.</v>
      </c>
    </row>
    <row r="633" spans="1:19" x14ac:dyDescent="0.3">
      <c r="A633" s="2" t="s">
        <v>15</v>
      </c>
      <c r="B633" s="3" t="s">
        <v>15</v>
      </c>
      <c r="C633" s="3" t="s">
        <v>784</v>
      </c>
      <c r="D633" s="3" t="s">
        <v>15</v>
      </c>
      <c r="E633" s="3" t="s">
        <v>149</v>
      </c>
      <c r="F633" s="4">
        <v>46301</v>
      </c>
      <c r="G633" s="3" t="s">
        <v>50</v>
      </c>
      <c r="H633" s="6">
        <v>-1046089</v>
      </c>
      <c r="I633" s="3" t="s">
        <v>19</v>
      </c>
      <c r="J633" s="3" t="s">
        <v>15</v>
      </c>
      <c r="K633" s="3" t="s">
        <v>15</v>
      </c>
      <c r="L633" s="3" t="s">
        <v>501</v>
      </c>
      <c r="M633" s="4">
        <v>46301</v>
      </c>
      <c r="N633" s="3" t="s">
        <v>785</v>
      </c>
      <c r="O633" s="3" t="s">
        <v>80</v>
      </c>
      <c r="P633" t="str">
        <f t="shared" si="9"/>
        <v>450014000960</v>
      </c>
      <c r="Q633" s="7" cm="1">
        <f t="array" ref="Q633:S633">VLOOKUP(P633,Hoja1!C:F,{2,3,4},FALSE)</f>
        <v>46318</v>
      </c>
      <c r="R633" t="str">
        <v>C11</v>
      </c>
      <c r="S633" t="str">
        <v>1000008137 ROVI S.R.L.</v>
      </c>
    </row>
    <row r="634" spans="1:19" x14ac:dyDescent="0.3">
      <c r="A634" s="2" t="s">
        <v>15</v>
      </c>
      <c r="B634" s="3" t="s">
        <v>15</v>
      </c>
      <c r="C634" s="3" t="s">
        <v>784</v>
      </c>
      <c r="D634" s="3" t="s">
        <v>15</v>
      </c>
      <c r="E634" s="3" t="s">
        <v>149</v>
      </c>
      <c r="F634" s="4">
        <v>46301</v>
      </c>
      <c r="G634" s="3" t="s">
        <v>50</v>
      </c>
      <c r="H634" s="6">
        <v>-254385.1</v>
      </c>
      <c r="I634" s="3" t="s">
        <v>19</v>
      </c>
      <c r="J634" s="3" t="s">
        <v>15</v>
      </c>
      <c r="K634" s="3" t="s">
        <v>15</v>
      </c>
      <c r="L634" s="3" t="s">
        <v>501</v>
      </c>
      <c r="M634" s="4">
        <v>46301</v>
      </c>
      <c r="N634" s="3" t="s">
        <v>785</v>
      </c>
      <c r="O634" s="3" t="s">
        <v>81</v>
      </c>
      <c r="P634" t="str">
        <f t="shared" si="9"/>
        <v>450014000970</v>
      </c>
      <c r="Q634" s="7" cm="1">
        <f t="array" ref="Q634:S634">VLOOKUP(P634,Hoja1!C:F,{2,3,4},FALSE)</f>
        <v>46318</v>
      </c>
      <c r="R634" t="str">
        <v>C11</v>
      </c>
      <c r="S634" t="str">
        <v>1000008137 ROVI S.R.L.</v>
      </c>
    </row>
    <row r="635" spans="1:19" x14ac:dyDescent="0.3">
      <c r="A635" s="2" t="s">
        <v>15</v>
      </c>
      <c r="B635" s="3" t="s">
        <v>15</v>
      </c>
      <c r="C635" s="3" t="s">
        <v>784</v>
      </c>
      <c r="D635" s="3" t="s">
        <v>15</v>
      </c>
      <c r="E635" s="3" t="s">
        <v>149</v>
      </c>
      <c r="F635" s="4">
        <v>46301</v>
      </c>
      <c r="G635" s="3" t="s">
        <v>50</v>
      </c>
      <c r="H635" s="6">
        <v>-316624</v>
      </c>
      <c r="I635" s="3" t="s">
        <v>19</v>
      </c>
      <c r="J635" s="3" t="s">
        <v>15</v>
      </c>
      <c r="K635" s="3" t="s">
        <v>15</v>
      </c>
      <c r="L635" s="3" t="s">
        <v>501</v>
      </c>
      <c r="M635" s="4">
        <v>46301</v>
      </c>
      <c r="N635" s="3" t="s">
        <v>785</v>
      </c>
      <c r="O635" s="3" t="s">
        <v>82</v>
      </c>
      <c r="P635" t="str">
        <f t="shared" si="9"/>
        <v>450014000980</v>
      </c>
      <c r="Q635" s="7" cm="1">
        <f t="array" ref="Q635:S635">VLOOKUP(P635,Hoja1!C:F,{2,3,4},FALSE)</f>
        <v>46318</v>
      </c>
      <c r="R635" t="str">
        <v>C11</v>
      </c>
      <c r="S635" t="str">
        <v>1000008137 ROVI S.R.L.</v>
      </c>
    </row>
    <row r="636" spans="1:19" x14ac:dyDescent="0.3">
      <c r="A636" s="2" t="s">
        <v>15</v>
      </c>
      <c r="B636" s="3" t="s">
        <v>15</v>
      </c>
      <c r="C636" s="3" t="s">
        <v>784</v>
      </c>
      <c r="D636" s="3" t="s">
        <v>15</v>
      </c>
      <c r="E636" s="3" t="s">
        <v>149</v>
      </c>
      <c r="F636" s="4">
        <v>46301</v>
      </c>
      <c r="G636" s="3" t="s">
        <v>50</v>
      </c>
      <c r="H636" s="6">
        <v>-759132</v>
      </c>
      <c r="I636" s="3" t="s">
        <v>19</v>
      </c>
      <c r="J636" s="3" t="s">
        <v>15</v>
      </c>
      <c r="K636" s="3" t="s">
        <v>15</v>
      </c>
      <c r="L636" s="3" t="s">
        <v>501</v>
      </c>
      <c r="M636" s="4">
        <v>46301</v>
      </c>
      <c r="N636" s="3" t="s">
        <v>785</v>
      </c>
      <c r="O636" s="3" t="s">
        <v>83</v>
      </c>
      <c r="P636" t="str">
        <f t="shared" si="9"/>
        <v>450014000990</v>
      </c>
      <c r="Q636" s="7" cm="1">
        <f t="array" ref="Q636:S636">VLOOKUP(P636,Hoja1!C:F,{2,3,4},FALSE)</f>
        <v>46318</v>
      </c>
      <c r="R636" t="str">
        <v>C11</v>
      </c>
      <c r="S636" t="str">
        <v>1000008137 ROVI S.R.L.</v>
      </c>
    </row>
    <row r="637" spans="1:19" x14ac:dyDescent="0.3">
      <c r="A637" s="2" t="s">
        <v>15</v>
      </c>
      <c r="B637" s="3" t="s">
        <v>15</v>
      </c>
      <c r="C637" s="3" t="s">
        <v>784</v>
      </c>
      <c r="D637" s="3" t="s">
        <v>15</v>
      </c>
      <c r="E637" s="3" t="s">
        <v>149</v>
      </c>
      <c r="F637" s="4">
        <v>46301</v>
      </c>
      <c r="G637" s="3" t="s">
        <v>50</v>
      </c>
      <c r="H637" s="6">
        <v>-7253.4</v>
      </c>
      <c r="I637" s="3" t="s">
        <v>19</v>
      </c>
      <c r="J637" s="3" t="s">
        <v>15</v>
      </c>
      <c r="K637" s="3" t="s">
        <v>15</v>
      </c>
      <c r="L637" s="3" t="s">
        <v>501</v>
      </c>
      <c r="M637" s="4">
        <v>46301</v>
      </c>
      <c r="N637" s="3" t="s">
        <v>785</v>
      </c>
      <c r="O637" s="3" t="s">
        <v>84</v>
      </c>
      <c r="P637" t="str">
        <f t="shared" si="9"/>
        <v>4500140009100</v>
      </c>
      <c r="Q637" s="7" cm="1">
        <f t="array" ref="Q637:S637">VLOOKUP(P637,Hoja1!C:F,{2,3,4},FALSE)</f>
        <v>46318</v>
      </c>
      <c r="R637" t="str">
        <v>C11</v>
      </c>
      <c r="S637" t="str">
        <v>1000008137 ROVI S.R.L.</v>
      </c>
    </row>
    <row r="638" spans="1:19" x14ac:dyDescent="0.3">
      <c r="A638" s="2" t="s">
        <v>15</v>
      </c>
      <c r="B638" s="3" t="s">
        <v>15</v>
      </c>
      <c r="C638" s="3" t="s">
        <v>786</v>
      </c>
      <c r="D638" s="3" t="s">
        <v>15</v>
      </c>
      <c r="E638" s="3" t="s">
        <v>149</v>
      </c>
      <c r="F638" s="4">
        <v>46301</v>
      </c>
      <c r="G638" s="3" t="s">
        <v>50</v>
      </c>
      <c r="H638" s="6">
        <v>-38479.32</v>
      </c>
      <c r="I638" s="3" t="s">
        <v>19</v>
      </c>
      <c r="J638" s="3" t="s">
        <v>15</v>
      </c>
      <c r="K638" s="3" t="s">
        <v>15</v>
      </c>
      <c r="L638" s="3" t="s">
        <v>114</v>
      </c>
      <c r="M638" s="4">
        <v>46301</v>
      </c>
      <c r="N638" s="3" t="s">
        <v>787</v>
      </c>
      <c r="O638" s="3" t="s">
        <v>32</v>
      </c>
      <c r="P638" t="str">
        <f t="shared" si="9"/>
        <v>450014017410</v>
      </c>
      <c r="Q638" s="7" cm="1">
        <f t="array" ref="Q638:S638">VLOOKUP(P638,Hoja1!C:F,{2,3,4},FALSE)</f>
        <v>46335</v>
      </c>
      <c r="R638" t="str">
        <v>C17</v>
      </c>
      <c r="S638" t="str">
        <v>1000007766 HERSAPEL SOCIEDAD DE RESPONSABILIDA</v>
      </c>
    </row>
    <row r="639" spans="1:19" x14ac:dyDescent="0.3">
      <c r="A639" s="2" t="s">
        <v>15</v>
      </c>
      <c r="B639" s="3" t="s">
        <v>15</v>
      </c>
      <c r="C639" s="3" t="s">
        <v>788</v>
      </c>
      <c r="D639" s="3" t="s">
        <v>25</v>
      </c>
      <c r="E639" s="3" t="s">
        <v>149</v>
      </c>
      <c r="F639" s="4">
        <v>46301</v>
      </c>
      <c r="G639" s="3" t="s">
        <v>50</v>
      </c>
      <c r="H639" s="6">
        <v>-1400000</v>
      </c>
      <c r="I639" s="3" t="s">
        <v>19</v>
      </c>
      <c r="J639" s="3" t="s">
        <v>15</v>
      </c>
      <c r="K639" s="3" t="s">
        <v>15</v>
      </c>
      <c r="L639" s="3" t="s">
        <v>68</v>
      </c>
      <c r="M639" s="4">
        <v>46301</v>
      </c>
      <c r="N639" s="3" t="s">
        <v>789</v>
      </c>
      <c r="O639" s="3" t="s">
        <v>32</v>
      </c>
      <c r="P639" t="str">
        <f t="shared" si="9"/>
        <v>450014008710</v>
      </c>
      <c r="Q639" s="7" cm="1">
        <f t="array" ref="Q639:S639">VLOOKUP(P639,Hoja1!C:F,{2,3,4},FALSE)</f>
        <v>46311</v>
      </c>
      <c r="R639" t="str">
        <v>C28</v>
      </c>
      <c r="S639" t="str">
        <v>1000007611 ANTONIO B ATENOR E HIJOS S R L</v>
      </c>
    </row>
    <row r="640" spans="1:19" x14ac:dyDescent="0.3">
      <c r="A640" s="2" t="s">
        <v>15</v>
      </c>
      <c r="B640" s="3" t="s">
        <v>15</v>
      </c>
      <c r="C640" s="3" t="s">
        <v>788</v>
      </c>
      <c r="D640" s="3" t="s">
        <v>15</v>
      </c>
      <c r="E640" s="3" t="s">
        <v>149</v>
      </c>
      <c r="F640" s="4">
        <v>46301</v>
      </c>
      <c r="G640" s="3" t="s">
        <v>50</v>
      </c>
      <c r="H640" s="6">
        <v>-875000</v>
      </c>
      <c r="I640" s="3" t="s">
        <v>19</v>
      </c>
      <c r="J640" s="3" t="s">
        <v>15</v>
      </c>
      <c r="K640" s="3" t="s">
        <v>15</v>
      </c>
      <c r="L640" s="3" t="s">
        <v>68</v>
      </c>
      <c r="M640" s="4">
        <v>46301</v>
      </c>
      <c r="N640" s="3" t="s">
        <v>789</v>
      </c>
      <c r="O640" s="3" t="s">
        <v>28</v>
      </c>
      <c r="P640" t="str">
        <f t="shared" si="9"/>
        <v>450014008720</v>
      </c>
      <c r="Q640" s="7" cm="1">
        <f t="array" ref="Q640:S640">VLOOKUP(P640,Hoja1!C:F,{2,3,4},FALSE)</f>
        <v>46311</v>
      </c>
      <c r="R640" t="str">
        <v>C28</v>
      </c>
      <c r="S640" t="str">
        <v>1000007611 ANTONIO B ATENOR E HIJOS S R L</v>
      </c>
    </row>
    <row r="641" spans="1:19" x14ac:dyDescent="0.3">
      <c r="A641" s="2" t="s">
        <v>15</v>
      </c>
      <c r="B641" s="3" t="s">
        <v>15</v>
      </c>
      <c r="C641" s="3" t="s">
        <v>788</v>
      </c>
      <c r="D641" s="3" t="s">
        <v>15</v>
      </c>
      <c r="E641" s="3" t="s">
        <v>149</v>
      </c>
      <c r="F641" s="4">
        <v>46301</v>
      </c>
      <c r="G641" s="3" t="s">
        <v>50</v>
      </c>
      <c r="H641" s="6">
        <v>-3679706.64</v>
      </c>
      <c r="I641" s="3" t="s">
        <v>19</v>
      </c>
      <c r="J641" s="3" t="s">
        <v>15</v>
      </c>
      <c r="K641" s="3" t="s">
        <v>15</v>
      </c>
      <c r="L641" s="3" t="s">
        <v>68</v>
      </c>
      <c r="M641" s="4">
        <v>46301</v>
      </c>
      <c r="N641" s="3" t="s">
        <v>789</v>
      </c>
      <c r="O641" s="3" t="s">
        <v>54</v>
      </c>
      <c r="P641" t="str">
        <f t="shared" si="9"/>
        <v>450014008730</v>
      </c>
      <c r="Q641" s="7" cm="1">
        <f t="array" ref="Q641:S641">VLOOKUP(P641,Hoja1!C:F,{2,3,4},FALSE)</f>
        <v>46311</v>
      </c>
      <c r="R641" t="str">
        <v>C28</v>
      </c>
      <c r="S641" t="str">
        <v>1000007611 ANTONIO B ATENOR E HIJOS S R L</v>
      </c>
    </row>
    <row r="642" spans="1:19" x14ac:dyDescent="0.3">
      <c r="A642" s="2" t="s">
        <v>15</v>
      </c>
      <c r="B642" s="3" t="s">
        <v>15</v>
      </c>
      <c r="C642" s="3" t="s">
        <v>788</v>
      </c>
      <c r="D642" s="3" t="s">
        <v>15</v>
      </c>
      <c r="E642" s="3" t="s">
        <v>149</v>
      </c>
      <c r="F642" s="4">
        <v>46301</v>
      </c>
      <c r="G642" s="3" t="s">
        <v>50</v>
      </c>
      <c r="H642" s="6">
        <v>-3430.94</v>
      </c>
      <c r="I642" s="3" t="s">
        <v>19</v>
      </c>
      <c r="J642" s="3" t="s">
        <v>15</v>
      </c>
      <c r="K642" s="3" t="s">
        <v>15</v>
      </c>
      <c r="L642" s="3" t="s">
        <v>68</v>
      </c>
      <c r="M642" s="4">
        <v>46301</v>
      </c>
      <c r="N642" s="3" t="s">
        <v>789</v>
      </c>
      <c r="O642" s="3" t="s">
        <v>23</v>
      </c>
      <c r="P642" t="str">
        <f t="shared" si="9"/>
        <v>450014008740</v>
      </c>
      <c r="Q642" s="7" cm="1">
        <f t="array" ref="Q642:S642">VLOOKUP(P642,Hoja1!C:F,{2,3,4},FALSE)</f>
        <v>46311</v>
      </c>
      <c r="R642" t="str">
        <v>C28</v>
      </c>
      <c r="S642" t="str">
        <v>1000007611 ANTONIO B ATENOR E HIJOS S R L</v>
      </c>
    </row>
    <row r="643" spans="1:19" x14ac:dyDescent="0.3">
      <c r="A643" s="2" t="s">
        <v>15</v>
      </c>
      <c r="B643" s="3" t="s">
        <v>15</v>
      </c>
      <c r="C643" s="3" t="s">
        <v>790</v>
      </c>
      <c r="D643" s="3" t="s">
        <v>25</v>
      </c>
      <c r="E643" s="3" t="s">
        <v>149</v>
      </c>
      <c r="F643" s="4">
        <v>46302</v>
      </c>
      <c r="G643" s="3" t="s">
        <v>50</v>
      </c>
      <c r="H643" s="6">
        <v>-396900</v>
      </c>
      <c r="I643" s="3" t="s">
        <v>19</v>
      </c>
      <c r="J643" s="3" t="s">
        <v>15</v>
      </c>
      <c r="K643" s="3" t="s">
        <v>15</v>
      </c>
      <c r="L643" s="3" t="s">
        <v>791</v>
      </c>
      <c r="M643" s="4">
        <v>46302</v>
      </c>
      <c r="N643" s="3" t="s">
        <v>792</v>
      </c>
      <c r="O643" s="3" t="s">
        <v>28</v>
      </c>
      <c r="P643" t="str">
        <f t="shared" ref="P643:P706" si="10">_xlfn.CONCAT(N643:O643)</f>
        <v>450013986320</v>
      </c>
      <c r="Q643" s="7" cm="1">
        <f t="array" ref="Q643:S643">VLOOKUP(P643,Hoja1!C:F,{2,3,4},FALSE)</f>
        <v>46304</v>
      </c>
      <c r="R643" t="str">
        <v>C28</v>
      </c>
      <c r="S643" t="str">
        <v>1000000901 CASA BARABINO SA</v>
      </c>
    </row>
    <row r="644" spans="1:19" x14ac:dyDescent="0.3">
      <c r="A644" s="2" t="s">
        <v>15</v>
      </c>
      <c r="B644" s="3" t="s">
        <v>15</v>
      </c>
      <c r="C644" s="3" t="s">
        <v>790</v>
      </c>
      <c r="D644" s="3" t="s">
        <v>25</v>
      </c>
      <c r="E644" s="3" t="s">
        <v>149</v>
      </c>
      <c r="F644" s="4">
        <v>46302</v>
      </c>
      <c r="G644" s="3" t="s">
        <v>50</v>
      </c>
      <c r="H644" s="6">
        <v>-174875</v>
      </c>
      <c r="I644" s="3" t="s">
        <v>19</v>
      </c>
      <c r="J644" s="3" t="s">
        <v>15</v>
      </c>
      <c r="K644" s="3" t="s">
        <v>15</v>
      </c>
      <c r="L644" s="3" t="s">
        <v>791</v>
      </c>
      <c r="M644" s="4">
        <v>46302</v>
      </c>
      <c r="N644" s="3" t="s">
        <v>792</v>
      </c>
      <c r="O644" s="3" t="s">
        <v>54</v>
      </c>
      <c r="P644" t="str">
        <f t="shared" si="10"/>
        <v>450013986330</v>
      </c>
      <c r="Q644" s="7" cm="1">
        <f t="array" ref="Q644:S644">VLOOKUP(P644,Hoja1!C:F,{2,3,4},FALSE)</f>
        <v>46304</v>
      </c>
      <c r="R644" t="str">
        <v>C28</v>
      </c>
      <c r="S644" t="str">
        <v>1000000901 CASA BARABINO SA</v>
      </c>
    </row>
    <row r="645" spans="1:19" x14ac:dyDescent="0.3">
      <c r="A645" s="2" t="s">
        <v>15</v>
      </c>
      <c r="B645" s="3" t="s">
        <v>15</v>
      </c>
      <c r="C645" s="3" t="s">
        <v>793</v>
      </c>
      <c r="D645" s="3" t="s">
        <v>25</v>
      </c>
      <c r="E645" s="3" t="s">
        <v>149</v>
      </c>
      <c r="F645" s="4">
        <v>46302</v>
      </c>
      <c r="G645" s="3" t="s">
        <v>50</v>
      </c>
      <c r="H645" s="6">
        <v>-28000</v>
      </c>
      <c r="I645" s="3" t="s">
        <v>19</v>
      </c>
      <c r="J645" s="3" t="s">
        <v>15</v>
      </c>
      <c r="K645" s="3" t="s">
        <v>15</v>
      </c>
      <c r="L645" s="3" t="s">
        <v>794</v>
      </c>
      <c r="M645" s="4">
        <v>46302</v>
      </c>
      <c r="N645" s="3" t="s">
        <v>795</v>
      </c>
      <c r="O645" s="3" t="s">
        <v>32</v>
      </c>
      <c r="P645" t="str">
        <f t="shared" si="10"/>
        <v>450012916210</v>
      </c>
      <c r="Q645" s="7" cm="1">
        <f t="array" ref="Q645:S645">VLOOKUP(P645,Hoja1!C:F,{2,3,4},FALSE)</f>
        <v>46507</v>
      </c>
      <c r="R645" t="str">
        <v>C25</v>
      </c>
      <c r="S645" t="str">
        <v>1000007643 MELS S.R.L.</v>
      </c>
    </row>
    <row r="646" spans="1:19" x14ac:dyDescent="0.3">
      <c r="A646" s="2" t="s">
        <v>15</v>
      </c>
      <c r="B646" s="3" t="s">
        <v>15</v>
      </c>
      <c r="C646" s="3" t="s">
        <v>796</v>
      </c>
      <c r="D646" s="3" t="s">
        <v>25</v>
      </c>
      <c r="E646" s="3" t="s">
        <v>149</v>
      </c>
      <c r="F646" s="4">
        <v>46302</v>
      </c>
      <c r="G646" s="3" t="s">
        <v>50</v>
      </c>
      <c r="H646" s="6">
        <v>-1818600</v>
      </c>
      <c r="I646" s="3" t="s">
        <v>19</v>
      </c>
      <c r="J646" s="3" t="s">
        <v>15</v>
      </c>
      <c r="K646" s="3" t="s">
        <v>15</v>
      </c>
      <c r="L646" s="3" t="s">
        <v>75</v>
      </c>
      <c r="M646" s="4">
        <v>46302</v>
      </c>
      <c r="N646" s="3" t="s">
        <v>76</v>
      </c>
      <c r="O646" s="3" t="s">
        <v>32</v>
      </c>
      <c r="P646" t="str">
        <f t="shared" si="10"/>
        <v>450013441310</v>
      </c>
      <c r="Q646" s="7" cm="1">
        <f t="array" ref="Q646:S646">VLOOKUP(P646,Hoja1!C:F,{2,3,4},FALSE)</f>
        <v>46387</v>
      </c>
      <c r="R646" t="str">
        <v>EFO</v>
      </c>
      <c r="S646" t="str">
        <v>1000008821 TSM EQUIPOS S. R. L.</v>
      </c>
    </row>
    <row r="647" spans="1:19" x14ac:dyDescent="0.3">
      <c r="A647" s="2" t="s">
        <v>15</v>
      </c>
      <c r="B647" s="3" t="s">
        <v>15</v>
      </c>
      <c r="C647" s="3" t="s">
        <v>797</v>
      </c>
      <c r="D647" s="3" t="s">
        <v>25</v>
      </c>
      <c r="E647" s="3" t="s">
        <v>149</v>
      </c>
      <c r="F647" s="4">
        <v>46302</v>
      </c>
      <c r="G647" s="3" t="s">
        <v>50</v>
      </c>
      <c r="H647" s="6">
        <v>-219574.32</v>
      </c>
      <c r="I647" s="3" t="s">
        <v>19</v>
      </c>
      <c r="J647" s="3" t="s">
        <v>15</v>
      </c>
      <c r="K647" s="3" t="s">
        <v>15</v>
      </c>
      <c r="L647" s="3" t="s">
        <v>73</v>
      </c>
      <c r="M647" s="4">
        <v>46302</v>
      </c>
      <c r="N647" s="3" t="s">
        <v>798</v>
      </c>
      <c r="O647" s="3" t="s">
        <v>54</v>
      </c>
      <c r="P647" t="str">
        <f t="shared" si="10"/>
        <v>450013912430</v>
      </c>
      <c r="Q647" s="7" cm="1">
        <f t="array" ref="Q647:S647">VLOOKUP(P647,Hoja1!C:F,{2,3,4},FALSE)</f>
        <v>46294</v>
      </c>
      <c r="R647" t="str">
        <v>C35</v>
      </c>
      <c r="S647" t="str">
        <v>1000007451 FLORES CARLOS FELIPE Y OTROS S H</v>
      </c>
    </row>
    <row r="648" spans="1:19" x14ac:dyDescent="0.3">
      <c r="A648" s="2" t="s">
        <v>15</v>
      </c>
      <c r="B648" s="3" t="s">
        <v>15</v>
      </c>
      <c r="C648" s="3" t="s">
        <v>799</v>
      </c>
      <c r="D648" s="3" t="s">
        <v>15</v>
      </c>
      <c r="E648" s="3" t="s">
        <v>149</v>
      </c>
      <c r="F648" s="4">
        <v>46302</v>
      </c>
      <c r="G648" s="3" t="s">
        <v>50</v>
      </c>
      <c r="H648" s="6">
        <v>-2023798.7</v>
      </c>
      <c r="I648" s="3" t="s">
        <v>19</v>
      </c>
      <c r="J648" s="3" t="s">
        <v>15</v>
      </c>
      <c r="K648" s="3" t="s">
        <v>15</v>
      </c>
      <c r="L648" s="3" t="s">
        <v>73</v>
      </c>
      <c r="M648" s="4">
        <v>46302</v>
      </c>
      <c r="N648" s="3" t="s">
        <v>145</v>
      </c>
      <c r="O648" s="3" t="s">
        <v>28</v>
      </c>
      <c r="P648" t="str">
        <f t="shared" si="10"/>
        <v>450013628420</v>
      </c>
      <c r="Q648" s="7" cm="1">
        <f t="array" ref="Q648:S648">VLOOKUP(P648,Hoja1!C:F,{2,3,4},FALSE)</f>
        <v>46276</v>
      </c>
      <c r="R648" t="str">
        <v>C28</v>
      </c>
      <c r="S648" t="str">
        <v>1000007451 FLORES CARLOS FELIPE Y OTROS S H</v>
      </c>
    </row>
    <row r="649" spans="1:19" x14ac:dyDescent="0.3">
      <c r="A649" s="2" t="s">
        <v>15</v>
      </c>
      <c r="B649" s="3" t="s">
        <v>15</v>
      </c>
      <c r="C649" s="3" t="s">
        <v>800</v>
      </c>
      <c r="D649" s="3" t="s">
        <v>15</v>
      </c>
      <c r="E649" s="3" t="s">
        <v>149</v>
      </c>
      <c r="F649" s="4">
        <v>46302</v>
      </c>
      <c r="G649" s="3" t="s">
        <v>50</v>
      </c>
      <c r="H649" s="6">
        <v>-337350.3</v>
      </c>
      <c r="I649" s="3" t="s">
        <v>19</v>
      </c>
      <c r="J649" s="3" t="s">
        <v>15</v>
      </c>
      <c r="K649" s="3" t="s">
        <v>15</v>
      </c>
      <c r="L649" s="3" t="s">
        <v>73</v>
      </c>
      <c r="M649" s="4">
        <v>46302</v>
      </c>
      <c r="N649" s="3" t="s">
        <v>801</v>
      </c>
      <c r="O649" s="3" t="s">
        <v>28</v>
      </c>
      <c r="P649" t="str">
        <f t="shared" si="10"/>
        <v>450013902920</v>
      </c>
      <c r="Q649" s="7" cm="1">
        <f t="array" ref="Q649:S649">VLOOKUP(P649,Hoja1!C:F,{2,3,4},FALSE)</f>
        <v>46311</v>
      </c>
      <c r="R649" t="str">
        <v>C28</v>
      </c>
      <c r="S649" t="str">
        <v>1000007451 FLORES CARLOS FELIPE Y OTROS S H</v>
      </c>
    </row>
    <row r="650" spans="1:19" x14ac:dyDescent="0.3">
      <c r="A650" s="2" t="s">
        <v>15</v>
      </c>
      <c r="B650" s="3" t="s">
        <v>15</v>
      </c>
      <c r="C650" s="3" t="s">
        <v>802</v>
      </c>
      <c r="D650" s="3" t="s">
        <v>15</v>
      </c>
      <c r="E650" s="3" t="s">
        <v>149</v>
      </c>
      <c r="F650" s="4">
        <v>46302</v>
      </c>
      <c r="G650" s="3" t="s">
        <v>50</v>
      </c>
      <c r="H650" s="6">
        <v>-3451201.34</v>
      </c>
      <c r="I650" s="3" t="s">
        <v>19</v>
      </c>
      <c r="J650" s="3" t="s">
        <v>15</v>
      </c>
      <c r="K650" s="3" t="s">
        <v>15</v>
      </c>
      <c r="L650" s="3" t="s">
        <v>352</v>
      </c>
      <c r="M650" s="4">
        <v>46302</v>
      </c>
      <c r="N650" s="3" t="s">
        <v>803</v>
      </c>
      <c r="O650" s="3" t="s">
        <v>32</v>
      </c>
      <c r="P650" t="str">
        <f t="shared" si="10"/>
        <v>450013982910</v>
      </c>
      <c r="Q650" s="7" cm="1">
        <f t="array" ref="Q650:S650">VLOOKUP(P650,Hoja1!C:F,{2,3,4},FALSE)</f>
        <v>46323</v>
      </c>
      <c r="R650" t="str">
        <v>L02</v>
      </c>
      <c r="S650" t="str">
        <v>1000000038 YPF S.A.</v>
      </c>
    </row>
    <row r="651" spans="1:19" x14ac:dyDescent="0.3">
      <c r="A651" s="2" t="s">
        <v>15</v>
      </c>
      <c r="B651" s="3" t="s">
        <v>15</v>
      </c>
      <c r="C651" s="3" t="s">
        <v>804</v>
      </c>
      <c r="D651" s="3" t="s">
        <v>15</v>
      </c>
      <c r="E651" s="3" t="s">
        <v>149</v>
      </c>
      <c r="F651" s="4">
        <v>46302</v>
      </c>
      <c r="G651" s="3" t="s">
        <v>50</v>
      </c>
      <c r="H651" s="6">
        <v>-351750</v>
      </c>
      <c r="I651" s="3" t="s">
        <v>19</v>
      </c>
      <c r="J651" s="3" t="s">
        <v>15</v>
      </c>
      <c r="K651" s="3" t="s">
        <v>15</v>
      </c>
      <c r="L651" s="3" t="s">
        <v>805</v>
      </c>
      <c r="M651" s="4">
        <v>46302</v>
      </c>
      <c r="N651" s="3" t="s">
        <v>806</v>
      </c>
      <c r="O651" s="3" t="s">
        <v>32</v>
      </c>
      <c r="P651" t="str">
        <f t="shared" si="10"/>
        <v>450013976410</v>
      </c>
      <c r="Q651" s="7" cm="1">
        <f t="array" ref="Q651:S651">VLOOKUP(P651,Hoja1!C:F,{2,3,4},FALSE)</f>
        <v>46310</v>
      </c>
      <c r="R651" t="str">
        <v>C22</v>
      </c>
      <c r="S651" t="str">
        <v>1000007645 RESTON MADERAS S.R.L.</v>
      </c>
    </row>
    <row r="652" spans="1:19" x14ac:dyDescent="0.3">
      <c r="A652" s="2" t="s">
        <v>15</v>
      </c>
      <c r="B652" s="3" t="s">
        <v>15</v>
      </c>
      <c r="C652" s="3" t="s">
        <v>804</v>
      </c>
      <c r="D652" s="3" t="s">
        <v>25</v>
      </c>
      <c r="E652" s="3" t="s">
        <v>149</v>
      </c>
      <c r="F652" s="4">
        <v>46302</v>
      </c>
      <c r="G652" s="3" t="s">
        <v>50</v>
      </c>
      <c r="H652" s="6">
        <v>-16901.2</v>
      </c>
      <c r="I652" s="3" t="s">
        <v>19</v>
      </c>
      <c r="J652" s="3" t="s">
        <v>15</v>
      </c>
      <c r="K652" s="3" t="s">
        <v>15</v>
      </c>
      <c r="L652" s="3" t="s">
        <v>805</v>
      </c>
      <c r="M652" s="4">
        <v>46302</v>
      </c>
      <c r="N652" s="3" t="s">
        <v>806</v>
      </c>
      <c r="O652" s="3" t="s">
        <v>28</v>
      </c>
      <c r="P652" t="str">
        <f t="shared" si="10"/>
        <v>450013976420</v>
      </c>
      <c r="Q652" s="7" cm="1">
        <f t="array" ref="Q652:S652">VLOOKUP(P652,Hoja1!C:F,{2,3,4},FALSE)</f>
        <v>46310</v>
      </c>
      <c r="R652" t="str">
        <v>C22</v>
      </c>
      <c r="S652" t="str">
        <v>1000007645 RESTON MADERAS S.R.L.</v>
      </c>
    </row>
    <row r="653" spans="1:19" x14ac:dyDescent="0.3">
      <c r="A653" s="2" t="s">
        <v>15</v>
      </c>
      <c r="B653" s="3" t="s">
        <v>15</v>
      </c>
      <c r="C653" s="3" t="s">
        <v>807</v>
      </c>
      <c r="D653" s="3" t="s">
        <v>15</v>
      </c>
      <c r="E653" s="3" t="s">
        <v>149</v>
      </c>
      <c r="F653" s="4">
        <v>46302</v>
      </c>
      <c r="G653" s="3" t="s">
        <v>50</v>
      </c>
      <c r="H653" s="6">
        <v>-94839.99</v>
      </c>
      <c r="I653" s="3" t="s">
        <v>19</v>
      </c>
      <c r="J653" s="3" t="s">
        <v>15</v>
      </c>
      <c r="K653" s="3" t="s">
        <v>15</v>
      </c>
      <c r="L653" s="3" t="s">
        <v>46</v>
      </c>
      <c r="M653" s="4">
        <v>46302</v>
      </c>
      <c r="N653" s="3" t="s">
        <v>808</v>
      </c>
      <c r="O653" s="3" t="s">
        <v>32</v>
      </c>
      <c r="P653" t="str">
        <f t="shared" si="10"/>
        <v>450013976810</v>
      </c>
      <c r="Q653" s="7" cm="1">
        <f t="array" ref="Q653:S653">VLOOKUP(P653,Hoja1!C:F,{2,3,4},FALSE)</f>
        <v>46302</v>
      </c>
      <c r="R653" t="str">
        <v>AGV</v>
      </c>
      <c r="S653" t="str">
        <v>1000000572 GRUAS SAN BLAS S.A</v>
      </c>
    </row>
    <row r="654" spans="1:19" x14ac:dyDescent="0.3">
      <c r="A654" s="2" t="s">
        <v>15</v>
      </c>
      <c r="B654" s="3" t="s">
        <v>15</v>
      </c>
      <c r="C654" s="3" t="s">
        <v>809</v>
      </c>
      <c r="D654" s="3" t="s">
        <v>15</v>
      </c>
      <c r="E654" s="3" t="s">
        <v>149</v>
      </c>
      <c r="F654" s="4">
        <v>46302</v>
      </c>
      <c r="G654" s="3" t="s">
        <v>50</v>
      </c>
      <c r="H654" s="6">
        <v>-58922.64</v>
      </c>
      <c r="I654" s="3" t="s">
        <v>19</v>
      </c>
      <c r="J654" s="3" t="s">
        <v>15</v>
      </c>
      <c r="K654" s="3" t="s">
        <v>15</v>
      </c>
      <c r="L654" s="3" t="s">
        <v>46</v>
      </c>
      <c r="M654" s="4">
        <v>46302</v>
      </c>
      <c r="N654" s="3" t="s">
        <v>810</v>
      </c>
      <c r="O654" s="3" t="s">
        <v>81</v>
      </c>
      <c r="P654" t="str">
        <f t="shared" si="10"/>
        <v>450013494770</v>
      </c>
      <c r="Q654" s="7" cm="1">
        <f t="array" ref="Q654:S654">VLOOKUP(P654,Hoja1!C:F,{2,3,4},FALSE)</f>
        <v>46275</v>
      </c>
      <c r="R654" t="str">
        <v>AGV</v>
      </c>
      <c r="S654" t="str">
        <v>1000000572 GRUAS SAN BLAS S.A</v>
      </c>
    </row>
    <row r="655" spans="1:19" x14ac:dyDescent="0.3">
      <c r="A655" s="2" t="s">
        <v>15</v>
      </c>
      <c r="B655" s="3" t="s">
        <v>15</v>
      </c>
      <c r="C655" s="3" t="s">
        <v>809</v>
      </c>
      <c r="D655" s="3" t="s">
        <v>15</v>
      </c>
      <c r="E655" s="3" t="s">
        <v>149</v>
      </c>
      <c r="F655" s="4">
        <v>46302</v>
      </c>
      <c r="G655" s="3" t="s">
        <v>50</v>
      </c>
      <c r="H655" s="6">
        <v>-193226.25</v>
      </c>
      <c r="I655" s="3" t="s">
        <v>19</v>
      </c>
      <c r="J655" s="3" t="s">
        <v>15</v>
      </c>
      <c r="K655" s="3" t="s">
        <v>15</v>
      </c>
      <c r="L655" s="3" t="s">
        <v>46</v>
      </c>
      <c r="M655" s="4">
        <v>46302</v>
      </c>
      <c r="N655" s="3" t="s">
        <v>810</v>
      </c>
      <c r="O655" s="3" t="s">
        <v>82</v>
      </c>
      <c r="P655" t="str">
        <f t="shared" si="10"/>
        <v>450013494780</v>
      </c>
      <c r="Q655" s="7" cm="1">
        <f t="array" ref="Q655:S655">VLOOKUP(P655,Hoja1!C:F,{2,3,4},FALSE)</f>
        <v>46275</v>
      </c>
      <c r="R655" t="str">
        <v>AGV</v>
      </c>
      <c r="S655" t="str">
        <v>1000000572 GRUAS SAN BLAS S.A</v>
      </c>
    </row>
    <row r="656" spans="1:19" x14ac:dyDescent="0.3">
      <c r="A656" s="2" t="s">
        <v>15</v>
      </c>
      <c r="B656" s="3" t="s">
        <v>15</v>
      </c>
      <c r="C656" s="3" t="s">
        <v>809</v>
      </c>
      <c r="D656" s="3" t="s">
        <v>15</v>
      </c>
      <c r="E656" s="3" t="s">
        <v>149</v>
      </c>
      <c r="F656" s="4">
        <v>46302</v>
      </c>
      <c r="G656" s="3" t="s">
        <v>50</v>
      </c>
      <c r="H656" s="6">
        <v>-819961.28</v>
      </c>
      <c r="I656" s="3" t="s">
        <v>19</v>
      </c>
      <c r="J656" s="3" t="s">
        <v>15</v>
      </c>
      <c r="K656" s="3" t="s">
        <v>15</v>
      </c>
      <c r="L656" s="3" t="s">
        <v>46</v>
      </c>
      <c r="M656" s="4">
        <v>46302</v>
      </c>
      <c r="N656" s="3" t="s">
        <v>810</v>
      </c>
      <c r="O656" s="3" t="s">
        <v>65</v>
      </c>
      <c r="P656" t="str">
        <f t="shared" si="10"/>
        <v>4500134947130</v>
      </c>
      <c r="Q656" s="7" cm="1">
        <f t="array" ref="Q656:S656">VLOOKUP(P656,Hoja1!C:F,{2,3,4},FALSE)</f>
        <v>46275</v>
      </c>
      <c r="R656" t="str">
        <v>AGV</v>
      </c>
      <c r="S656" t="str">
        <v>1000000572 GRUAS SAN BLAS S.A</v>
      </c>
    </row>
    <row r="657" spans="1:19" x14ac:dyDescent="0.3">
      <c r="A657" s="2" t="s">
        <v>15</v>
      </c>
      <c r="B657" s="3" t="s">
        <v>15</v>
      </c>
      <c r="C657" s="3" t="s">
        <v>811</v>
      </c>
      <c r="D657" s="3" t="s">
        <v>25</v>
      </c>
      <c r="E657" s="3" t="s">
        <v>149</v>
      </c>
      <c r="F657" s="4">
        <v>46302</v>
      </c>
      <c r="G657" s="3" t="s">
        <v>50</v>
      </c>
      <c r="H657" s="6">
        <v>-453720</v>
      </c>
      <c r="I657" s="3" t="s">
        <v>19</v>
      </c>
      <c r="J657" s="3" t="s">
        <v>15</v>
      </c>
      <c r="K657" s="3" t="s">
        <v>15</v>
      </c>
      <c r="L657" s="3" t="s">
        <v>141</v>
      </c>
      <c r="M657" s="4">
        <v>46302</v>
      </c>
      <c r="N657" s="3" t="s">
        <v>746</v>
      </c>
      <c r="O657" s="3" t="s">
        <v>32</v>
      </c>
      <c r="P657" t="str">
        <f t="shared" si="10"/>
        <v>450013940610</v>
      </c>
      <c r="Q657" s="7" cm="1">
        <f t="array" ref="Q657:S657">VLOOKUP(P657,Hoja1!C:F,{2,3,4},FALSE)</f>
        <v>46297</v>
      </c>
      <c r="R657" t="str">
        <v>C35</v>
      </c>
      <c r="S657" t="str">
        <v>1000000295 BOLLINI S.A</v>
      </c>
    </row>
    <row r="658" spans="1:19" x14ac:dyDescent="0.3">
      <c r="A658" s="2" t="s">
        <v>15</v>
      </c>
      <c r="B658" s="3" t="s">
        <v>15</v>
      </c>
      <c r="C658" s="3" t="s">
        <v>812</v>
      </c>
      <c r="D658" s="3" t="s">
        <v>25</v>
      </c>
      <c r="E658" s="3" t="s">
        <v>149</v>
      </c>
      <c r="F658" s="4">
        <v>46302</v>
      </c>
      <c r="G658" s="3" t="s">
        <v>50</v>
      </c>
      <c r="H658" s="6">
        <v>-37740</v>
      </c>
      <c r="I658" s="3" t="s">
        <v>19</v>
      </c>
      <c r="J658" s="3" t="s">
        <v>15</v>
      </c>
      <c r="K658" s="3" t="s">
        <v>15</v>
      </c>
      <c r="L658" s="3" t="s">
        <v>813</v>
      </c>
      <c r="M658" s="4">
        <v>46302</v>
      </c>
      <c r="N658" s="3" t="s">
        <v>814</v>
      </c>
      <c r="O658" s="3" t="s">
        <v>81</v>
      </c>
      <c r="P658" t="str">
        <f t="shared" si="10"/>
        <v>450013945970</v>
      </c>
      <c r="Q658" s="7" cm="1">
        <f t="array" ref="Q658:S658">VLOOKUP(P658,Hoja1!C:F,{2,3,4},FALSE)</f>
        <v>46297</v>
      </c>
      <c r="R658" t="str">
        <v>C35</v>
      </c>
      <c r="S658" t="str">
        <v>1000013164 GHILARDOTTI DANIEL EDUARDO</v>
      </c>
    </row>
    <row r="659" spans="1:19" x14ac:dyDescent="0.3">
      <c r="A659" s="2" t="s">
        <v>15</v>
      </c>
      <c r="B659" s="3" t="s">
        <v>15</v>
      </c>
      <c r="C659" s="3" t="s">
        <v>812</v>
      </c>
      <c r="D659" s="3" t="s">
        <v>25</v>
      </c>
      <c r="E659" s="3" t="s">
        <v>149</v>
      </c>
      <c r="F659" s="4">
        <v>46302</v>
      </c>
      <c r="G659" s="3" t="s">
        <v>50</v>
      </c>
      <c r="H659" s="6">
        <v>-47490</v>
      </c>
      <c r="I659" s="3" t="s">
        <v>19</v>
      </c>
      <c r="J659" s="3" t="s">
        <v>15</v>
      </c>
      <c r="K659" s="3" t="s">
        <v>15</v>
      </c>
      <c r="L659" s="3" t="s">
        <v>813</v>
      </c>
      <c r="M659" s="4">
        <v>46302</v>
      </c>
      <c r="N659" s="3" t="s">
        <v>814</v>
      </c>
      <c r="O659" s="3" t="s">
        <v>82</v>
      </c>
      <c r="P659" t="str">
        <f t="shared" si="10"/>
        <v>450013945980</v>
      </c>
      <c r="Q659" s="7" cm="1">
        <f t="array" ref="Q659:S659">VLOOKUP(P659,Hoja1!C:F,{2,3,4},FALSE)</f>
        <v>46297</v>
      </c>
      <c r="R659" t="str">
        <v>C35</v>
      </c>
      <c r="S659" t="str">
        <v>1000013164 GHILARDOTTI DANIEL EDUARDO</v>
      </c>
    </row>
    <row r="660" spans="1:19" x14ac:dyDescent="0.3">
      <c r="A660" s="2" t="s">
        <v>15</v>
      </c>
      <c r="B660" s="3" t="s">
        <v>15</v>
      </c>
      <c r="C660" s="3" t="s">
        <v>812</v>
      </c>
      <c r="D660" s="3" t="s">
        <v>25</v>
      </c>
      <c r="E660" s="3" t="s">
        <v>149</v>
      </c>
      <c r="F660" s="4">
        <v>46302</v>
      </c>
      <c r="G660" s="3" t="s">
        <v>50</v>
      </c>
      <c r="H660" s="6">
        <v>-118390.28</v>
      </c>
      <c r="I660" s="3" t="s">
        <v>19</v>
      </c>
      <c r="J660" s="3" t="s">
        <v>15</v>
      </c>
      <c r="K660" s="3" t="s">
        <v>15</v>
      </c>
      <c r="L660" s="3" t="s">
        <v>813</v>
      </c>
      <c r="M660" s="4">
        <v>46302</v>
      </c>
      <c r="N660" s="3" t="s">
        <v>814</v>
      </c>
      <c r="O660" s="3" t="s">
        <v>83</v>
      </c>
      <c r="P660" t="str">
        <f t="shared" si="10"/>
        <v>450013945990</v>
      </c>
      <c r="Q660" s="7" cm="1">
        <f t="array" ref="Q660:S660">VLOOKUP(P660,Hoja1!C:F,{2,3,4},FALSE)</f>
        <v>46297</v>
      </c>
      <c r="R660" t="str">
        <v>C35</v>
      </c>
      <c r="S660" t="str">
        <v>1000013164 GHILARDOTTI DANIEL EDUARDO</v>
      </c>
    </row>
    <row r="661" spans="1:19" x14ac:dyDescent="0.3">
      <c r="A661" s="2" t="s">
        <v>15</v>
      </c>
      <c r="B661" s="3" t="s">
        <v>15</v>
      </c>
      <c r="C661" s="3" t="s">
        <v>812</v>
      </c>
      <c r="D661" s="3" t="s">
        <v>25</v>
      </c>
      <c r="E661" s="3" t="s">
        <v>149</v>
      </c>
      <c r="F661" s="4">
        <v>46302</v>
      </c>
      <c r="G661" s="3" t="s">
        <v>50</v>
      </c>
      <c r="H661" s="6">
        <v>-188864.26</v>
      </c>
      <c r="I661" s="3" t="s">
        <v>19</v>
      </c>
      <c r="J661" s="3" t="s">
        <v>15</v>
      </c>
      <c r="K661" s="3" t="s">
        <v>15</v>
      </c>
      <c r="L661" s="3" t="s">
        <v>813</v>
      </c>
      <c r="M661" s="4">
        <v>46302</v>
      </c>
      <c r="N661" s="3" t="s">
        <v>814</v>
      </c>
      <c r="O661" s="3" t="s">
        <v>84</v>
      </c>
      <c r="P661" t="str">
        <f t="shared" si="10"/>
        <v>4500139459100</v>
      </c>
      <c r="Q661" s="7" cm="1">
        <f t="array" ref="Q661:S661">VLOOKUP(P661,Hoja1!C:F,{2,3,4},FALSE)</f>
        <v>46297</v>
      </c>
      <c r="R661" t="str">
        <v>C35</v>
      </c>
      <c r="S661" t="str">
        <v>1000013164 GHILARDOTTI DANIEL EDUARDO</v>
      </c>
    </row>
    <row r="662" spans="1:19" x14ac:dyDescent="0.3">
      <c r="A662" s="2" t="s">
        <v>15</v>
      </c>
      <c r="B662" s="3" t="s">
        <v>15</v>
      </c>
      <c r="C662" s="3" t="s">
        <v>812</v>
      </c>
      <c r="D662" s="3" t="s">
        <v>25</v>
      </c>
      <c r="E662" s="3" t="s">
        <v>149</v>
      </c>
      <c r="F662" s="4">
        <v>46302</v>
      </c>
      <c r="G662" s="3" t="s">
        <v>50</v>
      </c>
      <c r="H662" s="6">
        <v>-53139.08</v>
      </c>
      <c r="I662" s="3" t="s">
        <v>19</v>
      </c>
      <c r="J662" s="3" t="s">
        <v>15</v>
      </c>
      <c r="K662" s="3" t="s">
        <v>15</v>
      </c>
      <c r="L662" s="3" t="s">
        <v>813</v>
      </c>
      <c r="M662" s="4">
        <v>46302</v>
      </c>
      <c r="N662" s="3" t="s">
        <v>814</v>
      </c>
      <c r="O662" s="3" t="s">
        <v>85</v>
      </c>
      <c r="P662" t="str">
        <f t="shared" si="10"/>
        <v>4500139459110</v>
      </c>
      <c r="Q662" s="7" cm="1">
        <f t="array" ref="Q662:S662">VLOOKUP(P662,Hoja1!C:F,{2,3,4},FALSE)</f>
        <v>46297</v>
      </c>
      <c r="R662" t="str">
        <v>C35</v>
      </c>
      <c r="S662" t="str">
        <v>1000013164 GHILARDOTTI DANIEL EDUARDO</v>
      </c>
    </row>
    <row r="663" spans="1:19" x14ac:dyDescent="0.3">
      <c r="A663" s="2" t="s">
        <v>15</v>
      </c>
      <c r="B663" s="3" t="s">
        <v>15</v>
      </c>
      <c r="C663" s="3" t="s">
        <v>812</v>
      </c>
      <c r="D663" s="3" t="s">
        <v>25</v>
      </c>
      <c r="E663" s="3" t="s">
        <v>149</v>
      </c>
      <c r="F663" s="4">
        <v>46302</v>
      </c>
      <c r="G663" s="3" t="s">
        <v>50</v>
      </c>
      <c r="H663" s="6">
        <v>-216061.44</v>
      </c>
      <c r="I663" s="3" t="s">
        <v>19</v>
      </c>
      <c r="J663" s="3" t="s">
        <v>15</v>
      </c>
      <c r="K663" s="3" t="s">
        <v>15</v>
      </c>
      <c r="L663" s="3" t="s">
        <v>813</v>
      </c>
      <c r="M663" s="4">
        <v>46302</v>
      </c>
      <c r="N663" s="3" t="s">
        <v>814</v>
      </c>
      <c r="O663" s="3" t="s">
        <v>86</v>
      </c>
      <c r="P663" t="str">
        <f t="shared" si="10"/>
        <v>4500139459120</v>
      </c>
      <c r="Q663" s="7" cm="1">
        <f t="array" ref="Q663:S663">VLOOKUP(P663,Hoja1!C:F,{2,3,4},FALSE)</f>
        <v>46297</v>
      </c>
      <c r="R663" t="str">
        <v>C35</v>
      </c>
      <c r="S663" t="str">
        <v>1000013164 GHILARDOTTI DANIEL EDUARDO</v>
      </c>
    </row>
    <row r="664" spans="1:19" x14ac:dyDescent="0.3">
      <c r="A664" s="2" t="s">
        <v>15</v>
      </c>
      <c r="B664" s="3" t="s">
        <v>15</v>
      </c>
      <c r="C664" s="3" t="s">
        <v>812</v>
      </c>
      <c r="D664" s="3" t="s">
        <v>25</v>
      </c>
      <c r="E664" s="3" t="s">
        <v>149</v>
      </c>
      <c r="F664" s="4">
        <v>46302</v>
      </c>
      <c r="G664" s="3" t="s">
        <v>50</v>
      </c>
      <c r="H664" s="6">
        <v>-303585.40000000002</v>
      </c>
      <c r="I664" s="3" t="s">
        <v>19</v>
      </c>
      <c r="J664" s="3" t="s">
        <v>15</v>
      </c>
      <c r="K664" s="3" t="s">
        <v>15</v>
      </c>
      <c r="L664" s="3" t="s">
        <v>813</v>
      </c>
      <c r="M664" s="4">
        <v>46302</v>
      </c>
      <c r="N664" s="3" t="s">
        <v>814</v>
      </c>
      <c r="O664" s="3" t="s">
        <v>65</v>
      </c>
      <c r="P664" t="str">
        <f t="shared" si="10"/>
        <v>4500139459130</v>
      </c>
      <c r="Q664" s="7" cm="1">
        <f t="array" ref="Q664:S664">VLOOKUP(P664,Hoja1!C:F,{2,3,4},FALSE)</f>
        <v>46297</v>
      </c>
      <c r="R664" t="str">
        <v>C35</v>
      </c>
      <c r="S664" t="str">
        <v>1000013164 GHILARDOTTI DANIEL EDUARDO</v>
      </c>
    </row>
    <row r="665" spans="1:19" x14ac:dyDescent="0.3">
      <c r="A665" s="2" t="s">
        <v>15</v>
      </c>
      <c r="B665" s="3" t="s">
        <v>15</v>
      </c>
      <c r="C665" s="3" t="s">
        <v>815</v>
      </c>
      <c r="D665" s="3" t="s">
        <v>25</v>
      </c>
      <c r="E665" s="3" t="s">
        <v>149</v>
      </c>
      <c r="F665" s="4">
        <v>46302</v>
      </c>
      <c r="G665" s="3" t="s">
        <v>50</v>
      </c>
      <c r="H665" s="6">
        <v>-185950</v>
      </c>
      <c r="I665" s="3" t="s">
        <v>19</v>
      </c>
      <c r="J665" s="3" t="s">
        <v>15</v>
      </c>
      <c r="K665" s="3" t="s">
        <v>15</v>
      </c>
      <c r="L665" s="3" t="s">
        <v>560</v>
      </c>
      <c r="M665" s="4">
        <v>46302</v>
      </c>
      <c r="N665" s="3" t="s">
        <v>816</v>
      </c>
      <c r="O665" s="3" t="s">
        <v>32</v>
      </c>
      <c r="P665" t="str">
        <f t="shared" si="10"/>
        <v>450014015810</v>
      </c>
      <c r="Q665" s="7" cm="1">
        <f t="array" ref="Q665:S665">VLOOKUP(P665,Hoja1!C:F,{2,3,4},FALSE)</f>
        <v>46304</v>
      </c>
      <c r="R665" t="str">
        <v>C35</v>
      </c>
      <c r="S665" t="str">
        <v>1000006352 SUAREZ BASALO RICARDO FEDERICO</v>
      </c>
    </row>
    <row r="666" spans="1:19" x14ac:dyDescent="0.3">
      <c r="A666" s="2" t="s">
        <v>15</v>
      </c>
      <c r="B666" s="3" t="s">
        <v>15</v>
      </c>
      <c r="C666" s="3" t="s">
        <v>817</v>
      </c>
      <c r="D666" s="3" t="s">
        <v>25</v>
      </c>
      <c r="E666" s="3" t="s">
        <v>149</v>
      </c>
      <c r="F666" s="4">
        <v>46302</v>
      </c>
      <c r="G666" s="3" t="s">
        <v>50</v>
      </c>
      <c r="H666" s="6">
        <v>-789990.9</v>
      </c>
      <c r="I666" s="3" t="s">
        <v>19</v>
      </c>
      <c r="J666" s="3" t="s">
        <v>15</v>
      </c>
      <c r="K666" s="3" t="s">
        <v>15</v>
      </c>
      <c r="L666" s="3" t="s">
        <v>818</v>
      </c>
      <c r="M666" s="4">
        <v>46302</v>
      </c>
      <c r="N666" s="3" t="s">
        <v>819</v>
      </c>
      <c r="O666" s="3" t="s">
        <v>32</v>
      </c>
      <c r="P666" t="str">
        <f t="shared" si="10"/>
        <v>450013947210</v>
      </c>
      <c r="Q666" s="7" cm="1">
        <f t="array" ref="Q666:S666">VLOOKUP(P666,Hoja1!C:F,{2,3,4},FALSE)</f>
        <v>46297</v>
      </c>
      <c r="R666" t="str">
        <v>C35</v>
      </c>
      <c r="S666" t="str">
        <v>1000007609 EXTINGNORT S.R.L.</v>
      </c>
    </row>
    <row r="667" spans="1:19" x14ac:dyDescent="0.3">
      <c r="A667" s="2" t="s">
        <v>15</v>
      </c>
      <c r="B667" s="3" t="s">
        <v>15</v>
      </c>
      <c r="C667" s="3" t="s">
        <v>817</v>
      </c>
      <c r="D667" s="3" t="s">
        <v>25</v>
      </c>
      <c r="E667" s="3" t="s">
        <v>149</v>
      </c>
      <c r="F667" s="4">
        <v>46302</v>
      </c>
      <c r="G667" s="3" t="s">
        <v>50</v>
      </c>
      <c r="H667" s="6">
        <v>-1333321.2</v>
      </c>
      <c r="I667" s="3" t="s">
        <v>19</v>
      </c>
      <c r="J667" s="3" t="s">
        <v>15</v>
      </c>
      <c r="K667" s="3" t="s">
        <v>15</v>
      </c>
      <c r="L667" s="3" t="s">
        <v>818</v>
      </c>
      <c r="M667" s="4">
        <v>46302</v>
      </c>
      <c r="N667" s="3" t="s">
        <v>819</v>
      </c>
      <c r="O667" s="3" t="s">
        <v>28</v>
      </c>
      <c r="P667" t="str">
        <f t="shared" si="10"/>
        <v>450013947220</v>
      </c>
      <c r="Q667" s="7" cm="1">
        <f t="array" ref="Q667:S667">VLOOKUP(P667,Hoja1!C:F,{2,3,4},FALSE)</f>
        <v>46297</v>
      </c>
      <c r="R667" t="str">
        <v>C35</v>
      </c>
      <c r="S667" t="str">
        <v>1000007609 EXTINGNORT S.R.L.</v>
      </c>
    </row>
    <row r="668" spans="1:19" x14ac:dyDescent="0.3">
      <c r="A668" s="2" t="s">
        <v>15</v>
      </c>
      <c r="B668" s="3" t="s">
        <v>15</v>
      </c>
      <c r="C668" s="3" t="s">
        <v>817</v>
      </c>
      <c r="D668" s="3" t="s">
        <v>25</v>
      </c>
      <c r="E668" s="3" t="s">
        <v>149</v>
      </c>
      <c r="F668" s="4">
        <v>46302</v>
      </c>
      <c r="G668" s="3" t="s">
        <v>50</v>
      </c>
      <c r="H668" s="6">
        <v>-123990.9</v>
      </c>
      <c r="I668" s="3" t="s">
        <v>19</v>
      </c>
      <c r="J668" s="3" t="s">
        <v>15</v>
      </c>
      <c r="K668" s="3" t="s">
        <v>15</v>
      </c>
      <c r="L668" s="3" t="s">
        <v>818</v>
      </c>
      <c r="M668" s="4">
        <v>46302</v>
      </c>
      <c r="N668" s="3" t="s">
        <v>819</v>
      </c>
      <c r="O668" s="3" t="s">
        <v>54</v>
      </c>
      <c r="P668" t="str">
        <f t="shared" si="10"/>
        <v>450013947230</v>
      </c>
      <c r="Q668" s="7" cm="1">
        <f t="array" ref="Q668:S668">VLOOKUP(P668,Hoja1!C:F,{2,3,4},FALSE)</f>
        <v>46297</v>
      </c>
      <c r="R668" t="str">
        <v>C35</v>
      </c>
      <c r="S668" t="str">
        <v>1000007609 EXTINGNORT S.R.L.</v>
      </c>
    </row>
    <row r="669" spans="1:19" x14ac:dyDescent="0.3">
      <c r="A669" s="2" t="s">
        <v>15</v>
      </c>
      <c r="B669" s="3" t="s">
        <v>15</v>
      </c>
      <c r="C669" s="3" t="s">
        <v>820</v>
      </c>
      <c r="D669" s="3" t="s">
        <v>15</v>
      </c>
      <c r="E669" s="3" t="s">
        <v>149</v>
      </c>
      <c r="F669" s="4">
        <v>46302</v>
      </c>
      <c r="G669" s="3" t="s">
        <v>50</v>
      </c>
      <c r="H669" s="6">
        <v>-74376</v>
      </c>
      <c r="I669" s="3" t="s">
        <v>19</v>
      </c>
      <c r="J669" s="3" t="s">
        <v>15</v>
      </c>
      <c r="K669" s="3" t="s">
        <v>15</v>
      </c>
      <c r="L669" s="3" t="s">
        <v>99</v>
      </c>
      <c r="M669" s="4">
        <v>46302</v>
      </c>
      <c r="N669" s="3" t="s">
        <v>821</v>
      </c>
      <c r="O669" s="3" t="s">
        <v>32</v>
      </c>
      <c r="P669" t="str">
        <f t="shared" si="10"/>
        <v>450013997510</v>
      </c>
      <c r="Q669" s="7" cm="1">
        <f t="array" ref="Q669:S669">VLOOKUP(P669,Hoja1!C:F,{2,3,4},FALSE)</f>
        <v>46311</v>
      </c>
      <c r="R669" t="str">
        <v>C17</v>
      </c>
      <c r="S669" t="str">
        <v>1000012333 GO CLEAN S.A.S.</v>
      </c>
    </row>
    <row r="670" spans="1:19" x14ac:dyDescent="0.3">
      <c r="A670" s="2" t="s">
        <v>15</v>
      </c>
      <c r="B670" s="3" t="s">
        <v>15</v>
      </c>
      <c r="C670" s="3" t="s">
        <v>822</v>
      </c>
      <c r="D670" s="3" t="s">
        <v>25</v>
      </c>
      <c r="E670" s="3" t="s">
        <v>149</v>
      </c>
      <c r="F670" s="4">
        <v>46302</v>
      </c>
      <c r="G670" s="3" t="s">
        <v>50</v>
      </c>
      <c r="H670" s="6">
        <v>-35000</v>
      </c>
      <c r="I670" s="3" t="s">
        <v>19</v>
      </c>
      <c r="J670" s="3" t="s">
        <v>15</v>
      </c>
      <c r="K670" s="3" t="s">
        <v>15</v>
      </c>
      <c r="L670" s="3" t="s">
        <v>410</v>
      </c>
      <c r="M670" s="4">
        <v>46302</v>
      </c>
      <c r="N670" s="3" t="s">
        <v>823</v>
      </c>
      <c r="O670" s="3" t="s">
        <v>32</v>
      </c>
      <c r="P670" t="str">
        <f t="shared" si="10"/>
        <v>450014012910</v>
      </c>
      <c r="Q670" s="7" cm="1">
        <f t="array" ref="Q670:S670">VLOOKUP(P670,Hoja1!C:F,{2,3,4},FALSE)</f>
        <v>46304</v>
      </c>
      <c r="R670" t="str">
        <v>C35</v>
      </c>
      <c r="S670" t="str">
        <v>1000011906 AM SERVICIOS GRAFICOS S. A. S.</v>
      </c>
    </row>
    <row r="671" spans="1:19" x14ac:dyDescent="0.3">
      <c r="A671" s="2" t="s">
        <v>15</v>
      </c>
      <c r="B671" s="3" t="s">
        <v>15</v>
      </c>
      <c r="C671" s="3" t="s">
        <v>824</v>
      </c>
      <c r="D671" s="3" t="s">
        <v>15</v>
      </c>
      <c r="E671" s="3" t="s">
        <v>149</v>
      </c>
      <c r="F671" s="4">
        <v>46302</v>
      </c>
      <c r="G671" s="3" t="s">
        <v>50</v>
      </c>
      <c r="H671" s="6">
        <v>-1242710</v>
      </c>
      <c r="I671" s="3" t="s">
        <v>19</v>
      </c>
      <c r="J671" s="3" t="s">
        <v>15</v>
      </c>
      <c r="K671" s="3" t="s">
        <v>15</v>
      </c>
      <c r="L671" s="3" t="s">
        <v>73</v>
      </c>
      <c r="M671" s="4">
        <v>46302</v>
      </c>
      <c r="N671" s="3" t="s">
        <v>825</v>
      </c>
      <c r="O671" s="3" t="s">
        <v>55</v>
      </c>
      <c r="P671" t="str">
        <f t="shared" si="10"/>
        <v>450014008950</v>
      </c>
      <c r="Q671" s="7" cm="1">
        <f t="array" ref="Q671:S671">VLOOKUP(P671,Hoja1!C:F,{2,3,4},FALSE)</f>
        <v>46311</v>
      </c>
      <c r="R671" t="str">
        <v>C28</v>
      </c>
      <c r="S671" t="str">
        <v>1000007451 FLORES CARLOS FELIPE Y OTROS S H</v>
      </c>
    </row>
    <row r="672" spans="1:19" x14ac:dyDescent="0.3">
      <c r="A672" s="2" t="s">
        <v>15</v>
      </c>
      <c r="B672" s="3" t="s">
        <v>15</v>
      </c>
      <c r="C672" s="3" t="s">
        <v>824</v>
      </c>
      <c r="D672" s="3" t="s">
        <v>25</v>
      </c>
      <c r="E672" s="3" t="s">
        <v>149</v>
      </c>
      <c r="F672" s="4">
        <v>46302</v>
      </c>
      <c r="G672" s="3" t="s">
        <v>50</v>
      </c>
      <c r="H672" s="6">
        <v>-1242710</v>
      </c>
      <c r="I672" s="3" t="s">
        <v>19</v>
      </c>
      <c r="J672" s="3" t="s">
        <v>15</v>
      </c>
      <c r="K672" s="3" t="s">
        <v>15</v>
      </c>
      <c r="L672" s="3" t="s">
        <v>73</v>
      </c>
      <c r="M672" s="4">
        <v>46302</v>
      </c>
      <c r="N672" s="3" t="s">
        <v>825</v>
      </c>
      <c r="O672" s="3" t="s">
        <v>80</v>
      </c>
      <c r="P672" t="str">
        <f t="shared" si="10"/>
        <v>450014008960</v>
      </c>
      <c r="Q672" s="7" cm="1">
        <f t="array" ref="Q672:S672">VLOOKUP(P672,Hoja1!C:F,{2,3,4},FALSE)</f>
        <v>46311</v>
      </c>
      <c r="R672" t="str">
        <v>C28</v>
      </c>
      <c r="S672" t="str">
        <v>1000007451 FLORES CARLOS FELIPE Y OTROS S H</v>
      </c>
    </row>
    <row r="673" spans="1:19" x14ac:dyDescent="0.3">
      <c r="A673" s="2" t="s">
        <v>15</v>
      </c>
      <c r="B673" s="3" t="s">
        <v>15</v>
      </c>
      <c r="C673" s="3" t="s">
        <v>824</v>
      </c>
      <c r="D673" s="3" t="s">
        <v>15</v>
      </c>
      <c r="E673" s="3" t="s">
        <v>149</v>
      </c>
      <c r="F673" s="4">
        <v>46302</v>
      </c>
      <c r="G673" s="3" t="s">
        <v>50</v>
      </c>
      <c r="H673" s="6">
        <v>-21065.45</v>
      </c>
      <c r="I673" s="3" t="s">
        <v>19</v>
      </c>
      <c r="J673" s="3" t="s">
        <v>15</v>
      </c>
      <c r="K673" s="3" t="s">
        <v>15</v>
      </c>
      <c r="L673" s="3" t="s">
        <v>73</v>
      </c>
      <c r="M673" s="4">
        <v>46302</v>
      </c>
      <c r="N673" s="3" t="s">
        <v>825</v>
      </c>
      <c r="O673" s="3" t="s">
        <v>81</v>
      </c>
      <c r="P673" t="str">
        <f t="shared" si="10"/>
        <v>450014008970</v>
      </c>
      <c r="Q673" s="7" cm="1">
        <f t="array" ref="Q673:S673">VLOOKUP(P673,Hoja1!C:F,{2,3,4},FALSE)</f>
        <v>46311</v>
      </c>
      <c r="R673" t="str">
        <v>C28</v>
      </c>
      <c r="S673" t="str">
        <v>1000007451 FLORES CARLOS FELIPE Y OTROS S H</v>
      </c>
    </row>
    <row r="674" spans="1:19" x14ac:dyDescent="0.3">
      <c r="A674" s="2" t="s">
        <v>15</v>
      </c>
      <c r="B674" s="3" t="s">
        <v>15</v>
      </c>
      <c r="C674" s="3" t="s">
        <v>826</v>
      </c>
      <c r="D674" s="3" t="s">
        <v>15</v>
      </c>
      <c r="E674" s="3" t="s">
        <v>149</v>
      </c>
      <c r="F674" s="4">
        <v>46302</v>
      </c>
      <c r="G674" s="3" t="s">
        <v>50</v>
      </c>
      <c r="H674" s="6">
        <v>-1077017.3999999999</v>
      </c>
      <c r="I674" s="3" t="s">
        <v>19</v>
      </c>
      <c r="J674" s="3" t="s">
        <v>15</v>
      </c>
      <c r="K674" s="3" t="s">
        <v>15</v>
      </c>
      <c r="L674" s="3" t="s">
        <v>37</v>
      </c>
      <c r="M674" s="4">
        <v>46302</v>
      </c>
      <c r="N674" s="3" t="s">
        <v>827</v>
      </c>
      <c r="O674" s="3" t="s">
        <v>32</v>
      </c>
      <c r="P674" t="str">
        <f t="shared" si="10"/>
        <v>450014007210</v>
      </c>
      <c r="Q674" s="7" cm="1">
        <f t="array" ref="Q674:S674">VLOOKUP(P674,Hoja1!C:F,{2,3,4},FALSE)</f>
        <v>46302</v>
      </c>
      <c r="R674" t="str">
        <v>AGV</v>
      </c>
      <c r="S674" t="str">
        <v>1000012141 BRAMAQ SRL</v>
      </c>
    </row>
    <row r="675" spans="1:19" x14ac:dyDescent="0.3">
      <c r="A675" s="2" t="s">
        <v>15</v>
      </c>
      <c r="B675" s="3" t="s">
        <v>15</v>
      </c>
      <c r="C675" s="3" t="s">
        <v>826</v>
      </c>
      <c r="D675" s="3" t="s">
        <v>15</v>
      </c>
      <c r="E675" s="3" t="s">
        <v>149</v>
      </c>
      <c r="F675" s="4">
        <v>46302</v>
      </c>
      <c r="G675" s="3" t="s">
        <v>50</v>
      </c>
      <c r="H675" s="6">
        <v>-779442.3</v>
      </c>
      <c r="I675" s="3" t="s">
        <v>19</v>
      </c>
      <c r="J675" s="3" t="s">
        <v>15</v>
      </c>
      <c r="K675" s="3" t="s">
        <v>15</v>
      </c>
      <c r="L675" s="3" t="s">
        <v>37</v>
      </c>
      <c r="M675" s="4">
        <v>46302</v>
      </c>
      <c r="N675" s="3" t="s">
        <v>827</v>
      </c>
      <c r="O675" s="3" t="s">
        <v>28</v>
      </c>
      <c r="P675" t="str">
        <f t="shared" si="10"/>
        <v>450014007220</v>
      </c>
      <c r="Q675" s="7" cm="1">
        <f t="array" ref="Q675:S675">VLOOKUP(P675,Hoja1!C:F,{2,3,4},FALSE)</f>
        <v>46302</v>
      </c>
      <c r="R675" t="str">
        <v>AGV</v>
      </c>
      <c r="S675" t="str">
        <v>1000012141 BRAMAQ SRL</v>
      </c>
    </row>
    <row r="676" spans="1:19" x14ac:dyDescent="0.3">
      <c r="A676" s="2" t="s">
        <v>15</v>
      </c>
      <c r="B676" s="3" t="s">
        <v>15</v>
      </c>
      <c r="C676" s="3" t="s">
        <v>828</v>
      </c>
      <c r="D676" s="3" t="s">
        <v>25</v>
      </c>
      <c r="E676" s="3" t="s">
        <v>149</v>
      </c>
      <c r="F676" s="4">
        <v>46303</v>
      </c>
      <c r="G676" s="3" t="s">
        <v>50</v>
      </c>
      <c r="H676" s="6">
        <v>-26000</v>
      </c>
      <c r="I676" s="3" t="s">
        <v>19</v>
      </c>
      <c r="J676" s="3" t="s">
        <v>15</v>
      </c>
      <c r="K676" s="3" t="s">
        <v>15</v>
      </c>
      <c r="L676" s="3" t="s">
        <v>548</v>
      </c>
      <c r="M676" s="4">
        <v>46303</v>
      </c>
      <c r="N676" s="3" t="s">
        <v>829</v>
      </c>
      <c r="O676" s="3" t="s">
        <v>32</v>
      </c>
      <c r="P676" t="str">
        <f t="shared" si="10"/>
        <v>450014040310</v>
      </c>
      <c r="Q676" s="7" cm="1">
        <f t="array" ref="Q676:S676">VLOOKUP(P676,Hoja1!C:F,{2,3,4},FALSE)</f>
        <v>46310</v>
      </c>
      <c r="R676" t="str">
        <v>C25</v>
      </c>
      <c r="S676" t="str">
        <v>1000007510 LABTEC S. R. L.</v>
      </c>
    </row>
    <row r="677" spans="1:19" x14ac:dyDescent="0.3">
      <c r="A677" s="2" t="s">
        <v>15</v>
      </c>
      <c r="B677" s="3" t="s">
        <v>15</v>
      </c>
      <c r="C677" s="3" t="s">
        <v>828</v>
      </c>
      <c r="D677" s="3" t="s">
        <v>25</v>
      </c>
      <c r="E677" s="3" t="s">
        <v>149</v>
      </c>
      <c r="F677" s="4">
        <v>46303</v>
      </c>
      <c r="G677" s="3" t="s">
        <v>50</v>
      </c>
      <c r="H677" s="6">
        <v>-16000</v>
      </c>
      <c r="I677" s="3" t="s">
        <v>19</v>
      </c>
      <c r="J677" s="3" t="s">
        <v>15</v>
      </c>
      <c r="K677" s="3" t="s">
        <v>15</v>
      </c>
      <c r="L677" s="3" t="s">
        <v>548</v>
      </c>
      <c r="M677" s="4">
        <v>46303</v>
      </c>
      <c r="N677" s="3" t="s">
        <v>829</v>
      </c>
      <c r="O677" s="3" t="s">
        <v>28</v>
      </c>
      <c r="P677" t="str">
        <f t="shared" si="10"/>
        <v>450014040320</v>
      </c>
      <c r="Q677" s="7" cm="1">
        <f t="array" ref="Q677:S677">VLOOKUP(P677,Hoja1!C:F,{2,3,4},FALSE)</f>
        <v>46310</v>
      </c>
      <c r="R677" t="str">
        <v>C25</v>
      </c>
      <c r="S677" t="str">
        <v>1000007510 LABTEC S. R. L.</v>
      </c>
    </row>
    <row r="678" spans="1:19" x14ac:dyDescent="0.3">
      <c r="A678" s="2" t="s">
        <v>15</v>
      </c>
      <c r="B678" s="3" t="s">
        <v>15</v>
      </c>
      <c r="C678" s="3" t="s">
        <v>828</v>
      </c>
      <c r="D678" s="3" t="s">
        <v>25</v>
      </c>
      <c r="E678" s="3" t="s">
        <v>149</v>
      </c>
      <c r="F678" s="4">
        <v>46303</v>
      </c>
      <c r="G678" s="3" t="s">
        <v>50</v>
      </c>
      <c r="H678" s="6">
        <v>-66000</v>
      </c>
      <c r="I678" s="3" t="s">
        <v>19</v>
      </c>
      <c r="J678" s="3" t="s">
        <v>15</v>
      </c>
      <c r="K678" s="3" t="s">
        <v>15</v>
      </c>
      <c r="L678" s="3" t="s">
        <v>548</v>
      </c>
      <c r="M678" s="4">
        <v>46303</v>
      </c>
      <c r="N678" s="3" t="s">
        <v>829</v>
      </c>
      <c r="O678" s="3" t="s">
        <v>54</v>
      </c>
      <c r="P678" t="str">
        <f t="shared" si="10"/>
        <v>450014040330</v>
      </c>
      <c r="Q678" s="7" cm="1">
        <f t="array" ref="Q678:S678">VLOOKUP(P678,Hoja1!C:F,{2,3,4},FALSE)</f>
        <v>46310</v>
      </c>
      <c r="R678" t="str">
        <v>C25</v>
      </c>
      <c r="S678" t="str">
        <v>1000007510 LABTEC S. R. L.</v>
      </c>
    </row>
    <row r="679" spans="1:19" x14ac:dyDescent="0.3">
      <c r="A679" s="2" t="s">
        <v>15</v>
      </c>
      <c r="B679" s="3" t="s">
        <v>15</v>
      </c>
      <c r="C679" s="3" t="s">
        <v>828</v>
      </c>
      <c r="D679" s="3" t="s">
        <v>25</v>
      </c>
      <c r="E679" s="3" t="s">
        <v>149</v>
      </c>
      <c r="F679" s="4">
        <v>46303</v>
      </c>
      <c r="G679" s="3" t="s">
        <v>50</v>
      </c>
      <c r="H679" s="6">
        <v>-66000</v>
      </c>
      <c r="I679" s="3" t="s">
        <v>19</v>
      </c>
      <c r="J679" s="3" t="s">
        <v>15</v>
      </c>
      <c r="K679" s="3" t="s">
        <v>15</v>
      </c>
      <c r="L679" s="3" t="s">
        <v>548</v>
      </c>
      <c r="M679" s="4">
        <v>46303</v>
      </c>
      <c r="N679" s="3" t="s">
        <v>829</v>
      </c>
      <c r="O679" s="3" t="s">
        <v>23</v>
      </c>
      <c r="P679" t="str">
        <f t="shared" si="10"/>
        <v>450014040340</v>
      </c>
      <c r="Q679" s="7" cm="1">
        <f t="array" ref="Q679:S679">VLOOKUP(P679,Hoja1!C:F,{2,3,4},FALSE)</f>
        <v>46310</v>
      </c>
      <c r="R679" t="str">
        <v>C25</v>
      </c>
      <c r="S679" t="str">
        <v>1000007510 LABTEC S. R. L.</v>
      </c>
    </row>
    <row r="680" spans="1:19" x14ac:dyDescent="0.3">
      <c r="A680" s="2" t="s">
        <v>15</v>
      </c>
      <c r="B680" s="3" t="s">
        <v>15</v>
      </c>
      <c r="C680" s="3" t="s">
        <v>830</v>
      </c>
      <c r="D680" s="3" t="s">
        <v>15</v>
      </c>
      <c r="E680" s="3" t="s">
        <v>149</v>
      </c>
      <c r="F680" s="4">
        <v>46303</v>
      </c>
      <c r="G680" s="3" t="s">
        <v>50</v>
      </c>
      <c r="H680" s="6">
        <v>-80250</v>
      </c>
      <c r="I680" s="3" t="s">
        <v>19</v>
      </c>
      <c r="J680" s="3" t="s">
        <v>15</v>
      </c>
      <c r="K680" s="3" t="s">
        <v>15</v>
      </c>
      <c r="L680" s="3" t="s">
        <v>813</v>
      </c>
      <c r="M680" s="4">
        <v>46303</v>
      </c>
      <c r="N680" s="3" t="s">
        <v>831</v>
      </c>
      <c r="O680" s="3" t="s">
        <v>32</v>
      </c>
      <c r="P680" t="str">
        <f t="shared" si="10"/>
        <v>450014000710</v>
      </c>
      <c r="Q680" s="7" cm="1">
        <f t="array" ref="Q680:S680">VLOOKUP(P680,Hoja1!C:F,{2,3,4},FALSE)</f>
        <v>46301</v>
      </c>
      <c r="R680" t="str">
        <v>C35</v>
      </c>
      <c r="S680" t="str">
        <v>1000013164 GHILARDOTTI DANIEL EDUARDO</v>
      </c>
    </row>
    <row r="681" spans="1:19" x14ac:dyDescent="0.3">
      <c r="A681" s="2" t="s">
        <v>15</v>
      </c>
      <c r="B681" s="3" t="s">
        <v>15</v>
      </c>
      <c r="C681" s="3" t="s">
        <v>830</v>
      </c>
      <c r="D681" s="3" t="s">
        <v>15</v>
      </c>
      <c r="E681" s="3" t="s">
        <v>149</v>
      </c>
      <c r="F681" s="4">
        <v>46303</v>
      </c>
      <c r="G681" s="3" t="s">
        <v>50</v>
      </c>
      <c r="H681" s="6">
        <v>-20300</v>
      </c>
      <c r="I681" s="3" t="s">
        <v>19</v>
      </c>
      <c r="J681" s="3" t="s">
        <v>15</v>
      </c>
      <c r="K681" s="3" t="s">
        <v>15</v>
      </c>
      <c r="L681" s="3" t="s">
        <v>813</v>
      </c>
      <c r="M681" s="4">
        <v>46303</v>
      </c>
      <c r="N681" s="3" t="s">
        <v>831</v>
      </c>
      <c r="O681" s="3" t="s">
        <v>28</v>
      </c>
      <c r="P681" t="str">
        <f t="shared" si="10"/>
        <v>450014000720</v>
      </c>
      <c r="Q681" s="7" cm="1">
        <f t="array" ref="Q681:S681">VLOOKUP(P681,Hoja1!C:F,{2,3,4},FALSE)</f>
        <v>46301</v>
      </c>
      <c r="R681" t="str">
        <v>C35</v>
      </c>
      <c r="S681" t="str">
        <v>1000013164 GHILARDOTTI DANIEL EDUARDO</v>
      </c>
    </row>
    <row r="682" spans="1:19" x14ac:dyDescent="0.3">
      <c r="A682" s="2" t="s">
        <v>15</v>
      </c>
      <c r="B682" s="3" t="s">
        <v>15</v>
      </c>
      <c r="C682" s="3" t="s">
        <v>832</v>
      </c>
      <c r="D682" s="3" t="s">
        <v>15</v>
      </c>
      <c r="E682" s="3" t="s">
        <v>149</v>
      </c>
      <c r="F682" s="4">
        <v>46303</v>
      </c>
      <c r="G682" s="3" t="s">
        <v>50</v>
      </c>
      <c r="H682" s="6">
        <v>-277301.75</v>
      </c>
      <c r="I682" s="3" t="s">
        <v>19</v>
      </c>
      <c r="J682" s="3" t="s">
        <v>15</v>
      </c>
      <c r="K682" s="3" t="s">
        <v>15</v>
      </c>
      <c r="L682" s="3" t="s">
        <v>217</v>
      </c>
      <c r="M682" s="4">
        <v>46303</v>
      </c>
      <c r="N682" s="3" t="s">
        <v>833</v>
      </c>
      <c r="O682" s="3" t="s">
        <v>28</v>
      </c>
      <c r="P682" t="str">
        <f t="shared" si="10"/>
        <v>450012703020</v>
      </c>
      <c r="Q682" s="7" cm="1">
        <f t="array" ref="Q682:S682">VLOOKUP(P682,Hoja1!C:F,{2,3,4},FALSE)</f>
        <v>46322</v>
      </c>
      <c r="R682" t="str">
        <v>C29</v>
      </c>
      <c r="S682" t="str">
        <v>1000000012 IGARRETA MAQUINAS S.A.</v>
      </c>
    </row>
    <row r="683" spans="1:19" x14ac:dyDescent="0.3">
      <c r="A683" s="2" t="s">
        <v>15</v>
      </c>
      <c r="B683" s="3" t="s">
        <v>15</v>
      </c>
      <c r="C683" s="3" t="s">
        <v>834</v>
      </c>
      <c r="D683" s="3" t="s">
        <v>25</v>
      </c>
      <c r="E683" s="3" t="s">
        <v>149</v>
      </c>
      <c r="F683" s="4">
        <v>46303</v>
      </c>
      <c r="G683" s="3" t="s">
        <v>50</v>
      </c>
      <c r="H683" s="6">
        <v>-2646000</v>
      </c>
      <c r="I683" s="3" t="s">
        <v>19</v>
      </c>
      <c r="J683" s="3" t="s">
        <v>15</v>
      </c>
      <c r="K683" s="3" t="s">
        <v>15</v>
      </c>
      <c r="L683" s="3" t="s">
        <v>545</v>
      </c>
      <c r="M683" s="4">
        <v>46303</v>
      </c>
      <c r="N683" s="3" t="s">
        <v>546</v>
      </c>
      <c r="O683" s="3" t="s">
        <v>32</v>
      </c>
      <c r="P683" t="str">
        <f t="shared" si="10"/>
        <v>450013924610</v>
      </c>
      <c r="Q683" s="7" cm="1">
        <f t="array" ref="Q683:S683">VLOOKUP(P683,Hoja1!C:F,{2,3,4},FALSE)</f>
        <v>46466</v>
      </c>
      <c r="R683" t="str">
        <v>C25</v>
      </c>
      <c r="S683" t="str">
        <v>1000012228 MED LAB SALTA S.R.L.</v>
      </c>
    </row>
    <row r="684" spans="1:19" x14ac:dyDescent="0.3">
      <c r="A684" s="2" t="s">
        <v>15</v>
      </c>
      <c r="B684" s="3" t="s">
        <v>15</v>
      </c>
      <c r="C684" s="3" t="s">
        <v>835</v>
      </c>
      <c r="D684" s="3" t="s">
        <v>15</v>
      </c>
      <c r="E684" s="3" t="s">
        <v>149</v>
      </c>
      <c r="F684" s="4">
        <v>46303</v>
      </c>
      <c r="G684" s="3" t="s">
        <v>50</v>
      </c>
      <c r="H684" s="6">
        <v>-357000</v>
      </c>
      <c r="I684" s="3" t="s">
        <v>19</v>
      </c>
      <c r="J684" s="3" t="s">
        <v>15</v>
      </c>
      <c r="K684" s="3" t="s">
        <v>15</v>
      </c>
      <c r="L684" s="3" t="s">
        <v>734</v>
      </c>
      <c r="M684" s="4">
        <v>46303</v>
      </c>
      <c r="N684" s="3" t="s">
        <v>735</v>
      </c>
      <c r="O684" s="3" t="s">
        <v>28</v>
      </c>
      <c r="P684" t="str">
        <f t="shared" si="10"/>
        <v>450013933720</v>
      </c>
      <c r="Q684" s="7" cm="1">
        <f t="array" ref="Q684:S684">VLOOKUP(P684,Hoja1!C:F,{2,3,4},FALSE)</f>
        <v>46304</v>
      </c>
      <c r="R684" t="str">
        <v>C17</v>
      </c>
      <c r="S684" t="str">
        <v>1000000003 ARROYITO MAQUINARIAS S.R.L.</v>
      </c>
    </row>
    <row r="685" spans="1:19" x14ac:dyDescent="0.3">
      <c r="A685" s="2" t="s">
        <v>15</v>
      </c>
      <c r="B685" s="3" t="s">
        <v>15</v>
      </c>
      <c r="C685" s="3" t="s">
        <v>908</v>
      </c>
      <c r="D685" s="3" t="s">
        <v>15</v>
      </c>
      <c r="E685" s="3" t="s">
        <v>149</v>
      </c>
      <c r="F685" s="4">
        <v>46303</v>
      </c>
      <c r="G685" s="3" t="s">
        <v>50</v>
      </c>
      <c r="H685" s="6">
        <v>-696037.38</v>
      </c>
      <c r="I685" s="3" t="s">
        <v>19</v>
      </c>
      <c r="J685" s="3" t="s">
        <v>15</v>
      </c>
      <c r="K685" s="3" t="s">
        <v>15</v>
      </c>
      <c r="L685" s="3" t="s">
        <v>118</v>
      </c>
      <c r="M685" s="4">
        <v>46303</v>
      </c>
      <c r="N685" s="3" t="s">
        <v>909</v>
      </c>
      <c r="O685" s="3" t="s">
        <v>32</v>
      </c>
      <c r="P685" t="str">
        <f t="shared" si="10"/>
        <v>450014025610</v>
      </c>
      <c r="Q685" s="7" cm="1">
        <f t="array" ref="Q685:S685">VLOOKUP(P685,Hoja1!C:F,{2,3,4},FALSE)</f>
        <v>46315</v>
      </c>
      <c r="R685" t="str">
        <v>C29</v>
      </c>
      <c r="S685" t="str">
        <v>1000001470 SUDAMERICANA CAMIONES SA</v>
      </c>
    </row>
    <row r="686" spans="1:19" x14ac:dyDescent="0.3">
      <c r="A686" s="2" t="s">
        <v>15</v>
      </c>
      <c r="B686" s="3" t="s">
        <v>15</v>
      </c>
      <c r="C686" s="3" t="s">
        <v>910</v>
      </c>
      <c r="D686" s="3" t="s">
        <v>25</v>
      </c>
      <c r="E686" s="3" t="s">
        <v>149</v>
      </c>
      <c r="F686" s="4">
        <v>46303</v>
      </c>
      <c r="G686" s="3" t="s">
        <v>50</v>
      </c>
      <c r="H686" s="6">
        <v>-435000</v>
      </c>
      <c r="I686" s="3" t="s">
        <v>19</v>
      </c>
      <c r="J686" s="3" t="s">
        <v>15</v>
      </c>
      <c r="K686" s="3" t="s">
        <v>15</v>
      </c>
      <c r="L686" s="3" t="s">
        <v>886</v>
      </c>
      <c r="M686" s="4">
        <v>46303</v>
      </c>
      <c r="N686" s="3" t="s">
        <v>887</v>
      </c>
      <c r="O686" s="3" t="s">
        <v>32</v>
      </c>
      <c r="P686" t="str">
        <f t="shared" si="10"/>
        <v>450014013210</v>
      </c>
      <c r="Q686" s="7" cm="1">
        <f t="array" ref="Q686:S686">VLOOKUP(P686,Hoja1!C:F,{2,3,4},FALSE)</f>
        <v>46303</v>
      </c>
      <c r="R686" t="str">
        <v>C35</v>
      </c>
      <c r="S686" t="str">
        <v>1000010762 AMAYA CRISTIAN IVAN</v>
      </c>
    </row>
    <row r="687" spans="1:19" x14ac:dyDescent="0.3">
      <c r="A687" s="2" t="s">
        <v>15</v>
      </c>
      <c r="B687" s="3" t="s">
        <v>15</v>
      </c>
      <c r="C687" s="3" t="s">
        <v>911</v>
      </c>
      <c r="D687" s="3" t="s">
        <v>15</v>
      </c>
      <c r="E687" s="3" t="s">
        <v>149</v>
      </c>
      <c r="F687" s="4">
        <v>46303</v>
      </c>
      <c r="G687" s="3" t="s">
        <v>50</v>
      </c>
      <c r="H687" s="6">
        <v>-545454.6</v>
      </c>
      <c r="I687" s="3" t="s">
        <v>19</v>
      </c>
      <c r="J687" s="3" t="s">
        <v>15</v>
      </c>
      <c r="K687" s="3" t="s">
        <v>15</v>
      </c>
      <c r="L687" s="3" t="s">
        <v>112</v>
      </c>
      <c r="M687" s="4">
        <v>46303</v>
      </c>
      <c r="N687" s="3" t="s">
        <v>912</v>
      </c>
      <c r="O687" s="3" t="s">
        <v>32</v>
      </c>
      <c r="P687" t="str">
        <f t="shared" si="10"/>
        <v>450014051010</v>
      </c>
      <c r="Q687" s="7" cm="1">
        <f t="array" ref="Q687:S687">VLOOKUP(P687,Hoja1!C:F,{2,3,4},FALSE)</f>
        <v>46310</v>
      </c>
      <c r="R687" t="str">
        <v>C35</v>
      </c>
      <c r="S687" t="str">
        <v>1000010025 RAMOS MARIO SEBASTIAN</v>
      </c>
    </row>
    <row r="688" spans="1:19" x14ac:dyDescent="0.3">
      <c r="A688" s="2" t="s">
        <v>15</v>
      </c>
      <c r="B688" s="3" t="s">
        <v>15</v>
      </c>
      <c r="C688" s="3" t="s">
        <v>913</v>
      </c>
      <c r="D688" s="3" t="s">
        <v>15</v>
      </c>
      <c r="E688" s="3" t="s">
        <v>149</v>
      </c>
      <c r="F688" s="4">
        <v>46303</v>
      </c>
      <c r="G688" s="3" t="s">
        <v>50</v>
      </c>
      <c r="H688" s="6">
        <v>-730233</v>
      </c>
      <c r="I688" s="3" t="s">
        <v>19</v>
      </c>
      <c r="J688" s="3" t="s">
        <v>15</v>
      </c>
      <c r="K688" s="3" t="s">
        <v>15</v>
      </c>
      <c r="L688" s="3" t="s">
        <v>805</v>
      </c>
      <c r="M688" s="4">
        <v>46303</v>
      </c>
      <c r="N688" s="3" t="s">
        <v>806</v>
      </c>
      <c r="O688" s="3" t="s">
        <v>32</v>
      </c>
      <c r="P688" t="str">
        <f t="shared" si="10"/>
        <v>450013976410</v>
      </c>
      <c r="Q688" s="7" cm="1">
        <f t="array" ref="Q688:S688">VLOOKUP(P688,Hoja1!C:F,{2,3,4},FALSE)</f>
        <v>46310</v>
      </c>
      <c r="R688" t="str">
        <v>C22</v>
      </c>
      <c r="S688" t="str">
        <v>1000007645 RESTON MADERAS S.R.L.</v>
      </c>
    </row>
    <row r="689" spans="1:19" x14ac:dyDescent="0.3">
      <c r="A689" s="2" t="s">
        <v>15</v>
      </c>
      <c r="B689" s="3" t="s">
        <v>15</v>
      </c>
      <c r="C689" s="3" t="s">
        <v>914</v>
      </c>
      <c r="D689" s="3" t="s">
        <v>25</v>
      </c>
      <c r="E689" s="3" t="s">
        <v>149</v>
      </c>
      <c r="F689" s="4">
        <v>46303</v>
      </c>
      <c r="G689" s="3" t="s">
        <v>50</v>
      </c>
      <c r="H689" s="6">
        <v>-86350</v>
      </c>
      <c r="I689" s="3" t="s">
        <v>19</v>
      </c>
      <c r="J689" s="3" t="s">
        <v>15</v>
      </c>
      <c r="K689" s="3" t="s">
        <v>15</v>
      </c>
      <c r="L689" s="3" t="s">
        <v>68</v>
      </c>
      <c r="M689" s="4">
        <v>46303</v>
      </c>
      <c r="N689" s="3" t="s">
        <v>915</v>
      </c>
      <c r="O689" s="3" t="s">
        <v>32</v>
      </c>
      <c r="P689" t="str">
        <f t="shared" si="10"/>
        <v>450013992010</v>
      </c>
      <c r="Q689" s="7" cm="1">
        <f t="array" ref="Q689:S689">VLOOKUP(P689,Hoja1!C:F,{2,3,4},FALSE)</f>
        <v>46302</v>
      </c>
      <c r="R689" t="str">
        <v>C35</v>
      </c>
      <c r="S689" t="str">
        <v>1000007611 ANTONIO B ATENOR E HIJOS S R L</v>
      </c>
    </row>
    <row r="690" spans="1:19" x14ac:dyDescent="0.3">
      <c r="A690" s="2" t="s">
        <v>15</v>
      </c>
      <c r="B690" s="3" t="s">
        <v>15</v>
      </c>
      <c r="C690" s="3" t="s">
        <v>916</v>
      </c>
      <c r="D690" s="3" t="s">
        <v>15</v>
      </c>
      <c r="E690" s="3" t="s">
        <v>149</v>
      </c>
      <c r="F690" s="4">
        <v>46304</v>
      </c>
      <c r="G690" s="3" t="s">
        <v>50</v>
      </c>
      <c r="H690" s="6">
        <v>-13560</v>
      </c>
      <c r="I690" s="3" t="s">
        <v>19</v>
      </c>
      <c r="J690" s="3" t="s">
        <v>15</v>
      </c>
      <c r="K690" s="3" t="s">
        <v>15</v>
      </c>
      <c r="L690" s="3" t="s">
        <v>114</v>
      </c>
      <c r="M690" s="4">
        <v>46304</v>
      </c>
      <c r="N690" s="3" t="s">
        <v>917</v>
      </c>
      <c r="O690" s="3" t="s">
        <v>28</v>
      </c>
      <c r="P690" t="str">
        <f t="shared" si="10"/>
        <v>450014047020</v>
      </c>
      <c r="Q690" s="7" cm="1">
        <f t="array" ref="Q690:S690">VLOOKUP(P690,Hoja1!C:F,{2,3,4},FALSE)</f>
        <v>46307</v>
      </c>
      <c r="R690" t="str">
        <v>C35</v>
      </c>
      <c r="S690" t="str">
        <v>1000007766 HERSAPEL SOCIEDAD DE RESPONSABILIDA</v>
      </c>
    </row>
    <row r="691" spans="1:19" x14ac:dyDescent="0.3">
      <c r="A691" s="2" t="s">
        <v>15</v>
      </c>
      <c r="B691" s="3" t="s">
        <v>15</v>
      </c>
      <c r="C691" s="3" t="s">
        <v>918</v>
      </c>
      <c r="D691" s="3" t="s">
        <v>25</v>
      </c>
      <c r="E691" s="3" t="s">
        <v>149</v>
      </c>
      <c r="F691" s="4">
        <v>46304</v>
      </c>
      <c r="G691" s="3" t="s">
        <v>50</v>
      </c>
      <c r="H691" s="6">
        <v>-5668.84</v>
      </c>
      <c r="I691" s="3" t="s">
        <v>19</v>
      </c>
      <c r="J691" s="3" t="s">
        <v>15</v>
      </c>
      <c r="K691" s="3" t="s">
        <v>15</v>
      </c>
      <c r="L691" s="3" t="s">
        <v>114</v>
      </c>
      <c r="M691" s="4">
        <v>46304</v>
      </c>
      <c r="N691" s="3" t="s">
        <v>919</v>
      </c>
      <c r="O691" s="3" t="s">
        <v>32</v>
      </c>
      <c r="P691" t="str">
        <f t="shared" si="10"/>
        <v>450014048810</v>
      </c>
      <c r="Q691" s="7" cm="1">
        <f t="array" ref="Q691:S691">VLOOKUP(P691,Hoja1!C:F,{2,3,4},FALSE)</f>
        <v>46307</v>
      </c>
      <c r="R691" t="str">
        <v>C35</v>
      </c>
      <c r="S691" t="str">
        <v>1000007766 HERSAPEL SOCIEDAD DE RESPONSABILIDA</v>
      </c>
    </row>
    <row r="692" spans="1:19" x14ac:dyDescent="0.3">
      <c r="A692" s="2" t="s">
        <v>15</v>
      </c>
      <c r="B692" s="3" t="s">
        <v>15</v>
      </c>
      <c r="C692" s="3" t="s">
        <v>918</v>
      </c>
      <c r="D692" s="3" t="s">
        <v>25</v>
      </c>
      <c r="E692" s="3" t="s">
        <v>149</v>
      </c>
      <c r="F692" s="4">
        <v>46304</v>
      </c>
      <c r="G692" s="3" t="s">
        <v>50</v>
      </c>
      <c r="H692" s="6">
        <v>-3507.84</v>
      </c>
      <c r="I692" s="3" t="s">
        <v>19</v>
      </c>
      <c r="J692" s="3" t="s">
        <v>15</v>
      </c>
      <c r="K692" s="3" t="s">
        <v>15</v>
      </c>
      <c r="L692" s="3" t="s">
        <v>114</v>
      </c>
      <c r="M692" s="4">
        <v>46304</v>
      </c>
      <c r="N692" s="3" t="s">
        <v>919</v>
      </c>
      <c r="O692" s="3" t="s">
        <v>28</v>
      </c>
      <c r="P692" t="str">
        <f t="shared" si="10"/>
        <v>450014048820</v>
      </c>
      <c r="Q692" s="7" cm="1">
        <f t="array" ref="Q692:S692">VLOOKUP(P692,Hoja1!C:F,{2,3,4},FALSE)</f>
        <v>46307</v>
      </c>
      <c r="R692" t="str">
        <v>C35</v>
      </c>
      <c r="S692" t="str">
        <v>1000007766 HERSAPEL SOCIEDAD DE RESPONSABILIDA</v>
      </c>
    </row>
    <row r="693" spans="1:19" x14ac:dyDescent="0.3">
      <c r="A693" s="2" t="s">
        <v>15</v>
      </c>
      <c r="B693" s="3" t="s">
        <v>15</v>
      </c>
      <c r="C693" s="3" t="s">
        <v>920</v>
      </c>
      <c r="D693" s="3" t="s">
        <v>15</v>
      </c>
      <c r="E693" s="3" t="s">
        <v>149</v>
      </c>
      <c r="F693" s="4">
        <v>46304</v>
      </c>
      <c r="G693" s="3" t="s">
        <v>50</v>
      </c>
      <c r="H693" s="6">
        <v>-733484.73</v>
      </c>
      <c r="I693" s="3" t="s">
        <v>19</v>
      </c>
      <c r="J693" s="3" t="s">
        <v>15</v>
      </c>
      <c r="K693" s="3" t="s">
        <v>15</v>
      </c>
      <c r="L693" s="3" t="s">
        <v>73</v>
      </c>
      <c r="M693" s="4">
        <v>46304</v>
      </c>
      <c r="N693" s="3" t="s">
        <v>537</v>
      </c>
      <c r="O693" s="3" t="s">
        <v>54</v>
      </c>
      <c r="P693" t="str">
        <f t="shared" si="10"/>
        <v>450013974230</v>
      </c>
      <c r="Q693" s="7" cm="1">
        <f t="array" ref="Q693:S693">VLOOKUP(P693,Hoja1!C:F,{2,3,4},FALSE)</f>
        <v>46318</v>
      </c>
      <c r="R693" t="str">
        <v>C28</v>
      </c>
      <c r="S693" t="str">
        <v>1000007451 FLORES CARLOS FELIPE Y OTROS S H</v>
      </c>
    </row>
    <row r="694" spans="1:19" x14ac:dyDescent="0.3">
      <c r="A694" s="2" t="s">
        <v>15</v>
      </c>
      <c r="B694" s="3" t="s">
        <v>15</v>
      </c>
      <c r="C694" s="3" t="s">
        <v>920</v>
      </c>
      <c r="D694" s="3" t="s">
        <v>15</v>
      </c>
      <c r="E694" s="3" t="s">
        <v>149</v>
      </c>
      <c r="F694" s="4">
        <v>46304</v>
      </c>
      <c r="G694" s="3" t="s">
        <v>50</v>
      </c>
      <c r="H694" s="6">
        <v>-600123.87</v>
      </c>
      <c r="I694" s="3" t="s">
        <v>19</v>
      </c>
      <c r="J694" s="3" t="s">
        <v>15</v>
      </c>
      <c r="K694" s="3" t="s">
        <v>15</v>
      </c>
      <c r="L694" s="3" t="s">
        <v>73</v>
      </c>
      <c r="M694" s="4">
        <v>46304</v>
      </c>
      <c r="N694" s="3" t="s">
        <v>537</v>
      </c>
      <c r="O694" s="3" t="s">
        <v>80</v>
      </c>
      <c r="P694" t="str">
        <f t="shared" si="10"/>
        <v>450013974260</v>
      </c>
      <c r="Q694" s="7" cm="1">
        <f t="array" ref="Q694:S694">VLOOKUP(P694,Hoja1!C:F,{2,3,4},FALSE)</f>
        <v>46318</v>
      </c>
      <c r="R694" t="str">
        <v>C28</v>
      </c>
      <c r="S694" t="str">
        <v>1000007451 FLORES CARLOS FELIPE Y OTROS S H</v>
      </c>
    </row>
    <row r="695" spans="1:19" x14ac:dyDescent="0.3">
      <c r="A695" s="2" t="s">
        <v>15</v>
      </c>
      <c r="B695" s="3" t="s">
        <v>15</v>
      </c>
      <c r="C695" s="3" t="s">
        <v>920</v>
      </c>
      <c r="D695" s="3" t="s">
        <v>15</v>
      </c>
      <c r="E695" s="3" t="s">
        <v>149</v>
      </c>
      <c r="F695" s="4">
        <v>46304</v>
      </c>
      <c r="G695" s="3" t="s">
        <v>50</v>
      </c>
      <c r="H695" s="6">
        <v>-571792.62</v>
      </c>
      <c r="I695" s="3" t="s">
        <v>19</v>
      </c>
      <c r="J695" s="3" t="s">
        <v>15</v>
      </c>
      <c r="K695" s="3" t="s">
        <v>15</v>
      </c>
      <c r="L695" s="3" t="s">
        <v>73</v>
      </c>
      <c r="M695" s="4">
        <v>46304</v>
      </c>
      <c r="N695" s="3" t="s">
        <v>537</v>
      </c>
      <c r="O695" s="3" t="s">
        <v>81</v>
      </c>
      <c r="P695" t="str">
        <f t="shared" si="10"/>
        <v>450013974270</v>
      </c>
      <c r="Q695" s="7" cm="1">
        <f t="array" ref="Q695:S695">VLOOKUP(P695,Hoja1!C:F,{2,3,4},FALSE)</f>
        <v>46318</v>
      </c>
      <c r="R695" t="str">
        <v>C28</v>
      </c>
      <c r="S695" t="str">
        <v>1000007451 FLORES CARLOS FELIPE Y OTROS S H</v>
      </c>
    </row>
    <row r="696" spans="1:19" x14ac:dyDescent="0.3">
      <c r="A696" s="2" t="s">
        <v>15</v>
      </c>
      <c r="B696" s="3" t="s">
        <v>15</v>
      </c>
      <c r="C696" s="3" t="s">
        <v>921</v>
      </c>
      <c r="D696" s="3" t="s">
        <v>15</v>
      </c>
      <c r="E696" s="3" t="s">
        <v>149</v>
      </c>
      <c r="F696" s="4">
        <v>46304</v>
      </c>
      <c r="G696" s="3" t="s">
        <v>50</v>
      </c>
      <c r="H696" s="6">
        <v>-394552.32000000001</v>
      </c>
      <c r="I696" s="3" t="s">
        <v>19</v>
      </c>
      <c r="J696" s="3" t="s">
        <v>15</v>
      </c>
      <c r="K696" s="3" t="s">
        <v>15</v>
      </c>
      <c r="L696" s="3" t="s">
        <v>73</v>
      </c>
      <c r="M696" s="4">
        <v>46304</v>
      </c>
      <c r="N696" s="3" t="s">
        <v>922</v>
      </c>
      <c r="O696" s="3" t="s">
        <v>28</v>
      </c>
      <c r="P696" t="str">
        <f t="shared" si="10"/>
        <v>450014027220</v>
      </c>
      <c r="Q696" s="7" cm="1">
        <f t="array" ref="Q696:S696">VLOOKUP(P696,Hoja1!C:F,{2,3,4},FALSE)</f>
        <v>46315</v>
      </c>
      <c r="R696" t="str">
        <v>C27</v>
      </c>
      <c r="S696" t="str">
        <v>1000007451 FLORES CARLOS FELIPE Y OTROS S H</v>
      </c>
    </row>
    <row r="697" spans="1:19" x14ac:dyDescent="0.3">
      <c r="A697" s="2" t="s">
        <v>15</v>
      </c>
      <c r="B697" s="3" t="s">
        <v>15</v>
      </c>
      <c r="C697" s="3" t="s">
        <v>921</v>
      </c>
      <c r="D697" s="3" t="s">
        <v>15</v>
      </c>
      <c r="E697" s="3" t="s">
        <v>149</v>
      </c>
      <c r="F697" s="4">
        <v>46304</v>
      </c>
      <c r="G697" s="3" t="s">
        <v>50</v>
      </c>
      <c r="H697" s="6">
        <v>-45375.33</v>
      </c>
      <c r="I697" s="3" t="s">
        <v>19</v>
      </c>
      <c r="J697" s="3" t="s">
        <v>15</v>
      </c>
      <c r="K697" s="3" t="s">
        <v>15</v>
      </c>
      <c r="L697" s="3" t="s">
        <v>73</v>
      </c>
      <c r="M697" s="4">
        <v>46304</v>
      </c>
      <c r="N697" s="3" t="s">
        <v>922</v>
      </c>
      <c r="O697" s="3" t="s">
        <v>87</v>
      </c>
      <c r="P697" t="str">
        <f t="shared" si="10"/>
        <v>4500140272150</v>
      </c>
      <c r="Q697" s="7" cm="1">
        <f t="array" ref="Q697:S697">VLOOKUP(P697,Hoja1!C:F,{2,3,4},FALSE)</f>
        <v>46315</v>
      </c>
      <c r="R697" t="str">
        <v>C27</v>
      </c>
      <c r="S697" t="str">
        <v>1000007451 FLORES CARLOS FELIPE Y OTROS S H</v>
      </c>
    </row>
    <row r="698" spans="1:19" x14ac:dyDescent="0.3">
      <c r="A698" s="2" t="s">
        <v>15</v>
      </c>
      <c r="B698" s="3" t="s">
        <v>15</v>
      </c>
      <c r="C698" s="3" t="s">
        <v>921</v>
      </c>
      <c r="D698" s="3" t="s">
        <v>15</v>
      </c>
      <c r="E698" s="3" t="s">
        <v>149</v>
      </c>
      <c r="F698" s="4">
        <v>46304</v>
      </c>
      <c r="G698" s="3" t="s">
        <v>50</v>
      </c>
      <c r="H698" s="6">
        <v>-156358.28</v>
      </c>
      <c r="I698" s="3" t="s">
        <v>19</v>
      </c>
      <c r="J698" s="3" t="s">
        <v>15</v>
      </c>
      <c r="K698" s="3" t="s">
        <v>15</v>
      </c>
      <c r="L698" s="3" t="s">
        <v>73</v>
      </c>
      <c r="M698" s="4">
        <v>46304</v>
      </c>
      <c r="N698" s="3" t="s">
        <v>922</v>
      </c>
      <c r="O698" s="3" t="s">
        <v>126</v>
      </c>
      <c r="P698" t="str">
        <f t="shared" si="10"/>
        <v>4500140272230</v>
      </c>
      <c r="Q698" s="7" cm="1">
        <f t="array" ref="Q698:S698">VLOOKUP(P698,Hoja1!C:F,{2,3,4},FALSE)</f>
        <v>46315</v>
      </c>
      <c r="R698" t="str">
        <v>C27</v>
      </c>
      <c r="S698" t="str">
        <v>1000007451 FLORES CARLOS FELIPE Y OTROS S H</v>
      </c>
    </row>
    <row r="699" spans="1:19" x14ac:dyDescent="0.3">
      <c r="A699" s="2" t="s">
        <v>15</v>
      </c>
      <c r="B699" s="3" t="s">
        <v>15</v>
      </c>
      <c r="C699" s="3" t="s">
        <v>923</v>
      </c>
      <c r="D699" s="3" t="s">
        <v>15</v>
      </c>
      <c r="E699" s="3" t="s">
        <v>149</v>
      </c>
      <c r="F699" s="4">
        <v>46304</v>
      </c>
      <c r="G699" s="3" t="s">
        <v>50</v>
      </c>
      <c r="H699" s="6">
        <v>-2118678.87</v>
      </c>
      <c r="I699" s="3" t="s">
        <v>19</v>
      </c>
      <c r="J699" s="3" t="s">
        <v>15</v>
      </c>
      <c r="K699" s="3" t="s">
        <v>15</v>
      </c>
      <c r="L699" s="3" t="s">
        <v>73</v>
      </c>
      <c r="M699" s="4">
        <v>46304</v>
      </c>
      <c r="N699" s="3" t="s">
        <v>143</v>
      </c>
      <c r="O699" s="3" t="s">
        <v>32</v>
      </c>
      <c r="P699" t="str">
        <f t="shared" si="10"/>
        <v>450013962310</v>
      </c>
      <c r="Q699" s="7" cm="1">
        <f t="array" ref="Q699:S699">VLOOKUP(P699,Hoja1!C:F,{2,3,4},FALSE)</f>
        <v>46318</v>
      </c>
      <c r="R699" t="str">
        <v>C28</v>
      </c>
      <c r="S699" t="str">
        <v>1000007451 FLORES CARLOS FELIPE Y OTROS S H</v>
      </c>
    </row>
    <row r="700" spans="1:19" x14ac:dyDescent="0.3">
      <c r="A700" s="2" t="s">
        <v>15</v>
      </c>
      <c r="B700" s="3" t="s">
        <v>15</v>
      </c>
      <c r="C700" s="3" t="s">
        <v>923</v>
      </c>
      <c r="D700" s="3" t="s">
        <v>15</v>
      </c>
      <c r="E700" s="3" t="s">
        <v>149</v>
      </c>
      <c r="F700" s="4">
        <v>46304</v>
      </c>
      <c r="G700" s="3" t="s">
        <v>50</v>
      </c>
      <c r="H700" s="6">
        <v>-666804.30000000005</v>
      </c>
      <c r="I700" s="3" t="s">
        <v>19</v>
      </c>
      <c r="J700" s="3" t="s">
        <v>15</v>
      </c>
      <c r="K700" s="3" t="s">
        <v>15</v>
      </c>
      <c r="L700" s="3" t="s">
        <v>73</v>
      </c>
      <c r="M700" s="4">
        <v>46304</v>
      </c>
      <c r="N700" s="3" t="s">
        <v>143</v>
      </c>
      <c r="O700" s="3" t="s">
        <v>80</v>
      </c>
      <c r="P700" t="str">
        <f t="shared" si="10"/>
        <v>450013962360</v>
      </c>
      <c r="Q700" s="7" cm="1">
        <f t="array" ref="Q700:S700">VLOOKUP(P700,Hoja1!C:F,{2,3,4},FALSE)</f>
        <v>46318</v>
      </c>
      <c r="R700" t="str">
        <v>C28</v>
      </c>
      <c r="S700" t="str">
        <v>1000007451 FLORES CARLOS FELIPE Y OTROS S H</v>
      </c>
    </row>
    <row r="701" spans="1:19" x14ac:dyDescent="0.3">
      <c r="A701" s="2" t="s">
        <v>15</v>
      </c>
      <c r="B701" s="3" t="s">
        <v>15</v>
      </c>
      <c r="C701" s="3" t="s">
        <v>923</v>
      </c>
      <c r="D701" s="3" t="s">
        <v>15</v>
      </c>
      <c r="E701" s="3" t="s">
        <v>149</v>
      </c>
      <c r="F701" s="4">
        <v>46304</v>
      </c>
      <c r="G701" s="3" t="s">
        <v>50</v>
      </c>
      <c r="H701" s="6">
        <v>-866845.59</v>
      </c>
      <c r="I701" s="3" t="s">
        <v>19</v>
      </c>
      <c r="J701" s="3" t="s">
        <v>15</v>
      </c>
      <c r="K701" s="3" t="s">
        <v>15</v>
      </c>
      <c r="L701" s="3" t="s">
        <v>73</v>
      </c>
      <c r="M701" s="4">
        <v>46304</v>
      </c>
      <c r="N701" s="3" t="s">
        <v>143</v>
      </c>
      <c r="O701" s="3" t="s">
        <v>82</v>
      </c>
      <c r="P701" t="str">
        <f t="shared" si="10"/>
        <v>450013962380</v>
      </c>
      <c r="Q701" s="7" cm="1">
        <f t="array" ref="Q701:S701">VLOOKUP(P701,Hoja1!C:F,{2,3,4},FALSE)</f>
        <v>46318</v>
      </c>
      <c r="R701" t="str">
        <v>C28</v>
      </c>
      <c r="S701" t="str">
        <v>1000007451 FLORES CARLOS FELIPE Y OTROS S H</v>
      </c>
    </row>
    <row r="702" spans="1:19" x14ac:dyDescent="0.3">
      <c r="A702" s="2" t="s">
        <v>15</v>
      </c>
      <c r="B702" s="3" t="s">
        <v>15</v>
      </c>
      <c r="C702" s="3" t="s">
        <v>923</v>
      </c>
      <c r="D702" s="3" t="s">
        <v>15</v>
      </c>
      <c r="E702" s="3" t="s">
        <v>149</v>
      </c>
      <c r="F702" s="4">
        <v>46304</v>
      </c>
      <c r="G702" s="3" t="s">
        <v>50</v>
      </c>
      <c r="H702" s="6">
        <v>-773601.78</v>
      </c>
      <c r="I702" s="3" t="s">
        <v>19</v>
      </c>
      <c r="J702" s="3" t="s">
        <v>15</v>
      </c>
      <c r="K702" s="3" t="s">
        <v>15</v>
      </c>
      <c r="L702" s="3" t="s">
        <v>73</v>
      </c>
      <c r="M702" s="4">
        <v>46304</v>
      </c>
      <c r="N702" s="3" t="s">
        <v>143</v>
      </c>
      <c r="O702" s="3" t="s">
        <v>65</v>
      </c>
      <c r="P702" t="str">
        <f t="shared" si="10"/>
        <v>4500139623130</v>
      </c>
      <c r="Q702" s="7" cm="1">
        <f t="array" ref="Q702:S702">VLOOKUP(P702,Hoja1!C:F,{2,3,4},FALSE)</f>
        <v>46318</v>
      </c>
      <c r="R702" t="str">
        <v>C28</v>
      </c>
      <c r="S702" t="str">
        <v>1000007451 FLORES CARLOS FELIPE Y OTROS S H</v>
      </c>
    </row>
    <row r="703" spans="1:19" x14ac:dyDescent="0.3">
      <c r="A703" s="2" t="s">
        <v>15</v>
      </c>
      <c r="B703" s="3" t="s">
        <v>15</v>
      </c>
      <c r="C703" s="3" t="s">
        <v>923</v>
      </c>
      <c r="D703" s="3" t="s">
        <v>15</v>
      </c>
      <c r="E703" s="3" t="s">
        <v>149</v>
      </c>
      <c r="F703" s="4">
        <v>46304</v>
      </c>
      <c r="G703" s="3" t="s">
        <v>50</v>
      </c>
      <c r="H703" s="6">
        <v>-874506.36</v>
      </c>
      <c r="I703" s="3" t="s">
        <v>19</v>
      </c>
      <c r="J703" s="3" t="s">
        <v>15</v>
      </c>
      <c r="K703" s="3" t="s">
        <v>15</v>
      </c>
      <c r="L703" s="3" t="s">
        <v>73</v>
      </c>
      <c r="M703" s="4">
        <v>46304</v>
      </c>
      <c r="N703" s="3" t="s">
        <v>143</v>
      </c>
      <c r="O703" s="3" t="s">
        <v>66</v>
      </c>
      <c r="P703" t="str">
        <f t="shared" si="10"/>
        <v>4500139623140</v>
      </c>
      <c r="Q703" s="7" cm="1">
        <f t="array" ref="Q703:S703">VLOOKUP(P703,Hoja1!C:F,{2,3,4},FALSE)</f>
        <v>46318</v>
      </c>
      <c r="R703" t="str">
        <v>C28</v>
      </c>
      <c r="S703" t="str">
        <v>1000007451 FLORES CARLOS FELIPE Y OTROS S H</v>
      </c>
    </row>
    <row r="704" spans="1:19" x14ac:dyDescent="0.3">
      <c r="A704" s="2" t="s">
        <v>15</v>
      </c>
      <c r="B704" s="3" t="s">
        <v>15</v>
      </c>
      <c r="C704" s="3" t="s">
        <v>923</v>
      </c>
      <c r="D704" s="3" t="s">
        <v>15</v>
      </c>
      <c r="E704" s="3" t="s">
        <v>149</v>
      </c>
      <c r="F704" s="4">
        <v>46304</v>
      </c>
      <c r="G704" s="3" t="s">
        <v>50</v>
      </c>
      <c r="H704" s="6">
        <v>-504522.9</v>
      </c>
      <c r="I704" s="3" t="s">
        <v>19</v>
      </c>
      <c r="J704" s="3" t="s">
        <v>15</v>
      </c>
      <c r="K704" s="3" t="s">
        <v>15</v>
      </c>
      <c r="L704" s="3" t="s">
        <v>73</v>
      </c>
      <c r="M704" s="4">
        <v>46304</v>
      </c>
      <c r="N704" s="3" t="s">
        <v>143</v>
      </c>
      <c r="O704" s="3" t="s">
        <v>87</v>
      </c>
      <c r="P704" t="str">
        <f t="shared" si="10"/>
        <v>4500139623150</v>
      </c>
      <c r="Q704" s="7" cm="1">
        <f t="array" ref="Q704:S704">VLOOKUP(P704,Hoja1!C:F,{2,3,4},FALSE)</f>
        <v>46318</v>
      </c>
      <c r="R704" t="str">
        <v>C28</v>
      </c>
      <c r="S704" t="str">
        <v>1000007451 FLORES CARLOS FELIPE Y OTROS S H</v>
      </c>
    </row>
    <row r="705" spans="1:19" x14ac:dyDescent="0.3">
      <c r="A705" s="2" t="s">
        <v>15</v>
      </c>
      <c r="B705" s="3" t="s">
        <v>15</v>
      </c>
      <c r="C705" s="3" t="s">
        <v>924</v>
      </c>
      <c r="D705" s="3" t="s">
        <v>25</v>
      </c>
      <c r="E705" s="3" t="s">
        <v>149</v>
      </c>
      <c r="F705" s="4">
        <v>46304</v>
      </c>
      <c r="G705" s="3" t="s">
        <v>50</v>
      </c>
      <c r="H705" s="6">
        <v>-155160</v>
      </c>
      <c r="I705" s="3" t="s">
        <v>19</v>
      </c>
      <c r="J705" s="3" t="s">
        <v>15</v>
      </c>
      <c r="K705" s="3" t="s">
        <v>15</v>
      </c>
      <c r="L705" s="3" t="s">
        <v>73</v>
      </c>
      <c r="M705" s="4">
        <v>46304</v>
      </c>
      <c r="N705" s="3" t="s">
        <v>889</v>
      </c>
      <c r="O705" s="3" t="s">
        <v>32</v>
      </c>
      <c r="P705" t="str">
        <f t="shared" si="10"/>
        <v>450013697410</v>
      </c>
      <c r="Q705" s="7" cm="1">
        <f t="array" ref="Q705:S705">VLOOKUP(P705,Hoja1!C:F,{2,3,4},FALSE)</f>
        <v>46283</v>
      </c>
      <c r="R705" t="str">
        <v>C28</v>
      </c>
      <c r="S705" t="str">
        <v>1000007451 FLORES CARLOS FELIPE Y OTROS S H</v>
      </c>
    </row>
    <row r="706" spans="1:19" x14ac:dyDescent="0.3">
      <c r="A706" s="2" t="s">
        <v>15</v>
      </c>
      <c r="B706" s="3" t="s">
        <v>15</v>
      </c>
      <c r="C706" s="3" t="s">
        <v>924</v>
      </c>
      <c r="D706" s="3" t="s">
        <v>25</v>
      </c>
      <c r="E706" s="3" t="s">
        <v>149</v>
      </c>
      <c r="F706" s="4">
        <v>46304</v>
      </c>
      <c r="G706" s="3" t="s">
        <v>50</v>
      </c>
      <c r="H706" s="6">
        <v>-155160</v>
      </c>
      <c r="I706" s="3" t="s">
        <v>19</v>
      </c>
      <c r="J706" s="3" t="s">
        <v>15</v>
      </c>
      <c r="K706" s="3" t="s">
        <v>15</v>
      </c>
      <c r="L706" s="3" t="s">
        <v>73</v>
      </c>
      <c r="M706" s="4">
        <v>46304</v>
      </c>
      <c r="N706" s="3" t="s">
        <v>889</v>
      </c>
      <c r="O706" s="3" t="s">
        <v>28</v>
      </c>
      <c r="P706" t="str">
        <f t="shared" si="10"/>
        <v>450013697420</v>
      </c>
      <c r="Q706" s="7" cm="1">
        <f t="array" ref="Q706:S706">VLOOKUP(P706,Hoja1!C:F,{2,3,4},FALSE)</f>
        <v>46283</v>
      </c>
      <c r="R706" t="str">
        <v>C28</v>
      </c>
      <c r="S706" t="str">
        <v>1000007451 FLORES CARLOS FELIPE Y OTROS S H</v>
      </c>
    </row>
    <row r="707" spans="1:19" x14ac:dyDescent="0.3">
      <c r="A707" s="2" t="s">
        <v>15</v>
      </c>
      <c r="B707" s="3" t="s">
        <v>15</v>
      </c>
      <c r="C707" s="3" t="s">
        <v>924</v>
      </c>
      <c r="D707" s="3" t="s">
        <v>25</v>
      </c>
      <c r="E707" s="3" t="s">
        <v>149</v>
      </c>
      <c r="F707" s="4">
        <v>46304</v>
      </c>
      <c r="G707" s="3" t="s">
        <v>50</v>
      </c>
      <c r="H707" s="6">
        <v>-124128</v>
      </c>
      <c r="I707" s="3" t="s">
        <v>19</v>
      </c>
      <c r="J707" s="3" t="s">
        <v>15</v>
      </c>
      <c r="K707" s="3" t="s">
        <v>15</v>
      </c>
      <c r="L707" s="3" t="s">
        <v>73</v>
      </c>
      <c r="M707" s="4">
        <v>46304</v>
      </c>
      <c r="N707" s="3" t="s">
        <v>889</v>
      </c>
      <c r="O707" s="3" t="s">
        <v>54</v>
      </c>
      <c r="P707" t="str">
        <f t="shared" ref="P707:P745" si="11">_xlfn.CONCAT(N707:O707)</f>
        <v>450013697430</v>
      </c>
      <c r="Q707" s="7" cm="1">
        <f t="array" ref="Q707:S707">VLOOKUP(P707,Hoja1!C:F,{2,3,4},FALSE)</f>
        <v>46283</v>
      </c>
      <c r="R707" t="str">
        <v>C28</v>
      </c>
      <c r="S707" t="str">
        <v>1000007451 FLORES CARLOS FELIPE Y OTROS S H</v>
      </c>
    </row>
    <row r="708" spans="1:19" x14ac:dyDescent="0.3">
      <c r="A708" s="2" t="s">
        <v>15</v>
      </c>
      <c r="B708" s="3" t="s">
        <v>15</v>
      </c>
      <c r="C708" s="3" t="s">
        <v>925</v>
      </c>
      <c r="D708" s="3" t="s">
        <v>15</v>
      </c>
      <c r="E708" s="3" t="s">
        <v>149</v>
      </c>
      <c r="F708" s="4">
        <v>46304</v>
      </c>
      <c r="G708" s="3" t="s">
        <v>50</v>
      </c>
      <c r="H708" s="6">
        <v>-1074390</v>
      </c>
      <c r="I708" s="3" t="s">
        <v>19</v>
      </c>
      <c r="J708" s="3" t="s">
        <v>15</v>
      </c>
      <c r="K708" s="3" t="s">
        <v>15</v>
      </c>
      <c r="L708" s="3" t="s">
        <v>260</v>
      </c>
      <c r="M708" s="4">
        <v>46304</v>
      </c>
      <c r="N708" s="3" t="s">
        <v>926</v>
      </c>
      <c r="O708" s="3" t="s">
        <v>32</v>
      </c>
      <c r="P708" t="str">
        <f t="shared" si="11"/>
        <v>450013963510</v>
      </c>
      <c r="Q708" s="7" cm="1">
        <f t="array" ref="Q708:S708">VLOOKUP(P708,Hoja1!C:F,{2,3,4},FALSE)</f>
        <v>46312</v>
      </c>
      <c r="R708" t="str">
        <v>C03</v>
      </c>
      <c r="S708" t="str">
        <v>1000000940 MELQUI PABLO</v>
      </c>
    </row>
    <row r="709" spans="1:19" x14ac:dyDescent="0.3">
      <c r="A709" s="2" t="s">
        <v>15</v>
      </c>
      <c r="B709" s="3" t="s">
        <v>15</v>
      </c>
      <c r="C709" s="3" t="s">
        <v>927</v>
      </c>
      <c r="D709" s="3" t="s">
        <v>15</v>
      </c>
      <c r="E709" s="3" t="s">
        <v>149</v>
      </c>
      <c r="F709" s="4">
        <v>46297</v>
      </c>
      <c r="G709" s="3" t="s">
        <v>50</v>
      </c>
      <c r="H709" s="6">
        <v>-1261231.7</v>
      </c>
      <c r="I709" s="3" t="s">
        <v>19</v>
      </c>
      <c r="J709" s="3" t="s">
        <v>15</v>
      </c>
      <c r="K709" s="3" t="s">
        <v>15</v>
      </c>
      <c r="L709" s="3" t="s">
        <v>928</v>
      </c>
      <c r="M709" s="4">
        <v>46304</v>
      </c>
      <c r="N709" s="3" t="s">
        <v>929</v>
      </c>
      <c r="O709" s="3" t="s">
        <v>32</v>
      </c>
      <c r="P709" t="str">
        <f t="shared" si="11"/>
        <v>450013971210</v>
      </c>
      <c r="Q709" s="7" cm="1">
        <f t="array" ref="Q709:S709">VLOOKUP(P709,Hoja1!C:F,{2,3,4},FALSE)</f>
        <v>46323</v>
      </c>
      <c r="R709" t="str">
        <v>C29</v>
      </c>
      <c r="S709" t="str">
        <v>1000002607 DIESEL LANGE S.R.L</v>
      </c>
    </row>
    <row r="710" spans="1:19" x14ac:dyDescent="0.3">
      <c r="A710" s="2" t="s">
        <v>15</v>
      </c>
      <c r="B710" s="3" t="s">
        <v>15</v>
      </c>
      <c r="C710" s="3" t="s">
        <v>930</v>
      </c>
      <c r="D710" s="3" t="s">
        <v>15</v>
      </c>
      <c r="E710" s="3" t="s">
        <v>149</v>
      </c>
      <c r="F710" s="4">
        <v>46304</v>
      </c>
      <c r="G710" s="3" t="s">
        <v>50</v>
      </c>
      <c r="H710" s="6">
        <v>-318869.24</v>
      </c>
      <c r="I710" s="3" t="s">
        <v>19</v>
      </c>
      <c r="J710" s="3" t="s">
        <v>15</v>
      </c>
      <c r="K710" s="3" t="s">
        <v>15</v>
      </c>
      <c r="L710" s="3" t="s">
        <v>380</v>
      </c>
      <c r="M710" s="4">
        <v>46304</v>
      </c>
      <c r="N710" s="3" t="s">
        <v>931</v>
      </c>
      <c r="O710" s="3" t="s">
        <v>32</v>
      </c>
      <c r="P710" t="str">
        <f t="shared" si="11"/>
        <v>450014041510</v>
      </c>
      <c r="Q710" s="7" cm="1">
        <f t="array" ref="Q710:S710">VLOOKUP(P710,Hoja1!C:F,{2,3,4},FALSE)</f>
        <v>46307</v>
      </c>
      <c r="R710" t="str">
        <v>C35</v>
      </c>
      <c r="S710" t="str">
        <v>1000000189 POBERAJ S.A.</v>
      </c>
    </row>
    <row r="711" spans="1:19" x14ac:dyDescent="0.3">
      <c r="A711" s="2" t="s">
        <v>15</v>
      </c>
      <c r="B711" s="3" t="s">
        <v>15</v>
      </c>
      <c r="C711" s="3" t="s">
        <v>932</v>
      </c>
      <c r="D711" s="3" t="s">
        <v>25</v>
      </c>
      <c r="E711" s="3" t="s">
        <v>149</v>
      </c>
      <c r="F711" s="4">
        <v>46304</v>
      </c>
      <c r="G711" s="3" t="s">
        <v>50</v>
      </c>
      <c r="H711" s="6">
        <v>-4344125</v>
      </c>
      <c r="I711" s="3" t="s">
        <v>19</v>
      </c>
      <c r="J711" s="3" t="s">
        <v>15</v>
      </c>
      <c r="K711" s="3" t="s">
        <v>15</v>
      </c>
      <c r="L711" s="3" t="s">
        <v>933</v>
      </c>
      <c r="M711" s="4">
        <v>46304</v>
      </c>
      <c r="N711" s="3" t="s">
        <v>934</v>
      </c>
      <c r="O711" s="3" t="s">
        <v>32</v>
      </c>
      <c r="P711" t="str">
        <f t="shared" si="11"/>
        <v>450014030710</v>
      </c>
      <c r="Q711" s="7" cm="1">
        <f t="array" ref="Q711:S711">VLOOKUP(P711,Hoja1!C:F,{2,3,4},FALSE)</f>
        <v>46314</v>
      </c>
      <c r="R711" t="str">
        <v>C26</v>
      </c>
      <c r="S711" t="str">
        <v>1000013477 DABER SERVICIOS INDUSTRIALES SRL</v>
      </c>
    </row>
    <row r="712" spans="1:19" x14ac:dyDescent="0.3">
      <c r="A712" s="2" t="s">
        <v>15</v>
      </c>
      <c r="B712" s="3" t="s">
        <v>15</v>
      </c>
      <c r="C712" s="3" t="s">
        <v>935</v>
      </c>
      <c r="D712" s="3" t="s">
        <v>25</v>
      </c>
      <c r="E712" s="3" t="s">
        <v>149</v>
      </c>
      <c r="F712" s="4">
        <v>46305</v>
      </c>
      <c r="G712" s="3" t="s">
        <v>50</v>
      </c>
      <c r="H712" s="6">
        <v>-4537500</v>
      </c>
      <c r="I712" s="3" t="s">
        <v>19</v>
      </c>
      <c r="J712" s="3" t="s">
        <v>15</v>
      </c>
      <c r="K712" s="3" t="s">
        <v>15</v>
      </c>
      <c r="L712" s="3" t="s">
        <v>936</v>
      </c>
      <c r="M712" s="4">
        <v>46305</v>
      </c>
      <c r="N712" s="3" t="s">
        <v>937</v>
      </c>
      <c r="O712" s="3" t="s">
        <v>32</v>
      </c>
      <c r="P712" t="str">
        <f t="shared" si="11"/>
        <v>450013454510</v>
      </c>
      <c r="Q712" s="7" cm="1">
        <f t="array" ref="Q712:S712">VLOOKUP(P712,Hoja1!C:F,{2,3,4},FALSE)</f>
        <v>46299</v>
      </c>
      <c r="R712" t="str">
        <v>C35</v>
      </c>
      <c r="S712" t="str">
        <v>1000007814 AGV MAQUINAS S.R.L.</v>
      </c>
    </row>
    <row r="713" spans="1:19" x14ac:dyDescent="0.3">
      <c r="A713" s="2" t="s">
        <v>15</v>
      </c>
      <c r="B713" s="3" t="s">
        <v>15</v>
      </c>
      <c r="C713" s="3" t="s">
        <v>935</v>
      </c>
      <c r="D713" s="3" t="s">
        <v>25</v>
      </c>
      <c r="E713" s="3" t="s">
        <v>149</v>
      </c>
      <c r="F713" s="4">
        <v>46305</v>
      </c>
      <c r="G713" s="3" t="s">
        <v>50</v>
      </c>
      <c r="H713" s="6">
        <v>-756250</v>
      </c>
      <c r="I713" s="3" t="s">
        <v>19</v>
      </c>
      <c r="J713" s="3" t="s">
        <v>15</v>
      </c>
      <c r="K713" s="3" t="s">
        <v>15</v>
      </c>
      <c r="L713" s="3" t="s">
        <v>936</v>
      </c>
      <c r="M713" s="4">
        <v>46305</v>
      </c>
      <c r="N713" s="3" t="s">
        <v>937</v>
      </c>
      <c r="O713" s="3" t="s">
        <v>28</v>
      </c>
      <c r="P713" t="str">
        <f t="shared" si="11"/>
        <v>450013454520</v>
      </c>
      <c r="Q713" s="7" cm="1">
        <f t="array" ref="Q713:S713">VLOOKUP(P713,Hoja1!C:F,{2,3,4},FALSE)</f>
        <v>46299</v>
      </c>
      <c r="R713" t="str">
        <v>C35</v>
      </c>
      <c r="S713" t="str">
        <v>1000007814 AGV MAQUINAS S.R.L.</v>
      </c>
    </row>
    <row r="714" spans="1:19" x14ac:dyDescent="0.3">
      <c r="A714" s="2" t="s">
        <v>15</v>
      </c>
      <c r="B714" s="3" t="s">
        <v>15</v>
      </c>
      <c r="C714" s="3" t="s">
        <v>938</v>
      </c>
      <c r="D714" s="3" t="s">
        <v>25</v>
      </c>
      <c r="E714" s="3" t="s">
        <v>149</v>
      </c>
      <c r="F714" s="4">
        <v>46305</v>
      </c>
      <c r="G714" s="3" t="s">
        <v>50</v>
      </c>
      <c r="H714" s="6">
        <v>-2120000</v>
      </c>
      <c r="I714" s="3" t="s">
        <v>19</v>
      </c>
      <c r="J714" s="3" t="s">
        <v>15</v>
      </c>
      <c r="K714" s="3" t="s">
        <v>15</v>
      </c>
      <c r="L714" s="3" t="s">
        <v>57</v>
      </c>
      <c r="M714" s="4">
        <v>46305</v>
      </c>
      <c r="N714" s="3" t="s">
        <v>58</v>
      </c>
      <c r="O714" s="3" t="s">
        <v>32</v>
      </c>
      <c r="P714" t="str">
        <f t="shared" si="11"/>
        <v>450012757310</v>
      </c>
      <c r="Q714" s="7" cm="1">
        <f t="array" ref="Q714:S714">VLOOKUP(P714,Hoja1!C:F,{2,3,4},FALSE)</f>
        <v>46537</v>
      </c>
      <c r="R714" t="str">
        <v>C25</v>
      </c>
      <c r="S714" t="str">
        <v>1000002283 TECNICA Y SISTEMAS SRL</v>
      </c>
    </row>
    <row r="715" spans="1:19" x14ac:dyDescent="0.3">
      <c r="A715" s="2" t="s">
        <v>15</v>
      </c>
      <c r="B715" s="3" t="s">
        <v>15</v>
      </c>
      <c r="C715" s="3" t="s">
        <v>938</v>
      </c>
      <c r="D715" s="3" t="s">
        <v>25</v>
      </c>
      <c r="E715" s="3" t="s">
        <v>149</v>
      </c>
      <c r="F715" s="4">
        <v>46305</v>
      </c>
      <c r="G715" s="3" t="s">
        <v>50</v>
      </c>
      <c r="H715" s="6">
        <v>-4800000</v>
      </c>
      <c r="I715" s="3" t="s">
        <v>19</v>
      </c>
      <c r="J715" s="3" t="s">
        <v>15</v>
      </c>
      <c r="K715" s="3" t="s">
        <v>15</v>
      </c>
      <c r="L715" s="3" t="s">
        <v>57</v>
      </c>
      <c r="M715" s="4">
        <v>46305</v>
      </c>
      <c r="N715" s="3" t="s">
        <v>58</v>
      </c>
      <c r="O715" s="3" t="s">
        <v>28</v>
      </c>
      <c r="P715" t="str">
        <f t="shared" si="11"/>
        <v>450012757320</v>
      </c>
      <c r="Q715" s="7" cm="1">
        <f t="array" ref="Q715:S715">VLOOKUP(P715,Hoja1!C:F,{2,3,4},FALSE)</f>
        <v>46537</v>
      </c>
      <c r="R715" t="str">
        <v>C25</v>
      </c>
      <c r="S715" t="str">
        <v>1000002283 TECNICA Y SISTEMAS SRL</v>
      </c>
    </row>
    <row r="716" spans="1:19" x14ac:dyDescent="0.3">
      <c r="A716" s="2" t="s">
        <v>15</v>
      </c>
      <c r="B716" s="3" t="s">
        <v>15</v>
      </c>
      <c r="C716" s="3" t="s">
        <v>938</v>
      </c>
      <c r="D716" s="3" t="s">
        <v>25</v>
      </c>
      <c r="E716" s="3" t="s">
        <v>149</v>
      </c>
      <c r="F716" s="4">
        <v>46305</v>
      </c>
      <c r="G716" s="3" t="s">
        <v>50</v>
      </c>
      <c r="H716" s="6">
        <v>-4800000</v>
      </c>
      <c r="I716" s="3" t="s">
        <v>19</v>
      </c>
      <c r="J716" s="3" t="s">
        <v>15</v>
      </c>
      <c r="K716" s="3" t="s">
        <v>15</v>
      </c>
      <c r="L716" s="3" t="s">
        <v>57</v>
      </c>
      <c r="M716" s="4">
        <v>46305</v>
      </c>
      <c r="N716" s="3" t="s">
        <v>58</v>
      </c>
      <c r="O716" s="3" t="s">
        <v>54</v>
      </c>
      <c r="P716" t="str">
        <f t="shared" si="11"/>
        <v>450012757330</v>
      </c>
      <c r="Q716" s="7" cm="1">
        <f t="array" ref="Q716:S716">VLOOKUP(P716,Hoja1!C:F,{2,3,4},FALSE)</f>
        <v>46537</v>
      </c>
      <c r="R716" t="str">
        <v>C25</v>
      </c>
      <c r="S716" t="str">
        <v>1000002283 TECNICA Y SISTEMAS SRL</v>
      </c>
    </row>
    <row r="717" spans="1:19" x14ac:dyDescent="0.3">
      <c r="A717" s="2" t="s">
        <v>15</v>
      </c>
      <c r="B717" s="3" t="s">
        <v>15</v>
      </c>
      <c r="C717" s="3" t="s">
        <v>938</v>
      </c>
      <c r="D717" s="3" t="s">
        <v>25</v>
      </c>
      <c r="E717" s="3" t="s">
        <v>149</v>
      </c>
      <c r="F717" s="4">
        <v>46305</v>
      </c>
      <c r="G717" s="3" t="s">
        <v>50</v>
      </c>
      <c r="H717" s="6">
        <v>-350500</v>
      </c>
      <c r="I717" s="3" t="s">
        <v>19</v>
      </c>
      <c r="J717" s="3" t="s">
        <v>15</v>
      </c>
      <c r="K717" s="3" t="s">
        <v>15</v>
      </c>
      <c r="L717" s="3" t="s">
        <v>57</v>
      </c>
      <c r="M717" s="4">
        <v>46305</v>
      </c>
      <c r="N717" s="3" t="s">
        <v>58</v>
      </c>
      <c r="O717" s="3" t="s">
        <v>23</v>
      </c>
      <c r="P717" t="str">
        <f t="shared" si="11"/>
        <v>450012757340</v>
      </c>
      <c r="Q717" s="7" cm="1">
        <f t="array" ref="Q717:S717">VLOOKUP(P717,Hoja1!C:F,{2,3,4},FALSE)</f>
        <v>46537</v>
      </c>
      <c r="R717" t="str">
        <v>C25</v>
      </c>
      <c r="S717" t="str">
        <v>1000002283 TECNICA Y SISTEMAS SRL</v>
      </c>
    </row>
    <row r="718" spans="1:19" x14ac:dyDescent="0.3">
      <c r="A718" s="2" t="s">
        <v>15</v>
      </c>
      <c r="B718" s="3" t="s">
        <v>15</v>
      </c>
      <c r="C718" s="3" t="s">
        <v>939</v>
      </c>
      <c r="D718" s="3" t="s">
        <v>25</v>
      </c>
      <c r="E718" s="3" t="s">
        <v>149</v>
      </c>
      <c r="F718" s="4">
        <v>46305</v>
      </c>
      <c r="G718" s="3" t="s">
        <v>50</v>
      </c>
      <c r="H718" s="6">
        <v>-19800</v>
      </c>
      <c r="I718" s="3" t="s">
        <v>19</v>
      </c>
      <c r="J718" s="3" t="s">
        <v>15</v>
      </c>
      <c r="K718" s="3" t="s">
        <v>15</v>
      </c>
      <c r="L718" s="3" t="s">
        <v>68</v>
      </c>
      <c r="M718" s="4">
        <v>46305</v>
      </c>
      <c r="N718" s="3" t="s">
        <v>940</v>
      </c>
      <c r="O718" s="3" t="s">
        <v>28</v>
      </c>
      <c r="P718" t="str">
        <f t="shared" si="11"/>
        <v>450013733520</v>
      </c>
      <c r="Q718" s="7" cm="1">
        <f t="array" ref="Q718:S718">VLOOKUP(P718,Hoja1!C:F,{2,3,4},FALSE)</f>
        <v>46311</v>
      </c>
      <c r="R718" t="str">
        <v>C28</v>
      </c>
      <c r="S718" t="str">
        <v>1000007611 ANTONIO B ATENOR E HIJOS S R L</v>
      </c>
    </row>
    <row r="719" spans="1:19" x14ac:dyDescent="0.3">
      <c r="A719" s="2" t="s">
        <v>15</v>
      </c>
      <c r="B719" s="3" t="s">
        <v>15</v>
      </c>
      <c r="C719" s="3" t="s">
        <v>941</v>
      </c>
      <c r="D719" s="3" t="s">
        <v>15</v>
      </c>
      <c r="E719" s="3" t="s">
        <v>149</v>
      </c>
      <c r="F719" s="4">
        <v>46305</v>
      </c>
      <c r="G719" s="3" t="s">
        <v>50</v>
      </c>
      <c r="H719" s="6">
        <v>-100000</v>
      </c>
      <c r="I719" s="3" t="s">
        <v>19</v>
      </c>
      <c r="J719" s="3" t="s">
        <v>15</v>
      </c>
      <c r="K719" s="3" t="s">
        <v>15</v>
      </c>
      <c r="L719" s="3" t="s">
        <v>139</v>
      </c>
      <c r="M719" s="4">
        <v>46305</v>
      </c>
      <c r="N719" s="3" t="s">
        <v>942</v>
      </c>
      <c r="O719" s="3" t="s">
        <v>32</v>
      </c>
      <c r="P719" t="str">
        <f t="shared" si="11"/>
        <v>450014024310</v>
      </c>
      <c r="Q719" s="7" cm="1">
        <f t="array" ref="Q719:S719">VLOOKUP(P719,Hoja1!C:F,{2,3,4},FALSE)</f>
        <v>46322</v>
      </c>
      <c r="R719" t="str">
        <v>C27</v>
      </c>
      <c r="S719" t="str">
        <v>1000000086 SUMIAGRO SANTA FE S.A.</v>
      </c>
    </row>
    <row r="720" spans="1:19" x14ac:dyDescent="0.3">
      <c r="A720" s="2" t="s">
        <v>15</v>
      </c>
      <c r="B720" s="3" t="s">
        <v>15</v>
      </c>
      <c r="C720" s="3" t="s">
        <v>943</v>
      </c>
      <c r="D720" s="3" t="s">
        <v>15</v>
      </c>
      <c r="E720" s="3" t="s">
        <v>149</v>
      </c>
      <c r="F720" s="4">
        <v>46305</v>
      </c>
      <c r="G720" s="3" t="s">
        <v>50</v>
      </c>
      <c r="H720" s="6">
        <v>-91687.75</v>
      </c>
      <c r="I720" s="3" t="s">
        <v>19</v>
      </c>
      <c r="J720" s="3" t="s">
        <v>15</v>
      </c>
      <c r="K720" s="3" t="s">
        <v>15</v>
      </c>
      <c r="L720" s="3" t="s">
        <v>217</v>
      </c>
      <c r="M720" s="4">
        <v>46305</v>
      </c>
      <c r="N720" s="3" t="s">
        <v>944</v>
      </c>
      <c r="O720" s="3" t="s">
        <v>32</v>
      </c>
      <c r="P720" t="str">
        <f t="shared" si="11"/>
        <v>450013955710</v>
      </c>
      <c r="Q720" s="7" cm="1">
        <f t="array" ref="Q720:S720">VLOOKUP(P720,Hoja1!C:F,{2,3,4},FALSE)</f>
        <v>46302</v>
      </c>
      <c r="R720" t="str">
        <v>AGV</v>
      </c>
      <c r="S720" t="str">
        <v>1000000012 IGARRETA MAQUINAS S.A.</v>
      </c>
    </row>
    <row r="721" spans="1:19" x14ac:dyDescent="0.3">
      <c r="A721" s="2" t="s">
        <v>15</v>
      </c>
      <c r="B721" s="3" t="s">
        <v>15</v>
      </c>
      <c r="C721" s="3" t="s">
        <v>943</v>
      </c>
      <c r="D721" s="3" t="s">
        <v>15</v>
      </c>
      <c r="E721" s="3" t="s">
        <v>149</v>
      </c>
      <c r="F721" s="4">
        <v>46305</v>
      </c>
      <c r="G721" s="3" t="s">
        <v>50</v>
      </c>
      <c r="H721" s="6">
        <v>-137531.63</v>
      </c>
      <c r="I721" s="3" t="s">
        <v>19</v>
      </c>
      <c r="J721" s="3" t="s">
        <v>15</v>
      </c>
      <c r="K721" s="3" t="s">
        <v>15</v>
      </c>
      <c r="L721" s="3" t="s">
        <v>217</v>
      </c>
      <c r="M721" s="4">
        <v>46305</v>
      </c>
      <c r="N721" s="3" t="s">
        <v>944</v>
      </c>
      <c r="O721" s="3" t="s">
        <v>28</v>
      </c>
      <c r="P721" t="str">
        <f t="shared" si="11"/>
        <v>450013955720</v>
      </c>
      <c r="Q721" s="7" cm="1">
        <f t="array" ref="Q721:S721">VLOOKUP(P721,Hoja1!C:F,{2,3,4},FALSE)</f>
        <v>46302</v>
      </c>
      <c r="R721" t="str">
        <v>AGV</v>
      </c>
      <c r="S721" t="str">
        <v>1000000012 IGARRETA MAQUINAS S.A.</v>
      </c>
    </row>
    <row r="722" spans="1:19" x14ac:dyDescent="0.3">
      <c r="A722" s="2" t="s">
        <v>15</v>
      </c>
      <c r="B722" s="3" t="s">
        <v>15</v>
      </c>
      <c r="C722" s="3" t="s">
        <v>943</v>
      </c>
      <c r="D722" s="3" t="s">
        <v>15</v>
      </c>
      <c r="E722" s="3" t="s">
        <v>149</v>
      </c>
      <c r="F722" s="4">
        <v>46305</v>
      </c>
      <c r="G722" s="3" t="s">
        <v>50</v>
      </c>
      <c r="H722" s="6">
        <v>-91687.75</v>
      </c>
      <c r="I722" s="3" t="s">
        <v>19</v>
      </c>
      <c r="J722" s="3" t="s">
        <v>15</v>
      </c>
      <c r="K722" s="3" t="s">
        <v>15</v>
      </c>
      <c r="L722" s="3" t="s">
        <v>217</v>
      </c>
      <c r="M722" s="4">
        <v>46305</v>
      </c>
      <c r="N722" s="3" t="s">
        <v>944</v>
      </c>
      <c r="O722" s="3" t="s">
        <v>54</v>
      </c>
      <c r="P722" t="str">
        <f t="shared" si="11"/>
        <v>450013955730</v>
      </c>
      <c r="Q722" s="7" cm="1">
        <f t="array" ref="Q722:S722">VLOOKUP(P722,Hoja1!C:F,{2,3,4},FALSE)</f>
        <v>46302</v>
      </c>
      <c r="R722" t="str">
        <v>AGV</v>
      </c>
      <c r="S722" t="str">
        <v>1000000012 IGARRETA MAQUINAS S.A.</v>
      </c>
    </row>
    <row r="723" spans="1:19" x14ac:dyDescent="0.3">
      <c r="A723" s="2" t="s">
        <v>15</v>
      </c>
      <c r="B723" s="3" t="s">
        <v>15</v>
      </c>
      <c r="C723" s="3" t="s">
        <v>943</v>
      </c>
      <c r="D723" s="3" t="s">
        <v>15</v>
      </c>
      <c r="E723" s="3" t="s">
        <v>149</v>
      </c>
      <c r="F723" s="4">
        <v>46305</v>
      </c>
      <c r="G723" s="3" t="s">
        <v>50</v>
      </c>
      <c r="H723" s="6">
        <v>-743061</v>
      </c>
      <c r="I723" s="3" t="s">
        <v>19</v>
      </c>
      <c r="J723" s="3" t="s">
        <v>15</v>
      </c>
      <c r="K723" s="3" t="s">
        <v>15</v>
      </c>
      <c r="L723" s="3" t="s">
        <v>217</v>
      </c>
      <c r="M723" s="4">
        <v>46305</v>
      </c>
      <c r="N723" s="3" t="s">
        <v>944</v>
      </c>
      <c r="O723" s="3" t="s">
        <v>23</v>
      </c>
      <c r="P723" t="str">
        <f t="shared" si="11"/>
        <v>450013955740</v>
      </c>
      <c r="Q723" s="7" cm="1">
        <f t="array" ref="Q723:S723">VLOOKUP(P723,Hoja1!C:F,{2,3,4},FALSE)</f>
        <v>46302</v>
      </c>
      <c r="R723" t="str">
        <v>AGV</v>
      </c>
      <c r="S723" t="str">
        <v>1000000012 IGARRETA MAQUINAS S.A.</v>
      </c>
    </row>
    <row r="724" spans="1:19" x14ac:dyDescent="0.3">
      <c r="A724" s="2" t="s">
        <v>15</v>
      </c>
      <c r="B724" s="3" t="s">
        <v>15</v>
      </c>
      <c r="C724" s="3" t="s">
        <v>943</v>
      </c>
      <c r="D724" s="3" t="s">
        <v>15</v>
      </c>
      <c r="E724" s="3" t="s">
        <v>149</v>
      </c>
      <c r="F724" s="4">
        <v>46305</v>
      </c>
      <c r="G724" s="3" t="s">
        <v>50</v>
      </c>
      <c r="H724" s="6">
        <v>-45254</v>
      </c>
      <c r="I724" s="3" t="s">
        <v>19</v>
      </c>
      <c r="J724" s="3" t="s">
        <v>15</v>
      </c>
      <c r="K724" s="3" t="s">
        <v>15</v>
      </c>
      <c r="L724" s="3" t="s">
        <v>217</v>
      </c>
      <c r="M724" s="4">
        <v>46305</v>
      </c>
      <c r="N724" s="3" t="s">
        <v>944</v>
      </c>
      <c r="O724" s="3" t="s">
        <v>55</v>
      </c>
      <c r="P724" t="str">
        <f t="shared" si="11"/>
        <v>450013955750</v>
      </c>
      <c r="Q724" s="7" cm="1">
        <f t="array" ref="Q724:S724">VLOOKUP(P724,Hoja1!C:F,{2,3,4},FALSE)</f>
        <v>46316</v>
      </c>
      <c r="R724" t="str">
        <v>AGV</v>
      </c>
      <c r="S724" t="str">
        <v>1000000012 IGARRETA MAQUINAS S.A.</v>
      </c>
    </row>
    <row r="725" spans="1:19" x14ac:dyDescent="0.3">
      <c r="A725" s="2" t="s">
        <v>15</v>
      </c>
      <c r="B725" s="3" t="s">
        <v>15</v>
      </c>
      <c r="C725" s="3" t="s">
        <v>945</v>
      </c>
      <c r="D725" s="3" t="s">
        <v>25</v>
      </c>
      <c r="E725" s="3" t="s">
        <v>149</v>
      </c>
      <c r="F725" s="4">
        <v>46305</v>
      </c>
      <c r="G725" s="3" t="s">
        <v>50</v>
      </c>
      <c r="H725" s="6">
        <v>-130680</v>
      </c>
      <c r="I725" s="3" t="s">
        <v>19</v>
      </c>
      <c r="J725" s="3" t="s">
        <v>15</v>
      </c>
      <c r="K725" s="3" t="s">
        <v>15</v>
      </c>
      <c r="L725" s="3" t="s">
        <v>244</v>
      </c>
      <c r="M725" s="4">
        <v>46305</v>
      </c>
      <c r="N725" s="3" t="s">
        <v>946</v>
      </c>
      <c r="O725" s="3" t="s">
        <v>55</v>
      </c>
      <c r="P725" t="str">
        <f t="shared" si="11"/>
        <v>450014049150</v>
      </c>
      <c r="Q725" s="7" cm="1">
        <f t="array" ref="Q725:S725">VLOOKUP(P725,Hoja1!C:F,{2,3,4},FALSE)</f>
        <v>46307</v>
      </c>
      <c r="R725" t="str">
        <v>C35</v>
      </c>
      <c r="S725" t="str">
        <v>1000003040 LOPEZ DIESEL S.A.</v>
      </c>
    </row>
    <row r="726" spans="1:19" x14ac:dyDescent="0.3">
      <c r="A726" s="2" t="s">
        <v>15</v>
      </c>
      <c r="B726" s="3" t="s">
        <v>15</v>
      </c>
      <c r="C726" s="3" t="s">
        <v>947</v>
      </c>
      <c r="D726" s="3" t="s">
        <v>15</v>
      </c>
      <c r="E726" s="3" t="s">
        <v>149</v>
      </c>
      <c r="F726" s="4">
        <v>46306</v>
      </c>
      <c r="G726" s="3" t="s">
        <v>50</v>
      </c>
      <c r="H726" s="6">
        <v>-735468.19</v>
      </c>
      <c r="I726" s="3" t="s">
        <v>19</v>
      </c>
      <c r="J726" s="3" t="s">
        <v>15</v>
      </c>
      <c r="K726" s="3" t="s">
        <v>15</v>
      </c>
      <c r="L726" s="3" t="s">
        <v>158</v>
      </c>
      <c r="M726" s="4">
        <v>46306</v>
      </c>
      <c r="N726" s="3" t="s">
        <v>948</v>
      </c>
      <c r="O726" s="3" t="s">
        <v>32</v>
      </c>
      <c r="P726" t="str">
        <f t="shared" si="11"/>
        <v>450014034210</v>
      </c>
      <c r="Q726" s="7" cm="1">
        <f t="array" ref="Q726:S726">VLOOKUP(P726,Hoja1!C:F,{2,3,4},FALSE)</f>
        <v>46303</v>
      </c>
      <c r="R726" t="str">
        <v>C35</v>
      </c>
      <c r="S726" t="str">
        <v>1000008375 PUSSETTO SALTA S A</v>
      </c>
    </row>
    <row r="727" spans="1:19" x14ac:dyDescent="0.3">
      <c r="A727" s="2" t="s">
        <v>15</v>
      </c>
      <c r="B727" s="3" t="s">
        <v>15</v>
      </c>
      <c r="C727" s="3" t="s">
        <v>949</v>
      </c>
      <c r="D727" s="3" t="s">
        <v>25</v>
      </c>
      <c r="E727" s="3" t="s">
        <v>149</v>
      </c>
      <c r="F727" s="4">
        <v>46307</v>
      </c>
      <c r="G727" s="3" t="s">
        <v>50</v>
      </c>
      <c r="H727" s="6">
        <v>-766057.6</v>
      </c>
      <c r="I727" s="3" t="s">
        <v>19</v>
      </c>
      <c r="J727" s="3" t="s">
        <v>15</v>
      </c>
      <c r="K727" s="3" t="s">
        <v>15</v>
      </c>
      <c r="L727" s="3" t="s">
        <v>501</v>
      </c>
      <c r="M727" s="4">
        <v>46307</v>
      </c>
      <c r="N727" s="3" t="s">
        <v>950</v>
      </c>
      <c r="O727" s="3" t="s">
        <v>32</v>
      </c>
      <c r="P727" t="str">
        <f t="shared" si="11"/>
        <v>450014064910</v>
      </c>
      <c r="Q727" s="7" cm="1">
        <f t="array" ref="Q727:S727">VLOOKUP(P727,Hoja1!C:F,{2,3,4},FALSE)</f>
        <v>46308</v>
      </c>
      <c r="R727" t="str">
        <v>C35</v>
      </c>
      <c r="S727" t="str">
        <v>1000008137 ROVI S.R.L.</v>
      </c>
    </row>
    <row r="728" spans="1:19" x14ac:dyDescent="0.3">
      <c r="A728" s="2" t="s">
        <v>15</v>
      </c>
      <c r="B728" s="3" t="s">
        <v>15</v>
      </c>
      <c r="C728" s="3" t="s">
        <v>949</v>
      </c>
      <c r="D728" s="3" t="s">
        <v>25</v>
      </c>
      <c r="E728" s="3" t="s">
        <v>149</v>
      </c>
      <c r="F728" s="4">
        <v>46307</v>
      </c>
      <c r="G728" s="3" t="s">
        <v>50</v>
      </c>
      <c r="H728" s="6">
        <v>-1006420.8</v>
      </c>
      <c r="I728" s="3" t="s">
        <v>19</v>
      </c>
      <c r="J728" s="3" t="s">
        <v>15</v>
      </c>
      <c r="K728" s="3" t="s">
        <v>15</v>
      </c>
      <c r="L728" s="3" t="s">
        <v>501</v>
      </c>
      <c r="M728" s="4">
        <v>46307</v>
      </c>
      <c r="N728" s="3" t="s">
        <v>950</v>
      </c>
      <c r="O728" s="3" t="s">
        <v>28</v>
      </c>
      <c r="P728" t="str">
        <f t="shared" si="11"/>
        <v>450014064920</v>
      </c>
      <c r="Q728" s="7" cm="1">
        <f t="array" ref="Q728:S728">VLOOKUP(P728,Hoja1!C:F,{2,3,4},FALSE)</f>
        <v>46308</v>
      </c>
      <c r="R728" t="str">
        <v>C35</v>
      </c>
      <c r="S728" t="str">
        <v>1000008137 ROVI S.R.L.</v>
      </c>
    </row>
    <row r="729" spans="1:19" x14ac:dyDescent="0.3">
      <c r="A729" s="2" t="s">
        <v>15</v>
      </c>
      <c r="B729" s="3" t="s">
        <v>15</v>
      </c>
      <c r="C729" s="3" t="s">
        <v>951</v>
      </c>
      <c r="D729" s="3" t="s">
        <v>25</v>
      </c>
      <c r="E729" s="3" t="s">
        <v>149</v>
      </c>
      <c r="F729" s="4">
        <v>46308</v>
      </c>
      <c r="G729" s="3" t="s">
        <v>50</v>
      </c>
      <c r="H729" s="6">
        <v>-2447341.1800000002</v>
      </c>
      <c r="I729" s="3" t="s">
        <v>19</v>
      </c>
      <c r="J729" s="3" t="s">
        <v>15</v>
      </c>
      <c r="K729" s="3" t="s">
        <v>15</v>
      </c>
      <c r="L729" s="3" t="s">
        <v>952</v>
      </c>
      <c r="M729" s="4">
        <v>46308</v>
      </c>
      <c r="N729" s="3" t="s">
        <v>953</v>
      </c>
      <c r="O729" s="3" t="s">
        <v>32</v>
      </c>
      <c r="P729" t="str">
        <f t="shared" si="11"/>
        <v>450014065110</v>
      </c>
      <c r="Q729" s="7" cm="1">
        <f t="array" ref="Q729:S729">VLOOKUP(P729,Hoja1!C:F,{2,3,4},FALSE)</f>
        <v>46319</v>
      </c>
      <c r="R729" t="str">
        <v>C01</v>
      </c>
      <c r="S729" t="str">
        <v>1000012469 CROSSDOX S. A. S.</v>
      </c>
    </row>
    <row r="730" spans="1:19" x14ac:dyDescent="0.3">
      <c r="A730" s="2" t="s">
        <v>15</v>
      </c>
      <c r="B730" s="3" t="s">
        <v>15</v>
      </c>
      <c r="C730" s="3" t="s">
        <v>954</v>
      </c>
      <c r="D730" s="3" t="s">
        <v>25</v>
      </c>
      <c r="E730" s="3" t="s">
        <v>149</v>
      </c>
      <c r="F730" s="4">
        <v>46308</v>
      </c>
      <c r="G730" s="3" t="s">
        <v>50</v>
      </c>
      <c r="H730" s="6">
        <v>-94708</v>
      </c>
      <c r="I730" s="3" t="s">
        <v>19</v>
      </c>
      <c r="J730" s="3" t="s">
        <v>15</v>
      </c>
      <c r="K730" s="3" t="s">
        <v>15</v>
      </c>
      <c r="L730" s="3" t="s">
        <v>73</v>
      </c>
      <c r="M730" s="4">
        <v>46308</v>
      </c>
      <c r="N730" s="3" t="s">
        <v>955</v>
      </c>
      <c r="O730" s="3" t="s">
        <v>28</v>
      </c>
      <c r="P730" t="str">
        <f t="shared" si="11"/>
        <v>450014050720</v>
      </c>
      <c r="Q730" s="7" cm="1">
        <f t="array" ref="Q730:S730">VLOOKUP(P730,Hoja1!C:F,{2,3,4},FALSE)</f>
        <v>46309</v>
      </c>
      <c r="R730" t="str">
        <v>C35</v>
      </c>
      <c r="S730" t="str">
        <v>1000007451 FLORES CARLOS FELIPE Y OTROS S H</v>
      </c>
    </row>
    <row r="731" spans="1:19" x14ac:dyDescent="0.3">
      <c r="A731" s="2" t="s">
        <v>15</v>
      </c>
      <c r="B731" s="3" t="s">
        <v>15</v>
      </c>
      <c r="C731" s="3" t="s">
        <v>954</v>
      </c>
      <c r="D731" s="3" t="s">
        <v>25</v>
      </c>
      <c r="E731" s="3" t="s">
        <v>149</v>
      </c>
      <c r="F731" s="4">
        <v>46308</v>
      </c>
      <c r="G731" s="3" t="s">
        <v>50</v>
      </c>
      <c r="H731" s="6">
        <v>-113577.7</v>
      </c>
      <c r="I731" s="3" t="s">
        <v>19</v>
      </c>
      <c r="J731" s="3" t="s">
        <v>15</v>
      </c>
      <c r="K731" s="3" t="s">
        <v>15</v>
      </c>
      <c r="L731" s="3" t="s">
        <v>73</v>
      </c>
      <c r="M731" s="4">
        <v>46308</v>
      </c>
      <c r="N731" s="3" t="s">
        <v>955</v>
      </c>
      <c r="O731" s="3" t="s">
        <v>54</v>
      </c>
      <c r="P731" t="str">
        <f t="shared" si="11"/>
        <v>450014050730</v>
      </c>
      <c r="Q731" s="7" cm="1">
        <f t="array" ref="Q731:S731">VLOOKUP(P731,Hoja1!C:F,{2,3,4},FALSE)</f>
        <v>46309</v>
      </c>
      <c r="R731" t="str">
        <v>C35</v>
      </c>
      <c r="S731" t="str">
        <v>1000007451 FLORES CARLOS FELIPE Y OTROS S H</v>
      </c>
    </row>
    <row r="732" spans="1:19" x14ac:dyDescent="0.3">
      <c r="A732" s="2" t="s">
        <v>15</v>
      </c>
      <c r="B732" s="3" t="s">
        <v>15</v>
      </c>
      <c r="C732" s="3" t="s">
        <v>954</v>
      </c>
      <c r="D732" s="3" t="s">
        <v>25</v>
      </c>
      <c r="E732" s="3" t="s">
        <v>149</v>
      </c>
      <c r="F732" s="4">
        <v>46308</v>
      </c>
      <c r="G732" s="3" t="s">
        <v>50</v>
      </c>
      <c r="H732" s="6">
        <v>-93856.14</v>
      </c>
      <c r="I732" s="3" t="s">
        <v>19</v>
      </c>
      <c r="J732" s="3" t="s">
        <v>15</v>
      </c>
      <c r="K732" s="3" t="s">
        <v>15</v>
      </c>
      <c r="L732" s="3" t="s">
        <v>73</v>
      </c>
      <c r="M732" s="4">
        <v>46308</v>
      </c>
      <c r="N732" s="3" t="s">
        <v>955</v>
      </c>
      <c r="O732" s="3" t="s">
        <v>55</v>
      </c>
      <c r="P732" t="str">
        <f t="shared" si="11"/>
        <v>450014050750</v>
      </c>
      <c r="Q732" s="7" cm="1">
        <f t="array" ref="Q732:S732">VLOOKUP(P732,Hoja1!C:F,{2,3,4},FALSE)</f>
        <v>46309</v>
      </c>
      <c r="R732" t="str">
        <v>C35</v>
      </c>
      <c r="S732" t="str">
        <v>1000007451 FLORES CARLOS FELIPE Y OTROS S H</v>
      </c>
    </row>
    <row r="733" spans="1:19" x14ac:dyDescent="0.3">
      <c r="A733" s="2" t="s">
        <v>15</v>
      </c>
      <c r="B733" s="3" t="s">
        <v>15</v>
      </c>
      <c r="C733" s="3" t="s">
        <v>954</v>
      </c>
      <c r="D733" s="3" t="s">
        <v>25</v>
      </c>
      <c r="E733" s="3" t="s">
        <v>149</v>
      </c>
      <c r="F733" s="4">
        <v>46308</v>
      </c>
      <c r="G733" s="3" t="s">
        <v>50</v>
      </c>
      <c r="H733" s="6">
        <v>-161090.34</v>
      </c>
      <c r="I733" s="3" t="s">
        <v>19</v>
      </c>
      <c r="J733" s="3" t="s">
        <v>15</v>
      </c>
      <c r="K733" s="3" t="s">
        <v>15</v>
      </c>
      <c r="L733" s="3" t="s">
        <v>73</v>
      </c>
      <c r="M733" s="4">
        <v>46308</v>
      </c>
      <c r="N733" s="3" t="s">
        <v>955</v>
      </c>
      <c r="O733" s="3" t="s">
        <v>80</v>
      </c>
      <c r="P733" t="str">
        <f t="shared" si="11"/>
        <v>450014050760</v>
      </c>
      <c r="Q733" s="7" cm="1">
        <f t="array" ref="Q733:S733">VLOOKUP(P733,Hoja1!C:F,{2,3,4},FALSE)</f>
        <v>46309</v>
      </c>
      <c r="R733" t="str">
        <v>C35</v>
      </c>
      <c r="S733" t="str">
        <v>1000007451 FLORES CARLOS FELIPE Y OTROS S H</v>
      </c>
    </row>
    <row r="734" spans="1:19" x14ac:dyDescent="0.3">
      <c r="A734" s="2" t="s">
        <v>15</v>
      </c>
      <c r="B734" s="3" t="s">
        <v>15</v>
      </c>
      <c r="C734" s="3" t="s">
        <v>954</v>
      </c>
      <c r="D734" s="3" t="s">
        <v>25</v>
      </c>
      <c r="E734" s="3" t="s">
        <v>149</v>
      </c>
      <c r="F734" s="4">
        <v>46308</v>
      </c>
      <c r="G734" s="3" t="s">
        <v>50</v>
      </c>
      <c r="H734" s="6">
        <v>-235015.65</v>
      </c>
      <c r="I734" s="3" t="s">
        <v>19</v>
      </c>
      <c r="J734" s="3" t="s">
        <v>15</v>
      </c>
      <c r="K734" s="3" t="s">
        <v>15</v>
      </c>
      <c r="L734" s="3" t="s">
        <v>73</v>
      </c>
      <c r="M734" s="4">
        <v>46308</v>
      </c>
      <c r="N734" s="3" t="s">
        <v>955</v>
      </c>
      <c r="O734" s="3" t="s">
        <v>81</v>
      </c>
      <c r="P734" t="str">
        <f t="shared" si="11"/>
        <v>450014050770</v>
      </c>
      <c r="Q734" s="7" cm="1">
        <f t="array" ref="Q734:S734">VLOOKUP(P734,Hoja1!C:F,{2,3,4},FALSE)</f>
        <v>46309</v>
      </c>
      <c r="R734" t="str">
        <v>C35</v>
      </c>
      <c r="S734" t="str">
        <v>1000007451 FLORES CARLOS FELIPE Y OTROS S H</v>
      </c>
    </row>
    <row r="735" spans="1:19" x14ac:dyDescent="0.3">
      <c r="A735" s="2" t="s">
        <v>15</v>
      </c>
      <c r="B735" s="3" t="s">
        <v>15</v>
      </c>
      <c r="C735" s="3" t="s">
        <v>954</v>
      </c>
      <c r="D735" s="3" t="s">
        <v>25</v>
      </c>
      <c r="E735" s="3" t="s">
        <v>149</v>
      </c>
      <c r="F735" s="4">
        <v>46308</v>
      </c>
      <c r="G735" s="3" t="s">
        <v>50</v>
      </c>
      <c r="H735" s="6">
        <v>-558424.80000000005</v>
      </c>
      <c r="I735" s="3" t="s">
        <v>19</v>
      </c>
      <c r="J735" s="3" t="s">
        <v>15</v>
      </c>
      <c r="K735" s="3" t="s">
        <v>15</v>
      </c>
      <c r="L735" s="3" t="s">
        <v>73</v>
      </c>
      <c r="M735" s="4">
        <v>46308</v>
      </c>
      <c r="N735" s="3" t="s">
        <v>955</v>
      </c>
      <c r="O735" s="3" t="s">
        <v>82</v>
      </c>
      <c r="P735" t="str">
        <f t="shared" si="11"/>
        <v>450014050780</v>
      </c>
      <c r="Q735" s="7" cm="1">
        <f t="array" ref="Q735:S735">VLOOKUP(P735,Hoja1!C:F,{2,3,4},FALSE)</f>
        <v>46309</v>
      </c>
      <c r="R735" t="str">
        <v>C35</v>
      </c>
      <c r="S735" t="str">
        <v>1000007451 FLORES CARLOS FELIPE Y OTROS S H</v>
      </c>
    </row>
    <row r="736" spans="1:19" x14ac:dyDescent="0.3">
      <c r="A736" s="2" t="s">
        <v>15</v>
      </c>
      <c r="B736" s="3" t="s">
        <v>15</v>
      </c>
      <c r="C736" s="3" t="s">
        <v>954</v>
      </c>
      <c r="D736" s="3" t="s">
        <v>25</v>
      </c>
      <c r="E736" s="3" t="s">
        <v>149</v>
      </c>
      <c r="F736" s="4">
        <v>46308</v>
      </c>
      <c r="G736" s="3" t="s">
        <v>50</v>
      </c>
      <c r="H736" s="6">
        <v>-241446.7</v>
      </c>
      <c r="I736" s="3" t="s">
        <v>19</v>
      </c>
      <c r="J736" s="3" t="s">
        <v>15</v>
      </c>
      <c r="K736" s="3" t="s">
        <v>15</v>
      </c>
      <c r="L736" s="3" t="s">
        <v>73</v>
      </c>
      <c r="M736" s="4">
        <v>46308</v>
      </c>
      <c r="N736" s="3" t="s">
        <v>955</v>
      </c>
      <c r="O736" s="3" t="s">
        <v>83</v>
      </c>
      <c r="P736" t="str">
        <f t="shared" si="11"/>
        <v>450014050790</v>
      </c>
      <c r="Q736" s="7" cm="1">
        <f t="array" ref="Q736:S736">VLOOKUP(P736,Hoja1!C:F,{2,3,4},FALSE)</f>
        <v>46309</v>
      </c>
      <c r="R736" t="str">
        <v>C35</v>
      </c>
      <c r="S736" t="str">
        <v>1000007451 FLORES CARLOS FELIPE Y OTROS S H</v>
      </c>
    </row>
    <row r="737" spans="1:19" x14ac:dyDescent="0.3">
      <c r="A737" s="2" t="s">
        <v>15</v>
      </c>
      <c r="B737" s="3" t="s">
        <v>15</v>
      </c>
      <c r="C737" s="3" t="s">
        <v>956</v>
      </c>
      <c r="D737" s="3" t="s">
        <v>25</v>
      </c>
      <c r="E737" s="3" t="s">
        <v>149</v>
      </c>
      <c r="F737" s="4">
        <v>46308</v>
      </c>
      <c r="G737" s="3" t="s">
        <v>50</v>
      </c>
      <c r="H737" s="6">
        <v>-518211.5</v>
      </c>
      <c r="I737" s="3" t="s">
        <v>19</v>
      </c>
      <c r="J737" s="3" t="s">
        <v>15</v>
      </c>
      <c r="K737" s="3" t="s">
        <v>15</v>
      </c>
      <c r="L737" s="3" t="s">
        <v>68</v>
      </c>
      <c r="M737" s="4">
        <v>46308</v>
      </c>
      <c r="N737" s="3" t="s">
        <v>957</v>
      </c>
      <c r="O737" s="3" t="s">
        <v>32</v>
      </c>
      <c r="P737" t="str">
        <f t="shared" si="11"/>
        <v>450014066110</v>
      </c>
      <c r="Q737" s="7" cm="1">
        <f t="array" ref="Q737:S737">VLOOKUP(P737,Hoja1!C:F,{2,3,4},FALSE)</f>
        <v>46310</v>
      </c>
      <c r="R737" t="str">
        <v>C28</v>
      </c>
      <c r="S737" t="str">
        <v>1000007611 ANTONIO B ATENOR E HIJOS S R L</v>
      </c>
    </row>
    <row r="738" spans="1:19" x14ac:dyDescent="0.3">
      <c r="A738" s="2" t="s">
        <v>15</v>
      </c>
      <c r="B738" s="3" t="s">
        <v>15</v>
      </c>
      <c r="C738" s="3" t="s">
        <v>958</v>
      </c>
      <c r="D738" s="3" t="s">
        <v>15</v>
      </c>
      <c r="E738" s="3" t="s">
        <v>149</v>
      </c>
      <c r="F738" s="4">
        <v>46308</v>
      </c>
      <c r="G738" s="3" t="s">
        <v>50</v>
      </c>
      <c r="H738" s="6">
        <v>-416320</v>
      </c>
      <c r="I738" s="3" t="s">
        <v>19</v>
      </c>
      <c r="J738" s="3" t="s">
        <v>15</v>
      </c>
      <c r="K738" s="3" t="s">
        <v>15</v>
      </c>
      <c r="L738" s="3" t="s">
        <v>139</v>
      </c>
      <c r="M738" s="4">
        <v>46308</v>
      </c>
      <c r="N738" s="3" t="s">
        <v>942</v>
      </c>
      <c r="O738" s="3" t="s">
        <v>28</v>
      </c>
      <c r="P738" t="str">
        <f t="shared" si="11"/>
        <v>450014024320</v>
      </c>
      <c r="Q738" s="7" cm="1">
        <f t="array" ref="Q738:S738">VLOOKUP(P738,Hoja1!C:F,{2,3,4},FALSE)</f>
        <v>46311</v>
      </c>
      <c r="R738" t="str">
        <v>C27</v>
      </c>
      <c r="S738" t="str">
        <v>1000000086 SUMIAGRO SANTA FE S.A.</v>
      </c>
    </row>
    <row r="739" spans="1:19" x14ac:dyDescent="0.3">
      <c r="A739" s="2" t="s">
        <v>15</v>
      </c>
      <c r="B739" s="3" t="s">
        <v>15</v>
      </c>
      <c r="C739" s="3" t="s">
        <v>959</v>
      </c>
      <c r="D739" s="3" t="s">
        <v>25</v>
      </c>
      <c r="E739" s="3" t="s">
        <v>149</v>
      </c>
      <c r="F739" s="4">
        <v>46308</v>
      </c>
      <c r="G739" s="3" t="s">
        <v>50</v>
      </c>
      <c r="H739" s="6">
        <v>-32644.63</v>
      </c>
      <c r="I739" s="3" t="s">
        <v>19</v>
      </c>
      <c r="J739" s="3" t="s">
        <v>15</v>
      </c>
      <c r="K739" s="3" t="s">
        <v>15</v>
      </c>
      <c r="L739" s="3" t="s">
        <v>99</v>
      </c>
      <c r="M739" s="4">
        <v>46308</v>
      </c>
      <c r="N739" s="3" t="s">
        <v>960</v>
      </c>
      <c r="O739" s="3" t="s">
        <v>32</v>
      </c>
      <c r="P739" t="str">
        <f t="shared" si="11"/>
        <v>450014053810</v>
      </c>
      <c r="Q739" s="7" cm="1">
        <f t="array" ref="Q739:S739">VLOOKUP(P739,Hoja1!C:F,{2,3,4},FALSE)</f>
        <v>46308</v>
      </c>
      <c r="R739" t="str">
        <v>C35</v>
      </c>
      <c r="S739" t="str">
        <v>1000012333 GO CLEAN S.A.S.</v>
      </c>
    </row>
    <row r="740" spans="1:19" x14ac:dyDescent="0.3">
      <c r="A740" s="2" t="s">
        <v>15</v>
      </c>
      <c r="B740" s="3" t="s">
        <v>15</v>
      </c>
      <c r="C740" s="3" t="s">
        <v>959</v>
      </c>
      <c r="D740" s="3" t="s">
        <v>25</v>
      </c>
      <c r="E740" s="3" t="s">
        <v>149</v>
      </c>
      <c r="F740" s="4">
        <v>46308</v>
      </c>
      <c r="G740" s="3" t="s">
        <v>50</v>
      </c>
      <c r="H740" s="6">
        <v>-141322.32</v>
      </c>
      <c r="I740" s="3" t="s">
        <v>19</v>
      </c>
      <c r="J740" s="3" t="s">
        <v>15</v>
      </c>
      <c r="K740" s="3" t="s">
        <v>15</v>
      </c>
      <c r="L740" s="3" t="s">
        <v>99</v>
      </c>
      <c r="M740" s="4">
        <v>46308</v>
      </c>
      <c r="N740" s="3" t="s">
        <v>960</v>
      </c>
      <c r="O740" s="3" t="s">
        <v>28</v>
      </c>
      <c r="P740" t="str">
        <f t="shared" si="11"/>
        <v>450014053820</v>
      </c>
      <c r="Q740" s="7" cm="1">
        <f t="array" ref="Q740:S740">VLOOKUP(P740,Hoja1!C:F,{2,3,4},FALSE)</f>
        <v>46308</v>
      </c>
      <c r="R740" t="str">
        <v>C35</v>
      </c>
      <c r="S740" t="str">
        <v>1000012333 GO CLEAN S.A.S.</v>
      </c>
    </row>
    <row r="741" spans="1:19" x14ac:dyDescent="0.3">
      <c r="A741" s="2" t="s">
        <v>15</v>
      </c>
      <c r="B741" s="3" t="s">
        <v>15</v>
      </c>
      <c r="C741" s="3" t="s">
        <v>961</v>
      </c>
      <c r="D741" s="3" t="s">
        <v>15</v>
      </c>
      <c r="E741" s="3" t="s">
        <v>149</v>
      </c>
      <c r="F741" s="4">
        <v>46308</v>
      </c>
      <c r="G741" s="3" t="s">
        <v>50</v>
      </c>
      <c r="H741" s="6">
        <v>-36940</v>
      </c>
      <c r="I741" s="3" t="s">
        <v>19</v>
      </c>
      <c r="J741" s="3" t="s">
        <v>15</v>
      </c>
      <c r="K741" s="3" t="s">
        <v>15</v>
      </c>
      <c r="L741" s="3" t="s">
        <v>141</v>
      </c>
      <c r="M741" s="4">
        <v>46308</v>
      </c>
      <c r="N741" s="3" t="s">
        <v>962</v>
      </c>
      <c r="O741" s="3" t="s">
        <v>32</v>
      </c>
      <c r="P741" t="str">
        <f t="shared" si="11"/>
        <v>450014043110</v>
      </c>
      <c r="Q741" s="7" cm="1">
        <f t="array" ref="Q741:S741">VLOOKUP(P741,Hoja1!C:F,{2,3,4},FALSE)</f>
        <v>46311</v>
      </c>
      <c r="R741" t="str">
        <v>C27</v>
      </c>
      <c r="S741" t="str">
        <v>1000000295 BOLLINI S.A</v>
      </c>
    </row>
    <row r="742" spans="1:19" x14ac:dyDescent="0.3">
      <c r="A742" s="2" t="s">
        <v>15</v>
      </c>
      <c r="B742" s="3" t="s">
        <v>15</v>
      </c>
      <c r="C742" s="3" t="s">
        <v>963</v>
      </c>
      <c r="D742" s="3" t="s">
        <v>25</v>
      </c>
      <c r="E742" s="3" t="s">
        <v>149</v>
      </c>
      <c r="F742" s="4">
        <v>46308</v>
      </c>
      <c r="G742" s="3" t="s">
        <v>50</v>
      </c>
      <c r="H742" s="6">
        <v>-20661.16</v>
      </c>
      <c r="I742" s="3" t="s">
        <v>19</v>
      </c>
      <c r="J742" s="3" t="s">
        <v>15</v>
      </c>
      <c r="K742" s="3" t="s">
        <v>15</v>
      </c>
      <c r="L742" s="3" t="s">
        <v>99</v>
      </c>
      <c r="M742" s="4">
        <v>46308</v>
      </c>
      <c r="N742" s="3" t="s">
        <v>964</v>
      </c>
      <c r="O742" s="3" t="s">
        <v>28</v>
      </c>
      <c r="P742" t="str">
        <f t="shared" si="11"/>
        <v>450013878120</v>
      </c>
      <c r="Q742" s="7" cm="1">
        <f t="array" ref="Q742:S742">VLOOKUP(P742,Hoja1!C:F,{2,3,4},FALSE)</f>
        <v>46287</v>
      </c>
      <c r="R742" t="str">
        <v>C35</v>
      </c>
      <c r="S742" t="str">
        <v>1000012333 GO CLEAN S.A.S.</v>
      </c>
    </row>
    <row r="743" spans="1:19" x14ac:dyDescent="0.3">
      <c r="A743" s="2" t="s">
        <v>15</v>
      </c>
      <c r="B743" s="3" t="s">
        <v>15</v>
      </c>
      <c r="C743" s="3" t="s">
        <v>965</v>
      </c>
      <c r="D743" s="3" t="s">
        <v>25</v>
      </c>
      <c r="E743" s="3" t="s">
        <v>149</v>
      </c>
      <c r="F743" s="4">
        <v>46308</v>
      </c>
      <c r="G743" s="3" t="s">
        <v>50</v>
      </c>
      <c r="H743" s="6">
        <v>-20661.2</v>
      </c>
      <c r="I743" s="3" t="s">
        <v>19</v>
      </c>
      <c r="J743" s="3" t="s">
        <v>15</v>
      </c>
      <c r="K743" s="3" t="s">
        <v>15</v>
      </c>
      <c r="L743" s="3" t="s">
        <v>137</v>
      </c>
      <c r="M743" s="4">
        <v>46308</v>
      </c>
      <c r="N743" s="3" t="s">
        <v>138</v>
      </c>
      <c r="O743" s="3" t="s">
        <v>54</v>
      </c>
      <c r="P743" t="str">
        <f t="shared" si="11"/>
        <v>450013988430</v>
      </c>
      <c r="Q743" s="7" cm="1">
        <f t="array" ref="Q743:S743">VLOOKUP(P743,Hoja1!C:F,{2,3,4},FALSE)</f>
        <v>46300</v>
      </c>
      <c r="R743" t="str">
        <v>C35</v>
      </c>
      <c r="S743" t="str">
        <v>1000010363 SERGOMINT S.R.L.</v>
      </c>
    </row>
    <row r="744" spans="1:19" x14ac:dyDescent="0.3">
      <c r="A744" s="2" t="s">
        <v>15</v>
      </c>
      <c r="B744" s="3" t="s">
        <v>15</v>
      </c>
      <c r="C744" s="3" t="s">
        <v>965</v>
      </c>
      <c r="D744" s="3" t="s">
        <v>25</v>
      </c>
      <c r="E744" s="3" t="s">
        <v>149</v>
      </c>
      <c r="F744" s="4">
        <v>46308</v>
      </c>
      <c r="G744" s="3" t="s">
        <v>50</v>
      </c>
      <c r="H744" s="6">
        <v>-92727.360000000001</v>
      </c>
      <c r="I744" s="3" t="s">
        <v>19</v>
      </c>
      <c r="J744" s="3" t="s">
        <v>15</v>
      </c>
      <c r="K744" s="3" t="s">
        <v>15</v>
      </c>
      <c r="L744" s="3" t="s">
        <v>137</v>
      </c>
      <c r="M744" s="4">
        <v>46308</v>
      </c>
      <c r="N744" s="3" t="s">
        <v>138</v>
      </c>
      <c r="O744" s="3" t="s">
        <v>23</v>
      </c>
      <c r="P744" t="str">
        <f t="shared" si="11"/>
        <v>450013988440</v>
      </c>
      <c r="Q744" s="7" cm="1">
        <f t="array" ref="Q744:S744">VLOOKUP(P744,Hoja1!C:F,{2,3,4},FALSE)</f>
        <v>46300</v>
      </c>
      <c r="R744" t="str">
        <v>C35</v>
      </c>
      <c r="S744" t="str">
        <v>1000010363 SERGOMINT S.R.L.</v>
      </c>
    </row>
    <row r="745" spans="1:19" x14ac:dyDescent="0.3">
      <c r="A745" s="2" t="s">
        <v>15</v>
      </c>
      <c r="B745" s="3" t="s">
        <v>15</v>
      </c>
      <c r="C745" s="3" t="s">
        <v>965</v>
      </c>
      <c r="D745" s="3" t="s">
        <v>25</v>
      </c>
      <c r="E745" s="3" t="s">
        <v>149</v>
      </c>
      <c r="F745" s="4">
        <v>46308</v>
      </c>
      <c r="G745" s="3" t="s">
        <v>50</v>
      </c>
      <c r="H745" s="6">
        <v>-144628</v>
      </c>
      <c r="I745" s="3" t="s">
        <v>19</v>
      </c>
      <c r="J745" s="3" t="s">
        <v>15</v>
      </c>
      <c r="K745" s="3" t="s">
        <v>15</v>
      </c>
      <c r="L745" s="3" t="s">
        <v>137</v>
      </c>
      <c r="M745" s="4">
        <v>46308</v>
      </c>
      <c r="N745" s="3" t="s">
        <v>138</v>
      </c>
      <c r="O745" s="3" t="s">
        <v>55</v>
      </c>
      <c r="P745" t="str">
        <f t="shared" si="11"/>
        <v>450013988450</v>
      </c>
      <c r="Q745" s="7" cm="1">
        <f t="array" ref="Q745:S745">VLOOKUP(P745,Hoja1!C:F,{2,3,4},FALSE)</f>
        <v>46300</v>
      </c>
      <c r="R745" t="str">
        <v>C35</v>
      </c>
      <c r="S745" t="str">
        <v>1000010363 SERGOMINT S.R.L.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B06F-E06E-4CF9-AD7C-74FE41203942}">
  <dimension ref="A1:K903"/>
  <sheetViews>
    <sheetView topLeftCell="A886" workbookViewId="0">
      <selection activeCell="C899" sqref="C899:C903"/>
    </sheetView>
  </sheetViews>
  <sheetFormatPr baseColWidth="10" defaultRowHeight="14.4" x14ac:dyDescent="0.3"/>
  <cols>
    <col min="1" max="1" width="11" bestFit="1" customWidth="1"/>
    <col min="2" max="2" width="8" bestFit="1" customWidth="1"/>
    <col min="3" max="3" width="20.21875" customWidth="1"/>
    <col min="4" max="4" width="12" bestFit="1" customWidth="1"/>
  </cols>
  <sheetData>
    <row r="1" spans="1:4" x14ac:dyDescent="0.3">
      <c r="A1" s="1" t="s">
        <v>701</v>
      </c>
      <c r="B1" s="1" t="s">
        <v>702</v>
      </c>
      <c r="C1" s="1"/>
      <c r="D1" s="1" t="s">
        <v>703</v>
      </c>
    </row>
    <row r="2" spans="1:4" x14ac:dyDescent="0.3">
      <c r="A2" s="3" t="s">
        <v>162</v>
      </c>
      <c r="B2" s="3" t="s">
        <v>32</v>
      </c>
      <c r="C2" s="3" t="str">
        <f>_xlfn.CONCAT(A2:B2)</f>
        <v>450009174910</v>
      </c>
      <c r="D2" s="3" t="s">
        <v>704</v>
      </c>
    </row>
    <row r="3" spans="1:4" x14ac:dyDescent="0.3">
      <c r="A3" s="3" t="s">
        <v>151</v>
      </c>
      <c r="B3" s="3" t="s">
        <v>86</v>
      </c>
      <c r="C3" s="3" t="str">
        <f t="shared" ref="C3:C66" si="0">_xlfn.CONCAT(A3:B3)</f>
        <v>4500098864120</v>
      </c>
      <c r="D3" s="3" t="s">
        <v>705</v>
      </c>
    </row>
    <row r="4" spans="1:4" x14ac:dyDescent="0.3">
      <c r="A4" s="3" t="s">
        <v>159</v>
      </c>
      <c r="B4" s="3" t="s">
        <v>23</v>
      </c>
      <c r="C4" s="3" t="str">
        <f t="shared" si="0"/>
        <v>450010091940</v>
      </c>
      <c r="D4" s="3" t="s">
        <v>706</v>
      </c>
    </row>
    <row r="5" spans="1:4" x14ac:dyDescent="0.3">
      <c r="A5" s="3" t="s">
        <v>159</v>
      </c>
      <c r="B5" s="3" t="s">
        <v>81</v>
      </c>
      <c r="C5" s="3" t="str">
        <f t="shared" si="0"/>
        <v>450010091970</v>
      </c>
      <c r="D5" s="3" t="s">
        <v>706</v>
      </c>
    </row>
    <row r="6" spans="1:4" x14ac:dyDescent="0.3">
      <c r="A6" s="3" t="s">
        <v>151</v>
      </c>
      <c r="B6" s="3" t="s">
        <v>32</v>
      </c>
      <c r="C6" s="3" t="str">
        <f t="shared" si="0"/>
        <v>450009886410</v>
      </c>
      <c r="D6" s="3" t="s">
        <v>705</v>
      </c>
    </row>
    <row r="7" spans="1:4" x14ac:dyDescent="0.3">
      <c r="A7" s="3" t="s">
        <v>35</v>
      </c>
      <c r="B7" s="3" t="s">
        <v>28</v>
      </c>
      <c r="C7" s="3" t="str">
        <f t="shared" si="0"/>
        <v>450009947620</v>
      </c>
      <c r="D7" s="3" t="s">
        <v>707</v>
      </c>
    </row>
    <row r="8" spans="1:4" x14ac:dyDescent="0.3">
      <c r="A8" s="3" t="s">
        <v>35</v>
      </c>
      <c r="B8" s="3" t="s">
        <v>32</v>
      </c>
      <c r="C8" s="3" t="str">
        <f t="shared" si="0"/>
        <v>450009947610</v>
      </c>
      <c r="D8" s="3" t="s">
        <v>707</v>
      </c>
    </row>
    <row r="9" spans="1:4" x14ac:dyDescent="0.3">
      <c r="A9" s="3" t="s">
        <v>159</v>
      </c>
      <c r="B9" s="3" t="s">
        <v>85</v>
      </c>
      <c r="C9" s="3" t="str">
        <f t="shared" si="0"/>
        <v>4500100919110</v>
      </c>
      <c r="D9" s="3" t="s">
        <v>706</v>
      </c>
    </row>
    <row r="10" spans="1:4" x14ac:dyDescent="0.3">
      <c r="A10" s="3" t="s">
        <v>159</v>
      </c>
      <c r="B10" s="3" t="s">
        <v>86</v>
      </c>
      <c r="C10" s="3" t="str">
        <f t="shared" si="0"/>
        <v>4500100919120</v>
      </c>
      <c r="D10" s="3" t="s">
        <v>706</v>
      </c>
    </row>
    <row r="11" spans="1:4" x14ac:dyDescent="0.3">
      <c r="A11" s="3" t="s">
        <v>159</v>
      </c>
      <c r="B11" s="3" t="s">
        <v>67</v>
      </c>
      <c r="C11" s="3" t="str">
        <f t="shared" si="0"/>
        <v>4500100919170</v>
      </c>
      <c r="D11" s="3" t="s">
        <v>706</v>
      </c>
    </row>
    <row r="12" spans="1:4" x14ac:dyDescent="0.3">
      <c r="A12" s="3" t="s">
        <v>159</v>
      </c>
      <c r="B12" s="3" t="s">
        <v>125</v>
      </c>
      <c r="C12" s="3" t="str">
        <f t="shared" si="0"/>
        <v>4500100919180</v>
      </c>
      <c r="D12" s="3" t="s">
        <v>706</v>
      </c>
    </row>
    <row r="13" spans="1:4" x14ac:dyDescent="0.3">
      <c r="A13" s="3" t="s">
        <v>159</v>
      </c>
      <c r="B13" s="3" t="s">
        <v>92</v>
      </c>
      <c r="C13" s="3" t="str">
        <f t="shared" si="0"/>
        <v>4500100919200</v>
      </c>
      <c r="D13" s="3" t="s">
        <v>706</v>
      </c>
    </row>
    <row r="14" spans="1:4" x14ac:dyDescent="0.3">
      <c r="A14" s="3" t="s">
        <v>165</v>
      </c>
      <c r="B14" s="3" t="s">
        <v>80</v>
      </c>
      <c r="C14" s="3" t="str">
        <f t="shared" si="0"/>
        <v>450010465260</v>
      </c>
      <c r="D14" s="3" t="s">
        <v>706</v>
      </c>
    </row>
    <row r="15" spans="1:4" x14ac:dyDescent="0.3">
      <c r="A15" s="3" t="s">
        <v>168</v>
      </c>
      <c r="B15" s="3" t="s">
        <v>80</v>
      </c>
      <c r="C15" s="3" t="str">
        <f t="shared" si="0"/>
        <v>450010465660</v>
      </c>
      <c r="D15" s="3" t="s">
        <v>706</v>
      </c>
    </row>
    <row r="16" spans="1:4" x14ac:dyDescent="0.3">
      <c r="A16" s="3" t="s">
        <v>165</v>
      </c>
      <c r="B16" s="3" t="s">
        <v>28</v>
      </c>
      <c r="C16" s="3" t="str">
        <f t="shared" si="0"/>
        <v>450010465220</v>
      </c>
      <c r="D16" s="3" t="s">
        <v>706</v>
      </c>
    </row>
    <row r="17" spans="1:4" x14ac:dyDescent="0.3">
      <c r="A17" s="3" t="s">
        <v>31</v>
      </c>
      <c r="B17" s="3" t="s">
        <v>32</v>
      </c>
      <c r="C17" s="3" t="str">
        <f t="shared" si="0"/>
        <v>450010411610</v>
      </c>
      <c r="D17" s="3" t="s">
        <v>708</v>
      </c>
    </row>
    <row r="18" spans="1:4" x14ac:dyDescent="0.3">
      <c r="A18" s="3" t="s">
        <v>31</v>
      </c>
      <c r="B18" s="3" t="s">
        <v>28</v>
      </c>
      <c r="C18" s="3" t="str">
        <f t="shared" si="0"/>
        <v>450010411620</v>
      </c>
      <c r="D18" s="3" t="s">
        <v>708</v>
      </c>
    </row>
    <row r="19" spans="1:4" x14ac:dyDescent="0.3">
      <c r="A19" s="3" t="s">
        <v>170</v>
      </c>
      <c r="B19" s="3" t="s">
        <v>54</v>
      </c>
      <c r="C19" s="3" t="str">
        <f t="shared" si="0"/>
        <v>450010597730</v>
      </c>
      <c r="D19" s="3" t="s">
        <v>709</v>
      </c>
    </row>
    <row r="20" spans="1:4" x14ac:dyDescent="0.3">
      <c r="A20" s="3" t="s">
        <v>170</v>
      </c>
      <c r="B20" s="3" t="s">
        <v>23</v>
      </c>
      <c r="C20" s="3" t="str">
        <f t="shared" si="0"/>
        <v>450010597740</v>
      </c>
      <c r="D20" s="3" t="s">
        <v>709</v>
      </c>
    </row>
    <row r="21" spans="1:4" x14ac:dyDescent="0.3">
      <c r="A21" s="3" t="s">
        <v>170</v>
      </c>
      <c r="B21" s="3" t="s">
        <v>55</v>
      </c>
      <c r="C21" s="3" t="str">
        <f t="shared" si="0"/>
        <v>450010597750</v>
      </c>
      <c r="D21" s="3" t="s">
        <v>709</v>
      </c>
    </row>
    <row r="22" spans="1:4" x14ac:dyDescent="0.3">
      <c r="A22" s="3" t="s">
        <v>170</v>
      </c>
      <c r="B22" s="3" t="s">
        <v>80</v>
      </c>
      <c r="C22" s="3" t="str">
        <f t="shared" si="0"/>
        <v>450010597760</v>
      </c>
      <c r="D22" s="3" t="s">
        <v>709</v>
      </c>
    </row>
    <row r="23" spans="1:4" x14ac:dyDescent="0.3">
      <c r="A23" s="3" t="s">
        <v>174</v>
      </c>
      <c r="B23" s="3" t="s">
        <v>32</v>
      </c>
      <c r="C23" s="3" t="str">
        <f t="shared" si="0"/>
        <v>450010712610</v>
      </c>
      <c r="D23" s="3" t="s">
        <v>704</v>
      </c>
    </row>
    <row r="24" spans="1:4" x14ac:dyDescent="0.3">
      <c r="A24" s="3" t="s">
        <v>172</v>
      </c>
      <c r="B24" s="3" t="s">
        <v>81</v>
      </c>
      <c r="C24" s="3" t="str">
        <f t="shared" si="0"/>
        <v>450010738370</v>
      </c>
      <c r="D24" s="3" t="s">
        <v>709</v>
      </c>
    </row>
    <row r="25" spans="1:4" x14ac:dyDescent="0.3">
      <c r="A25" s="3" t="s">
        <v>172</v>
      </c>
      <c r="B25" s="3" t="s">
        <v>82</v>
      </c>
      <c r="C25" s="3" t="str">
        <f t="shared" si="0"/>
        <v>450010738380</v>
      </c>
      <c r="D25" s="3" t="s">
        <v>709</v>
      </c>
    </row>
    <row r="26" spans="1:4" x14ac:dyDescent="0.3">
      <c r="A26" s="3" t="s">
        <v>172</v>
      </c>
      <c r="B26" s="3" t="s">
        <v>83</v>
      </c>
      <c r="C26" s="3" t="str">
        <f t="shared" si="0"/>
        <v>450010738390</v>
      </c>
      <c r="D26" s="3" t="s">
        <v>709</v>
      </c>
    </row>
    <row r="27" spans="1:4" x14ac:dyDescent="0.3">
      <c r="A27" s="3" t="s">
        <v>181</v>
      </c>
      <c r="B27" s="3" t="s">
        <v>32</v>
      </c>
      <c r="C27" s="3" t="str">
        <f t="shared" si="0"/>
        <v>450010807610</v>
      </c>
      <c r="D27" s="3" t="s">
        <v>704</v>
      </c>
    </row>
    <row r="28" spans="1:4" x14ac:dyDescent="0.3">
      <c r="A28" s="3" t="s">
        <v>42</v>
      </c>
      <c r="B28" s="3" t="s">
        <v>43</v>
      </c>
      <c r="C28" s="3" t="str">
        <f t="shared" si="0"/>
        <v>4500111070210</v>
      </c>
      <c r="D28" s="3" t="s">
        <v>709</v>
      </c>
    </row>
    <row r="29" spans="1:4" x14ac:dyDescent="0.3">
      <c r="A29" s="3" t="s">
        <v>42</v>
      </c>
      <c r="B29" s="3" t="s">
        <v>44</v>
      </c>
      <c r="C29" s="3" t="str">
        <f t="shared" si="0"/>
        <v>4500111070220</v>
      </c>
      <c r="D29" s="3" t="s">
        <v>709</v>
      </c>
    </row>
    <row r="30" spans="1:4" x14ac:dyDescent="0.3">
      <c r="A30" s="3" t="s">
        <v>47</v>
      </c>
      <c r="B30" s="3" t="s">
        <v>48</v>
      </c>
      <c r="C30" s="3" t="str">
        <f t="shared" si="0"/>
        <v>4500108431490</v>
      </c>
      <c r="D30" s="3" t="s">
        <v>709</v>
      </c>
    </row>
    <row r="31" spans="1:4" x14ac:dyDescent="0.3">
      <c r="A31" s="3" t="s">
        <v>181</v>
      </c>
      <c r="B31" s="3" t="s">
        <v>28</v>
      </c>
      <c r="C31" s="3" t="str">
        <f t="shared" si="0"/>
        <v>450010807620</v>
      </c>
      <c r="D31" s="3" t="s">
        <v>704</v>
      </c>
    </row>
    <row r="32" spans="1:4" x14ac:dyDescent="0.3">
      <c r="A32" s="3" t="s">
        <v>22</v>
      </c>
      <c r="B32" s="3" t="s">
        <v>23</v>
      </c>
      <c r="C32" s="3" t="str">
        <f t="shared" si="0"/>
        <v>450011066540</v>
      </c>
      <c r="D32" s="3" t="s">
        <v>709</v>
      </c>
    </row>
    <row r="33" spans="1:4" x14ac:dyDescent="0.3">
      <c r="A33" s="3" t="s">
        <v>183</v>
      </c>
      <c r="B33" s="3" t="s">
        <v>43</v>
      </c>
      <c r="C33" s="3" t="str">
        <f t="shared" si="0"/>
        <v>4500109392210</v>
      </c>
      <c r="D33" s="3" t="s">
        <v>706</v>
      </c>
    </row>
    <row r="34" spans="1:4" x14ac:dyDescent="0.3">
      <c r="A34" s="3" t="s">
        <v>183</v>
      </c>
      <c r="B34" s="3" t="s">
        <v>44</v>
      </c>
      <c r="C34" s="3" t="str">
        <f t="shared" si="0"/>
        <v>4500109392220</v>
      </c>
      <c r="D34" s="3" t="s">
        <v>706</v>
      </c>
    </row>
    <row r="35" spans="1:4" x14ac:dyDescent="0.3">
      <c r="A35" s="3" t="s">
        <v>183</v>
      </c>
      <c r="B35" s="3" t="s">
        <v>126</v>
      </c>
      <c r="C35" s="3" t="str">
        <f t="shared" si="0"/>
        <v>4500109392230</v>
      </c>
      <c r="D35" s="3" t="s">
        <v>706</v>
      </c>
    </row>
    <row r="36" spans="1:4" x14ac:dyDescent="0.3">
      <c r="A36" s="3" t="s">
        <v>183</v>
      </c>
      <c r="B36" s="3" t="s">
        <v>128</v>
      </c>
      <c r="C36" s="3" t="str">
        <f t="shared" si="0"/>
        <v>4500109392250</v>
      </c>
      <c r="D36" s="3" t="s">
        <v>706</v>
      </c>
    </row>
    <row r="37" spans="1:4" x14ac:dyDescent="0.3">
      <c r="A37" s="3" t="s">
        <v>183</v>
      </c>
      <c r="B37" s="3" t="s">
        <v>129</v>
      </c>
      <c r="C37" s="3" t="str">
        <f t="shared" si="0"/>
        <v>4500109392260</v>
      </c>
      <c r="D37" s="3" t="s">
        <v>706</v>
      </c>
    </row>
    <row r="38" spans="1:4" x14ac:dyDescent="0.3">
      <c r="A38" s="3" t="s">
        <v>183</v>
      </c>
      <c r="B38" s="3" t="s">
        <v>130</v>
      </c>
      <c r="C38" s="3" t="str">
        <f t="shared" si="0"/>
        <v>4500109392270</v>
      </c>
      <c r="D38" s="3" t="s">
        <v>706</v>
      </c>
    </row>
    <row r="39" spans="1:4" x14ac:dyDescent="0.3">
      <c r="A39" s="3" t="s">
        <v>183</v>
      </c>
      <c r="B39" s="3" t="s">
        <v>133</v>
      </c>
      <c r="C39" s="3" t="str">
        <f t="shared" si="0"/>
        <v>4500109392300</v>
      </c>
      <c r="D39" s="3" t="s">
        <v>706</v>
      </c>
    </row>
    <row r="40" spans="1:4" x14ac:dyDescent="0.3">
      <c r="A40" s="3" t="s">
        <v>183</v>
      </c>
      <c r="B40" s="3" t="s">
        <v>430</v>
      </c>
      <c r="C40" s="3" t="str">
        <f t="shared" si="0"/>
        <v>4500109392330</v>
      </c>
      <c r="D40" s="3" t="s">
        <v>706</v>
      </c>
    </row>
    <row r="41" spans="1:4" x14ac:dyDescent="0.3">
      <c r="A41" s="3" t="s">
        <v>38</v>
      </c>
      <c r="B41" s="3" t="s">
        <v>39</v>
      </c>
      <c r="C41" s="3" t="str">
        <f t="shared" si="0"/>
        <v>4500111062390</v>
      </c>
      <c r="D41" s="3" t="s">
        <v>709</v>
      </c>
    </row>
    <row r="42" spans="1:4" x14ac:dyDescent="0.3">
      <c r="A42" s="3" t="s">
        <v>38</v>
      </c>
      <c r="B42" s="3" t="s">
        <v>268</v>
      </c>
      <c r="C42" s="3" t="str">
        <f t="shared" si="0"/>
        <v>4500111062450</v>
      </c>
      <c r="D42" s="3" t="s">
        <v>709</v>
      </c>
    </row>
    <row r="43" spans="1:4" x14ac:dyDescent="0.3">
      <c r="A43" s="3" t="s">
        <v>38</v>
      </c>
      <c r="B43" s="3" t="s">
        <v>40</v>
      </c>
      <c r="C43" s="3" t="str">
        <f t="shared" si="0"/>
        <v>4500111062470</v>
      </c>
      <c r="D43" s="3" t="s">
        <v>709</v>
      </c>
    </row>
    <row r="44" spans="1:4" x14ac:dyDescent="0.3">
      <c r="A44" s="3" t="s">
        <v>52</v>
      </c>
      <c r="B44" s="3" t="s">
        <v>32</v>
      </c>
      <c r="C44" s="3" t="str">
        <f t="shared" si="0"/>
        <v>450011013510</v>
      </c>
      <c r="D44" s="3" t="s">
        <v>710</v>
      </c>
    </row>
    <row r="45" spans="1:4" x14ac:dyDescent="0.3">
      <c r="A45" s="3" t="s">
        <v>52</v>
      </c>
      <c r="B45" s="3" t="s">
        <v>28</v>
      </c>
      <c r="C45" s="3" t="str">
        <f t="shared" si="0"/>
        <v>450011013520</v>
      </c>
      <c r="D45" s="3" t="s">
        <v>710</v>
      </c>
    </row>
    <row r="46" spans="1:4" x14ac:dyDescent="0.3">
      <c r="A46" s="3" t="s">
        <v>52</v>
      </c>
      <c r="B46" s="3" t="s">
        <v>65</v>
      </c>
      <c r="C46" s="3" t="str">
        <f t="shared" si="0"/>
        <v>4500110135130</v>
      </c>
      <c r="D46" s="3" t="s">
        <v>710</v>
      </c>
    </row>
    <row r="47" spans="1:4" x14ac:dyDescent="0.3">
      <c r="A47" s="3" t="s">
        <v>52</v>
      </c>
      <c r="B47" s="3" t="s">
        <v>66</v>
      </c>
      <c r="C47" s="3" t="str">
        <f t="shared" si="0"/>
        <v>4500110135140</v>
      </c>
      <c r="D47" s="3" t="s">
        <v>710</v>
      </c>
    </row>
    <row r="48" spans="1:4" x14ac:dyDescent="0.3">
      <c r="A48" s="3" t="s">
        <v>52</v>
      </c>
      <c r="B48" s="3" t="s">
        <v>87</v>
      </c>
      <c r="C48" s="3" t="str">
        <f t="shared" si="0"/>
        <v>4500110135150</v>
      </c>
      <c r="D48" s="3" t="s">
        <v>710</v>
      </c>
    </row>
    <row r="49" spans="1:4" x14ac:dyDescent="0.3">
      <c r="A49" s="3" t="s">
        <v>52</v>
      </c>
      <c r="B49" s="3" t="s">
        <v>88</v>
      </c>
      <c r="C49" s="3" t="str">
        <f t="shared" si="0"/>
        <v>4500110135160</v>
      </c>
      <c r="D49" s="3" t="s">
        <v>710</v>
      </c>
    </row>
    <row r="50" spans="1:4" x14ac:dyDescent="0.3">
      <c r="A50" s="3" t="s">
        <v>52</v>
      </c>
      <c r="B50" s="3" t="s">
        <v>67</v>
      </c>
      <c r="C50" s="3" t="str">
        <f t="shared" si="0"/>
        <v>4500110135170</v>
      </c>
      <c r="D50" s="3" t="s">
        <v>710</v>
      </c>
    </row>
    <row r="51" spans="1:4" x14ac:dyDescent="0.3">
      <c r="A51" s="3" t="s">
        <v>52</v>
      </c>
      <c r="B51" s="3" t="s">
        <v>125</v>
      </c>
      <c r="C51" s="3" t="str">
        <f t="shared" si="0"/>
        <v>4500110135180</v>
      </c>
      <c r="D51" s="3" t="s">
        <v>710</v>
      </c>
    </row>
    <row r="52" spans="1:4" x14ac:dyDescent="0.3">
      <c r="A52" s="3" t="s">
        <v>52</v>
      </c>
      <c r="B52" s="3" t="s">
        <v>91</v>
      </c>
      <c r="C52" s="3" t="str">
        <f t="shared" si="0"/>
        <v>4500110135190</v>
      </c>
      <c r="D52" s="3" t="s">
        <v>710</v>
      </c>
    </row>
    <row r="53" spans="1:4" x14ac:dyDescent="0.3">
      <c r="A53" s="3" t="s">
        <v>52</v>
      </c>
      <c r="B53" s="3" t="s">
        <v>92</v>
      </c>
      <c r="C53" s="3" t="str">
        <f t="shared" si="0"/>
        <v>4500110135200</v>
      </c>
      <c r="D53" s="3" t="s">
        <v>710</v>
      </c>
    </row>
    <row r="54" spans="1:4" x14ac:dyDescent="0.3">
      <c r="A54" s="3" t="s">
        <v>52</v>
      </c>
      <c r="B54" s="3" t="s">
        <v>43</v>
      </c>
      <c r="C54" s="3" t="str">
        <f t="shared" si="0"/>
        <v>4500110135210</v>
      </c>
      <c r="D54" s="3" t="s">
        <v>710</v>
      </c>
    </row>
    <row r="55" spans="1:4" x14ac:dyDescent="0.3">
      <c r="A55" s="3" t="s">
        <v>52</v>
      </c>
      <c r="B55" s="3" t="s">
        <v>44</v>
      </c>
      <c r="C55" s="3" t="str">
        <f t="shared" si="0"/>
        <v>4500110135220</v>
      </c>
      <c r="D55" s="3" t="s">
        <v>710</v>
      </c>
    </row>
    <row r="56" spans="1:4" x14ac:dyDescent="0.3">
      <c r="A56" s="3" t="s">
        <v>52</v>
      </c>
      <c r="B56" s="3" t="s">
        <v>126</v>
      </c>
      <c r="C56" s="3" t="str">
        <f t="shared" si="0"/>
        <v>4500110135230</v>
      </c>
      <c r="D56" s="3" t="s">
        <v>710</v>
      </c>
    </row>
    <row r="57" spans="1:4" x14ac:dyDescent="0.3">
      <c r="A57" s="3" t="s">
        <v>52</v>
      </c>
      <c r="B57" s="3" t="s">
        <v>127</v>
      </c>
      <c r="C57" s="3" t="str">
        <f t="shared" si="0"/>
        <v>4500110135240</v>
      </c>
      <c r="D57" s="3" t="s">
        <v>710</v>
      </c>
    </row>
    <row r="58" spans="1:4" x14ac:dyDescent="0.3">
      <c r="A58" s="3" t="s">
        <v>52</v>
      </c>
      <c r="B58" s="3" t="s">
        <v>129</v>
      </c>
      <c r="C58" s="3" t="str">
        <f t="shared" si="0"/>
        <v>4500110135260</v>
      </c>
      <c r="D58" s="3" t="s">
        <v>710</v>
      </c>
    </row>
    <row r="59" spans="1:4" x14ac:dyDescent="0.3">
      <c r="A59" s="3" t="s">
        <v>52</v>
      </c>
      <c r="B59" s="3" t="s">
        <v>130</v>
      </c>
      <c r="C59" s="3" t="str">
        <f t="shared" si="0"/>
        <v>4500110135270</v>
      </c>
      <c r="D59" s="3" t="s">
        <v>710</v>
      </c>
    </row>
    <row r="60" spans="1:4" x14ac:dyDescent="0.3">
      <c r="A60" s="3" t="s">
        <v>52</v>
      </c>
      <c r="B60" s="3" t="s">
        <v>131</v>
      </c>
      <c r="C60" s="3" t="str">
        <f t="shared" si="0"/>
        <v>4500110135280</v>
      </c>
      <c r="D60" s="3" t="s">
        <v>710</v>
      </c>
    </row>
    <row r="61" spans="1:4" x14ac:dyDescent="0.3">
      <c r="A61" s="3" t="s">
        <v>52</v>
      </c>
      <c r="B61" s="3" t="s">
        <v>132</v>
      </c>
      <c r="C61" s="3" t="str">
        <f t="shared" si="0"/>
        <v>4500110135290</v>
      </c>
      <c r="D61" s="3" t="s">
        <v>710</v>
      </c>
    </row>
    <row r="62" spans="1:4" x14ac:dyDescent="0.3">
      <c r="A62" s="3" t="s">
        <v>52</v>
      </c>
      <c r="B62" s="3" t="s">
        <v>133</v>
      </c>
      <c r="C62" s="3" t="str">
        <f t="shared" si="0"/>
        <v>4500110135300</v>
      </c>
      <c r="D62" s="3" t="s">
        <v>710</v>
      </c>
    </row>
    <row r="63" spans="1:4" x14ac:dyDescent="0.3">
      <c r="A63" s="3" t="s">
        <v>52</v>
      </c>
      <c r="B63" s="3" t="s">
        <v>134</v>
      </c>
      <c r="C63" s="3" t="str">
        <f t="shared" si="0"/>
        <v>4500110135310</v>
      </c>
      <c r="D63" s="3" t="s">
        <v>710</v>
      </c>
    </row>
    <row r="64" spans="1:4" x14ac:dyDescent="0.3">
      <c r="A64" s="3" t="s">
        <v>52</v>
      </c>
      <c r="B64" s="3" t="s">
        <v>631</v>
      </c>
      <c r="C64" s="3" t="str">
        <f t="shared" si="0"/>
        <v>4500110135350</v>
      </c>
      <c r="D64" s="3" t="s">
        <v>710</v>
      </c>
    </row>
    <row r="65" spans="1:4" x14ac:dyDescent="0.3">
      <c r="A65" s="3" t="s">
        <v>52</v>
      </c>
      <c r="B65" s="3" t="s">
        <v>632</v>
      </c>
      <c r="C65" s="3" t="str">
        <f t="shared" si="0"/>
        <v>4500110135360</v>
      </c>
      <c r="D65" s="3" t="s">
        <v>710</v>
      </c>
    </row>
    <row r="66" spans="1:4" x14ac:dyDescent="0.3">
      <c r="A66" s="3" t="s">
        <v>52</v>
      </c>
      <c r="B66" s="3" t="s">
        <v>277</v>
      </c>
      <c r="C66" s="3" t="str">
        <f t="shared" si="0"/>
        <v>4500110135370</v>
      </c>
      <c r="D66" s="3" t="s">
        <v>710</v>
      </c>
    </row>
    <row r="67" spans="1:4" x14ac:dyDescent="0.3">
      <c r="A67" s="3" t="s">
        <v>192</v>
      </c>
      <c r="B67" s="3" t="s">
        <v>32</v>
      </c>
      <c r="C67" s="3" t="str">
        <f t="shared" ref="C67:C130" si="1">_xlfn.CONCAT(A67:B67)</f>
        <v>450011196410</v>
      </c>
      <c r="D67" s="3" t="s">
        <v>706</v>
      </c>
    </row>
    <row r="68" spans="1:4" x14ac:dyDescent="0.3">
      <c r="A68" s="3" t="s">
        <v>154</v>
      </c>
      <c r="B68" s="3" t="s">
        <v>155</v>
      </c>
      <c r="C68" s="3" t="str">
        <f t="shared" si="1"/>
        <v>4500115337440</v>
      </c>
      <c r="D68" s="3" t="s">
        <v>709</v>
      </c>
    </row>
    <row r="69" spans="1:4" x14ac:dyDescent="0.3">
      <c r="A69" s="3" t="s">
        <v>154</v>
      </c>
      <c r="B69" s="3" t="s">
        <v>156</v>
      </c>
      <c r="C69" s="3" t="str">
        <f t="shared" si="1"/>
        <v>4500115337560</v>
      </c>
      <c r="D69" s="3" t="s">
        <v>709</v>
      </c>
    </row>
    <row r="70" spans="1:4" x14ac:dyDescent="0.3">
      <c r="A70" s="3" t="s">
        <v>519</v>
      </c>
      <c r="B70" s="3" t="s">
        <v>32</v>
      </c>
      <c r="C70" s="3" t="str">
        <f t="shared" si="1"/>
        <v>450011908310</v>
      </c>
      <c r="D70" s="3" t="s">
        <v>711</v>
      </c>
    </row>
    <row r="71" spans="1:4" x14ac:dyDescent="0.3">
      <c r="A71" s="3" t="s">
        <v>519</v>
      </c>
      <c r="B71" s="3" t="s">
        <v>28</v>
      </c>
      <c r="C71" s="3" t="str">
        <f t="shared" si="1"/>
        <v>450011908320</v>
      </c>
      <c r="D71" s="3" t="s">
        <v>711</v>
      </c>
    </row>
    <row r="72" spans="1:4" x14ac:dyDescent="0.3">
      <c r="A72" s="3" t="s">
        <v>177</v>
      </c>
      <c r="B72" s="3" t="s">
        <v>28</v>
      </c>
      <c r="C72" s="3" t="str">
        <f t="shared" si="1"/>
        <v>450012252120</v>
      </c>
      <c r="D72" s="3" t="s">
        <v>709</v>
      </c>
    </row>
    <row r="73" spans="1:4" x14ac:dyDescent="0.3">
      <c r="A73" s="3" t="s">
        <v>177</v>
      </c>
      <c r="B73" s="3" t="s">
        <v>54</v>
      </c>
      <c r="C73" s="3" t="str">
        <f t="shared" si="1"/>
        <v>450012252130</v>
      </c>
      <c r="D73" s="3" t="s">
        <v>709</v>
      </c>
    </row>
    <row r="74" spans="1:4" x14ac:dyDescent="0.3">
      <c r="A74" s="3" t="s">
        <v>266</v>
      </c>
      <c r="B74" s="3" t="s">
        <v>267</v>
      </c>
      <c r="C74" s="3" t="str">
        <f t="shared" si="1"/>
        <v>4500134133430</v>
      </c>
      <c r="D74" s="3" t="s">
        <v>706</v>
      </c>
    </row>
    <row r="75" spans="1:4" x14ac:dyDescent="0.3">
      <c r="A75" s="3" t="s">
        <v>266</v>
      </c>
      <c r="B75" s="3" t="s">
        <v>155</v>
      </c>
      <c r="C75" s="3" t="str">
        <f t="shared" si="1"/>
        <v>4500134133440</v>
      </c>
      <c r="D75" s="3" t="s">
        <v>706</v>
      </c>
    </row>
    <row r="76" spans="1:4" x14ac:dyDescent="0.3">
      <c r="A76" s="3" t="s">
        <v>266</v>
      </c>
      <c r="B76" s="3" t="s">
        <v>268</v>
      </c>
      <c r="C76" s="3" t="str">
        <f t="shared" si="1"/>
        <v>4500134133450</v>
      </c>
      <c r="D76" s="3" t="s">
        <v>706</v>
      </c>
    </row>
    <row r="77" spans="1:4" x14ac:dyDescent="0.3">
      <c r="A77" s="3" t="s">
        <v>266</v>
      </c>
      <c r="B77" s="3" t="s">
        <v>269</v>
      </c>
      <c r="C77" s="3" t="str">
        <f t="shared" si="1"/>
        <v>4500134133460</v>
      </c>
      <c r="D77" s="3" t="s">
        <v>706</v>
      </c>
    </row>
    <row r="78" spans="1:4" x14ac:dyDescent="0.3">
      <c r="A78" s="3" t="s">
        <v>27</v>
      </c>
      <c r="B78" s="3" t="s">
        <v>32</v>
      </c>
      <c r="C78" s="3" t="str">
        <f t="shared" si="1"/>
        <v>450012307210</v>
      </c>
      <c r="D78" s="3" t="s">
        <v>710</v>
      </c>
    </row>
    <row r="79" spans="1:4" x14ac:dyDescent="0.3">
      <c r="A79" s="3" t="s">
        <v>27</v>
      </c>
      <c r="B79" s="3" t="s">
        <v>28</v>
      </c>
      <c r="C79" s="3" t="str">
        <f t="shared" si="1"/>
        <v>450012307220</v>
      </c>
      <c r="D79" s="3" t="s">
        <v>710</v>
      </c>
    </row>
    <row r="80" spans="1:4" x14ac:dyDescent="0.3">
      <c r="A80" s="3" t="s">
        <v>212</v>
      </c>
      <c r="B80" s="3" t="s">
        <v>32</v>
      </c>
      <c r="C80" s="3" t="str">
        <f t="shared" si="1"/>
        <v>450012276610</v>
      </c>
      <c r="D80" s="3" t="s">
        <v>710</v>
      </c>
    </row>
    <row r="81" spans="1:4" x14ac:dyDescent="0.3">
      <c r="A81" s="3" t="s">
        <v>526</v>
      </c>
      <c r="B81" s="3" t="s">
        <v>32</v>
      </c>
      <c r="C81" s="3" t="str">
        <f t="shared" si="1"/>
        <v>450012510610</v>
      </c>
      <c r="D81" s="3" t="s">
        <v>711</v>
      </c>
    </row>
    <row r="82" spans="1:4" x14ac:dyDescent="0.3">
      <c r="A82" s="3" t="s">
        <v>190</v>
      </c>
      <c r="B82" s="3" t="s">
        <v>32</v>
      </c>
      <c r="C82" s="3" t="str">
        <f t="shared" si="1"/>
        <v>450012544110</v>
      </c>
      <c r="D82" s="3" t="s">
        <v>712</v>
      </c>
    </row>
    <row r="83" spans="1:4" x14ac:dyDescent="0.3">
      <c r="A83" s="3" t="s">
        <v>328</v>
      </c>
      <c r="B83" s="3" t="s">
        <v>23</v>
      </c>
      <c r="C83" s="3" t="str">
        <f t="shared" si="1"/>
        <v>450012582240</v>
      </c>
      <c r="D83" s="3" t="s">
        <v>707</v>
      </c>
    </row>
    <row r="84" spans="1:4" x14ac:dyDescent="0.3">
      <c r="A84" s="3" t="s">
        <v>328</v>
      </c>
      <c r="B84" s="3" t="s">
        <v>28</v>
      </c>
      <c r="C84" s="3" t="str">
        <f t="shared" si="1"/>
        <v>450012582220</v>
      </c>
      <c r="D84" s="3" t="s">
        <v>707</v>
      </c>
    </row>
    <row r="85" spans="1:4" x14ac:dyDescent="0.3">
      <c r="A85" s="3" t="s">
        <v>328</v>
      </c>
      <c r="B85" s="3" t="s">
        <v>54</v>
      </c>
      <c r="C85" s="3" t="str">
        <f t="shared" si="1"/>
        <v>450012582230</v>
      </c>
      <c r="D85" s="3" t="s">
        <v>707</v>
      </c>
    </row>
    <row r="86" spans="1:4" x14ac:dyDescent="0.3">
      <c r="A86" s="3" t="s">
        <v>328</v>
      </c>
      <c r="B86" s="3" t="s">
        <v>32</v>
      </c>
      <c r="C86" s="3" t="str">
        <f t="shared" si="1"/>
        <v>450012582210</v>
      </c>
      <c r="D86" s="3" t="s">
        <v>707</v>
      </c>
    </row>
    <row r="87" spans="1:4" x14ac:dyDescent="0.3">
      <c r="A87" s="3" t="s">
        <v>215</v>
      </c>
      <c r="B87" s="3" t="s">
        <v>32</v>
      </c>
      <c r="C87" s="3" t="str">
        <f t="shared" si="1"/>
        <v>450012705710</v>
      </c>
      <c r="D87" s="3" t="s">
        <v>707</v>
      </c>
    </row>
    <row r="88" spans="1:4" x14ac:dyDescent="0.3">
      <c r="A88" s="3" t="s">
        <v>263</v>
      </c>
      <c r="B88" s="3" t="s">
        <v>646</v>
      </c>
      <c r="C88" s="3" t="str">
        <f t="shared" si="1"/>
        <v>4500133085700</v>
      </c>
      <c r="D88" s="3" t="s">
        <v>706</v>
      </c>
    </row>
    <row r="89" spans="1:4" x14ac:dyDescent="0.3">
      <c r="A89" s="3" t="s">
        <v>215</v>
      </c>
      <c r="B89" s="3" t="s">
        <v>28</v>
      </c>
      <c r="C89" s="3" t="str">
        <f t="shared" si="1"/>
        <v>450012705720</v>
      </c>
      <c r="D89" s="3" t="s">
        <v>707</v>
      </c>
    </row>
    <row r="90" spans="1:4" x14ac:dyDescent="0.3">
      <c r="A90" s="3" t="s">
        <v>215</v>
      </c>
      <c r="B90" s="3" t="s">
        <v>54</v>
      </c>
      <c r="C90" s="3" t="str">
        <f t="shared" si="1"/>
        <v>450012705730</v>
      </c>
      <c r="D90" s="3" t="s">
        <v>707</v>
      </c>
    </row>
    <row r="91" spans="1:4" x14ac:dyDescent="0.3">
      <c r="A91" s="3" t="s">
        <v>225</v>
      </c>
      <c r="B91" s="3" t="s">
        <v>226</v>
      </c>
      <c r="C91" s="3" t="str">
        <f t="shared" si="1"/>
        <v>45001308791060</v>
      </c>
      <c r="D91" s="3" t="s">
        <v>706</v>
      </c>
    </row>
    <row r="92" spans="1:4" x14ac:dyDescent="0.3">
      <c r="A92" s="3" t="s">
        <v>291</v>
      </c>
      <c r="B92" s="3" t="s">
        <v>292</v>
      </c>
      <c r="C92" s="3" t="str">
        <f t="shared" si="1"/>
        <v>45001351481290</v>
      </c>
      <c r="D92" s="3" t="s">
        <v>706</v>
      </c>
    </row>
    <row r="93" spans="1:4" x14ac:dyDescent="0.3">
      <c r="A93" s="3" t="s">
        <v>58</v>
      </c>
      <c r="B93" s="3" t="s">
        <v>32</v>
      </c>
      <c r="C93" s="3" t="str">
        <f t="shared" si="1"/>
        <v>450012757310</v>
      </c>
      <c r="D93" s="3" t="s">
        <v>711</v>
      </c>
    </row>
    <row r="94" spans="1:4" x14ac:dyDescent="0.3">
      <c r="A94" s="3" t="s">
        <v>58</v>
      </c>
      <c r="B94" s="3" t="s">
        <v>28</v>
      </c>
      <c r="C94" s="3" t="str">
        <f t="shared" si="1"/>
        <v>450012757320</v>
      </c>
      <c r="D94" s="3" t="s">
        <v>711</v>
      </c>
    </row>
    <row r="95" spans="1:4" x14ac:dyDescent="0.3">
      <c r="A95" s="3" t="s">
        <v>58</v>
      </c>
      <c r="B95" s="3" t="s">
        <v>54</v>
      </c>
      <c r="C95" s="3" t="str">
        <f t="shared" si="1"/>
        <v>450012757330</v>
      </c>
      <c r="D95" s="3" t="s">
        <v>711</v>
      </c>
    </row>
    <row r="96" spans="1:4" x14ac:dyDescent="0.3">
      <c r="A96" s="3" t="s">
        <v>58</v>
      </c>
      <c r="B96" s="3" t="s">
        <v>23</v>
      </c>
      <c r="C96" s="3" t="str">
        <f t="shared" si="1"/>
        <v>450012757340</v>
      </c>
      <c r="D96" s="3" t="s">
        <v>711</v>
      </c>
    </row>
    <row r="97" spans="1:4" x14ac:dyDescent="0.3">
      <c r="A97" s="3" t="s">
        <v>58</v>
      </c>
      <c r="B97" s="3" t="s">
        <v>55</v>
      </c>
      <c r="C97" s="3" t="str">
        <f t="shared" si="1"/>
        <v>450012757350</v>
      </c>
      <c r="D97" s="3" t="s">
        <v>711</v>
      </c>
    </row>
    <row r="98" spans="1:4" x14ac:dyDescent="0.3">
      <c r="A98" s="3" t="s">
        <v>93</v>
      </c>
      <c r="B98" s="3" t="s">
        <v>32</v>
      </c>
      <c r="C98" s="3" t="str">
        <f t="shared" si="1"/>
        <v>450012927810</v>
      </c>
      <c r="D98" s="3" t="s">
        <v>711</v>
      </c>
    </row>
    <row r="99" spans="1:4" x14ac:dyDescent="0.3">
      <c r="A99" s="3" t="s">
        <v>90</v>
      </c>
      <c r="B99" s="3" t="s">
        <v>32</v>
      </c>
      <c r="C99" s="3" t="str">
        <f t="shared" si="1"/>
        <v>450012775710</v>
      </c>
      <c r="D99" s="3" t="s">
        <v>713</v>
      </c>
    </row>
    <row r="100" spans="1:4" x14ac:dyDescent="0.3">
      <c r="A100" s="3" t="s">
        <v>90</v>
      </c>
      <c r="B100" s="3" t="s">
        <v>28</v>
      </c>
      <c r="C100" s="3" t="str">
        <f t="shared" si="1"/>
        <v>450012775720</v>
      </c>
      <c r="D100" s="3" t="s">
        <v>713</v>
      </c>
    </row>
    <row r="101" spans="1:4" x14ac:dyDescent="0.3">
      <c r="A101" s="3" t="s">
        <v>90</v>
      </c>
      <c r="B101" s="3" t="s">
        <v>54</v>
      </c>
      <c r="C101" s="3" t="str">
        <f t="shared" si="1"/>
        <v>450012775730</v>
      </c>
      <c r="D101" s="3" t="s">
        <v>713</v>
      </c>
    </row>
    <row r="102" spans="1:4" x14ac:dyDescent="0.3">
      <c r="A102" s="3" t="s">
        <v>90</v>
      </c>
      <c r="B102" s="3" t="s">
        <v>23</v>
      </c>
      <c r="C102" s="3" t="str">
        <f t="shared" si="1"/>
        <v>450012775740</v>
      </c>
      <c r="D102" s="3" t="s">
        <v>713</v>
      </c>
    </row>
    <row r="103" spans="1:4" x14ac:dyDescent="0.3">
      <c r="A103" s="3" t="s">
        <v>90</v>
      </c>
      <c r="B103" s="3" t="s">
        <v>55</v>
      </c>
      <c r="C103" s="3" t="str">
        <f t="shared" si="1"/>
        <v>450012775750</v>
      </c>
      <c r="D103" s="3" t="s">
        <v>713</v>
      </c>
    </row>
    <row r="104" spans="1:4" x14ac:dyDescent="0.3">
      <c r="A104" s="3" t="s">
        <v>90</v>
      </c>
      <c r="B104" s="3" t="s">
        <v>80</v>
      </c>
      <c r="C104" s="3" t="str">
        <f t="shared" si="1"/>
        <v>450012775760</v>
      </c>
      <c r="D104" s="3" t="s">
        <v>713</v>
      </c>
    </row>
    <row r="105" spans="1:4" x14ac:dyDescent="0.3">
      <c r="A105" s="3" t="s">
        <v>90</v>
      </c>
      <c r="B105" s="3" t="s">
        <v>81</v>
      </c>
      <c r="C105" s="3" t="str">
        <f t="shared" si="1"/>
        <v>450012775770</v>
      </c>
      <c r="D105" s="3" t="s">
        <v>713</v>
      </c>
    </row>
    <row r="106" spans="1:4" x14ac:dyDescent="0.3">
      <c r="A106" s="3" t="s">
        <v>90</v>
      </c>
      <c r="B106" s="3" t="s">
        <v>82</v>
      </c>
      <c r="C106" s="3" t="str">
        <f t="shared" si="1"/>
        <v>450012775780</v>
      </c>
      <c r="D106" s="3" t="s">
        <v>713</v>
      </c>
    </row>
    <row r="107" spans="1:4" x14ac:dyDescent="0.3">
      <c r="A107" s="3" t="s">
        <v>90</v>
      </c>
      <c r="B107" s="3" t="s">
        <v>83</v>
      </c>
      <c r="C107" s="3" t="str">
        <f t="shared" si="1"/>
        <v>450012775790</v>
      </c>
      <c r="D107" s="3" t="s">
        <v>713</v>
      </c>
    </row>
    <row r="108" spans="1:4" x14ac:dyDescent="0.3">
      <c r="A108" s="3" t="s">
        <v>90</v>
      </c>
      <c r="B108" s="3" t="s">
        <v>84</v>
      </c>
      <c r="C108" s="3" t="str">
        <f t="shared" si="1"/>
        <v>4500127757100</v>
      </c>
      <c r="D108" s="3" t="s">
        <v>713</v>
      </c>
    </row>
    <row r="109" spans="1:4" x14ac:dyDescent="0.3">
      <c r="A109" s="3" t="s">
        <v>90</v>
      </c>
      <c r="B109" s="3" t="s">
        <v>85</v>
      </c>
      <c r="C109" s="3" t="str">
        <f t="shared" si="1"/>
        <v>4500127757110</v>
      </c>
      <c r="D109" s="3" t="s">
        <v>713</v>
      </c>
    </row>
    <row r="110" spans="1:4" x14ac:dyDescent="0.3">
      <c r="A110" s="3" t="s">
        <v>90</v>
      </c>
      <c r="B110" s="3" t="s">
        <v>86</v>
      </c>
      <c r="C110" s="3" t="str">
        <f t="shared" si="1"/>
        <v>4500127757120</v>
      </c>
      <c r="D110" s="3" t="s">
        <v>713</v>
      </c>
    </row>
    <row r="111" spans="1:4" x14ac:dyDescent="0.3">
      <c r="A111" s="3" t="s">
        <v>90</v>
      </c>
      <c r="B111" s="3" t="s">
        <v>65</v>
      </c>
      <c r="C111" s="3" t="str">
        <f t="shared" si="1"/>
        <v>4500127757130</v>
      </c>
      <c r="D111" s="3" t="s">
        <v>713</v>
      </c>
    </row>
    <row r="112" spans="1:4" x14ac:dyDescent="0.3">
      <c r="A112" s="3" t="s">
        <v>90</v>
      </c>
      <c r="B112" s="3" t="s">
        <v>66</v>
      </c>
      <c r="C112" s="3" t="str">
        <f t="shared" si="1"/>
        <v>4500127757140</v>
      </c>
      <c r="D112" s="3" t="s">
        <v>713</v>
      </c>
    </row>
    <row r="113" spans="1:4" x14ac:dyDescent="0.3">
      <c r="A113" s="3" t="s">
        <v>90</v>
      </c>
      <c r="B113" s="3" t="s">
        <v>87</v>
      </c>
      <c r="C113" s="3" t="str">
        <f t="shared" si="1"/>
        <v>4500127757150</v>
      </c>
      <c r="D113" s="3" t="s">
        <v>713</v>
      </c>
    </row>
    <row r="114" spans="1:4" x14ac:dyDescent="0.3">
      <c r="A114" s="3" t="s">
        <v>90</v>
      </c>
      <c r="B114" s="3" t="s">
        <v>88</v>
      </c>
      <c r="C114" s="3" t="str">
        <f t="shared" si="1"/>
        <v>4500127757160</v>
      </c>
      <c r="D114" s="3" t="s">
        <v>713</v>
      </c>
    </row>
    <row r="115" spans="1:4" x14ac:dyDescent="0.3">
      <c r="A115" s="3" t="s">
        <v>90</v>
      </c>
      <c r="B115" s="3" t="s">
        <v>67</v>
      </c>
      <c r="C115" s="3" t="str">
        <f t="shared" si="1"/>
        <v>4500127757170</v>
      </c>
      <c r="D115" s="3" t="s">
        <v>713</v>
      </c>
    </row>
    <row r="116" spans="1:4" x14ac:dyDescent="0.3">
      <c r="A116" s="3" t="s">
        <v>90</v>
      </c>
      <c r="B116" s="3" t="s">
        <v>125</v>
      </c>
      <c r="C116" s="3" t="str">
        <f t="shared" si="1"/>
        <v>4500127757180</v>
      </c>
      <c r="D116" s="3" t="s">
        <v>713</v>
      </c>
    </row>
    <row r="117" spans="1:4" x14ac:dyDescent="0.3">
      <c r="A117" s="3" t="s">
        <v>90</v>
      </c>
      <c r="B117" s="3" t="s">
        <v>91</v>
      </c>
      <c r="C117" s="3" t="str">
        <f t="shared" si="1"/>
        <v>4500127757190</v>
      </c>
      <c r="D117" s="3" t="s">
        <v>713</v>
      </c>
    </row>
    <row r="118" spans="1:4" x14ac:dyDescent="0.3">
      <c r="A118" s="3" t="s">
        <v>90</v>
      </c>
      <c r="B118" s="3" t="s">
        <v>92</v>
      </c>
      <c r="C118" s="3" t="str">
        <f t="shared" si="1"/>
        <v>4500127757200</v>
      </c>
      <c r="D118" s="3" t="s">
        <v>713</v>
      </c>
    </row>
    <row r="119" spans="1:4" x14ac:dyDescent="0.3">
      <c r="A119" s="3" t="s">
        <v>90</v>
      </c>
      <c r="B119" s="3" t="s">
        <v>43</v>
      </c>
      <c r="C119" s="3" t="str">
        <f t="shared" si="1"/>
        <v>4500127757210</v>
      </c>
      <c r="D119" s="3" t="s">
        <v>713</v>
      </c>
    </row>
    <row r="120" spans="1:4" x14ac:dyDescent="0.3">
      <c r="A120" s="3" t="s">
        <v>95</v>
      </c>
      <c r="B120" s="3" t="s">
        <v>32</v>
      </c>
      <c r="C120" s="3" t="str">
        <f t="shared" si="1"/>
        <v>450012855510</v>
      </c>
      <c r="D120" s="3" t="s">
        <v>711</v>
      </c>
    </row>
    <row r="121" spans="1:4" x14ac:dyDescent="0.3">
      <c r="A121" s="3" t="s">
        <v>220</v>
      </c>
      <c r="B121" s="3" t="s">
        <v>32</v>
      </c>
      <c r="C121" s="3" t="str">
        <f t="shared" si="1"/>
        <v>450013155110</v>
      </c>
      <c r="D121" s="3" t="s">
        <v>706</v>
      </c>
    </row>
    <row r="122" spans="1:4" x14ac:dyDescent="0.3">
      <c r="A122" s="3" t="s">
        <v>218</v>
      </c>
      <c r="B122" s="3" t="s">
        <v>32</v>
      </c>
      <c r="C122" s="3" t="str">
        <f t="shared" si="1"/>
        <v>450013086810</v>
      </c>
      <c r="D122" s="3" t="s">
        <v>707</v>
      </c>
    </row>
    <row r="123" spans="1:4" x14ac:dyDescent="0.3">
      <c r="A123" s="3" t="s">
        <v>529</v>
      </c>
      <c r="B123" s="3" t="s">
        <v>32</v>
      </c>
      <c r="C123" s="3" t="str">
        <f t="shared" si="1"/>
        <v>450013118210</v>
      </c>
      <c r="D123" s="3" t="s">
        <v>711</v>
      </c>
    </row>
    <row r="124" spans="1:4" x14ac:dyDescent="0.3">
      <c r="A124" s="3" t="s">
        <v>529</v>
      </c>
      <c r="B124" s="3" t="s">
        <v>28</v>
      </c>
      <c r="C124" s="3" t="str">
        <f t="shared" si="1"/>
        <v>450013118220</v>
      </c>
      <c r="D124" s="3" t="s">
        <v>711</v>
      </c>
    </row>
    <row r="125" spans="1:4" x14ac:dyDescent="0.3">
      <c r="A125" s="3" t="s">
        <v>346</v>
      </c>
      <c r="B125" s="3" t="s">
        <v>32</v>
      </c>
      <c r="C125" s="3" t="str">
        <f t="shared" si="1"/>
        <v>450013225110</v>
      </c>
      <c r="D125" s="3" t="s">
        <v>712</v>
      </c>
    </row>
    <row r="126" spans="1:4" x14ac:dyDescent="0.3">
      <c r="A126" s="3" t="s">
        <v>346</v>
      </c>
      <c r="B126" s="3" t="s">
        <v>28</v>
      </c>
      <c r="C126" s="3" t="str">
        <f t="shared" si="1"/>
        <v>450013225120</v>
      </c>
      <c r="D126" s="3" t="s">
        <v>712</v>
      </c>
    </row>
    <row r="127" spans="1:4" x14ac:dyDescent="0.3">
      <c r="A127" s="3" t="s">
        <v>346</v>
      </c>
      <c r="B127" s="3" t="s">
        <v>54</v>
      </c>
      <c r="C127" s="3" t="str">
        <f t="shared" si="1"/>
        <v>450013225130</v>
      </c>
      <c r="D127" s="3" t="s">
        <v>712</v>
      </c>
    </row>
    <row r="128" spans="1:4" x14ac:dyDescent="0.3">
      <c r="A128" s="3" t="s">
        <v>346</v>
      </c>
      <c r="B128" s="3" t="s">
        <v>23</v>
      </c>
      <c r="C128" s="3" t="str">
        <f t="shared" si="1"/>
        <v>450013225140</v>
      </c>
      <c r="D128" s="3" t="s">
        <v>712</v>
      </c>
    </row>
    <row r="129" spans="1:4" x14ac:dyDescent="0.3">
      <c r="A129" s="3" t="s">
        <v>346</v>
      </c>
      <c r="B129" s="3" t="s">
        <v>55</v>
      </c>
      <c r="C129" s="3" t="str">
        <f t="shared" si="1"/>
        <v>450013225150</v>
      </c>
      <c r="D129" s="3" t="s">
        <v>712</v>
      </c>
    </row>
    <row r="130" spans="1:4" x14ac:dyDescent="0.3">
      <c r="A130" s="3" t="s">
        <v>346</v>
      </c>
      <c r="B130" s="3" t="s">
        <v>80</v>
      </c>
      <c r="C130" s="3" t="str">
        <f t="shared" si="1"/>
        <v>450013225160</v>
      </c>
      <c r="D130" s="3" t="s">
        <v>712</v>
      </c>
    </row>
    <row r="131" spans="1:4" x14ac:dyDescent="0.3">
      <c r="A131" s="3" t="s">
        <v>346</v>
      </c>
      <c r="B131" s="3" t="s">
        <v>81</v>
      </c>
      <c r="C131" s="3" t="str">
        <f t="shared" ref="C131:C194" si="2">_xlfn.CONCAT(A131:B131)</f>
        <v>450013225170</v>
      </c>
      <c r="D131" s="3" t="s">
        <v>712</v>
      </c>
    </row>
    <row r="132" spans="1:4" x14ac:dyDescent="0.3">
      <c r="A132" s="3" t="s">
        <v>346</v>
      </c>
      <c r="B132" s="3" t="s">
        <v>82</v>
      </c>
      <c r="C132" s="3" t="str">
        <f t="shared" si="2"/>
        <v>450013225180</v>
      </c>
      <c r="D132" s="3" t="s">
        <v>712</v>
      </c>
    </row>
    <row r="133" spans="1:4" x14ac:dyDescent="0.3">
      <c r="A133" s="3" t="s">
        <v>346</v>
      </c>
      <c r="B133" s="3" t="s">
        <v>83</v>
      </c>
      <c r="C133" s="3" t="str">
        <f t="shared" si="2"/>
        <v>450013225190</v>
      </c>
      <c r="D133" s="3" t="s">
        <v>712</v>
      </c>
    </row>
    <row r="134" spans="1:4" x14ac:dyDescent="0.3">
      <c r="A134" s="3" t="s">
        <v>203</v>
      </c>
      <c r="B134" s="3" t="s">
        <v>32</v>
      </c>
      <c r="C134" s="3" t="str">
        <f t="shared" si="2"/>
        <v>450012949210</v>
      </c>
      <c r="D134" s="3" t="s">
        <v>707</v>
      </c>
    </row>
    <row r="135" spans="1:4" x14ac:dyDescent="0.3">
      <c r="A135" s="3" t="s">
        <v>203</v>
      </c>
      <c r="B135" s="3" t="s">
        <v>28</v>
      </c>
      <c r="C135" s="3" t="str">
        <f t="shared" si="2"/>
        <v>450012949220</v>
      </c>
      <c r="D135" s="3" t="s">
        <v>707</v>
      </c>
    </row>
    <row r="136" spans="1:4" x14ac:dyDescent="0.3">
      <c r="A136" s="3" t="s">
        <v>203</v>
      </c>
      <c r="B136" s="3" t="s">
        <v>54</v>
      </c>
      <c r="C136" s="3" t="str">
        <f t="shared" si="2"/>
        <v>450012949230</v>
      </c>
      <c r="D136" s="3" t="s">
        <v>707</v>
      </c>
    </row>
    <row r="137" spans="1:4" x14ac:dyDescent="0.3">
      <c r="A137" s="3" t="s">
        <v>203</v>
      </c>
      <c r="B137" s="3" t="s">
        <v>23</v>
      </c>
      <c r="C137" s="3" t="str">
        <f t="shared" si="2"/>
        <v>450012949240</v>
      </c>
      <c r="D137" s="3" t="s">
        <v>707</v>
      </c>
    </row>
    <row r="138" spans="1:4" x14ac:dyDescent="0.3">
      <c r="A138" s="3" t="s">
        <v>203</v>
      </c>
      <c r="B138" s="3" t="s">
        <v>55</v>
      </c>
      <c r="C138" s="3" t="str">
        <f t="shared" si="2"/>
        <v>450012949250</v>
      </c>
      <c r="D138" s="3" t="s">
        <v>707</v>
      </c>
    </row>
    <row r="139" spans="1:4" x14ac:dyDescent="0.3">
      <c r="A139" s="3" t="s">
        <v>203</v>
      </c>
      <c r="B139" s="3" t="s">
        <v>80</v>
      </c>
      <c r="C139" s="3" t="str">
        <f t="shared" si="2"/>
        <v>450012949260</v>
      </c>
      <c r="D139" s="3" t="s">
        <v>707</v>
      </c>
    </row>
    <row r="140" spans="1:4" x14ac:dyDescent="0.3">
      <c r="A140" s="3" t="s">
        <v>203</v>
      </c>
      <c r="B140" s="3" t="s">
        <v>81</v>
      </c>
      <c r="C140" s="3" t="str">
        <f t="shared" si="2"/>
        <v>450012949270</v>
      </c>
      <c r="D140" s="3" t="s">
        <v>707</v>
      </c>
    </row>
    <row r="141" spans="1:4" x14ac:dyDescent="0.3">
      <c r="A141" s="3" t="s">
        <v>225</v>
      </c>
      <c r="B141" s="3" t="s">
        <v>227</v>
      </c>
      <c r="C141" s="3" t="str">
        <f t="shared" si="2"/>
        <v>45001308791260</v>
      </c>
      <c r="D141" s="3" t="s">
        <v>706</v>
      </c>
    </row>
    <row r="142" spans="1:4" x14ac:dyDescent="0.3">
      <c r="A142" s="3" t="s">
        <v>225</v>
      </c>
      <c r="B142" s="3" t="s">
        <v>292</v>
      </c>
      <c r="C142" s="3" t="str">
        <f t="shared" si="2"/>
        <v>45001308791290</v>
      </c>
      <c r="D142" s="3" t="s">
        <v>706</v>
      </c>
    </row>
    <row r="143" spans="1:4" x14ac:dyDescent="0.3">
      <c r="A143" s="3" t="s">
        <v>364</v>
      </c>
      <c r="B143" s="3" t="s">
        <v>55</v>
      </c>
      <c r="C143" s="3" t="str">
        <f t="shared" si="2"/>
        <v>450013045850</v>
      </c>
      <c r="D143" s="3" t="s">
        <v>707</v>
      </c>
    </row>
    <row r="144" spans="1:4" x14ac:dyDescent="0.3">
      <c r="A144" s="3" t="s">
        <v>313</v>
      </c>
      <c r="B144" s="3" t="s">
        <v>32</v>
      </c>
      <c r="C144" s="3" t="str">
        <f t="shared" si="2"/>
        <v>450013019310</v>
      </c>
      <c r="D144" s="3" t="s">
        <v>711</v>
      </c>
    </row>
    <row r="145" spans="1:4" x14ac:dyDescent="0.3">
      <c r="A145" s="3" t="s">
        <v>313</v>
      </c>
      <c r="B145" s="3" t="s">
        <v>28</v>
      </c>
      <c r="C145" s="3" t="str">
        <f t="shared" si="2"/>
        <v>450013019320</v>
      </c>
      <c r="D145" s="3" t="s">
        <v>711</v>
      </c>
    </row>
    <row r="146" spans="1:4" x14ac:dyDescent="0.3">
      <c r="A146" s="3" t="s">
        <v>313</v>
      </c>
      <c r="B146" s="3" t="s">
        <v>54</v>
      </c>
      <c r="C146" s="3" t="str">
        <f t="shared" si="2"/>
        <v>450013019330</v>
      </c>
      <c r="D146" s="3" t="s">
        <v>711</v>
      </c>
    </row>
    <row r="147" spans="1:4" x14ac:dyDescent="0.3">
      <c r="A147" s="3" t="s">
        <v>364</v>
      </c>
      <c r="B147" s="3" t="s">
        <v>23</v>
      </c>
      <c r="C147" s="3" t="str">
        <f t="shared" si="2"/>
        <v>450013045840</v>
      </c>
      <c r="D147" s="3" t="s">
        <v>707</v>
      </c>
    </row>
    <row r="148" spans="1:4" x14ac:dyDescent="0.3">
      <c r="A148" s="3" t="s">
        <v>480</v>
      </c>
      <c r="B148" s="3" t="s">
        <v>32</v>
      </c>
      <c r="C148" s="3" t="str">
        <f t="shared" si="2"/>
        <v>450013011110</v>
      </c>
      <c r="D148" s="3" t="s">
        <v>714</v>
      </c>
    </row>
    <row r="149" spans="1:4" x14ac:dyDescent="0.3">
      <c r="A149" s="3" t="s">
        <v>218</v>
      </c>
      <c r="B149" s="3" t="s">
        <v>28</v>
      </c>
      <c r="C149" s="3" t="str">
        <f t="shared" si="2"/>
        <v>450013086820</v>
      </c>
      <c r="D149" s="3" t="s">
        <v>707</v>
      </c>
    </row>
    <row r="150" spans="1:4" x14ac:dyDescent="0.3">
      <c r="A150" s="3" t="s">
        <v>222</v>
      </c>
      <c r="B150" s="3" t="s">
        <v>32</v>
      </c>
      <c r="C150" s="3" t="str">
        <f t="shared" si="2"/>
        <v>450013012510</v>
      </c>
      <c r="D150" s="3" t="s">
        <v>715</v>
      </c>
    </row>
    <row r="151" spans="1:4" x14ac:dyDescent="0.3">
      <c r="A151" s="3" t="s">
        <v>222</v>
      </c>
      <c r="B151" s="3" t="s">
        <v>28</v>
      </c>
      <c r="C151" s="3" t="str">
        <f t="shared" si="2"/>
        <v>450013012520</v>
      </c>
      <c r="D151" s="3" t="s">
        <v>715</v>
      </c>
    </row>
    <row r="152" spans="1:4" x14ac:dyDescent="0.3">
      <c r="A152" s="3" t="s">
        <v>222</v>
      </c>
      <c r="B152" s="3" t="s">
        <v>54</v>
      </c>
      <c r="C152" s="3" t="str">
        <f t="shared" si="2"/>
        <v>450013012530</v>
      </c>
      <c r="D152" s="3" t="s">
        <v>715</v>
      </c>
    </row>
    <row r="153" spans="1:4" x14ac:dyDescent="0.3">
      <c r="A153" s="3" t="s">
        <v>234</v>
      </c>
      <c r="B153" s="3" t="s">
        <v>32</v>
      </c>
      <c r="C153" s="3" t="str">
        <f t="shared" si="2"/>
        <v>450013137110</v>
      </c>
      <c r="D153" s="3" t="s">
        <v>716</v>
      </c>
    </row>
    <row r="154" spans="1:4" x14ac:dyDescent="0.3">
      <c r="A154" s="3" t="s">
        <v>234</v>
      </c>
      <c r="B154" s="3" t="s">
        <v>28</v>
      </c>
      <c r="C154" s="3" t="str">
        <f t="shared" si="2"/>
        <v>450013137120</v>
      </c>
      <c r="D154" s="3" t="s">
        <v>716</v>
      </c>
    </row>
    <row r="155" spans="1:4" x14ac:dyDescent="0.3">
      <c r="A155" s="3" t="s">
        <v>364</v>
      </c>
      <c r="B155" s="3" t="s">
        <v>54</v>
      </c>
      <c r="C155" s="3" t="str">
        <f t="shared" si="2"/>
        <v>450013045830</v>
      </c>
      <c r="D155" s="3" t="s">
        <v>707</v>
      </c>
    </row>
    <row r="156" spans="1:4" x14ac:dyDescent="0.3">
      <c r="A156" s="3" t="s">
        <v>364</v>
      </c>
      <c r="B156" s="3" t="s">
        <v>28</v>
      </c>
      <c r="C156" s="3" t="str">
        <f t="shared" si="2"/>
        <v>450013045820</v>
      </c>
      <c r="D156" s="3" t="s">
        <v>707</v>
      </c>
    </row>
    <row r="157" spans="1:4" x14ac:dyDescent="0.3">
      <c r="A157" s="3" t="s">
        <v>364</v>
      </c>
      <c r="B157" s="3" t="s">
        <v>32</v>
      </c>
      <c r="C157" s="3" t="str">
        <f t="shared" si="2"/>
        <v>450013045810</v>
      </c>
      <c r="D157" s="3" t="s">
        <v>707</v>
      </c>
    </row>
    <row r="158" spans="1:4" x14ac:dyDescent="0.3">
      <c r="A158" s="3" t="s">
        <v>364</v>
      </c>
      <c r="B158" s="3" t="s">
        <v>80</v>
      </c>
      <c r="C158" s="3" t="str">
        <f t="shared" si="2"/>
        <v>450013045860</v>
      </c>
      <c r="D158" s="3" t="s">
        <v>707</v>
      </c>
    </row>
    <row r="159" spans="1:4" x14ac:dyDescent="0.3">
      <c r="A159" s="3" t="s">
        <v>229</v>
      </c>
      <c r="B159" s="3" t="s">
        <v>32</v>
      </c>
      <c r="C159" s="3" t="str">
        <f t="shared" si="2"/>
        <v>450013144010</v>
      </c>
      <c r="D159" s="3" t="s">
        <v>717</v>
      </c>
    </row>
    <row r="160" spans="1:4" x14ac:dyDescent="0.3">
      <c r="A160" s="3" t="s">
        <v>229</v>
      </c>
      <c r="B160" s="3" t="s">
        <v>28</v>
      </c>
      <c r="C160" s="3" t="str">
        <f t="shared" si="2"/>
        <v>450013144020</v>
      </c>
      <c r="D160" s="3" t="s">
        <v>717</v>
      </c>
    </row>
    <row r="161" spans="1:4" x14ac:dyDescent="0.3">
      <c r="A161" s="3" t="s">
        <v>229</v>
      </c>
      <c r="B161" s="3" t="s">
        <v>54</v>
      </c>
      <c r="C161" s="3" t="str">
        <f t="shared" si="2"/>
        <v>450013144030</v>
      </c>
      <c r="D161" s="3" t="s">
        <v>717</v>
      </c>
    </row>
    <row r="162" spans="1:4" x14ac:dyDescent="0.3">
      <c r="A162" s="3" t="s">
        <v>229</v>
      </c>
      <c r="B162" s="3" t="s">
        <v>23</v>
      </c>
      <c r="C162" s="3" t="str">
        <f t="shared" si="2"/>
        <v>450013144040</v>
      </c>
      <c r="D162" s="3" t="s">
        <v>717</v>
      </c>
    </row>
    <row r="163" spans="1:4" x14ac:dyDescent="0.3">
      <c r="A163" s="3" t="s">
        <v>229</v>
      </c>
      <c r="B163" s="3" t="s">
        <v>55</v>
      </c>
      <c r="C163" s="3" t="str">
        <f t="shared" si="2"/>
        <v>450013144050</v>
      </c>
      <c r="D163" s="3" t="s">
        <v>717</v>
      </c>
    </row>
    <row r="164" spans="1:4" x14ac:dyDescent="0.3">
      <c r="A164" s="3" t="s">
        <v>64</v>
      </c>
      <c r="B164" s="3" t="s">
        <v>32</v>
      </c>
      <c r="C164" s="3" t="str">
        <f t="shared" si="2"/>
        <v>450013821110</v>
      </c>
      <c r="D164" s="3" t="s">
        <v>706</v>
      </c>
    </row>
    <row r="165" spans="1:4" x14ac:dyDescent="0.3">
      <c r="A165" s="3" t="s">
        <v>231</v>
      </c>
      <c r="B165" s="3" t="s">
        <v>32</v>
      </c>
      <c r="C165" s="3" t="str">
        <f t="shared" si="2"/>
        <v>450013128010</v>
      </c>
      <c r="D165" s="3" t="s">
        <v>714</v>
      </c>
    </row>
    <row r="166" spans="1:4" x14ac:dyDescent="0.3">
      <c r="A166" s="3" t="s">
        <v>231</v>
      </c>
      <c r="B166" s="3" t="s">
        <v>28</v>
      </c>
      <c r="C166" s="3" t="str">
        <f t="shared" si="2"/>
        <v>450013128020</v>
      </c>
      <c r="D166" s="3" t="s">
        <v>714</v>
      </c>
    </row>
    <row r="167" spans="1:4" x14ac:dyDescent="0.3">
      <c r="A167" s="3" t="s">
        <v>334</v>
      </c>
      <c r="B167" s="3" t="s">
        <v>32</v>
      </c>
      <c r="C167" s="3" t="str">
        <f t="shared" si="2"/>
        <v>450013224610</v>
      </c>
      <c r="D167" s="3" t="s">
        <v>718</v>
      </c>
    </row>
    <row r="168" spans="1:4" x14ac:dyDescent="0.3">
      <c r="A168" s="3" t="s">
        <v>236</v>
      </c>
      <c r="B168" s="3" t="s">
        <v>238</v>
      </c>
      <c r="C168" s="3" t="str">
        <f t="shared" si="2"/>
        <v>4500132453810</v>
      </c>
      <c r="D168" s="3" t="s">
        <v>706</v>
      </c>
    </row>
    <row r="169" spans="1:4" x14ac:dyDescent="0.3">
      <c r="A169" s="3" t="s">
        <v>236</v>
      </c>
      <c r="B169" s="3" t="s">
        <v>239</v>
      </c>
      <c r="C169" s="3" t="str">
        <f t="shared" si="2"/>
        <v>4500132453860</v>
      </c>
      <c r="D169" s="3" t="s">
        <v>706</v>
      </c>
    </row>
    <row r="170" spans="1:4" x14ac:dyDescent="0.3">
      <c r="A170" s="3" t="s">
        <v>236</v>
      </c>
      <c r="B170" s="3" t="s">
        <v>240</v>
      </c>
      <c r="C170" s="3" t="str">
        <f t="shared" si="2"/>
        <v>4500132453880</v>
      </c>
      <c r="D170" s="3" t="s">
        <v>706</v>
      </c>
    </row>
    <row r="171" spans="1:4" x14ac:dyDescent="0.3">
      <c r="A171" s="3" t="s">
        <v>270</v>
      </c>
      <c r="B171" s="3" t="s">
        <v>130</v>
      </c>
      <c r="C171" s="3" t="str">
        <f t="shared" si="2"/>
        <v>4500134134270</v>
      </c>
      <c r="D171" s="3" t="s">
        <v>706</v>
      </c>
    </row>
    <row r="172" spans="1:4" x14ac:dyDescent="0.3">
      <c r="A172" s="3" t="s">
        <v>270</v>
      </c>
      <c r="B172" s="3" t="s">
        <v>132</v>
      </c>
      <c r="C172" s="3" t="str">
        <f t="shared" si="2"/>
        <v>4500134134290</v>
      </c>
      <c r="D172" s="3" t="s">
        <v>706</v>
      </c>
    </row>
    <row r="173" spans="1:4" x14ac:dyDescent="0.3">
      <c r="A173" s="3" t="s">
        <v>270</v>
      </c>
      <c r="B173" s="3" t="s">
        <v>134</v>
      </c>
      <c r="C173" s="3" t="str">
        <f t="shared" si="2"/>
        <v>4500134134310</v>
      </c>
      <c r="D173" s="3" t="s">
        <v>706</v>
      </c>
    </row>
    <row r="174" spans="1:4" x14ac:dyDescent="0.3">
      <c r="A174" s="3" t="s">
        <v>289</v>
      </c>
      <c r="B174" s="3" t="s">
        <v>32</v>
      </c>
      <c r="C174" s="3" t="str">
        <f t="shared" si="2"/>
        <v>450013530710</v>
      </c>
      <c r="D174" s="3" t="s">
        <v>706</v>
      </c>
    </row>
    <row r="175" spans="1:4" x14ac:dyDescent="0.3">
      <c r="A175" s="3" t="s">
        <v>236</v>
      </c>
      <c r="B175" s="3" t="s">
        <v>241</v>
      </c>
      <c r="C175" s="3" t="str">
        <f t="shared" si="2"/>
        <v>4500132453950</v>
      </c>
      <c r="D175" s="3" t="s">
        <v>706</v>
      </c>
    </row>
    <row r="176" spans="1:4" x14ac:dyDescent="0.3">
      <c r="A176" s="3" t="s">
        <v>236</v>
      </c>
      <c r="B176" s="3" t="s">
        <v>242</v>
      </c>
      <c r="C176" s="3" t="str">
        <f t="shared" si="2"/>
        <v>4500132453980</v>
      </c>
      <c r="D176" s="3" t="s">
        <v>706</v>
      </c>
    </row>
    <row r="177" spans="1:4" x14ac:dyDescent="0.3">
      <c r="A177" s="3" t="s">
        <v>64</v>
      </c>
      <c r="B177" s="3" t="s">
        <v>28</v>
      </c>
      <c r="C177" s="3" t="str">
        <f t="shared" si="2"/>
        <v>450013821120</v>
      </c>
      <c r="D177" s="3" t="s">
        <v>706</v>
      </c>
    </row>
    <row r="178" spans="1:4" x14ac:dyDescent="0.3">
      <c r="A178" s="3" t="s">
        <v>295</v>
      </c>
      <c r="B178" s="3" t="s">
        <v>88</v>
      </c>
      <c r="C178" s="3" t="str">
        <f t="shared" si="2"/>
        <v>4500133466160</v>
      </c>
      <c r="D178" s="3" t="s">
        <v>706</v>
      </c>
    </row>
    <row r="179" spans="1:4" x14ac:dyDescent="0.3">
      <c r="A179" s="3" t="s">
        <v>280</v>
      </c>
      <c r="B179" s="3" t="s">
        <v>67</v>
      </c>
      <c r="C179" s="3" t="str">
        <f t="shared" si="2"/>
        <v>4500134715170</v>
      </c>
      <c r="D179" s="3" t="s">
        <v>706</v>
      </c>
    </row>
    <row r="180" spans="1:4" x14ac:dyDescent="0.3">
      <c r="A180" s="3" t="s">
        <v>280</v>
      </c>
      <c r="B180" s="3" t="s">
        <v>125</v>
      </c>
      <c r="C180" s="3" t="str">
        <f t="shared" si="2"/>
        <v>4500134715180</v>
      </c>
      <c r="D180" s="3" t="s">
        <v>706</v>
      </c>
    </row>
    <row r="181" spans="1:4" x14ac:dyDescent="0.3">
      <c r="A181" s="3" t="s">
        <v>295</v>
      </c>
      <c r="B181" s="3" t="s">
        <v>91</v>
      </c>
      <c r="C181" s="3" t="str">
        <f t="shared" si="2"/>
        <v>4500133466190</v>
      </c>
      <c r="D181" s="3" t="s">
        <v>706</v>
      </c>
    </row>
    <row r="182" spans="1:4" x14ac:dyDescent="0.3">
      <c r="A182" s="3" t="s">
        <v>64</v>
      </c>
      <c r="B182" s="3" t="s">
        <v>54</v>
      </c>
      <c r="C182" s="3" t="str">
        <f t="shared" si="2"/>
        <v>450013821130</v>
      </c>
      <c r="D182" s="3" t="s">
        <v>706</v>
      </c>
    </row>
    <row r="183" spans="1:4" x14ac:dyDescent="0.3">
      <c r="A183" s="3" t="s">
        <v>64</v>
      </c>
      <c r="B183" s="3" t="s">
        <v>23</v>
      </c>
      <c r="C183" s="3" t="str">
        <f t="shared" si="2"/>
        <v>450013821140</v>
      </c>
      <c r="D183" s="3" t="s">
        <v>706</v>
      </c>
    </row>
    <row r="184" spans="1:4" x14ac:dyDescent="0.3">
      <c r="A184" s="3" t="s">
        <v>64</v>
      </c>
      <c r="B184" s="3" t="s">
        <v>55</v>
      </c>
      <c r="C184" s="3" t="str">
        <f t="shared" si="2"/>
        <v>450013821150</v>
      </c>
      <c r="D184" s="3" t="s">
        <v>706</v>
      </c>
    </row>
    <row r="185" spans="1:4" x14ac:dyDescent="0.3">
      <c r="A185" s="3" t="s">
        <v>64</v>
      </c>
      <c r="B185" s="3" t="s">
        <v>80</v>
      </c>
      <c r="C185" s="3" t="str">
        <f t="shared" si="2"/>
        <v>450013821160</v>
      </c>
      <c r="D185" s="3" t="s">
        <v>706</v>
      </c>
    </row>
    <row r="186" spans="1:4" x14ac:dyDescent="0.3">
      <c r="A186" s="3" t="s">
        <v>64</v>
      </c>
      <c r="B186" s="3" t="s">
        <v>81</v>
      </c>
      <c r="C186" s="3" t="str">
        <f t="shared" si="2"/>
        <v>450013821170</v>
      </c>
      <c r="D186" s="3" t="s">
        <v>706</v>
      </c>
    </row>
    <row r="187" spans="1:4" x14ac:dyDescent="0.3">
      <c r="A187" s="3" t="s">
        <v>64</v>
      </c>
      <c r="B187" s="3" t="s">
        <v>82</v>
      </c>
      <c r="C187" s="3" t="str">
        <f t="shared" si="2"/>
        <v>450013821180</v>
      </c>
      <c r="D187" s="3" t="s">
        <v>706</v>
      </c>
    </row>
    <row r="188" spans="1:4" x14ac:dyDescent="0.3">
      <c r="A188" s="3" t="s">
        <v>263</v>
      </c>
      <c r="B188" s="3" t="s">
        <v>264</v>
      </c>
      <c r="C188" s="3" t="str">
        <f t="shared" si="2"/>
        <v>4500133085720</v>
      </c>
      <c r="D188" s="3" t="s">
        <v>706</v>
      </c>
    </row>
    <row r="189" spans="1:4" x14ac:dyDescent="0.3">
      <c r="A189" s="3" t="s">
        <v>236</v>
      </c>
      <c r="B189" s="3" t="s">
        <v>237</v>
      </c>
      <c r="C189" s="3" t="str">
        <f t="shared" si="2"/>
        <v>4500132453600</v>
      </c>
      <c r="D189" s="3" t="s">
        <v>706</v>
      </c>
    </row>
    <row r="190" spans="1:4" x14ac:dyDescent="0.3">
      <c r="A190" s="3" t="s">
        <v>64</v>
      </c>
      <c r="B190" s="3" t="s">
        <v>84</v>
      </c>
      <c r="C190" s="3" t="str">
        <f t="shared" si="2"/>
        <v>4500138211100</v>
      </c>
      <c r="D190" s="3" t="s">
        <v>706</v>
      </c>
    </row>
    <row r="191" spans="1:4" x14ac:dyDescent="0.3">
      <c r="A191" s="3" t="s">
        <v>298</v>
      </c>
      <c r="B191" s="3" t="s">
        <v>54</v>
      </c>
      <c r="C191" s="3" t="str">
        <f t="shared" si="2"/>
        <v>450013566130</v>
      </c>
      <c r="D191" s="3" t="s">
        <v>706</v>
      </c>
    </row>
    <row r="192" spans="1:4" x14ac:dyDescent="0.3">
      <c r="A192" s="3" t="s">
        <v>492</v>
      </c>
      <c r="B192" s="3" t="s">
        <v>28</v>
      </c>
      <c r="C192" s="3" t="str">
        <f t="shared" si="2"/>
        <v>450013976920</v>
      </c>
      <c r="D192" s="3" t="s">
        <v>706</v>
      </c>
    </row>
    <row r="193" spans="1:4" x14ac:dyDescent="0.3">
      <c r="A193" s="3" t="s">
        <v>271</v>
      </c>
      <c r="B193" s="3" t="s">
        <v>272</v>
      </c>
      <c r="C193" s="3" t="str">
        <f t="shared" si="2"/>
        <v>4500134136930</v>
      </c>
      <c r="D193" s="3" t="s">
        <v>706</v>
      </c>
    </row>
    <row r="194" spans="1:4" x14ac:dyDescent="0.3">
      <c r="A194" s="3" t="s">
        <v>271</v>
      </c>
      <c r="B194" s="3" t="s">
        <v>273</v>
      </c>
      <c r="C194" s="3" t="str">
        <f t="shared" si="2"/>
        <v>45001341361030</v>
      </c>
      <c r="D194" s="3" t="s">
        <v>706</v>
      </c>
    </row>
    <row r="195" spans="1:4" x14ac:dyDescent="0.3">
      <c r="A195" s="3" t="s">
        <v>271</v>
      </c>
      <c r="B195" s="3" t="s">
        <v>620</v>
      </c>
      <c r="C195" s="3" t="str">
        <f t="shared" ref="C195:C256" si="3">_xlfn.CONCAT(A195:B195)</f>
        <v>45001341361040</v>
      </c>
      <c r="D195" s="3" t="s">
        <v>706</v>
      </c>
    </row>
    <row r="196" spans="1:4" x14ac:dyDescent="0.3">
      <c r="A196" s="3" t="s">
        <v>271</v>
      </c>
      <c r="B196" s="3" t="s">
        <v>274</v>
      </c>
      <c r="C196" s="3" t="str">
        <f t="shared" si="3"/>
        <v>45001341361050</v>
      </c>
      <c r="D196" s="3" t="s">
        <v>706</v>
      </c>
    </row>
    <row r="197" spans="1:4" x14ac:dyDescent="0.3">
      <c r="A197" s="3" t="s">
        <v>271</v>
      </c>
      <c r="B197" s="3" t="s">
        <v>226</v>
      </c>
      <c r="C197" s="3" t="str">
        <f t="shared" si="3"/>
        <v>45001341361060</v>
      </c>
      <c r="D197" s="3" t="s">
        <v>706</v>
      </c>
    </row>
    <row r="198" spans="1:4" x14ac:dyDescent="0.3">
      <c r="A198" s="3" t="s">
        <v>291</v>
      </c>
      <c r="B198" s="3" t="s">
        <v>293</v>
      </c>
      <c r="C198" s="3" t="str">
        <f t="shared" si="3"/>
        <v>45001351481300</v>
      </c>
      <c r="D198" s="3" t="s">
        <v>706</v>
      </c>
    </row>
    <row r="199" spans="1:4" x14ac:dyDescent="0.3">
      <c r="A199" s="3" t="s">
        <v>280</v>
      </c>
      <c r="B199" s="3" t="s">
        <v>281</v>
      </c>
      <c r="C199" s="3" t="str">
        <f t="shared" si="3"/>
        <v>45001347151340</v>
      </c>
      <c r="D199" s="3" t="s">
        <v>706</v>
      </c>
    </row>
    <row r="200" spans="1:4" x14ac:dyDescent="0.3">
      <c r="A200" s="3" t="s">
        <v>280</v>
      </c>
      <c r="B200" s="3" t="s">
        <v>282</v>
      </c>
      <c r="C200" s="3" t="str">
        <f t="shared" si="3"/>
        <v>45001347151350</v>
      </c>
      <c r="D200" s="3" t="s">
        <v>706</v>
      </c>
    </row>
    <row r="201" spans="1:4" x14ac:dyDescent="0.3">
      <c r="A201" s="3" t="s">
        <v>258</v>
      </c>
      <c r="B201" s="3" t="s">
        <v>32</v>
      </c>
      <c r="C201" s="3" t="str">
        <f t="shared" si="3"/>
        <v>450013260810</v>
      </c>
      <c r="D201" s="3" t="s">
        <v>707</v>
      </c>
    </row>
    <row r="202" spans="1:4" x14ac:dyDescent="0.3">
      <c r="A202" s="3" t="s">
        <v>342</v>
      </c>
      <c r="B202" s="3" t="s">
        <v>32</v>
      </c>
      <c r="C202" s="3" t="str">
        <f t="shared" si="3"/>
        <v>450013271710</v>
      </c>
      <c r="D202" s="3" t="s">
        <v>719</v>
      </c>
    </row>
    <row r="203" spans="1:4" x14ac:dyDescent="0.3">
      <c r="A203" s="3" t="s">
        <v>258</v>
      </c>
      <c r="B203" s="3" t="s">
        <v>23</v>
      </c>
      <c r="C203" s="3" t="str">
        <f t="shared" si="3"/>
        <v>450013260840</v>
      </c>
      <c r="D203" s="3" t="s">
        <v>707</v>
      </c>
    </row>
    <row r="204" spans="1:4" x14ac:dyDescent="0.3">
      <c r="A204" s="3" t="s">
        <v>258</v>
      </c>
      <c r="B204" s="3" t="s">
        <v>80</v>
      </c>
      <c r="C204" s="3" t="str">
        <f t="shared" si="3"/>
        <v>450013260860</v>
      </c>
      <c r="D204" s="3" t="s">
        <v>707</v>
      </c>
    </row>
    <row r="205" spans="1:4" x14ac:dyDescent="0.3">
      <c r="A205" s="3" t="s">
        <v>248</v>
      </c>
      <c r="B205" s="3" t="s">
        <v>32</v>
      </c>
      <c r="C205" s="3" t="str">
        <f t="shared" si="3"/>
        <v>450013257710</v>
      </c>
      <c r="D205" s="3" t="s">
        <v>720</v>
      </c>
    </row>
    <row r="206" spans="1:4" x14ac:dyDescent="0.3">
      <c r="A206" s="3" t="s">
        <v>258</v>
      </c>
      <c r="B206" s="3" t="s">
        <v>54</v>
      </c>
      <c r="C206" s="3" t="str">
        <f t="shared" si="3"/>
        <v>450013260830</v>
      </c>
      <c r="D206" s="3" t="s">
        <v>707</v>
      </c>
    </row>
    <row r="207" spans="1:4" x14ac:dyDescent="0.3">
      <c r="A207" s="3" t="s">
        <v>258</v>
      </c>
      <c r="B207" s="3" t="s">
        <v>28</v>
      </c>
      <c r="C207" s="3" t="str">
        <f t="shared" si="3"/>
        <v>450013260820</v>
      </c>
      <c r="D207" s="3" t="s">
        <v>707</v>
      </c>
    </row>
    <row r="208" spans="1:4" x14ac:dyDescent="0.3">
      <c r="A208" s="3" t="s">
        <v>258</v>
      </c>
      <c r="B208" s="3" t="s">
        <v>55</v>
      </c>
      <c r="C208" s="3" t="str">
        <f t="shared" si="3"/>
        <v>450013260850</v>
      </c>
      <c r="D208" s="3" t="s">
        <v>707</v>
      </c>
    </row>
    <row r="209" spans="1:4" x14ac:dyDescent="0.3">
      <c r="A209" s="3" t="s">
        <v>255</v>
      </c>
      <c r="B209" s="3" t="s">
        <v>55</v>
      </c>
      <c r="C209" s="3" t="str">
        <f t="shared" si="3"/>
        <v>450013333650</v>
      </c>
      <c r="D209" s="3" t="s">
        <v>707</v>
      </c>
    </row>
    <row r="210" spans="1:4" x14ac:dyDescent="0.3">
      <c r="A210" s="3" t="s">
        <v>255</v>
      </c>
      <c r="B210" s="3" t="s">
        <v>23</v>
      </c>
      <c r="C210" s="3" t="str">
        <f t="shared" si="3"/>
        <v>450013333640</v>
      </c>
      <c r="D210" s="3" t="s">
        <v>707</v>
      </c>
    </row>
    <row r="211" spans="1:4" x14ac:dyDescent="0.3">
      <c r="A211" s="3" t="s">
        <v>404</v>
      </c>
      <c r="B211" s="3" t="s">
        <v>32</v>
      </c>
      <c r="C211" s="3" t="str">
        <f t="shared" si="3"/>
        <v>450013351410</v>
      </c>
      <c r="D211" s="3" t="s">
        <v>721</v>
      </c>
    </row>
    <row r="212" spans="1:4" x14ac:dyDescent="0.3">
      <c r="A212" s="3" t="s">
        <v>255</v>
      </c>
      <c r="B212" s="3" t="s">
        <v>80</v>
      </c>
      <c r="C212" s="3" t="str">
        <f t="shared" si="3"/>
        <v>450013333660</v>
      </c>
      <c r="D212" s="3" t="s">
        <v>707</v>
      </c>
    </row>
    <row r="213" spans="1:4" x14ac:dyDescent="0.3">
      <c r="A213" s="3" t="s">
        <v>294</v>
      </c>
      <c r="B213" s="3" t="s">
        <v>32</v>
      </c>
      <c r="C213" s="3" t="str">
        <f t="shared" si="3"/>
        <v>450013520510</v>
      </c>
      <c r="D213" s="3" t="s">
        <v>706</v>
      </c>
    </row>
    <row r="214" spans="1:4" x14ac:dyDescent="0.3">
      <c r="A214" s="3" t="s">
        <v>255</v>
      </c>
      <c r="B214" s="3" t="s">
        <v>32</v>
      </c>
      <c r="C214" s="3" t="str">
        <f t="shared" si="3"/>
        <v>450013333610</v>
      </c>
      <c r="D214" s="3" t="s">
        <v>707</v>
      </c>
    </row>
    <row r="215" spans="1:4" x14ac:dyDescent="0.3">
      <c r="A215" s="3" t="s">
        <v>255</v>
      </c>
      <c r="B215" s="3" t="s">
        <v>28</v>
      </c>
      <c r="C215" s="3" t="str">
        <f t="shared" si="3"/>
        <v>450013333620</v>
      </c>
      <c r="D215" s="3" t="s">
        <v>707</v>
      </c>
    </row>
    <row r="216" spans="1:4" x14ac:dyDescent="0.3">
      <c r="A216" s="3" t="s">
        <v>255</v>
      </c>
      <c r="B216" s="3" t="s">
        <v>54</v>
      </c>
      <c r="C216" s="3" t="str">
        <f t="shared" si="3"/>
        <v>450013333630</v>
      </c>
      <c r="D216" s="3" t="s">
        <v>707</v>
      </c>
    </row>
    <row r="217" spans="1:4" x14ac:dyDescent="0.3">
      <c r="A217" s="3" t="s">
        <v>285</v>
      </c>
      <c r="B217" s="3" t="s">
        <v>32</v>
      </c>
      <c r="C217" s="3" t="str">
        <f t="shared" si="3"/>
        <v>450013518510</v>
      </c>
      <c r="D217" s="3" t="s">
        <v>706</v>
      </c>
    </row>
    <row r="218" spans="1:4" x14ac:dyDescent="0.3">
      <c r="A218" s="3" t="s">
        <v>253</v>
      </c>
      <c r="B218" s="3" t="s">
        <v>32</v>
      </c>
      <c r="C218" s="3" t="str">
        <f t="shared" si="3"/>
        <v>450013355010</v>
      </c>
      <c r="D218" s="3" t="s">
        <v>718</v>
      </c>
    </row>
    <row r="219" spans="1:4" x14ac:dyDescent="0.3">
      <c r="A219" s="3" t="s">
        <v>261</v>
      </c>
      <c r="B219" s="3" t="s">
        <v>32</v>
      </c>
      <c r="C219" s="3" t="str">
        <f t="shared" si="3"/>
        <v>450013354710</v>
      </c>
      <c r="D219" s="3" t="s">
        <v>718</v>
      </c>
    </row>
    <row r="220" spans="1:4" x14ac:dyDescent="0.3">
      <c r="A220" s="3" t="s">
        <v>251</v>
      </c>
      <c r="B220" s="3" t="s">
        <v>32</v>
      </c>
      <c r="C220" s="3" t="str">
        <f t="shared" si="3"/>
        <v>450013355710</v>
      </c>
      <c r="D220" s="3" t="s">
        <v>718</v>
      </c>
    </row>
    <row r="221" spans="1:4" x14ac:dyDescent="0.3">
      <c r="A221" s="3" t="s">
        <v>294</v>
      </c>
      <c r="B221" s="3" t="s">
        <v>28</v>
      </c>
      <c r="C221" s="3" t="str">
        <f t="shared" si="3"/>
        <v>450013520520</v>
      </c>
      <c r="D221" s="3" t="s">
        <v>706</v>
      </c>
    </row>
    <row r="222" spans="1:4" x14ac:dyDescent="0.3">
      <c r="A222" s="3" t="s">
        <v>331</v>
      </c>
      <c r="B222" s="3" t="s">
        <v>32</v>
      </c>
      <c r="C222" s="3" t="str">
        <f t="shared" si="3"/>
        <v>450013415710</v>
      </c>
      <c r="D222" s="3" t="s">
        <v>716</v>
      </c>
    </row>
    <row r="223" spans="1:4" x14ac:dyDescent="0.3">
      <c r="A223" s="3" t="s">
        <v>76</v>
      </c>
      <c r="B223" s="3" t="s">
        <v>32</v>
      </c>
      <c r="C223" s="3" t="str">
        <f t="shared" si="3"/>
        <v>450013441310</v>
      </c>
      <c r="D223" s="3" t="s">
        <v>721</v>
      </c>
    </row>
    <row r="224" spans="1:4" x14ac:dyDescent="0.3">
      <c r="A224" s="3" t="s">
        <v>276</v>
      </c>
      <c r="B224" s="3" t="s">
        <v>32</v>
      </c>
      <c r="C224" s="3" t="str">
        <f t="shared" si="3"/>
        <v>450013452810</v>
      </c>
      <c r="D224" s="3" t="s">
        <v>706</v>
      </c>
    </row>
    <row r="225" spans="1:4" x14ac:dyDescent="0.3">
      <c r="A225" s="3" t="s">
        <v>276</v>
      </c>
      <c r="B225" s="3" t="s">
        <v>28</v>
      </c>
      <c r="C225" s="3" t="str">
        <f t="shared" si="3"/>
        <v>450013452820</v>
      </c>
      <c r="D225" s="3" t="s">
        <v>706</v>
      </c>
    </row>
    <row r="226" spans="1:4" x14ac:dyDescent="0.3">
      <c r="A226" s="3" t="s">
        <v>276</v>
      </c>
      <c r="B226" s="3" t="s">
        <v>277</v>
      </c>
      <c r="C226" s="3" t="str">
        <f t="shared" si="3"/>
        <v>4500134528370</v>
      </c>
      <c r="D226" s="3" t="s">
        <v>706</v>
      </c>
    </row>
    <row r="227" spans="1:4" x14ac:dyDescent="0.3">
      <c r="A227" s="3" t="s">
        <v>348</v>
      </c>
      <c r="B227" s="3" t="s">
        <v>32</v>
      </c>
      <c r="C227" s="3" t="str">
        <f t="shared" si="3"/>
        <v>450013782710</v>
      </c>
      <c r="D227" s="3" t="s">
        <v>706</v>
      </c>
    </row>
    <row r="228" spans="1:4" x14ac:dyDescent="0.3">
      <c r="A228" s="3" t="s">
        <v>276</v>
      </c>
      <c r="B228" s="3" t="s">
        <v>54</v>
      </c>
      <c r="C228" s="3" t="str">
        <f t="shared" si="3"/>
        <v>450013452830</v>
      </c>
      <c r="D228" s="3" t="s">
        <v>706</v>
      </c>
    </row>
    <row r="229" spans="1:4" x14ac:dyDescent="0.3">
      <c r="A229" s="3" t="s">
        <v>523</v>
      </c>
      <c r="B229" s="3" t="s">
        <v>32</v>
      </c>
      <c r="C229" s="3" t="str">
        <f t="shared" si="3"/>
        <v>450013467310</v>
      </c>
      <c r="D229" s="3" t="s">
        <v>711</v>
      </c>
    </row>
    <row r="230" spans="1:4" x14ac:dyDescent="0.3">
      <c r="A230" s="3" t="s">
        <v>523</v>
      </c>
      <c r="B230" s="3" t="s">
        <v>28</v>
      </c>
      <c r="C230" s="3" t="str">
        <f t="shared" si="3"/>
        <v>450013467320</v>
      </c>
      <c r="D230" s="3" t="s">
        <v>711</v>
      </c>
    </row>
    <row r="231" spans="1:4" x14ac:dyDescent="0.3">
      <c r="A231" s="3" t="s">
        <v>521</v>
      </c>
      <c r="B231" s="3" t="s">
        <v>32</v>
      </c>
      <c r="C231" s="3" t="str">
        <f t="shared" si="3"/>
        <v>450013481110</v>
      </c>
      <c r="D231" s="3" t="s">
        <v>711</v>
      </c>
    </row>
    <row r="232" spans="1:4" x14ac:dyDescent="0.3">
      <c r="A232" s="3" t="s">
        <v>94</v>
      </c>
      <c r="B232" s="3" t="s">
        <v>32</v>
      </c>
      <c r="C232" s="3" t="str">
        <f t="shared" si="3"/>
        <v>450013446810</v>
      </c>
      <c r="D232" s="3" t="s">
        <v>711</v>
      </c>
    </row>
    <row r="233" spans="1:4" x14ac:dyDescent="0.3">
      <c r="A233" s="3" t="s">
        <v>384</v>
      </c>
      <c r="B233" s="3" t="s">
        <v>32</v>
      </c>
      <c r="C233" s="3" t="str">
        <f t="shared" si="3"/>
        <v>450013457010</v>
      </c>
      <c r="D233" s="3" t="s">
        <v>718</v>
      </c>
    </row>
    <row r="234" spans="1:4" x14ac:dyDescent="0.3">
      <c r="A234" s="3" t="s">
        <v>360</v>
      </c>
      <c r="B234" s="3" t="s">
        <v>65</v>
      </c>
      <c r="C234" s="3" t="str">
        <f t="shared" si="3"/>
        <v>4500138047130</v>
      </c>
      <c r="D234" s="3" t="s">
        <v>716</v>
      </c>
    </row>
    <row r="235" spans="1:4" x14ac:dyDescent="0.3">
      <c r="A235" s="3" t="s">
        <v>575</v>
      </c>
      <c r="B235" s="3" t="s">
        <v>65</v>
      </c>
      <c r="C235" s="3" t="str">
        <f t="shared" si="3"/>
        <v>4500139290130</v>
      </c>
      <c r="D235" s="3" t="s">
        <v>716</v>
      </c>
    </row>
    <row r="236" spans="1:4" x14ac:dyDescent="0.3">
      <c r="A236" s="3" t="s">
        <v>401</v>
      </c>
      <c r="B236" s="3" t="s">
        <v>32</v>
      </c>
      <c r="C236" s="3" t="str">
        <f t="shared" si="3"/>
        <v>450013482610</v>
      </c>
      <c r="D236" s="3" t="s">
        <v>707</v>
      </c>
    </row>
    <row r="237" spans="1:4" x14ac:dyDescent="0.3">
      <c r="A237" s="3" t="s">
        <v>285</v>
      </c>
      <c r="B237" s="3" t="s">
        <v>28</v>
      </c>
      <c r="C237" s="3" t="str">
        <f t="shared" si="3"/>
        <v>450013518520</v>
      </c>
      <c r="D237" s="3" t="s">
        <v>706</v>
      </c>
    </row>
    <row r="238" spans="1:4" x14ac:dyDescent="0.3">
      <c r="A238" s="3" t="s">
        <v>287</v>
      </c>
      <c r="B238" s="3" t="s">
        <v>32</v>
      </c>
      <c r="C238" s="3" t="str">
        <f t="shared" si="3"/>
        <v>450013515810</v>
      </c>
      <c r="D238" s="3" t="s">
        <v>706</v>
      </c>
    </row>
    <row r="239" spans="1:4" x14ac:dyDescent="0.3">
      <c r="A239" s="3" t="s">
        <v>287</v>
      </c>
      <c r="B239" s="3" t="s">
        <v>28</v>
      </c>
      <c r="C239" s="3" t="str">
        <f t="shared" si="3"/>
        <v>450013515820</v>
      </c>
      <c r="D239" s="3" t="s">
        <v>706</v>
      </c>
    </row>
    <row r="240" spans="1:4" x14ac:dyDescent="0.3">
      <c r="A240" s="3" t="s">
        <v>287</v>
      </c>
      <c r="B240" s="3" t="s">
        <v>54</v>
      </c>
      <c r="C240" s="3" t="str">
        <f t="shared" si="3"/>
        <v>450013515830</v>
      </c>
      <c r="D240" s="3" t="s">
        <v>706</v>
      </c>
    </row>
    <row r="241" spans="1:4" x14ac:dyDescent="0.3">
      <c r="A241" s="3" t="s">
        <v>287</v>
      </c>
      <c r="B241" s="3" t="s">
        <v>23</v>
      </c>
      <c r="C241" s="3" t="str">
        <f t="shared" si="3"/>
        <v>450013515840</v>
      </c>
      <c r="D241" s="3" t="s">
        <v>706</v>
      </c>
    </row>
    <row r="242" spans="1:4" x14ac:dyDescent="0.3">
      <c r="A242" s="3" t="s">
        <v>294</v>
      </c>
      <c r="B242" s="3" t="s">
        <v>54</v>
      </c>
      <c r="C242" s="3" t="str">
        <f t="shared" si="3"/>
        <v>450013520530</v>
      </c>
      <c r="D242" s="3" t="s">
        <v>706</v>
      </c>
    </row>
    <row r="243" spans="1:4" x14ac:dyDescent="0.3">
      <c r="A243" s="3" t="s">
        <v>438</v>
      </c>
      <c r="B243" s="3" t="s">
        <v>32</v>
      </c>
      <c r="C243" s="3" t="str">
        <f t="shared" si="3"/>
        <v>450013506010</v>
      </c>
      <c r="D243" s="3" t="s">
        <v>721</v>
      </c>
    </row>
    <row r="244" spans="1:4" x14ac:dyDescent="0.3">
      <c r="A244" s="3" t="s">
        <v>294</v>
      </c>
      <c r="B244" s="3" t="s">
        <v>23</v>
      </c>
      <c r="C244" s="3" t="str">
        <f t="shared" si="3"/>
        <v>450013520540</v>
      </c>
      <c r="D244" s="3" t="s">
        <v>706</v>
      </c>
    </row>
    <row r="245" spans="1:4" x14ac:dyDescent="0.3">
      <c r="A245" s="3" t="s">
        <v>64</v>
      </c>
      <c r="B245" s="3" t="s">
        <v>85</v>
      </c>
      <c r="C245" s="3" t="str">
        <f t="shared" si="3"/>
        <v>4500138211110</v>
      </c>
      <c r="D245" s="3" t="s">
        <v>706</v>
      </c>
    </row>
    <row r="246" spans="1:4" x14ac:dyDescent="0.3">
      <c r="A246" s="3" t="s">
        <v>64</v>
      </c>
      <c r="B246" s="3" t="s">
        <v>86</v>
      </c>
      <c r="C246" s="3" t="str">
        <f t="shared" si="3"/>
        <v>4500138211120</v>
      </c>
      <c r="D246" s="3" t="s">
        <v>706</v>
      </c>
    </row>
    <row r="247" spans="1:4" x14ac:dyDescent="0.3">
      <c r="A247" s="3" t="s">
        <v>64</v>
      </c>
      <c r="B247" s="3" t="s">
        <v>65</v>
      </c>
      <c r="C247" s="3" t="str">
        <f t="shared" si="3"/>
        <v>4500138211130</v>
      </c>
      <c r="D247" s="3" t="s">
        <v>706</v>
      </c>
    </row>
    <row r="248" spans="1:4" x14ac:dyDescent="0.3">
      <c r="A248" s="3" t="s">
        <v>64</v>
      </c>
      <c r="B248" s="3" t="s">
        <v>66</v>
      </c>
      <c r="C248" s="3" t="str">
        <f t="shared" si="3"/>
        <v>4500138211140</v>
      </c>
      <c r="D248" s="3" t="s">
        <v>706</v>
      </c>
    </row>
    <row r="249" spans="1:4" x14ac:dyDescent="0.3">
      <c r="A249" s="3" t="s">
        <v>64</v>
      </c>
      <c r="B249" s="3" t="s">
        <v>87</v>
      </c>
      <c r="C249" s="3" t="str">
        <f t="shared" si="3"/>
        <v>4500138211150</v>
      </c>
      <c r="D249" s="3" t="s">
        <v>706</v>
      </c>
    </row>
    <row r="250" spans="1:4" x14ac:dyDescent="0.3">
      <c r="A250" s="3" t="s">
        <v>294</v>
      </c>
      <c r="B250" s="3" t="s">
        <v>55</v>
      </c>
      <c r="C250" s="3" t="str">
        <f t="shared" si="3"/>
        <v>450013520550</v>
      </c>
      <c r="D250" s="3" t="s">
        <v>706</v>
      </c>
    </row>
    <row r="251" spans="1:4" x14ac:dyDescent="0.3">
      <c r="A251" s="3" t="s">
        <v>438</v>
      </c>
      <c r="B251" s="3" t="s">
        <v>54</v>
      </c>
      <c r="C251" s="3" t="str">
        <f t="shared" si="3"/>
        <v>450013506030</v>
      </c>
      <c r="D251" s="3" t="s">
        <v>721</v>
      </c>
    </row>
    <row r="252" spans="1:4" x14ac:dyDescent="0.3">
      <c r="A252" s="3" t="s">
        <v>300</v>
      </c>
      <c r="B252" s="3" t="s">
        <v>32</v>
      </c>
      <c r="C252" s="3" t="str">
        <f t="shared" si="3"/>
        <v>450013593010</v>
      </c>
      <c r="D252" s="3" t="s">
        <v>706</v>
      </c>
    </row>
    <row r="253" spans="1:4" x14ac:dyDescent="0.3">
      <c r="A253" s="3" t="s">
        <v>287</v>
      </c>
      <c r="B253" s="3" t="s">
        <v>55</v>
      </c>
      <c r="C253" s="3" t="str">
        <f t="shared" si="3"/>
        <v>450013515850</v>
      </c>
      <c r="D253" s="3" t="s">
        <v>706</v>
      </c>
    </row>
    <row r="254" spans="1:4" x14ac:dyDescent="0.3">
      <c r="A254" s="3" t="s">
        <v>289</v>
      </c>
      <c r="B254" s="3" t="s">
        <v>28</v>
      </c>
      <c r="C254" s="3" t="str">
        <f t="shared" si="3"/>
        <v>450013530720</v>
      </c>
      <c r="D254" s="3" t="s">
        <v>706</v>
      </c>
    </row>
    <row r="255" spans="1:4" x14ac:dyDescent="0.3">
      <c r="A255" s="3" t="s">
        <v>482</v>
      </c>
      <c r="B255" s="3" t="s">
        <v>32</v>
      </c>
      <c r="C255" s="3" t="str">
        <f t="shared" si="3"/>
        <v>450013951810</v>
      </c>
      <c r="D255" s="3" t="s">
        <v>706</v>
      </c>
    </row>
    <row r="256" spans="1:4" x14ac:dyDescent="0.3">
      <c r="A256" s="3" t="s">
        <v>373</v>
      </c>
      <c r="B256" s="3" t="s">
        <v>32</v>
      </c>
      <c r="C256" s="3" t="str">
        <f t="shared" si="3"/>
        <v>450013494910</v>
      </c>
      <c r="D256" s="3" t="s">
        <v>707</v>
      </c>
    </row>
    <row r="257" spans="1:4" x14ac:dyDescent="0.3">
      <c r="A257" s="3" t="s">
        <v>373</v>
      </c>
      <c r="B257" s="3" t="s">
        <v>28</v>
      </c>
      <c r="C257" s="3" t="str">
        <f t="shared" ref="C257:C320" si="4">_xlfn.CONCAT(A257:B257)</f>
        <v>450013494920</v>
      </c>
      <c r="D257" s="3" t="s">
        <v>707</v>
      </c>
    </row>
    <row r="258" spans="1:4" x14ac:dyDescent="0.3">
      <c r="A258" s="3" t="s">
        <v>105</v>
      </c>
      <c r="B258" s="3" t="s">
        <v>32</v>
      </c>
      <c r="C258" s="3" t="str">
        <f t="shared" si="4"/>
        <v>450013535210</v>
      </c>
      <c r="D258" s="3" t="s">
        <v>718</v>
      </c>
    </row>
    <row r="259" spans="1:4" x14ac:dyDescent="0.3">
      <c r="A259" s="3" t="s">
        <v>483</v>
      </c>
      <c r="B259" s="3" t="s">
        <v>32</v>
      </c>
      <c r="C259" s="3" t="str">
        <f t="shared" si="4"/>
        <v>450013951310</v>
      </c>
      <c r="D259" s="3" t="s">
        <v>706</v>
      </c>
    </row>
    <row r="260" spans="1:4" x14ac:dyDescent="0.3">
      <c r="A260" s="3" t="s">
        <v>289</v>
      </c>
      <c r="B260" s="3" t="s">
        <v>54</v>
      </c>
      <c r="C260" s="3" t="str">
        <f t="shared" si="4"/>
        <v>450013530730</v>
      </c>
      <c r="D260" s="3" t="s">
        <v>706</v>
      </c>
    </row>
    <row r="261" spans="1:4" x14ac:dyDescent="0.3">
      <c r="A261" s="3" t="s">
        <v>483</v>
      </c>
      <c r="B261" s="3" t="s">
        <v>28</v>
      </c>
      <c r="C261" s="3" t="str">
        <f t="shared" si="4"/>
        <v>450013951320</v>
      </c>
      <c r="D261" s="3" t="s">
        <v>706</v>
      </c>
    </row>
    <row r="262" spans="1:4" x14ac:dyDescent="0.3">
      <c r="A262" s="3" t="s">
        <v>298</v>
      </c>
      <c r="B262" s="3" t="s">
        <v>23</v>
      </c>
      <c r="C262" s="3" t="str">
        <f t="shared" si="4"/>
        <v>450013566140</v>
      </c>
      <c r="D262" s="3" t="s">
        <v>706</v>
      </c>
    </row>
    <row r="263" spans="1:4" x14ac:dyDescent="0.3">
      <c r="A263" s="3" t="s">
        <v>298</v>
      </c>
      <c r="B263" s="3" t="s">
        <v>55</v>
      </c>
      <c r="C263" s="3" t="str">
        <f t="shared" si="4"/>
        <v>450013566150</v>
      </c>
      <c r="D263" s="3" t="s">
        <v>706</v>
      </c>
    </row>
    <row r="264" spans="1:4" x14ac:dyDescent="0.3">
      <c r="A264" s="3" t="s">
        <v>64</v>
      </c>
      <c r="B264" s="3" t="s">
        <v>88</v>
      </c>
      <c r="C264" s="3" t="str">
        <f t="shared" si="4"/>
        <v>4500138211160</v>
      </c>
      <c r="D264" s="3" t="s">
        <v>706</v>
      </c>
    </row>
    <row r="265" spans="1:4" x14ac:dyDescent="0.3">
      <c r="A265" s="3" t="s">
        <v>64</v>
      </c>
      <c r="B265" s="3" t="s">
        <v>67</v>
      </c>
      <c r="C265" s="3" t="str">
        <f t="shared" si="4"/>
        <v>4500138211170</v>
      </c>
      <c r="D265" s="3" t="s">
        <v>706</v>
      </c>
    </row>
    <row r="266" spans="1:4" x14ac:dyDescent="0.3">
      <c r="A266" s="3" t="s">
        <v>64</v>
      </c>
      <c r="B266" s="3" t="s">
        <v>125</v>
      </c>
      <c r="C266" s="3" t="str">
        <f t="shared" si="4"/>
        <v>4500138211180</v>
      </c>
      <c r="D266" s="3" t="s">
        <v>706</v>
      </c>
    </row>
    <row r="267" spans="1:4" x14ac:dyDescent="0.3">
      <c r="A267" s="3" t="s">
        <v>64</v>
      </c>
      <c r="B267" s="3" t="s">
        <v>91</v>
      </c>
      <c r="C267" s="3" t="str">
        <f t="shared" si="4"/>
        <v>4500138211190</v>
      </c>
      <c r="D267" s="3" t="s">
        <v>706</v>
      </c>
    </row>
    <row r="268" spans="1:4" x14ac:dyDescent="0.3">
      <c r="A268" s="3" t="s">
        <v>64</v>
      </c>
      <c r="B268" s="3" t="s">
        <v>92</v>
      </c>
      <c r="C268" s="3" t="str">
        <f t="shared" si="4"/>
        <v>4500138211200</v>
      </c>
      <c r="D268" s="3" t="s">
        <v>706</v>
      </c>
    </row>
    <row r="269" spans="1:4" x14ac:dyDescent="0.3">
      <c r="A269" s="3" t="s">
        <v>348</v>
      </c>
      <c r="B269" s="3" t="s">
        <v>28</v>
      </c>
      <c r="C269" s="3" t="str">
        <f t="shared" si="4"/>
        <v>450013782720</v>
      </c>
      <c r="D269" s="3" t="s">
        <v>706</v>
      </c>
    </row>
    <row r="270" spans="1:4" x14ac:dyDescent="0.3">
      <c r="A270" s="3" t="s">
        <v>298</v>
      </c>
      <c r="B270" s="3" t="s">
        <v>32</v>
      </c>
      <c r="C270" s="3" t="str">
        <f t="shared" si="4"/>
        <v>450013566110</v>
      </c>
      <c r="D270" s="3" t="s">
        <v>706</v>
      </c>
    </row>
    <row r="271" spans="1:4" x14ac:dyDescent="0.3">
      <c r="A271" s="3" t="s">
        <v>298</v>
      </c>
      <c r="B271" s="3" t="s">
        <v>28</v>
      </c>
      <c r="C271" s="3" t="str">
        <f t="shared" si="4"/>
        <v>450013566120</v>
      </c>
      <c r="D271" s="3" t="s">
        <v>706</v>
      </c>
    </row>
    <row r="272" spans="1:4" x14ac:dyDescent="0.3">
      <c r="A272" s="3" t="s">
        <v>119</v>
      </c>
      <c r="B272" s="3" t="s">
        <v>32</v>
      </c>
      <c r="C272" s="3" t="str">
        <f t="shared" si="4"/>
        <v>450013502110</v>
      </c>
      <c r="D272" s="3" t="s">
        <v>720</v>
      </c>
    </row>
    <row r="273" spans="1:4" x14ac:dyDescent="0.3">
      <c r="A273" s="3" t="s">
        <v>119</v>
      </c>
      <c r="B273" s="3" t="s">
        <v>28</v>
      </c>
      <c r="C273" s="3" t="str">
        <f t="shared" si="4"/>
        <v>450013502120</v>
      </c>
      <c r="D273" s="3" t="s">
        <v>720</v>
      </c>
    </row>
    <row r="274" spans="1:4" x14ac:dyDescent="0.3">
      <c r="A274" s="3" t="s">
        <v>119</v>
      </c>
      <c r="B274" s="3" t="s">
        <v>54</v>
      </c>
      <c r="C274" s="3" t="str">
        <f t="shared" si="4"/>
        <v>450013502130</v>
      </c>
      <c r="D274" s="3" t="s">
        <v>720</v>
      </c>
    </row>
    <row r="275" spans="1:4" x14ac:dyDescent="0.3">
      <c r="A275" s="3" t="s">
        <v>119</v>
      </c>
      <c r="B275" s="3" t="s">
        <v>23</v>
      </c>
      <c r="C275" s="3" t="str">
        <f t="shared" si="4"/>
        <v>450013502140</v>
      </c>
      <c r="D275" s="3" t="s">
        <v>720</v>
      </c>
    </row>
    <row r="276" spans="1:4" x14ac:dyDescent="0.3">
      <c r="A276" s="3" t="s">
        <v>119</v>
      </c>
      <c r="B276" s="3" t="s">
        <v>55</v>
      </c>
      <c r="C276" s="3" t="str">
        <f t="shared" si="4"/>
        <v>450013502150</v>
      </c>
      <c r="D276" s="3" t="s">
        <v>720</v>
      </c>
    </row>
    <row r="277" spans="1:4" x14ac:dyDescent="0.3">
      <c r="A277" s="3" t="s">
        <v>390</v>
      </c>
      <c r="B277" s="3" t="s">
        <v>32</v>
      </c>
      <c r="C277" s="3" t="str">
        <f t="shared" si="4"/>
        <v>450013823910</v>
      </c>
      <c r="D277" s="3" t="s">
        <v>720</v>
      </c>
    </row>
    <row r="278" spans="1:4" x14ac:dyDescent="0.3">
      <c r="A278" s="3" t="s">
        <v>72</v>
      </c>
      <c r="B278" s="3" t="s">
        <v>32</v>
      </c>
      <c r="C278" s="3" t="str">
        <f t="shared" si="4"/>
        <v>450013571710</v>
      </c>
      <c r="D278" s="3" t="s">
        <v>721</v>
      </c>
    </row>
    <row r="279" spans="1:4" x14ac:dyDescent="0.3">
      <c r="A279" s="3" t="s">
        <v>405</v>
      </c>
      <c r="B279" s="3" t="s">
        <v>32</v>
      </c>
      <c r="C279" s="3" t="str">
        <f t="shared" si="4"/>
        <v>450013563410</v>
      </c>
      <c r="D279" s="3" t="s">
        <v>721</v>
      </c>
    </row>
    <row r="280" spans="1:4" x14ac:dyDescent="0.3">
      <c r="A280" s="3" t="s">
        <v>405</v>
      </c>
      <c r="B280" s="3" t="s">
        <v>28</v>
      </c>
      <c r="C280" s="3" t="str">
        <f t="shared" si="4"/>
        <v>450013563420</v>
      </c>
      <c r="D280" s="3" t="s">
        <v>721</v>
      </c>
    </row>
    <row r="281" spans="1:4" x14ac:dyDescent="0.3">
      <c r="A281" s="3" t="s">
        <v>306</v>
      </c>
      <c r="B281" s="3" t="s">
        <v>32</v>
      </c>
      <c r="C281" s="3" t="str">
        <f t="shared" si="4"/>
        <v>450013553510</v>
      </c>
      <c r="D281" s="3" t="s">
        <v>718</v>
      </c>
    </row>
    <row r="282" spans="1:4" x14ac:dyDescent="0.3">
      <c r="A282" s="3" t="s">
        <v>64</v>
      </c>
      <c r="B282" s="3" t="s">
        <v>43</v>
      </c>
      <c r="C282" s="3" t="str">
        <f t="shared" si="4"/>
        <v>4500138211210</v>
      </c>
      <c r="D282" s="3" t="s">
        <v>706</v>
      </c>
    </row>
    <row r="283" spans="1:4" x14ac:dyDescent="0.3">
      <c r="A283" s="3" t="s">
        <v>64</v>
      </c>
      <c r="B283" s="3" t="s">
        <v>44</v>
      </c>
      <c r="C283" s="3" t="str">
        <f t="shared" si="4"/>
        <v>4500138211220</v>
      </c>
      <c r="D283" s="3" t="s">
        <v>706</v>
      </c>
    </row>
    <row r="284" spans="1:4" x14ac:dyDescent="0.3">
      <c r="A284" s="3" t="s">
        <v>310</v>
      </c>
      <c r="B284" s="3" t="s">
        <v>32</v>
      </c>
      <c r="C284" s="3" t="str">
        <f t="shared" si="4"/>
        <v>450013593310</v>
      </c>
      <c r="D284" s="3" t="s">
        <v>706</v>
      </c>
    </row>
    <row r="285" spans="1:4" x14ac:dyDescent="0.3">
      <c r="A285" s="3" t="s">
        <v>297</v>
      </c>
      <c r="B285" s="3" t="s">
        <v>23</v>
      </c>
      <c r="C285" s="3" t="str">
        <f t="shared" si="4"/>
        <v>450013561940</v>
      </c>
      <c r="D285" s="3" t="s">
        <v>715</v>
      </c>
    </row>
    <row r="286" spans="1:4" x14ac:dyDescent="0.3">
      <c r="A286" s="3" t="s">
        <v>123</v>
      </c>
      <c r="B286" s="3" t="s">
        <v>32</v>
      </c>
      <c r="C286" s="3" t="str">
        <f t="shared" si="4"/>
        <v>450013586710</v>
      </c>
      <c r="D286" s="3" t="s">
        <v>721</v>
      </c>
    </row>
    <row r="287" spans="1:4" x14ac:dyDescent="0.3">
      <c r="A287" s="3" t="s">
        <v>69</v>
      </c>
      <c r="B287" s="3" t="s">
        <v>32</v>
      </c>
      <c r="C287" s="3" t="str">
        <f t="shared" si="4"/>
        <v>450013548010</v>
      </c>
      <c r="D287" s="3" t="s">
        <v>715</v>
      </c>
    </row>
    <row r="288" spans="1:4" x14ac:dyDescent="0.3">
      <c r="A288" s="3" t="s">
        <v>69</v>
      </c>
      <c r="B288" s="3" t="s">
        <v>28</v>
      </c>
      <c r="C288" s="3" t="str">
        <f t="shared" si="4"/>
        <v>450013548020</v>
      </c>
      <c r="D288" s="3" t="s">
        <v>715</v>
      </c>
    </row>
    <row r="289" spans="1:4" x14ac:dyDescent="0.3">
      <c r="A289" s="3" t="s">
        <v>336</v>
      </c>
      <c r="B289" s="3" t="s">
        <v>32</v>
      </c>
      <c r="C289" s="3" t="str">
        <f t="shared" si="4"/>
        <v>450013587010</v>
      </c>
      <c r="D289" s="3" t="s">
        <v>722</v>
      </c>
    </row>
    <row r="290" spans="1:4" x14ac:dyDescent="0.3">
      <c r="A290" s="3" t="s">
        <v>336</v>
      </c>
      <c r="B290" s="3" t="s">
        <v>28</v>
      </c>
      <c r="C290" s="3" t="str">
        <f t="shared" si="4"/>
        <v>450013587020</v>
      </c>
      <c r="D290" s="3" t="s">
        <v>722</v>
      </c>
    </row>
    <row r="291" spans="1:4" x14ac:dyDescent="0.3">
      <c r="A291" s="3" t="s">
        <v>469</v>
      </c>
      <c r="B291" s="3" t="s">
        <v>32</v>
      </c>
      <c r="C291" s="3" t="str">
        <f t="shared" si="4"/>
        <v>450013781410</v>
      </c>
      <c r="D291" s="3" t="s">
        <v>716</v>
      </c>
    </row>
    <row r="292" spans="1:4" x14ac:dyDescent="0.3">
      <c r="A292" s="3" t="s">
        <v>392</v>
      </c>
      <c r="B292" s="3" t="s">
        <v>32</v>
      </c>
      <c r="C292" s="3" t="str">
        <f t="shared" si="4"/>
        <v>450013847310</v>
      </c>
      <c r="D292" s="3" t="s">
        <v>706</v>
      </c>
    </row>
    <row r="293" spans="1:4" x14ac:dyDescent="0.3">
      <c r="A293" s="3" t="s">
        <v>392</v>
      </c>
      <c r="B293" s="3" t="s">
        <v>28</v>
      </c>
      <c r="C293" s="3" t="str">
        <f t="shared" si="4"/>
        <v>450013847320</v>
      </c>
      <c r="D293" s="3" t="s">
        <v>706</v>
      </c>
    </row>
    <row r="294" spans="1:4" x14ac:dyDescent="0.3">
      <c r="A294" s="3" t="s">
        <v>338</v>
      </c>
      <c r="B294" s="3" t="s">
        <v>32</v>
      </c>
      <c r="C294" s="3" t="str">
        <f t="shared" si="4"/>
        <v>450013701210</v>
      </c>
      <c r="D294" s="3" t="s">
        <v>706</v>
      </c>
    </row>
    <row r="295" spans="1:4" x14ac:dyDescent="0.3">
      <c r="A295" s="3" t="s">
        <v>338</v>
      </c>
      <c r="B295" s="3" t="s">
        <v>28</v>
      </c>
      <c r="C295" s="3" t="str">
        <f t="shared" si="4"/>
        <v>450013701220</v>
      </c>
      <c r="D295" s="3" t="s">
        <v>706</v>
      </c>
    </row>
    <row r="296" spans="1:4" x14ac:dyDescent="0.3">
      <c r="A296" s="3" t="s">
        <v>338</v>
      </c>
      <c r="B296" s="3" t="s">
        <v>54</v>
      </c>
      <c r="C296" s="3" t="str">
        <f t="shared" si="4"/>
        <v>450013701230</v>
      </c>
      <c r="D296" s="3" t="s">
        <v>706</v>
      </c>
    </row>
    <row r="297" spans="1:4" x14ac:dyDescent="0.3">
      <c r="A297" s="3" t="s">
        <v>338</v>
      </c>
      <c r="B297" s="3" t="s">
        <v>23</v>
      </c>
      <c r="C297" s="3" t="str">
        <f t="shared" si="4"/>
        <v>450013701240</v>
      </c>
      <c r="D297" s="3" t="s">
        <v>706</v>
      </c>
    </row>
    <row r="298" spans="1:4" x14ac:dyDescent="0.3">
      <c r="A298" s="3" t="s">
        <v>338</v>
      </c>
      <c r="B298" s="3" t="s">
        <v>55</v>
      </c>
      <c r="C298" s="3" t="str">
        <f t="shared" si="4"/>
        <v>450013701250</v>
      </c>
      <c r="D298" s="3" t="s">
        <v>706</v>
      </c>
    </row>
    <row r="299" spans="1:4" x14ac:dyDescent="0.3">
      <c r="A299" s="3" t="s">
        <v>338</v>
      </c>
      <c r="B299" s="3" t="s">
        <v>80</v>
      </c>
      <c r="C299" s="3" t="str">
        <f t="shared" si="4"/>
        <v>450013701260</v>
      </c>
      <c r="D299" s="3" t="s">
        <v>706</v>
      </c>
    </row>
    <row r="300" spans="1:4" x14ac:dyDescent="0.3">
      <c r="A300" s="3" t="s">
        <v>338</v>
      </c>
      <c r="B300" s="3" t="s">
        <v>81</v>
      </c>
      <c r="C300" s="3" t="str">
        <f t="shared" si="4"/>
        <v>450013701270</v>
      </c>
      <c r="D300" s="3" t="s">
        <v>706</v>
      </c>
    </row>
    <row r="301" spans="1:4" x14ac:dyDescent="0.3">
      <c r="A301" s="3" t="s">
        <v>338</v>
      </c>
      <c r="B301" s="3" t="s">
        <v>82</v>
      </c>
      <c r="C301" s="3" t="str">
        <f t="shared" si="4"/>
        <v>450013701280</v>
      </c>
      <c r="D301" s="3" t="s">
        <v>706</v>
      </c>
    </row>
    <row r="302" spans="1:4" x14ac:dyDescent="0.3">
      <c r="A302" s="3" t="s">
        <v>338</v>
      </c>
      <c r="B302" s="3" t="s">
        <v>83</v>
      </c>
      <c r="C302" s="3" t="str">
        <f t="shared" si="4"/>
        <v>450013701290</v>
      </c>
      <c r="D302" s="3" t="s">
        <v>706</v>
      </c>
    </row>
    <row r="303" spans="1:4" x14ac:dyDescent="0.3">
      <c r="A303" s="3" t="s">
        <v>338</v>
      </c>
      <c r="B303" s="3" t="s">
        <v>84</v>
      </c>
      <c r="C303" s="3" t="str">
        <f t="shared" si="4"/>
        <v>4500137012100</v>
      </c>
      <c r="D303" s="3" t="s">
        <v>706</v>
      </c>
    </row>
    <row r="304" spans="1:4" x14ac:dyDescent="0.3">
      <c r="A304" s="3" t="s">
        <v>338</v>
      </c>
      <c r="B304" s="3" t="s">
        <v>85</v>
      </c>
      <c r="C304" s="3" t="str">
        <f t="shared" si="4"/>
        <v>4500137012110</v>
      </c>
      <c r="D304" s="3" t="s">
        <v>706</v>
      </c>
    </row>
    <row r="305" spans="1:4" x14ac:dyDescent="0.3">
      <c r="A305" s="3" t="s">
        <v>338</v>
      </c>
      <c r="B305" s="3" t="s">
        <v>86</v>
      </c>
      <c r="C305" s="3" t="str">
        <f t="shared" si="4"/>
        <v>4500137012120</v>
      </c>
      <c r="D305" s="3" t="s">
        <v>706</v>
      </c>
    </row>
    <row r="306" spans="1:4" x14ac:dyDescent="0.3">
      <c r="A306" s="3" t="s">
        <v>498</v>
      </c>
      <c r="B306" s="3" t="s">
        <v>32</v>
      </c>
      <c r="C306" s="3" t="str">
        <f t="shared" si="4"/>
        <v>450013653010</v>
      </c>
      <c r="D306" s="3" t="s">
        <v>707</v>
      </c>
    </row>
    <row r="307" spans="1:4" x14ac:dyDescent="0.3">
      <c r="A307" s="3" t="s">
        <v>145</v>
      </c>
      <c r="B307" s="3" t="s">
        <v>54</v>
      </c>
      <c r="C307" s="3" t="str">
        <f t="shared" si="4"/>
        <v>450013628430</v>
      </c>
      <c r="D307" s="3" t="s">
        <v>722</v>
      </c>
    </row>
    <row r="308" spans="1:4" x14ac:dyDescent="0.3">
      <c r="A308" s="3" t="s">
        <v>96</v>
      </c>
      <c r="B308" s="3" t="s">
        <v>32</v>
      </c>
      <c r="C308" s="3" t="str">
        <f t="shared" si="4"/>
        <v>450013622110</v>
      </c>
      <c r="D308" s="3" t="s">
        <v>722</v>
      </c>
    </row>
    <row r="309" spans="1:4" x14ac:dyDescent="0.3">
      <c r="A309" s="3" t="s">
        <v>96</v>
      </c>
      <c r="B309" s="3" t="s">
        <v>28</v>
      </c>
      <c r="C309" s="3" t="str">
        <f t="shared" si="4"/>
        <v>450013622120</v>
      </c>
      <c r="D309" s="3" t="s">
        <v>722</v>
      </c>
    </row>
    <row r="310" spans="1:4" x14ac:dyDescent="0.3">
      <c r="A310" s="3" t="s">
        <v>96</v>
      </c>
      <c r="B310" s="3" t="s">
        <v>54</v>
      </c>
      <c r="C310" s="3" t="str">
        <f t="shared" si="4"/>
        <v>450013622130</v>
      </c>
      <c r="D310" s="3" t="s">
        <v>722</v>
      </c>
    </row>
    <row r="311" spans="1:4" x14ac:dyDescent="0.3">
      <c r="A311" s="3" t="s">
        <v>96</v>
      </c>
      <c r="B311" s="3" t="s">
        <v>23</v>
      </c>
      <c r="C311" s="3" t="str">
        <f t="shared" si="4"/>
        <v>450013622140</v>
      </c>
      <c r="D311" s="3" t="s">
        <v>722</v>
      </c>
    </row>
    <row r="312" spans="1:4" x14ac:dyDescent="0.3">
      <c r="A312" s="3" t="s">
        <v>96</v>
      </c>
      <c r="B312" s="3" t="s">
        <v>55</v>
      </c>
      <c r="C312" s="3" t="str">
        <f t="shared" si="4"/>
        <v>450013622150</v>
      </c>
      <c r="D312" s="3" t="s">
        <v>722</v>
      </c>
    </row>
    <row r="313" spans="1:4" x14ac:dyDescent="0.3">
      <c r="A313" s="3" t="s">
        <v>96</v>
      </c>
      <c r="B313" s="3" t="s">
        <v>80</v>
      </c>
      <c r="C313" s="3" t="str">
        <f t="shared" si="4"/>
        <v>450013622160</v>
      </c>
      <c r="D313" s="3" t="s">
        <v>722</v>
      </c>
    </row>
    <row r="314" spans="1:4" x14ac:dyDescent="0.3">
      <c r="A314" s="3" t="s">
        <v>96</v>
      </c>
      <c r="B314" s="3" t="s">
        <v>81</v>
      </c>
      <c r="C314" s="3" t="str">
        <f t="shared" si="4"/>
        <v>450013622170</v>
      </c>
      <c r="D314" s="3" t="s">
        <v>722</v>
      </c>
    </row>
    <row r="315" spans="1:4" x14ac:dyDescent="0.3">
      <c r="A315" s="3" t="s">
        <v>96</v>
      </c>
      <c r="B315" s="3" t="s">
        <v>82</v>
      </c>
      <c r="C315" s="3" t="str">
        <f t="shared" si="4"/>
        <v>450013622180</v>
      </c>
      <c r="D315" s="3" t="s">
        <v>722</v>
      </c>
    </row>
    <row r="316" spans="1:4" x14ac:dyDescent="0.3">
      <c r="A316" s="3" t="s">
        <v>96</v>
      </c>
      <c r="B316" s="3" t="s">
        <v>83</v>
      </c>
      <c r="C316" s="3" t="str">
        <f t="shared" si="4"/>
        <v>450013622190</v>
      </c>
      <c r="D316" s="3" t="s">
        <v>722</v>
      </c>
    </row>
    <row r="317" spans="1:4" x14ac:dyDescent="0.3">
      <c r="A317" s="3" t="s">
        <v>96</v>
      </c>
      <c r="B317" s="3" t="s">
        <v>84</v>
      </c>
      <c r="C317" s="3" t="str">
        <f t="shared" si="4"/>
        <v>4500136221100</v>
      </c>
      <c r="D317" s="3" t="s">
        <v>722</v>
      </c>
    </row>
    <row r="318" spans="1:4" x14ac:dyDescent="0.3">
      <c r="A318" s="3" t="s">
        <v>142</v>
      </c>
      <c r="B318" s="3" t="s">
        <v>430</v>
      </c>
      <c r="C318" s="3" t="str">
        <f t="shared" si="4"/>
        <v>4500136975330</v>
      </c>
      <c r="D318" s="3" t="s">
        <v>723</v>
      </c>
    </row>
    <row r="319" spans="1:4" x14ac:dyDescent="0.3">
      <c r="A319" s="3" t="s">
        <v>142</v>
      </c>
      <c r="B319" s="3" t="s">
        <v>134</v>
      </c>
      <c r="C319" s="3" t="str">
        <f t="shared" si="4"/>
        <v>4500136975310</v>
      </c>
      <c r="D319" s="3" t="s">
        <v>723</v>
      </c>
    </row>
    <row r="320" spans="1:4" x14ac:dyDescent="0.3">
      <c r="A320" s="3" t="s">
        <v>142</v>
      </c>
      <c r="B320" s="3" t="s">
        <v>135</v>
      </c>
      <c r="C320" s="3" t="str">
        <f t="shared" si="4"/>
        <v>4500136975320</v>
      </c>
      <c r="D320" s="3" t="s">
        <v>723</v>
      </c>
    </row>
    <row r="321" spans="1:4" x14ac:dyDescent="0.3">
      <c r="A321" s="3" t="s">
        <v>450</v>
      </c>
      <c r="B321" s="3" t="s">
        <v>55</v>
      </c>
      <c r="C321" s="3" t="str">
        <f t="shared" ref="C321:C384" si="5">_xlfn.CONCAT(A321:B321)</f>
        <v>450013665050</v>
      </c>
      <c r="D321" s="3" t="s">
        <v>705</v>
      </c>
    </row>
    <row r="322" spans="1:4" x14ac:dyDescent="0.3">
      <c r="A322" s="3" t="s">
        <v>450</v>
      </c>
      <c r="B322" s="3" t="s">
        <v>80</v>
      </c>
      <c r="C322" s="3" t="str">
        <f t="shared" si="5"/>
        <v>450013665060</v>
      </c>
      <c r="D322" s="3" t="s">
        <v>705</v>
      </c>
    </row>
    <row r="323" spans="1:4" x14ac:dyDescent="0.3">
      <c r="A323" s="3" t="s">
        <v>304</v>
      </c>
      <c r="B323" s="3" t="s">
        <v>32</v>
      </c>
      <c r="C323" s="3" t="str">
        <f t="shared" si="5"/>
        <v>450013613310</v>
      </c>
      <c r="D323" s="3" t="s">
        <v>715</v>
      </c>
    </row>
    <row r="324" spans="1:4" x14ac:dyDescent="0.3">
      <c r="A324" s="3" t="s">
        <v>142</v>
      </c>
      <c r="B324" s="3" t="s">
        <v>127</v>
      </c>
      <c r="C324" s="3" t="str">
        <f t="shared" si="5"/>
        <v>4500136975240</v>
      </c>
      <c r="D324" s="3" t="s">
        <v>723</v>
      </c>
    </row>
    <row r="325" spans="1:4" x14ac:dyDescent="0.3">
      <c r="A325" s="3" t="s">
        <v>145</v>
      </c>
      <c r="B325" s="3" t="s">
        <v>28</v>
      </c>
      <c r="C325" s="3" t="str">
        <f t="shared" si="5"/>
        <v>450013628420</v>
      </c>
      <c r="D325" s="3" t="s">
        <v>722</v>
      </c>
    </row>
    <row r="326" spans="1:4" x14ac:dyDescent="0.3">
      <c r="A326" s="3" t="s">
        <v>121</v>
      </c>
      <c r="B326" s="3" t="s">
        <v>54</v>
      </c>
      <c r="C326" s="3" t="str">
        <f t="shared" si="5"/>
        <v>450013718830</v>
      </c>
      <c r="D326" s="3" t="s">
        <v>707</v>
      </c>
    </row>
    <row r="327" spans="1:4" x14ac:dyDescent="0.3">
      <c r="A327" s="3" t="s">
        <v>121</v>
      </c>
      <c r="B327" s="3" t="s">
        <v>23</v>
      </c>
      <c r="C327" s="3" t="str">
        <f t="shared" si="5"/>
        <v>450013718840</v>
      </c>
      <c r="D327" s="3" t="s">
        <v>707</v>
      </c>
    </row>
    <row r="328" spans="1:4" x14ac:dyDescent="0.3">
      <c r="A328" s="3" t="s">
        <v>142</v>
      </c>
      <c r="B328" s="3" t="s">
        <v>32</v>
      </c>
      <c r="C328" s="3" t="str">
        <f t="shared" si="5"/>
        <v>450013697510</v>
      </c>
      <c r="D328" s="3" t="s">
        <v>723</v>
      </c>
    </row>
    <row r="329" spans="1:4" x14ac:dyDescent="0.3">
      <c r="A329" s="3" t="s">
        <v>140</v>
      </c>
      <c r="B329" s="3" t="s">
        <v>80</v>
      </c>
      <c r="C329" s="3" t="str">
        <f t="shared" si="5"/>
        <v>450013813560</v>
      </c>
      <c r="D329" s="3" t="s">
        <v>716</v>
      </c>
    </row>
    <row r="330" spans="1:4" x14ac:dyDescent="0.3">
      <c r="A330" s="3" t="s">
        <v>140</v>
      </c>
      <c r="B330" s="3" t="s">
        <v>81</v>
      </c>
      <c r="C330" s="3" t="str">
        <f t="shared" si="5"/>
        <v>450013813570</v>
      </c>
      <c r="D330" s="3" t="s">
        <v>716</v>
      </c>
    </row>
    <row r="331" spans="1:4" x14ac:dyDescent="0.3">
      <c r="A331" s="3" t="s">
        <v>142</v>
      </c>
      <c r="B331" s="3" t="s">
        <v>23</v>
      </c>
      <c r="C331" s="3" t="str">
        <f t="shared" si="5"/>
        <v>450013697540</v>
      </c>
      <c r="D331" s="3" t="s">
        <v>723</v>
      </c>
    </row>
    <row r="332" spans="1:4" x14ac:dyDescent="0.3">
      <c r="A332" s="3" t="s">
        <v>142</v>
      </c>
      <c r="B332" s="3" t="s">
        <v>55</v>
      </c>
      <c r="C332" s="3" t="str">
        <f t="shared" si="5"/>
        <v>450013697550</v>
      </c>
      <c r="D332" s="3" t="s">
        <v>723</v>
      </c>
    </row>
    <row r="333" spans="1:4" x14ac:dyDescent="0.3">
      <c r="A333" s="3" t="s">
        <v>142</v>
      </c>
      <c r="B333" s="3" t="s">
        <v>80</v>
      </c>
      <c r="C333" s="3" t="str">
        <f t="shared" si="5"/>
        <v>450013697560</v>
      </c>
      <c r="D333" s="3" t="s">
        <v>723</v>
      </c>
    </row>
    <row r="334" spans="1:4" x14ac:dyDescent="0.3">
      <c r="A334" s="3" t="s">
        <v>142</v>
      </c>
      <c r="B334" s="3" t="s">
        <v>83</v>
      </c>
      <c r="C334" s="3" t="str">
        <f t="shared" si="5"/>
        <v>450013697590</v>
      </c>
      <c r="D334" s="3" t="s">
        <v>723</v>
      </c>
    </row>
    <row r="335" spans="1:4" x14ac:dyDescent="0.3">
      <c r="A335" s="3" t="s">
        <v>142</v>
      </c>
      <c r="B335" s="3" t="s">
        <v>66</v>
      </c>
      <c r="C335" s="3" t="str">
        <f t="shared" si="5"/>
        <v>4500136975140</v>
      </c>
      <c r="D335" s="3" t="s">
        <v>723</v>
      </c>
    </row>
    <row r="336" spans="1:4" x14ac:dyDescent="0.3">
      <c r="A336" s="3" t="s">
        <v>142</v>
      </c>
      <c r="B336" s="3" t="s">
        <v>87</v>
      </c>
      <c r="C336" s="3" t="str">
        <f t="shared" si="5"/>
        <v>4500136975150</v>
      </c>
      <c r="D336" s="3" t="s">
        <v>723</v>
      </c>
    </row>
    <row r="337" spans="1:4" x14ac:dyDescent="0.3">
      <c r="A337" s="3" t="s">
        <v>142</v>
      </c>
      <c r="B337" s="3" t="s">
        <v>672</v>
      </c>
      <c r="C337" s="3" t="str">
        <f t="shared" si="5"/>
        <v>4500136975380</v>
      </c>
      <c r="D337" s="3" t="s">
        <v>723</v>
      </c>
    </row>
    <row r="338" spans="1:4" x14ac:dyDescent="0.3">
      <c r="A338" s="3" t="s">
        <v>145</v>
      </c>
      <c r="B338" s="3" t="s">
        <v>32</v>
      </c>
      <c r="C338" s="3" t="str">
        <f t="shared" si="5"/>
        <v>450013628410</v>
      </c>
      <c r="D338" s="3" t="s">
        <v>722</v>
      </c>
    </row>
    <row r="339" spans="1:4" x14ac:dyDescent="0.3">
      <c r="A339" s="3" t="s">
        <v>388</v>
      </c>
      <c r="B339" s="3" t="s">
        <v>84</v>
      </c>
      <c r="C339" s="3" t="str">
        <f t="shared" si="5"/>
        <v>4500136603100</v>
      </c>
      <c r="D339" s="3" t="s">
        <v>707</v>
      </c>
    </row>
    <row r="340" spans="1:4" x14ac:dyDescent="0.3">
      <c r="A340" s="3" t="s">
        <v>388</v>
      </c>
      <c r="B340" s="3" t="s">
        <v>88</v>
      </c>
      <c r="C340" s="3" t="str">
        <f t="shared" si="5"/>
        <v>4500136603160</v>
      </c>
      <c r="D340" s="3" t="s">
        <v>707</v>
      </c>
    </row>
    <row r="341" spans="1:4" x14ac:dyDescent="0.3">
      <c r="A341" s="3" t="s">
        <v>388</v>
      </c>
      <c r="B341" s="3" t="s">
        <v>87</v>
      </c>
      <c r="C341" s="3" t="str">
        <f t="shared" si="5"/>
        <v>4500136603150</v>
      </c>
      <c r="D341" s="3" t="s">
        <v>707</v>
      </c>
    </row>
    <row r="342" spans="1:4" x14ac:dyDescent="0.3">
      <c r="A342" s="3" t="s">
        <v>102</v>
      </c>
      <c r="B342" s="3" t="s">
        <v>32</v>
      </c>
      <c r="C342" s="3" t="str">
        <f t="shared" si="5"/>
        <v>450013714710</v>
      </c>
      <c r="D342" s="3" t="s">
        <v>707</v>
      </c>
    </row>
    <row r="343" spans="1:4" x14ac:dyDescent="0.3">
      <c r="A343" s="3" t="s">
        <v>482</v>
      </c>
      <c r="B343" s="3" t="s">
        <v>28</v>
      </c>
      <c r="C343" s="3" t="str">
        <f t="shared" si="5"/>
        <v>450013951820</v>
      </c>
      <c r="D343" s="3" t="s">
        <v>706</v>
      </c>
    </row>
    <row r="344" spans="1:4" x14ac:dyDescent="0.3">
      <c r="A344" s="3" t="s">
        <v>316</v>
      </c>
      <c r="B344" s="3" t="s">
        <v>32</v>
      </c>
      <c r="C344" s="3" t="str">
        <f t="shared" si="5"/>
        <v>450013656610</v>
      </c>
      <c r="D344" s="3" t="s">
        <v>715</v>
      </c>
    </row>
    <row r="345" spans="1:4" x14ac:dyDescent="0.3">
      <c r="A345" s="3" t="s">
        <v>301</v>
      </c>
      <c r="B345" s="3" t="s">
        <v>32</v>
      </c>
      <c r="C345" s="3" t="str">
        <f t="shared" si="5"/>
        <v>450013615310</v>
      </c>
      <c r="D345" s="3" t="s">
        <v>724</v>
      </c>
    </row>
    <row r="346" spans="1:4" x14ac:dyDescent="0.3">
      <c r="A346" s="3" t="s">
        <v>121</v>
      </c>
      <c r="B346" s="3" t="s">
        <v>32</v>
      </c>
      <c r="C346" s="3" t="str">
        <f t="shared" si="5"/>
        <v>450013718810</v>
      </c>
      <c r="D346" s="3" t="s">
        <v>707</v>
      </c>
    </row>
    <row r="347" spans="1:4" x14ac:dyDescent="0.3">
      <c r="A347" s="3" t="s">
        <v>121</v>
      </c>
      <c r="B347" s="3" t="s">
        <v>28</v>
      </c>
      <c r="C347" s="3" t="str">
        <f t="shared" si="5"/>
        <v>450013718820</v>
      </c>
      <c r="D347" s="3" t="s">
        <v>707</v>
      </c>
    </row>
    <row r="348" spans="1:4" x14ac:dyDescent="0.3">
      <c r="A348" s="3" t="s">
        <v>388</v>
      </c>
      <c r="B348" s="3" t="s">
        <v>83</v>
      </c>
      <c r="C348" s="3" t="str">
        <f t="shared" si="5"/>
        <v>450013660390</v>
      </c>
      <c r="D348" s="3" t="s">
        <v>707</v>
      </c>
    </row>
    <row r="349" spans="1:4" x14ac:dyDescent="0.3">
      <c r="A349" s="3" t="s">
        <v>388</v>
      </c>
      <c r="B349" s="3" t="s">
        <v>82</v>
      </c>
      <c r="C349" s="3" t="str">
        <f t="shared" si="5"/>
        <v>450013660380</v>
      </c>
      <c r="D349" s="3" t="s">
        <v>707</v>
      </c>
    </row>
    <row r="350" spans="1:4" x14ac:dyDescent="0.3">
      <c r="A350" s="3" t="s">
        <v>388</v>
      </c>
      <c r="B350" s="3" t="s">
        <v>81</v>
      </c>
      <c r="C350" s="3" t="str">
        <f t="shared" si="5"/>
        <v>450013660370</v>
      </c>
      <c r="D350" s="3" t="s">
        <v>707</v>
      </c>
    </row>
    <row r="351" spans="1:4" x14ac:dyDescent="0.3">
      <c r="A351" s="3" t="s">
        <v>388</v>
      </c>
      <c r="B351" s="3" t="s">
        <v>86</v>
      </c>
      <c r="C351" s="3" t="str">
        <f t="shared" si="5"/>
        <v>4500136603120</v>
      </c>
      <c r="D351" s="3" t="s">
        <v>707</v>
      </c>
    </row>
    <row r="352" spans="1:4" x14ac:dyDescent="0.3">
      <c r="A352" s="3" t="s">
        <v>388</v>
      </c>
      <c r="B352" s="3" t="s">
        <v>66</v>
      </c>
      <c r="C352" s="3" t="str">
        <f t="shared" si="5"/>
        <v>4500136603140</v>
      </c>
      <c r="D352" s="3" t="s">
        <v>707</v>
      </c>
    </row>
    <row r="353" spans="1:4" x14ac:dyDescent="0.3">
      <c r="A353" s="3" t="s">
        <v>388</v>
      </c>
      <c r="B353" s="3" t="s">
        <v>32</v>
      </c>
      <c r="C353" s="3" t="str">
        <f t="shared" si="5"/>
        <v>450013660310</v>
      </c>
      <c r="D353" s="3" t="s">
        <v>707</v>
      </c>
    </row>
    <row r="354" spans="1:4" x14ac:dyDescent="0.3">
      <c r="A354" s="3" t="s">
        <v>498</v>
      </c>
      <c r="B354" s="3" t="s">
        <v>28</v>
      </c>
      <c r="C354" s="3" t="str">
        <f t="shared" si="5"/>
        <v>450013653020</v>
      </c>
      <c r="D354" s="3" t="s">
        <v>707</v>
      </c>
    </row>
    <row r="355" spans="1:4" x14ac:dyDescent="0.3">
      <c r="A355" s="3" t="s">
        <v>498</v>
      </c>
      <c r="B355" s="3" t="s">
        <v>54</v>
      </c>
      <c r="C355" s="3" t="str">
        <f t="shared" si="5"/>
        <v>450013653030</v>
      </c>
      <c r="D355" s="3" t="s">
        <v>707</v>
      </c>
    </row>
    <row r="356" spans="1:4" x14ac:dyDescent="0.3">
      <c r="A356" s="3" t="s">
        <v>482</v>
      </c>
      <c r="B356" s="3" t="s">
        <v>54</v>
      </c>
      <c r="C356" s="3" t="str">
        <f t="shared" si="5"/>
        <v>450013951830</v>
      </c>
      <c r="D356" s="3" t="s">
        <v>706</v>
      </c>
    </row>
    <row r="357" spans="1:4" x14ac:dyDescent="0.3">
      <c r="A357" s="3" t="s">
        <v>482</v>
      </c>
      <c r="B357" s="3" t="s">
        <v>23</v>
      </c>
      <c r="C357" s="3" t="str">
        <f t="shared" si="5"/>
        <v>450013951840</v>
      </c>
      <c r="D357" s="3" t="s">
        <v>706</v>
      </c>
    </row>
    <row r="358" spans="1:4" x14ac:dyDescent="0.3">
      <c r="A358" s="3" t="s">
        <v>388</v>
      </c>
      <c r="B358" s="3" t="s">
        <v>80</v>
      </c>
      <c r="C358" s="3" t="str">
        <f t="shared" si="5"/>
        <v>450013660360</v>
      </c>
      <c r="D358" s="3" t="s">
        <v>707</v>
      </c>
    </row>
    <row r="359" spans="1:4" x14ac:dyDescent="0.3">
      <c r="A359" s="3" t="s">
        <v>337</v>
      </c>
      <c r="B359" s="3" t="s">
        <v>32</v>
      </c>
      <c r="C359" s="3" t="str">
        <f t="shared" si="5"/>
        <v>450013701610</v>
      </c>
      <c r="D359" s="3" t="s">
        <v>706</v>
      </c>
    </row>
    <row r="360" spans="1:4" x14ac:dyDescent="0.3">
      <c r="A360" s="3" t="s">
        <v>337</v>
      </c>
      <c r="B360" s="3" t="s">
        <v>28</v>
      </c>
      <c r="C360" s="3" t="str">
        <f t="shared" si="5"/>
        <v>450013701620</v>
      </c>
      <c r="D360" s="3" t="s">
        <v>706</v>
      </c>
    </row>
    <row r="361" spans="1:4" x14ac:dyDescent="0.3">
      <c r="A361" s="3" t="s">
        <v>337</v>
      </c>
      <c r="B361" s="3" t="s">
        <v>54</v>
      </c>
      <c r="C361" s="3" t="str">
        <f t="shared" si="5"/>
        <v>450013701630</v>
      </c>
      <c r="D361" s="3" t="s">
        <v>706</v>
      </c>
    </row>
    <row r="362" spans="1:4" x14ac:dyDescent="0.3">
      <c r="A362" s="3" t="s">
        <v>309</v>
      </c>
      <c r="B362" s="3" t="s">
        <v>28</v>
      </c>
      <c r="C362" s="3" t="str">
        <f t="shared" si="5"/>
        <v>450013633620</v>
      </c>
      <c r="D362" s="3" t="s">
        <v>712</v>
      </c>
    </row>
    <row r="363" spans="1:4" x14ac:dyDescent="0.3">
      <c r="A363" s="3" t="s">
        <v>309</v>
      </c>
      <c r="B363" s="3" t="s">
        <v>32</v>
      </c>
      <c r="C363" s="3" t="str">
        <f t="shared" si="5"/>
        <v>450013633610</v>
      </c>
      <c r="D363" s="3" t="s">
        <v>712</v>
      </c>
    </row>
    <row r="364" spans="1:4" x14ac:dyDescent="0.3">
      <c r="A364" s="3" t="s">
        <v>309</v>
      </c>
      <c r="B364" s="3" t="s">
        <v>54</v>
      </c>
      <c r="C364" s="3" t="str">
        <f t="shared" si="5"/>
        <v>450013633630</v>
      </c>
      <c r="D364" s="3" t="s">
        <v>712</v>
      </c>
    </row>
    <row r="365" spans="1:4" x14ac:dyDescent="0.3">
      <c r="A365" s="3" t="s">
        <v>429</v>
      </c>
      <c r="B365" s="3" t="s">
        <v>32</v>
      </c>
      <c r="C365" s="3" t="str">
        <f t="shared" si="5"/>
        <v>450013779410</v>
      </c>
      <c r="D365" s="3" t="s">
        <v>715</v>
      </c>
    </row>
    <row r="366" spans="1:4" x14ac:dyDescent="0.3">
      <c r="A366" s="3" t="s">
        <v>429</v>
      </c>
      <c r="B366" s="3" t="s">
        <v>28</v>
      </c>
      <c r="C366" s="3" t="str">
        <f t="shared" si="5"/>
        <v>450013779420</v>
      </c>
      <c r="D366" s="3" t="s">
        <v>715</v>
      </c>
    </row>
    <row r="367" spans="1:4" x14ac:dyDescent="0.3">
      <c r="A367" s="3" t="s">
        <v>429</v>
      </c>
      <c r="B367" s="3" t="s">
        <v>54</v>
      </c>
      <c r="C367" s="3" t="str">
        <f t="shared" si="5"/>
        <v>450013779430</v>
      </c>
      <c r="D367" s="3" t="s">
        <v>715</v>
      </c>
    </row>
    <row r="368" spans="1:4" x14ac:dyDescent="0.3">
      <c r="A368" s="3" t="s">
        <v>429</v>
      </c>
      <c r="B368" s="3" t="s">
        <v>23</v>
      </c>
      <c r="C368" s="3" t="str">
        <f t="shared" si="5"/>
        <v>450013779440</v>
      </c>
      <c r="D368" s="3" t="s">
        <v>715</v>
      </c>
    </row>
    <row r="369" spans="1:4" x14ac:dyDescent="0.3">
      <c r="A369" s="3" t="s">
        <v>429</v>
      </c>
      <c r="B369" s="3" t="s">
        <v>55</v>
      </c>
      <c r="C369" s="3" t="str">
        <f t="shared" si="5"/>
        <v>450013779450</v>
      </c>
      <c r="D369" s="3" t="s">
        <v>715</v>
      </c>
    </row>
    <row r="370" spans="1:4" x14ac:dyDescent="0.3">
      <c r="A370" s="3" t="s">
        <v>429</v>
      </c>
      <c r="B370" s="3" t="s">
        <v>80</v>
      </c>
      <c r="C370" s="3" t="str">
        <f t="shared" si="5"/>
        <v>450013779460</v>
      </c>
      <c r="D370" s="3" t="s">
        <v>715</v>
      </c>
    </row>
    <row r="371" spans="1:4" x14ac:dyDescent="0.3">
      <c r="A371" s="3" t="s">
        <v>429</v>
      </c>
      <c r="B371" s="3" t="s">
        <v>81</v>
      </c>
      <c r="C371" s="3" t="str">
        <f t="shared" si="5"/>
        <v>450013779470</v>
      </c>
      <c r="D371" s="3" t="s">
        <v>715</v>
      </c>
    </row>
    <row r="372" spans="1:4" x14ac:dyDescent="0.3">
      <c r="A372" s="3" t="s">
        <v>429</v>
      </c>
      <c r="B372" s="3" t="s">
        <v>84</v>
      </c>
      <c r="C372" s="3" t="str">
        <f t="shared" si="5"/>
        <v>4500137794100</v>
      </c>
      <c r="D372" s="3" t="s">
        <v>715</v>
      </c>
    </row>
    <row r="373" spans="1:4" x14ac:dyDescent="0.3">
      <c r="A373" s="3" t="s">
        <v>429</v>
      </c>
      <c r="B373" s="3" t="s">
        <v>85</v>
      </c>
      <c r="C373" s="3" t="str">
        <f t="shared" si="5"/>
        <v>4500137794110</v>
      </c>
      <c r="D373" s="3" t="s">
        <v>715</v>
      </c>
    </row>
    <row r="374" spans="1:4" x14ac:dyDescent="0.3">
      <c r="A374" s="3" t="s">
        <v>429</v>
      </c>
      <c r="B374" s="3" t="s">
        <v>86</v>
      </c>
      <c r="C374" s="3" t="str">
        <f t="shared" si="5"/>
        <v>4500137794120</v>
      </c>
      <c r="D374" s="3" t="s">
        <v>715</v>
      </c>
    </row>
    <row r="375" spans="1:4" x14ac:dyDescent="0.3">
      <c r="A375" s="3" t="s">
        <v>429</v>
      </c>
      <c r="B375" s="3" t="s">
        <v>65</v>
      </c>
      <c r="C375" s="3" t="str">
        <f t="shared" si="5"/>
        <v>4500137794130</v>
      </c>
      <c r="D375" s="3" t="s">
        <v>715</v>
      </c>
    </row>
    <row r="376" spans="1:4" x14ac:dyDescent="0.3">
      <c r="A376" s="3" t="s">
        <v>429</v>
      </c>
      <c r="B376" s="3" t="s">
        <v>66</v>
      </c>
      <c r="C376" s="3" t="str">
        <f t="shared" si="5"/>
        <v>4500137794140</v>
      </c>
      <c r="D376" s="3" t="s">
        <v>715</v>
      </c>
    </row>
    <row r="377" spans="1:4" x14ac:dyDescent="0.3">
      <c r="A377" s="3" t="s">
        <v>429</v>
      </c>
      <c r="B377" s="3" t="s">
        <v>87</v>
      </c>
      <c r="C377" s="3" t="str">
        <f t="shared" si="5"/>
        <v>4500137794150</v>
      </c>
      <c r="D377" s="3" t="s">
        <v>715</v>
      </c>
    </row>
    <row r="378" spans="1:4" x14ac:dyDescent="0.3">
      <c r="A378" s="3" t="s">
        <v>429</v>
      </c>
      <c r="B378" s="3" t="s">
        <v>88</v>
      </c>
      <c r="C378" s="3" t="str">
        <f t="shared" si="5"/>
        <v>4500137794160</v>
      </c>
      <c r="D378" s="3" t="s">
        <v>715</v>
      </c>
    </row>
    <row r="379" spans="1:4" x14ac:dyDescent="0.3">
      <c r="A379" s="3" t="s">
        <v>429</v>
      </c>
      <c r="B379" s="3" t="s">
        <v>67</v>
      </c>
      <c r="C379" s="3" t="str">
        <f t="shared" si="5"/>
        <v>4500137794170</v>
      </c>
      <c r="D379" s="3" t="s">
        <v>715</v>
      </c>
    </row>
    <row r="380" spans="1:4" x14ac:dyDescent="0.3">
      <c r="A380" s="3" t="s">
        <v>429</v>
      </c>
      <c r="B380" s="3" t="s">
        <v>125</v>
      </c>
      <c r="C380" s="3" t="str">
        <f t="shared" si="5"/>
        <v>4500137794180</v>
      </c>
      <c r="D380" s="3" t="s">
        <v>715</v>
      </c>
    </row>
    <row r="381" spans="1:4" x14ac:dyDescent="0.3">
      <c r="A381" s="3" t="s">
        <v>429</v>
      </c>
      <c r="B381" s="3" t="s">
        <v>91</v>
      </c>
      <c r="C381" s="3" t="str">
        <f t="shared" si="5"/>
        <v>4500137794190</v>
      </c>
      <c r="D381" s="3" t="s">
        <v>715</v>
      </c>
    </row>
    <row r="382" spans="1:4" x14ac:dyDescent="0.3">
      <c r="A382" s="3" t="s">
        <v>429</v>
      </c>
      <c r="B382" s="3" t="s">
        <v>92</v>
      </c>
      <c r="C382" s="3" t="str">
        <f t="shared" si="5"/>
        <v>4500137794200</v>
      </c>
      <c r="D382" s="3" t="s">
        <v>715</v>
      </c>
    </row>
    <row r="383" spans="1:4" x14ac:dyDescent="0.3">
      <c r="A383" s="3" t="s">
        <v>429</v>
      </c>
      <c r="B383" s="3" t="s">
        <v>43</v>
      </c>
      <c r="C383" s="3" t="str">
        <f t="shared" si="5"/>
        <v>4500137794210</v>
      </c>
      <c r="D383" s="3" t="s">
        <v>715</v>
      </c>
    </row>
    <row r="384" spans="1:4" x14ac:dyDescent="0.3">
      <c r="A384" s="3" t="s">
        <v>429</v>
      </c>
      <c r="B384" s="3" t="s">
        <v>44</v>
      </c>
      <c r="C384" s="3" t="str">
        <f t="shared" si="5"/>
        <v>4500137794220</v>
      </c>
      <c r="D384" s="3" t="s">
        <v>715</v>
      </c>
    </row>
    <row r="385" spans="1:4" x14ac:dyDescent="0.3">
      <c r="A385" s="3" t="s">
        <v>429</v>
      </c>
      <c r="B385" s="3" t="s">
        <v>126</v>
      </c>
      <c r="C385" s="3" t="str">
        <f t="shared" ref="C385:C445" si="6">_xlfn.CONCAT(A385:B385)</f>
        <v>4500137794230</v>
      </c>
      <c r="D385" s="3" t="s">
        <v>715</v>
      </c>
    </row>
    <row r="386" spans="1:4" x14ac:dyDescent="0.3">
      <c r="A386" s="3" t="s">
        <v>429</v>
      </c>
      <c r="B386" s="3" t="s">
        <v>127</v>
      </c>
      <c r="C386" s="3" t="str">
        <f t="shared" si="6"/>
        <v>4500137794240</v>
      </c>
      <c r="D386" s="3" t="s">
        <v>715</v>
      </c>
    </row>
    <row r="387" spans="1:4" x14ac:dyDescent="0.3">
      <c r="A387" s="3" t="s">
        <v>429</v>
      </c>
      <c r="B387" s="3" t="s">
        <v>128</v>
      </c>
      <c r="C387" s="3" t="str">
        <f t="shared" si="6"/>
        <v>4500137794250</v>
      </c>
      <c r="D387" s="3" t="s">
        <v>715</v>
      </c>
    </row>
    <row r="388" spans="1:4" x14ac:dyDescent="0.3">
      <c r="A388" s="3" t="s">
        <v>429</v>
      </c>
      <c r="B388" s="3" t="s">
        <v>129</v>
      </c>
      <c r="C388" s="3" t="str">
        <f t="shared" si="6"/>
        <v>4500137794260</v>
      </c>
      <c r="D388" s="3" t="s">
        <v>715</v>
      </c>
    </row>
    <row r="389" spans="1:4" x14ac:dyDescent="0.3">
      <c r="A389" s="3" t="s">
        <v>429</v>
      </c>
      <c r="B389" s="3" t="s">
        <v>130</v>
      </c>
      <c r="C389" s="3" t="str">
        <f t="shared" si="6"/>
        <v>4500137794270</v>
      </c>
      <c r="D389" s="3" t="s">
        <v>715</v>
      </c>
    </row>
    <row r="390" spans="1:4" x14ac:dyDescent="0.3">
      <c r="A390" s="3" t="s">
        <v>429</v>
      </c>
      <c r="B390" s="3" t="s">
        <v>131</v>
      </c>
      <c r="C390" s="3" t="str">
        <f t="shared" si="6"/>
        <v>4500137794280</v>
      </c>
      <c r="D390" s="3" t="s">
        <v>715</v>
      </c>
    </row>
    <row r="391" spans="1:4" x14ac:dyDescent="0.3">
      <c r="A391" s="3" t="s">
        <v>429</v>
      </c>
      <c r="B391" s="3" t="s">
        <v>133</v>
      </c>
      <c r="C391" s="3" t="str">
        <f t="shared" si="6"/>
        <v>4500137794300</v>
      </c>
      <c r="D391" s="3" t="s">
        <v>715</v>
      </c>
    </row>
    <row r="392" spans="1:4" x14ac:dyDescent="0.3">
      <c r="A392" s="3" t="s">
        <v>429</v>
      </c>
      <c r="B392" s="3" t="s">
        <v>135</v>
      </c>
      <c r="C392" s="3" t="str">
        <f t="shared" si="6"/>
        <v>4500137794320</v>
      </c>
      <c r="D392" s="3" t="s">
        <v>715</v>
      </c>
    </row>
    <row r="393" spans="1:4" x14ac:dyDescent="0.3">
      <c r="A393" s="3" t="s">
        <v>429</v>
      </c>
      <c r="B393" s="3" t="s">
        <v>430</v>
      </c>
      <c r="C393" s="3" t="str">
        <f t="shared" si="6"/>
        <v>4500137794330</v>
      </c>
      <c r="D393" s="3" t="s">
        <v>715</v>
      </c>
    </row>
    <row r="394" spans="1:4" x14ac:dyDescent="0.3">
      <c r="A394" s="3" t="s">
        <v>319</v>
      </c>
      <c r="B394" s="3" t="s">
        <v>32</v>
      </c>
      <c r="C394" s="3" t="str">
        <f t="shared" si="6"/>
        <v>450013683010</v>
      </c>
      <c r="D394" s="3" t="s">
        <v>715</v>
      </c>
    </row>
    <row r="395" spans="1:4" x14ac:dyDescent="0.3">
      <c r="A395" s="3" t="s">
        <v>353</v>
      </c>
      <c r="B395" s="3" t="s">
        <v>32</v>
      </c>
      <c r="C395" s="3" t="str">
        <f t="shared" si="6"/>
        <v>450013674510</v>
      </c>
      <c r="D395" s="3" t="s">
        <v>720</v>
      </c>
    </row>
    <row r="396" spans="1:4" x14ac:dyDescent="0.3">
      <c r="A396" s="3" t="s">
        <v>353</v>
      </c>
      <c r="B396" s="3" t="s">
        <v>28</v>
      </c>
      <c r="C396" s="3" t="str">
        <f t="shared" si="6"/>
        <v>450013674520</v>
      </c>
      <c r="D396" s="3" t="s">
        <v>720</v>
      </c>
    </row>
    <row r="397" spans="1:4" x14ac:dyDescent="0.3">
      <c r="A397" s="3" t="s">
        <v>353</v>
      </c>
      <c r="B397" s="3" t="s">
        <v>54</v>
      </c>
      <c r="C397" s="3" t="str">
        <f t="shared" si="6"/>
        <v>450013674530</v>
      </c>
      <c r="D397" s="3" t="s">
        <v>720</v>
      </c>
    </row>
    <row r="398" spans="1:4" x14ac:dyDescent="0.3">
      <c r="A398" s="3" t="s">
        <v>353</v>
      </c>
      <c r="B398" s="3" t="s">
        <v>23</v>
      </c>
      <c r="C398" s="3" t="str">
        <f t="shared" si="6"/>
        <v>450013674540</v>
      </c>
      <c r="D398" s="3" t="s">
        <v>720</v>
      </c>
    </row>
    <row r="399" spans="1:4" x14ac:dyDescent="0.3">
      <c r="A399" s="3" t="s">
        <v>353</v>
      </c>
      <c r="B399" s="3" t="s">
        <v>55</v>
      </c>
      <c r="C399" s="3" t="str">
        <f t="shared" si="6"/>
        <v>450013674550</v>
      </c>
      <c r="D399" s="3" t="s">
        <v>720</v>
      </c>
    </row>
    <row r="400" spans="1:4" x14ac:dyDescent="0.3">
      <c r="A400" s="3" t="s">
        <v>357</v>
      </c>
      <c r="B400" s="3" t="s">
        <v>54</v>
      </c>
      <c r="C400" s="3" t="str">
        <f t="shared" si="6"/>
        <v>450013779730</v>
      </c>
      <c r="D400" s="3" t="s">
        <v>722</v>
      </c>
    </row>
    <row r="401" spans="1:4" x14ac:dyDescent="0.3">
      <c r="A401" s="3" t="s">
        <v>388</v>
      </c>
      <c r="B401" s="3" t="s">
        <v>67</v>
      </c>
      <c r="C401" s="3" t="str">
        <f t="shared" si="6"/>
        <v>4500136603170</v>
      </c>
      <c r="D401" s="3" t="s">
        <v>707</v>
      </c>
    </row>
    <row r="402" spans="1:4" x14ac:dyDescent="0.3">
      <c r="A402" s="3" t="s">
        <v>388</v>
      </c>
      <c r="B402" s="3" t="s">
        <v>65</v>
      </c>
      <c r="C402" s="3" t="str">
        <f t="shared" si="6"/>
        <v>4500136603130</v>
      </c>
      <c r="D402" s="3" t="s">
        <v>707</v>
      </c>
    </row>
    <row r="403" spans="1:4" x14ac:dyDescent="0.3">
      <c r="A403" s="3" t="s">
        <v>388</v>
      </c>
      <c r="B403" s="3" t="s">
        <v>55</v>
      </c>
      <c r="C403" s="3" t="str">
        <f t="shared" si="6"/>
        <v>450013660350</v>
      </c>
      <c r="D403" s="3" t="s">
        <v>707</v>
      </c>
    </row>
    <row r="404" spans="1:4" x14ac:dyDescent="0.3">
      <c r="A404" s="3" t="s">
        <v>388</v>
      </c>
      <c r="B404" s="3" t="s">
        <v>23</v>
      </c>
      <c r="C404" s="3" t="str">
        <f t="shared" si="6"/>
        <v>450013660340</v>
      </c>
      <c r="D404" s="3" t="s">
        <v>707</v>
      </c>
    </row>
    <row r="405" spans="1:4" x14ac:dyDescent="0.3">
      <c r="A405" s="3" t="s">
        <v>388</v>
      </c>
      <c r="B405" s="3" t="s">
        <v>54</v>
      </c>
      <c r="C405" s="3" t="str">
        <f t="shared" si="6"/>
        <v>450013660330</v>
      </c>
      <c r="D405" s="3" t="s">
        <v>707</v>
      </c>
    </row>
    <row r="406" spans="1:4" x14ac:dyDescent="0.3">
      <c r="A406" s="3" t="s">
        <v>388</v>
      </c>
      <c r="B406" s="3" t="s">
        <v>28</v>
      </c>
      <c r="C406" s="3" t="str">
        <f t="shared" si="6"/>
        <v>450013660320</v>
      </c>
      <c r="D406" s="3" t="s">
        <v>707</v>
      </c>
    </row>
    <row r="407" spans="1:4" x14ac:dyDescent="0.3">
      <c r="A407" s="3" t="s">
        <v>326</v>
      </c>
      <c r="B407" s="3" t="s">
        <v>32</v>
      </c>
      <c r="C407" s="3" t="str">
        <f t="shared" si="6"/>
        <v>450013711910</v>
      </c>
      <c r="D407" s="3" t="s">
        <v>720</v>
      </c>
    </row>
    <row r="408" spans="1:4" x14ac:dyDescent="0.3">
      <c r="A408" s="3" t="s">
        <v>448</v>
      </c>
      <c r="B408" s="3" t="s">
        <v>32</v>
      </c>
      <c r="C408" s="3" t="str">
        <f t="shared" si="6"/>
        <v>450013682210</v>
      </c>
      <c r="D408" s="3" t="s">
        <v>725</v>
      </c>
    </row>
    <row r="409" spans="1:4" x14ac:dyDescent="0.3">
      <c r="A409" s="3" t="s">
        <v>319</v>
      </c>
      <c r="B409" s="3" t="s">
        <v>88</v>
      </c>
      <c r="C409" s="3" t="str">
        <f t="shared" si="6"/>
        <v>4500136830160</v>
      </c>
      <c r="D409" s="3" t="s">
        <v>715</v>
      </c>
    </row>
    <row r="410" spans="1:4" x14ac:dyDescent="0.3">
      <c r="A410" s="3" t="s">
        <v>140</v>
      </c>
      <c r="B410" s="3" t="s">
        <v>55</v>
      </c>
      <c r="C410" s="3" t="str">
        <f t="shared" si="6"/>
        <v>450013813550</v>
      </c>
      <c r="D410" s="3" t="s">
        <v>716</v>
      </c>
    </row>
    <row r="411" spans="1:4" x14ac:dyDescent="0.3">
      <c r="A411" s="3" t="s">
        <v>324</v>
      </c>
      <c r="B411" s="3" t="s">
        <v>28</v>
      </c>
      <c r="C411" s="3" t="str">
        <f t="shared" si="6"/>
        <v>450013678620</v>
      </c>
      <c r="D411" s="3" t="s">
        <v>715</v>
      </c>
    </row>
    <row r="412" spans="1:4" x14ac:dyDescent="0.3">
      <c r="A412" s="3" t="s">
        <v>324</v>
      </c>
      <c r="B412" s="3" t="s">
        <v>32</v>
      </c>
      <c r="C412" s="3" t="str">
        <f t="shared" si="6"/>
        <v>450013678610</v>
      </c>
      <c r="D412" s="3" t="s">
        <v>715</v>
      </c>
    </row>
    <row r="413" spans="1:4" x14ac:dyDescent="0.3">
      <c r="A413" s="3" t="s">
        <v>324</v>
      </c>
      <c r="B413" s="3" t="s">
        <v>54</v>
      </c>
      <c r="C413" s="3" t="str">
        <f t="shared" si="6"/>
        <v>450013678630</v>
      </c>
      <c r="D413" s="3" t="s">
        <v>715</v>
      </c>
    </row>
    <row r="414" spans="1:4" x14ac:dyDescent="0.3">
      <c r="A414" s="3" t="s">
        <v>140</v>
      </c>
      <c r="B414" s="3" t="s">
        <v>32</v>
      </c>
      <c r="C414" s="3" t="str">
        <f t="shared" si="6"/>
        <v>450013813510</v>
      </c>
      <c r="D414" s="3" t="s">
        <v>716</v>
      </c>
    </row>
    <row r="415" spans="1:4" x14ac:dyDescent="0.3">
      <c r="A415" s="3" t="s">
        <v>140</v>
      </c>
      <c r="B415" s="3" t="s">
        <v>28</v>
      </c>
      <c r="C415" s="3" t="str">
        <f t="shared" si="6"/>
        <v>450013813520</v>
      </c>
      <c r="D415" s="3" t="s">
        <v>716</v>
      </c>
    </row>
    <row r="416" spans="1:4" x14ac:dyDescent="0.3">
      <c r="A416" s="3" t="s">
        <v>140</v>
      </c>
      <c r="B416" s="3" t="s">
        <v>54</v>
      </c>
      <c r="C416" s="3" t="str">
        <f t="shared" si="6"/>
        <v>450013813530</v>
      </c>
      <c r="D416" s="3" t="s">
        <v>716</v>
      </c>
    </row>
    <row r="417" spans="1:4" x14ac:dyDescent="0.3">
      <c r="A417" s="3" t="s">
        <v>321</v>
      </c>
      <c r="B417" s="3" t="s">
        <v>83</v>
      </c>
      <c r="C417" s="3" t="str">
        <f t="shared" si="6"/>
        <v>450013687890</v>
      </c>
      <c r="D417" s="3" t="s">
        <v>725</v>
      </c>
    </row>
    <row r="418" spans="1:4" x14ac:dyDescent="0.3">
      <c r="A418" s="3" t="s">
        <v>104</v>
      </c>
      <c r="B418" s="3" t="s">
        <v>32</v>
      </c>
      <c r="C418" s="3" t="str">
        <f t="shared" si="6"/>
        <v>450013713110</v>
      </c>
      <c r="D418" s="3" t="s">
        <v>721</v>
      </c>
    </row>
    <row r="419" spans="1:4" x14ac:dyDescent="0.3">
      <c r="A419" s="3" t="s">
        <v>378</v>
      </c>
      <c r="B419" s="3" t="s">
        <v>32</v>
      </c>
      <c r="C419" s="3" t="str">
        <f t="shared" si="6"/>
        <v>450013828110</v>
      </c>
      <c r="D419" s="3" t="s">
        <v>706</v>
      </c>
    </row>
    <row r="420" spans="1:4" x14ac:dyDescent="0.3">
      <c r="A420" s="3" t="s">
        <v>416</v>
      </c>
      <c r="B420" s="3" t="s">
        <v>32</v>
      </c>
      <c r="C420" s="3" t="str">
        <f t="shared" si="6"/>
        <v>450013870810</v>
      </c>
      <c r="D420" s="3" t="s">
        <v>706</v>
      </c>
    </row>
    <row r="421" spans="1:4" x14ac:dyDescent="0.3">
      <c r="A421" s="3" t="s">
        <v>64</v>
      </c>
      <c r="B421" s="3" t="s">
        <v>126</v>
      </c>
      <c r="C421" s="3" t="str">
        <f t="shared" si="6"/>
        <v>4500138211230</v>
      </c>
      <c r="D421" s="3" t="s">
        <v>706</v>
      </c>
    </row>
    <row r="422" spans="1:4" x14ac:dyDescent="0.3">
      <c r="A422" s="3" t="s">
        <v>343</v>
      </c>
      <c r="B422" s="3" t="s">
        <v>32</v>
      </c>
      <c r="C422" s="3" t="str">
        <f t="shared" si="6"/>
        <v>450013693910</v>
      </c>
      <c r="D422" s="3" t="s">
        <v>712</v>
      </c>
    </row>
    <row r="423" spans="1:4" x14ac:dyDescent="0.3">
      <c r="A423" s="3" t="s">
        <v>343</v>
      </c>
      <c r="B423" s="3" t="s">
        <v>28</v>
      </c>
      <c r="C423" s="3" t="str">
        <f t="shared" si="6"/>
        <v>450013693920</v>
      </c>
      <c r="D423" s="3" t="s">
        <v>712</v>
      </c>
    </row>
    <row r="424" spans="1:4" x14ac:dyDescent="0.3">
      <c r="A424" s="3" t="s">
        <v>78</v>
      </c>
      <c r="B424" s="3" t="s">
        <v>32</v>
      </c>
      <c r="C424" s="3" t="str">
        <f t="shared" si="6"/>
        <v>450013702910</v>
      </c>
      <c r="D424" s="3" t="s">
        <v>715</v>
      </c>
    </row>
    <row r="425" spans="1:4" x14ac:dyDescent="0.3">
      <c r="A425" s="3" t="s">
        <v>420</v>
      </c>
      <c r="B425" s="3" t="s">
        <v>32</v>
      </c>
      <c r="C425" s="3" t="str">
        <f t="shared" si="6"/>
        <v>450013704510</v>
      </c>
      <c r="D425" s="3" t="s">
        <v>715</v>
      </c>
    </row>
    <row r="426" spans="1:4" x14ac:dyDescent="0.3">
      <c r="A426" s="3" t="s">
        <v>357</v>
      </c>
      <c r="B426" s="3" t="s">
        <v>28</v>
      </c>
      <c r="C426" s="3" t="str">
        <f t="shared" si="6"/>
        <v>450013779720</v>
      </c>
      <c r="D426" s="3" t="s">
        <v>722</v>
      </c>
    </row>
    <row r="427" spans="1:4" x14ac:dyDescent="0.3">
      <c r="A427" s="3" t="s">
        <v>71</v>
      </c>
      <c r="B427" s="3" t="s">
        <v>32</v>
      </c>
      <c r="C427" s="3" t="str">
        <f t="shared" si="6"/>
        <v>450013737210</v>
      </c>
      <c r="D427" s="3" t="s">
        <v>715</v>
      </c>
    </row>
    <row r="428" spans="1:4" x14ac:dyDescent="0.3">
      <c r="A428" s="3" t="s">
        <v>432</v>
      </c>
      <c r="B428" s="3" t="s">
        <v>32</v>
      </c>
      <c r="C428" s="3" t="str">
        <f t="shared" si="6"/>
        <v>450013889710</v>
      </c>
      <c r="D428" s="3" t="s">
        <v>706</v>
      </c>
    </row>
    <row r="429" spans="1:4" x14ac:dyDescent="0.3">
      <c r="A429" s="3" t="s">
        <v>432</v>
      </c>
      <c r="B429" s="3" t="s">
        <v>28</v>
      </c>
      <c r="C429" s="3" t="str">
        <f t="shared" si="6"/>
        <v>450013889720</v>
      </c>
      <c r="D429" s="3" t="s">
        <v>706</v>
      </c>
    </row>
    <row r="430" spans="1:4" x14ac:dyDescent="0.3">
      <c r="A430" s="3" t="s">
        <v>411</v>
      </c>
      <c r="B430" s="3" t="s">
        <v>32</v>
      </c>
      <c r="C430" s="3" t="str">
        <f t="shared" si="6"/>
        <v>450013746110</v>
      </c>
      <c r="D430" s="3" t="s">
        <v>715</v>
      </c>
    </row>
    <row r="431" spans="1:4" x14ac:dyDescent="0.3">
      <c r="A431" s="3" t="s">
        <v>89</v>
      </c>
      <c r="B431" s="3" t="s">
        <v>32</v>
      </c>
      <c r="C431" s="3" t="str">
        <f t="shared" si="6"/>
        <v>450013710110</v>
      </c>
      <c r="D431" s="3" t="s">
        <v>722</v>
      </c>
    </row>
    <row r="432" spans="1:4" x14ac:dyDescent="0.3">
      <c r="A432" s="3" t="s">
        <v>124</v>
      </c>
      <c r="B432" s="3" t="s">
        <v>32</v>
      </c>
      <c r="C432" s="3" t="str">
        <f t="shared" si="6"/>
        <v>450013756810</v>
      </c>
      <c r="D432" s="3" t="s">
        <v>722</v>
      </c>
    </row>
    <row r="433" spans="1:4" x14ac:dyDescent="0.3">
      <c r="A433" s="3" t="s">
        <v>124</v>
      </c>
      <c r="B433" s="3" t="s">
        <v>28</v>
      </c>
      <c r="C433" s="3" t="str">
        <f t="shared" si="6"/>
        <v>450013756820</v>
      </c>
      <c r="D433" s="3" t="s">
        <v>722</v>
      </c>
    </row>
    <row r="434" spans="1:4" x14ac:dyDescent="0.3">
      <c r="A434" s="3" t="s">
        <v>124</v>
      </c>
      <c r="B434" s="3" t="s">
        <v>54</v>
      </c>
      <c r="C434" s="3" t="str">
        <f t="shared" si="6"/>
        <v>450013756830</v>
      </c>
      <c r="D434" s="3" t="s">
        <v>722</v>
      </c>
    </row>
    <row r="435" spans="1:4" x14ac:dyDescent="0.3">
      <c r="A435" s="3" t="s">
        <v>124</v>
      </c>
      <c r="B435" s="3" t="s">
        <v>23</v>
      </c>
      <c r="C435" s="3" t="str">
        <f t="shared" si="6"/>
        <v>450013756840</v>
      </c>
      <c r="D435" s="3" t="s">
        <v>722</v>
      </c>
    </row>
    <row r="436" spans="1:4" x14ac:dyDescent="0.3">
      <c r="A436" s="3" t="s">
        <v>124</v>
      </c>
      <c r="B436" s="3" t="s">
        <v>55</v>
      </c>
      <c r="C436" s="3" t="str">
        <f t="shared" si="6"/>
        <v>450013756850</v>
      </c>
      <c r="D436" s="3" t="s">
        <v>722</v>
      </c>
    </row>
    <row r="437" spans="1:4" x14ac:dyDescent="0.3">
      <c r="A437" s="3" t="s">
        <v>124</v>
      </c>
      <c r="B437" s="3" t="s">
        <v>135</v>
      </c>
      <c r="C437" s="3" t="str">
        <f t="shared" si="6"/>
        <v>4500137568320</v>
      </c>
      <c r="D437" s="3" t="s">
        <v>722</v>
      </c>
    </row>
    <row r="438" spans="1:4" x14ac:dyDescent="0.3">
      <c r="A438" s="3" t="s">
        <v>124</v>
      </c>
      <c r="B438" s="3" t="s">
        <v>80</v>
      </c>
      <c r="C438" s="3" t="str">
        <f t="shared" si="6"/>
        <v>450013756860</v>
      </c>
      <c r="D438" s="3" t="s">
        <v>722</v>
      </c>
    </row>
    <row r="439" spans="1:4" x14ac:dyDescent="0.3">
      <c r="A439" s="3" t="s">
        <v>124</v>
      </c>
      <c r="B439" s="3" t="s">
        <v>81</v>
      </c>
      <c r="C439" s="3" t="str">
        <f t="shared" si="6"/>
        <v>450013756870</v>
      </c>
      <c r="D439" s="3" t="s">
        <v>722</v>
      </c>
    </row>
    <row r="440" spans="1:4" x14ac:dyDescent="0.3">
      <c r="A440" s="3" t="s">
        <v>124</v>
      </c>
      <c r="B440" s="3" t="s">
        <v>82</v>
      </c>
      <c r="C440" s="3" t="str">
        <f t="shared" si="6"/>
        <v>450013756880</v>
      </c>
      <c r="D440" s="3" t="s">
        <v>722</v>
      </c>
    </row>
    <row r="441" spans="1:4" x14ac:dyDescent="0.3">
      <c r="A441" s="3" t="s">
        <v>124</v>
      </c>
      <c r="B441" s="3" t="s">
        <v>83</v>
      </c>
      <c r="C441" s="3" t="str">
        <f t="shared" si="6"/>
        <v>450013756890</v>
      </c>
      <c r="D441" s="3" t="s">
        <v>722</v>
      </c>
    </row>
    <row r="442" spans="1:4" x14ac:dyDescent="0.3">
      <c r="A442" s="3" t="s">
        <v>124</v>
      </c>
      <c r="B442" s="3" t="s">
        <v>84</v>
      </c>
      <c r="C442" s="3" t="str">
        <f t="shared" si="6"/>
        <v>4500137568100</v>
      </c>
      <c r="D442" s="3" t="s">
        <v>722</v>
      </c>
    </row>
    <row r="443" spans="1:4" x14ac:dyDescent="0.3">
      <c r="A443" s="3" t="s">
        <v>124</v>
      </c>
      <c r="B443" s="3" t="s">
        <v>85</v>
      </c>
      <c r="C443" s="3" t="str">
        <f t="shared" si="6"/>
        <v>4500137568110</v>
      </c>
      <c r="D443" s="3" t="s">
        <v>722</v>
      </c>
    </row>
    <row r="444" spans="1:4" x14ac:dyDescent="0.3">
      <c r="A444" s="3" t="s">
        <v>124</v>
      </c>
      <c r="B444" s="3" t="s">
        <v>86</v>
      </c>
      <c r="C444" s="3" t="str">
        <f t="shared" si="6"/>
        <v>4500137568120</v>
      </c>
      <c r="D444" s="3" t="s">
        <v>722</v>
      </c>
    </row>
    <row r="445" spans="1:4" x14ac:dyDescent="0.3">
      <c r="A445" s="3" t="s">
        <v>124</v>
      </c>
      <c r="B445" s="3" t="s">
        <v>65</v>
      </c>
      <c r="C445" s="3" t="str">
        <f t="shared" si="6"/>
        <v>4500137568130</v>
      </c>
      <c r="D445" s="3" t="s">
        <v>722</v>
      </c>
    </row>
    <row r="446" spans="1:4" x14ac:dyDescent="0.3">
      <c r="A446" s="3" t="s">
        <v>124</v>
      </c>
      <c r="B446" s="3" t="s">
        <v>66</v>
      </c>
      <c r="C446" s="3" t="str">
        <f t="shared" ref="C446:C509" si="7">_xlfn.CONCAT(A446:B446)</f>
        <v>4500137568140</v>
      </c>
      <c r="D446" s="3" t="s">
        <v>722</v>
      </c>
    </row>
    <row r="447" spans="1:4" x14ac:dyDescent="0.3">
      <c r="A447" s="3" t="s">
        <v>124</v>
      </c>
      <c r="B447" s="3" t="s">
        <v>87</v>
      </c>
      <c r="C447" s="3" t="str">
        <f t="shared" si="7"/>
        <v>4500137568150</v>
      </c>
      <c r="D447" s="3" t="s">
        <v>722</v>
      </c>
    </row>
    <row r="448" spans="1:4" x14ac:dyDescent="0.3">
      <c r="A448" s="3" t="s">
        <v>124</v>
      </c>
      <c r="B448" s="3" t="s">
        <v>88</v>
      </c>
      <c r="C448" s="3" t="str">
        <f t="shared" si="7"/>
        <v>4500137568160</v>
      </c>
      <c r="D448" s="3" t="s">
        <v>722</v>
      </c>
    </row>
    <row r="449" spans="1:4" x14ac:dyDescent="0.3">
      <c r="A449" s="3" t="s">
        <v>124</v>
      </c>
      <c r="B449" s="3" t="s">
        <v>67</v>
      </c>
      <c r="C449" s="3" t="str">
        <f t="shared" si="7"/>
        <v>4500137568170</v>
      </c>
      <c r="D449" s="3" t="s">
        <v>722</v>
      </c>
    </row>
    <row r="450" spans="1:4" x14ac:dyDescent="0.3">
      <c r="A450" s="3" t="s">
        <v>124</v>
      </c>
      <c r="B450" s="3" t="s">
        <v>125</v>
      </c>
      <c r="C450" s="3" t="str">
        <f t="shared" si="7"/>
        <v>4500137568180</v>
      </c>
      <c r="D450" s="3" t="s">
        <v>722</v>
      </c>
    </row>
    <row r="451" spans="1:4" x14ac:dyDescent="0.3">
      <c r="A451" s="3" t="s">
        <v>124</v>
      </c>
      <c r="B451" s="3" t="s">
        <v>91</v>
      </c>
      <c r="C451" s="3" t="str">
        <f t="shared" si="7"/>
        <v>4500137568190</v>
      </c>
      <c r="D451" s="3" t="s">
        <v>722</v>
      </c>
    </row>
    <row r="452" spans="1:4" x14ac:dyDescent="0.3">
      <c r="A452" s="3" t="s">
        <v>124</v>
      </c>
      <c r="B452" s="3" t="s">
        <v>92</v>
      </c>
      <c r="C452" s="3" t="str">
        <f t="shared" si="7"/>
        <v>4500137568200</v>
      </c>
      <c r="D452" s="3" t="s">
        <v>722</v>
      </c>
    </row>
    <row r="453" spans="1:4" x14ac:dyDescent="0.3">
      <c r="A453" s="3" t="s">
        <v>124</v>
      </c>
      <c r="B453" s="3" t="s">
        <v>127</v>
      </c>
      <c r="C453" s="3" t="str">
        <f t="shared" si="7"/>
        <v>4500137568240</v>
      </c>
      <c r="D453" s="3" t="s">
        <v>722</v>
      </c>
    </row>
    <row r="454" spans="1:4" x14ac:dyDescent="0.3">
      <c r="A454" s="3" t="s">
        <v>124</v>
      </c>
      <c r="B454" s="3" t="s">
        <v>43</v>
      </c>
      <c r="C454" s="3" t="str">
        <f t="shared" si="7"/>
        <v>4500137568210</v>
      </c>
      <c r="D454" s="3" t="s">
        <v>722</v>
      </c>
    </row>
    <row r="455" spans="1:4" x14ac:dyDescent="0.3">
      <c r="A455" s="3" t="s">
        <v>124</v>
      </c>
      <c r="B455" s="3" t="s">
        <v>128</v>
      </c>
      <c r="C455" s="3" t="str">
        <f t="shared" si="7"/>
        <v>4500137568250</v>
      </c>
      <c r="D455" s="3" t="s">
        <v>722</v>
      </c>
    </row>
    <row r="456" spans="1:4" x14ac:dyDescent="0.3">
      <c r="A456" s="3" t="s">
        <v>124</v>
      </c>
      <c r="B456" s="3" t="s">
        <v>129</v>
      </c>
      <c r="C456" s="3" t="str">
        <f t="shared" si="7"/>
        <v>4500137568260</v>
      </c>
      <c r="D456" s="3" t="s">
        <v>722</v>
      </c>
    </row>
    <row r="457" spans="1:4" x14ac:dyDescent="0.3">
      <c r="A457" s="3" t="s">
        <v>124</v>
      </c>
      <c r="B457" s="3" t="s">
        <v>130</v>
      </c>
      <c r="C457" s="3" t="str">
        <f t="shared" si="7"/>
        <v>4500137568270</v>
      </c>
      <c r="D457" s="3" t="s">
        <v>722</v>
      </c>
    </row>
    <row r="458" spans="1:4" x14ac:dyDescent="0.3">
      <c r="A458" s="3" t="s">
        <v>124</v>
      </c>
      <c r="B458" s="3" t="s">
        <v>44</v>
      </c>
      <c r="C458" s="3" t="str">
        <f t="shared" si="7"/>
        <v>4500137568220</v>
      </c>
      <c r="D458" s="3" t="s">
        <v>722</v>
      </c>
    </row>
    <row r="459" spans="1:4" x14ac:dyDescent="0.3">
      <c r="A459" s="3" t="s">
        <v>124</v>
      </c>
      <c r="B459" s="3" t="s">
        <v>126</v>
      </c>
      <c r="C459" s="3" t="str">
        <f t="shared" si="7"/>
        <v>4500137568230</v>
      </c>
      <c r="D459" s="3" t="s">
        <v>722</v>
      </c>
    </row>
    <row r="460" spans="1:4" x14ac:dyDescent="0.3">
      <c r="A460" s="3" t="s">
        <v>124</v>
      </c>
      <c r="B460" s="3" t="s">
        <v>131</v>
      </c>
      <c r="C460" s="3" t="str">
        <f t="shared" si="7"/>
        <v>4500137568280</v>
      </c>
      <c r="D460" s="3" t="s">
        <v>722</v>
      </c>
    </row>
    <row r="461" spans="1:4" x14ac:dyDescent="0.3">
      <c r="A461" s="3" t="s">
        <v>124</v>
      </c>
      <c r="B461" s="3" t="s">
        <v>132</v>
      </c>
      <c r="C461" s="3" t="str">
        <f t="shared" si="7"/>
        <v>4500137568290</v>
      </c>
      <c r="D461" s="3" t="s">
        <v>722</v>
      </c>
    </row>
    <row r="462" spans="1:4" x14ac:dyDescent="0.3">
      <c r="A462" s="3" t="s">
        <v>124</v>
      </c>
      <c r="B462" s="3" t="s">
        <v>133</v>
      </c>
      <c r="C462" s="3" t="str">
        <f t="shared" si="7"/>
        <v>4500137568300</v>
      </c>
      <c r="D462" s="3" t="s">
        <v>722</v>
      </c>
    </row>
    <row r="463" spans="1:4" x14ac:dyDescent="0.3">
      <c r="A463" s="3" t="s">
        <v>124</v>
      </c>
      <c r="B463" s="3" t="s">
        <v>134</v>
      </c>
      <c r="C463" s="3" t="str">
        <f t="shared" si="7"/>
        <v>4500137568310</v>
      </c>
      <c r="D463" s="3" t="s">
        <v>722</v>
      </c>
    </row>
    <row r="464" spans="1:4" x14ac:dyDescent="0.3">
      <c r="A464" s="3" t="s">
        <v>375</v>
      </c>
      <c r="B464" s="3" t="s">
        <v>32</v>
      </c>
      <c r="C464" s="3" t="str">
        <f t="shared" si="7"/>
        <v>450013778610</v>
      </c>
      <c r="D464" s="3" t="s">
        <v>715</v>
      </c>
    </row>
    <row r="465" spans="1:4" x14ac:dyDescent="0.3">
      <c r="A465" s="3" t="s">
        <v>53</v>
      </c>
      <c r="B465" s="3" t="s">
        <v>32</v>
      </c>
      <c r="C465" s="3" t="str">
        <f t="shared" si="7"/>
        <v>450013756410</v>
      </c>
      <c r="D465" s="3" t="s">
        <v>722</v>
      </c>
    </row>
    <row r="466" spans="1:4" x14ac:dyDescent="0.3">
      <c r="A466" s="3" t="s">
        <v>53</v>
      </c>
      <c r="B466" s="3" t="s">
        <v>28</v>
      </c>
      <c r="C466" s="3" t="str">
        <f t="shared" si="7"/>
        <v>450013756420</v>
      </c>
      <c r="D466" s="3" t="s">
        <v>722</v>
      </c>
    </row>
    <row r="467" spans="1:4" x14ac:dyDescent="0.3">
      <c r="A467" s="3" t="s">
        <v>53</v>
      </c>
      <c r="B467" s="3" t="s">
        <v>54</v>
      </c>
      <c r="C467" s="3" t="str">
        <f t="shared" si="7"/>
        <v>450013756430</v>
      </c>
      <c r="D467" s="3" t="s">
        <v>722</v>
      </c>
    </row>
    <row r="468" spans="1:4" x14ac:dyDescent="0.3">
      <c r="A468" s="3" t="s">
        <v>53</v>
      </c>
      <c r="B468" s="3" t="s">
        <v>23</v>
      </c>
      <c r="C468" s="3" t="str">
        <f t="shared" si="7"/>
        <v>450013756440</v>
      </c>
      <c r="D468" s="3" t="s">
        <v>722</v>
      </c>
    </row>
    <row r="469" spans="1:4" x14ac:dyDescent="0.3">
      <c r="A469" s="3" t="s">
        <v>53</v>
      </c>
      <c r="B469" s="3" t="s">
        <v>55</v>
      </c>
      <c r="C469" s="3" t="str">
        <f t="shared" si="7"/>
        <v>450013756450</v>
      </c>
      <c r="D469" s="3" t="s">
        <v>722</v>
      </c>
    </row>
    <row r="470" spans="1:4" x14ac:dyDescent="0.3">
      <c r="A470" s="3" t="s">
        <v>366</v>
      </c>
      <c r="B470" s="3" t="s">
        <v>32</v>
      </c>
      <c r="C470" s="3" t="str">
        <f t="shared" si="7"/>
        <v>450013818110</v>
      </c>
      <c r="D470" s="3" t="s">
        <v>706</v>
      </c>
    </row>
    <row r="471" spans="1:4" x14ac:dyDescent="0.3">
      <c r="A471" s="3" t="s">
        <v>366</v>
      </c>
      <c r="B471" s="3" t="s">
        <v>28</v>
      </c>
      <c r="C471" s="3" t="str">
        <f t="shared" si="7"/>
        <v>450013818120</v>
      </c>
      <c r="D471" s="3" t="s">
        <v>706</v>
      </c>
    </row>
    <row r="472" spans="1:4" x14ac:dyDescent="0.3">
      <c r="A472" s="3" t="s">
        <v>366</v>
      </c>
      <c r="B472" s="3" t="s">
        <v>54</v>
      </c>
      <c r="C472" s="3" t="str">
        <f t="shared" si="7"/>
        <v>450013818130</v>
      </c>
      <c r="D472" s="3" t="s">
        <v>706</v>
      </c>
    </row>
    <row r="473" spans="1:4" x14ac:dyDescent="0.3">
      <c r="A473" s="3" t="s">
        <v>395</v>
      </c>
      <c r="B473" s="3" t="s">
        <v>32</v>
      </c>
      <c r="C473" s="3" t="str">
        <f t="shared" si="7"/>
        <v>450013790110</v>
      </c>
      <c r="D473" s="3" t="s">
        <v>721</v>
      </c>
    </row>
    <row r="474" spans="1:4" x14ac:dyDescent="0.3">
      <c r="A474" s="3" t="s">
        <v>423</v>
      </c>
      <c r="B474" s="3" t="s">
        <v>84</v>
      </c>
      <c r="C474" s="3" t="str">
        <f t="shared" si="7"/>
        <v>4500137823100</v>
      </c>
      <c r="D474" s="3" t="s">
        <v>715</v>
      </c>
    </row>
    <row r="475" spans="1:4" x14ac:dyDescent="0.3">
      <c r="A475" s="3" t="s">
        <v>103</v>
      </c>
      <c r="B475" s="3" t="s">
        <v>32</v>
      </c>
      <c r="C475" s="3" t="str">
        <f t="shared" si="7"/>
        <v>450013759910</v>
      </c>
      <c r="D475" s="3" t="s">
        <v>718</v>
      </c>
    </row>
    <row r="476" spans="1:4" x14ac:dyDescent="0.3">
      <c r="A476" s="3" t="s">
        <v>408</v>
      </c>
      <c r="B476" s="3" t="s">
        <v>32</v>
      </c>
      <c r="C476" s="3" t="str">
        <f t="shared" si="7"/>
        <v>450013818310</v>
      </c>
      <c r="D476" s="3" t="s">
        <v>706</v>
      </c>
    </row>
    <row r="477" spans="1:4" x14ac:dyDescent="0.3">
      <c r="A477" s="3" t="s">
        <v>350</v>
      </c>
      <c r="B477" s="3" t="s">
        <v>54</v>
      </c>
      <c r="C477" s="3" t="str">
        <f t="shared" si="7"/>
        <v>450013786030</v>
      </c>
      <c r="D477" s="3" t="s">
        <v>715</v>
      </c>
    </row>
    <row r="478" spans="1:4" x14ac:dyDescent="0.3">
      <c r="A478" s="3" t="s">
        <v>357</v>
      </c>
      <c r="B478" s="3" t="s">
        <v>32</v>
      </c>
      <c r="C478" s="3" t="str">
        <f t="shared" si="7"/>
        <v>450013779710</v>
      </c>
      <c r="D478" s="3" t="s">
        <v>722</v>
      </c>
    </row>
    <row r="479" spans="1:4" x14ac:dyDescent="0.3">
      <c r="A479" s="3" t="s">
        <v>360</v>
      </c>
      <c r="B479" s="3" t="s">
        <v>83</v>
      </c>
      <c r="C479" s="3" t="str">
        <f t="shared" si="7"/>
        <v>450013804790</v>
      </c>
      <c r="D479" s="3" t="s">
        <v>716</v>
      </c>
    </row>
    <row r="480" spans="1:4" x14ac:dyDescent="0.3">
      <c r="A480" s="3" t="s">
        <v>74</v>
      </c>
      <c r="B480" s="3" t="s">
        <v>32</v>
      </c>
      <c r="C480" s="3" t="str">
        <f t="shared" si="7"/>
        <v>450013765510</v>
      </c>
      <c r="D480" s="3" t="s">
        <v>722</v>
      </c>
    </row>
    <row r="481" spans="1:4" x14ac:dyDescent="0.3">
      <c r="A481" s="3" t="s">
        <v>370</v>
      </c>
      <c r="B481" s="3" t="s">
        <v>32</v>
      </c>
      <c r="C481" s="3" t="str">
        <f t="shared" si="7"/>
        <v>450013772910</v>
      </c>
      <c r="D481" s="3" t="s">
        <v>718</v>
      </c>
    </row>
    <row r="482" spans="1:4" x14ac:dyDescent="0.3">
      <c r="A482" s="3" t="s">
        <v>368</v>
      </c>
      <c r="B482" s="3" t="s">
        <v>28</v>
      </c>
      <c r="C482" s="3" t="str">
        <f t="shared" si="7"/>
        <v>450013772320</v>
      </c>
      <c r="D482" s="3" t="s">
        <v>707</v>
      </c>
    </row>
    <row r="483" spans="1:4" x14ac:dyDescent="0.3">
      <c r="A483" s="3" t="s">
        <v>368</v>
      </c>
      <c r="B483" s="3" t="s">
        <v>32</v>
      </c>
      <c r="C483" s="3" t="str">
        <f t="shared" si="7"/>
        <v>450013772310</v>
      </c>
      <c r="D483" s="3" t="s">
        <v>707</v>
      </c>
    </row>
    <row r="484" spans="1:4" x14ac:dyDescent="0.3">
      <c r="A484" s="3" t="s">
        <v>368</v>
      </c>
      <c r="B484" s="3" t="s">
        <v>54</v>
      </c>
      <c r="C484" s="3" t="str">
        <f t="shared" si="7"/>
        <v>450013772330</v>
      </c>
      <c r="D484" s="3" t="s">
        <v>707</v>
      </c>
    </row>
    <row r="485" spans="1:4" x14ac:dyDescent="0.3">
      <c r="A485" s="3" t="s">
        <v>368</v>
      </c>
      <c r="B485" s="3" t="s">
        <v>23</v>
      </c>
      <c r="C485" s="3" t="str">
        <f t="shared" si="7"/>
        <v>450013772340</v>
      </c>
      <c r="D485" s="3" t="s">
        <v>707</v>
      </c>
    </row>
    <row r="486" spans="1:4" x14ac:dyDescent="0.3">
      <c r="A486" s="3" t="s">
        <v>74</v>
      </c>
      <c r="B486" s="3" t="s">
        <v>28</v>
      </c>
      <c r="C486" s="3" t="str">
        <f t="shared" si="7"/>
        <v>450013765520</v>
      </c>
      <c r="D486" s="3" t="s">
        <v>722</v>
      </c>
    </row>
    <row r="487" spans="1:4" x14ac:dyDescent="0.3">
      <c r="A487" s="3" t="s">
        <v>398</v>
      </c>
      <c r="B487" s="3" t="s">
        <v>32</v>
      </c>
      <c r="C487" s="3" t="str">
        <f t="shared" si="7"/>
        <v>450013795310</v>
      </c>
      <c r="D487" s="3" t="s">
        <v>726</v>
      </c>
    </row>
    <row r="488" spans="1:4" x14ac:dyDescent="0.3">
      <c r="A488" s="3" t="s">
        <v>362</v>
      </c>
      <c r="B488" s="3" t="s">
        <v>80</v>
      </c>
      <c r="C488" s="3" t="str">
        <f t="shared" si="7"/>
        <v>450013810360</v>
      </c>
      <c r="D488" s="3" t="s">
        <v>715</v>
      </c>
    </row>
    <row r="489" spans="1:4" x14ac:dyDescent="0.3">
      <c r="A489" s="3" t="s">
        <v>472</v>
      </c>
      <c r="B489" s="3" t="s">
        <v>32</v>
      </c>
      <c r="C489" s="3" t="str">
        <f t="shared" si="7"/>
        <v>450013881210</v>
      </c>
      <c r="D489" s="3" t="s">
        <v>716</v>
      </c>
    </row>
    <row r="490" spans="1:4" x14ac:dyDescent="0.3">
      <c r="A490" s="3" t="s">
        <v>472</v>
      </c>
      <c r="B490" s="3" t="s">
        <v>28</v>
      </c>
      <c r="C490" s="3" t="str">
        <f t="shared" si="7"/>
        <v>450013881220</v>
      </c>
      <c r="D490" s="3" t="s">
        <v>716</v>
      </c>
    </row>
    <row r="491" spans="1:4" x14ac:dyDescent="0.3">
      <c r="A491" s="3" t="s">
        <v>472</v>
      </c>
      <c r="B491" s="3" t="s">
        <v>54</v>
      </c>
      <c r="C491" s="3" t="str">
        <f t="shared" si="7"/>
        <v>450013881230</v>
      </c>
      <c r="D491" s="3" t="s">
        <v>716</v>
      </c>
    </row>
    <row r="492" spans="1:4" x14ac:dyDescent="0.3">
      <c r="A492" s="3" t="s">
        <v>439</v>
      </c>
      <c r="B492" s="3" t="s">
        <v>32</v>
      </c>
      <c r="C492" s="3" t="str">
        <f t="shared" si="7"/>
        <v>450013799910</v>
      </c>
      <c r="D492" s="3" t="s">
        <v>720</v>
      </c>
    </row>
    <row r="493" spans="1:4" x14ac:dyDescent="0.3">
      <c r="A493" s="3" t="s">
        <v>360</v>
      </c>
      <c r="B493" s="3" t="s">
        <v>32</v>
      </c>
      <c r="C493" s="3" t="str">
        <f t="shared" si="7"/>
        <v>450013804710</v>
      </c>
      <c r="D493" s="3" t="s">
        <v>716</v>
      </c>
    </row>
    <row r="494" spans="1:4" x14ac:dyDescent="0.3">
      <c r="A494" s="3" t="s">
        <v>360</v>
      </c>
      <c r="B494" s="3" t="s">
        <v>28</v>
      </c>
      <c r="C494" s="3" t="str">
        <f t="shared" si="7"/>
        <v>450013804720</v>
      </c>
      <c r="D494" s="3" t="s">
        <v>716</v>
      </c>
    </row>
    <row r="495" spans="1:4" x14ac:dyDescent="0.3">
      <c r="A495" s="3" t="s">
        <v>116</v>
      </c>
      <c r="B495" s="3" t="s">
        <v>32</v>
      </c>
      <c r="C495" s="3" t="str">
        <f t="shared" si="7"/>
        <v>450013822710</v>
      </c>
      <c r="D495" s="3" t="s">
        <v>707</v>
      </c>
    </row>
    <row r="496" spans="1:4" x14ac:dyDescent="0.3">
      <c r="A496" s="3" t="s">
        <v>116</v>
      </c>
      <c r="B496" s="3" t="s">
        <v>28</v>
      </c>
      <c r="C496" s="3" t="str">
        <f t="shared" si="7"/>
        <v>450013822720</v>
      </c>
      <c r="D496" s="3" t="s">
        <v>707</v>
      </c>
    </row>
    <row r="497" spans="1:4" x14ac:dyDescent="0.3">
      <c r="A497" s="3" t="s">
        <v>116</v>
      </c>
      <c r="B497" s="3" t="s">
        <v>54</v>
      </c>
      <c r="C497" s="3" t="str">
        <f t="shared" si="7"/>
        <v>450013822730</v>
      </c>
      <c r="D497" s="3" t="s">
        <v>707</v>
      </c>
    </row>
    <row r="498" spans="1:4" x14ac:dyDescent="0.3">
      <c r="A498" s="3" t="s">
        <v>116</v>
      </c>
      <c r="B498" s="3" t="s">
        <v>23</v>
      </c>
      <c r="C498" s="3" t="str">
        <f t="shared" si="7"/>
        <v>450013822740</v>
      </c>
      <c r="D498" s="3" t="s">
        <v>707</v>
      </c>
    </row>
    <row r="499" spans="1:4" x14ac:dyDescent="0.3">
      <c r="A499" s="3" t="s">
        <v>386</v>
      </c>
      <c r="B499" s="3" t="s">
        <v>32</v>
      </c>
      <c r="C499" s="3" t="str">
        <f t="shared" si="7"/>
        <v>450013816510</v>
      </c>
      <c r="D499" s="3" t="s">
        <v>707</v>
      </c>
    </row>
    <row r="500" spans="1:4" x14ac:dyDescent="0.3">
      <c r="A500" s="3" t="s">
        <v>116</v>
      </c>
      <c r="B500" s="3" t="s">
        <v>55</v>
      </c>
      <c r="C500" s="3" t="str">
        <f t="shared" si="7"/>
        <v>450013822750</v>
      </c>
      <c r="D500" s="3" t="s">
        <v>707</v>
      </c>
    </row>
    <row r="501" spans="1:4" x14ac:dyDescent="0.3">
      <c r="A501" s="3" t="s">
        <v>418</v>
      </c>
      <c r="B501" s="3" t="s">
        <v>32</v>
      </c>
      <c r="C501" s="3" t="str">
        <f t="shared" si="7"/>
        <v>450013801610</v>
      </c>
      <c r="D501" s="3" t="s">
        <v>707</v>
      </c>
    </row>
    <row r="502" spans="1:4" x14ac:dyDescent="0.3">
      <c r="A502" s="3" t="s">
        <v>482</v>
      </c>
      <c r="B502" s="3" t="s">
        <v>55</v>
      </c>
      <c r="C502" s="3" t="str">
        <f t="shared" si="7"/>
        <v>450013951850</v>
      </c>
      <c r="D502" s="3" t="s">
        <v>706</v>
      </c>
    </row>
    <row r="503" spans="1:4" x14ac:dyDescent="0.3">
      <c r="A503" s="3" t="s">
        <v>455</v>
      </c>
      <c r="B503" s="3" t="s">
        <v>32</v>
      </c>
      <c r="C503" s="3" t="str">
        <f t="shared" si="7"/>
        <v>450013845310</v>
      </c>
      <c r="D503" s="3" t="s">
        <v>716</v>
      </c>
    </row>
    <row r="504" spans="1:4" x14ac:dyDescent="0.3">
      <c r="A504" s="3" t="s">
        <v>116</v>
      </c>
      <c r="B504" s="3" t="s">
        <v>80</v>
      </c>
      <c r="C504" s="3" t="str">
        <f t="shared" si="7"/>
        <v>450013822760</v>
      </c>
      <c r="D504" s="3" t="s">
        <v>707</v>
      </c>
    </row>
    <row r="505" spans="1:4" x14ac:dyDescent="0.3">
      <c r="A505" s="3" t="s">
        <v>482</v>
      </c>
      <c r="B505" s="3" t="s">
        <v>80</v>
      </c>
      <c r="C505" s="3" t="str">
        <f t="shared" si="7"/>
        <v>450013951860</v>
      </c>
      <c r="D505" s="3" t="s">
        <v>706</v>
      </c>
    </row>
    <row r="506" spans="1:4" x14ac:dyDescent="0.3">
      <c r="A506" s="3" t="s">
        <v>378</v>
      </c>
      <c r="B506" s="3" t="s">
        <v>28</v>
      </c>
      <c r="C506" s="3" t="str">
        <f t="shared" si="7"/>
        <v>450013828120</v>
      </c>
      <c r="D506" s="3" t="s">
        <v>706</v>
      </c>
    </row>
    <row r="507" spans="1:4" x14ac:dyDescent="0.3">
      <c r="A507" s="3" t="s">
        <v>482</v>
      </c>
      <c r="B507" s="3" t="s">
        <v>81</v>
      </c>
      <c r="C507" s="3" t="str">
        <f t="shared" si="7"/>
        <v>450013951870</v>
      </c>
      <c r="D507" s="3" t="s">
        <v>706</v>
      </c>
    </row>
    <row r="508" spans="1:4" x14ac:dyDescent="0.3">
      <c r="A508" s="3" t="s">
        <v>414</v>
      </c>
      <c r="B508" s="3" t="s">
        <v>32</v>
      </c>
      <c r="C508" s="3" t="str">
        <f t="shared" si="7"/>
        <v>450013820510</v>
      </c>
      <c r="D508" s="3" t="s">
        <v>722</v>
      </c>
    </row>
    <row r="509" spans="1:4" x14ac:dyDescent="0.3">
      <c r="A509" s="3" t="s">
        <v>464</v>
      </c>
      <c r="B509" s="3" t="s">
        <v>32</v>
      </c>
      <c r="C509" s="3" t="str">
        <f t="shared" si="7"/>
        <v>450013847910</v>
      </c>
      <c r="D509" s="3" t="s">
        <v>705</v>
      </c>
    </row>
    <row r="510" spans="1:4" x14ac:dyDescent="0.3">
      <c r="A510" s="3" t="s">
        <v>426</v>
      </c>
      <c r="B510" s="3" t="s">
        <v>32</v>
      </c>
      <c r="C510" s="3" t="str">
        <f t="shared" ref="C510:C573" si="8">_xlfn.CONCAT(A510:B510)</f>
        <v>450013821210</v>
      </c>
      <c r="D510" s="3" t="s">
        <v>715</v>
      </c>
    </row>
    <row r="511" spans="1:4" x14ac:dyDescent="0.3">
      <c r="A511" s="3" t="s">
        <v>494</v>
      </c>
      <c r="B511" s="3" t="s">
        <v>28</v>
      </c>
      <c r="C511" s="3" t="str">
        <f t="shared" si="8"/>
        <v>450013874820</v>
      </c>
      <c r="D511" s="3" t="s">
        <v>707</v>
      </c>
    </row>
    <row r="512" spans="1:4" x14ac:dyDescent="0.3">
      <c r="A512" s="3" t="s">
        <v>107</v>
      </c>
      <c r="B512" s="3" t="s">
        <v>32</v>
      </c>
      <c r="C512" s="3" t="str">
        <f t="shared" si="8"/>
        <v>450013887110</v>
      </c>
      <c r="D512" s="3" t="s">
        <v>707</v>
      </c>
    </row>
    <row r="513" spans="1:4" x14ac:dyDescent="0.3">
      <c r="A513" s="3" t="s">
        <v>483</v>
      </c>
      <c r="B513" s="3" t="s">
        <v>54</v>
      </c>
      <c r="C513" s="3" t="str">
        <f t="shared" si="8"/>
        <v>450013951330</v>
      </c>
      <c r="D513" s="3" t="s">
        <v>706</v>
      </c>
    </row>
    <row r="514" spans="1:4" x14ac:dyDescent="0.3">
      <c r="A514" s="3" t="s">
        <v>483</v>
      </c>
      <c r="B514" s="3" t="s">
        <v>23</v>
      </c>
      <c r="C514" s="3" t="str">
        <f t="shared" si="8"/>
        <v>450013951340</v>
      </c>
      <c r="D514" s="3" t="s">
        <v>706</v>
      </c>
    </row>
    <row r="515" spans="1:4" x14ac:dyDescent="0.3">
      <c r="A515" s="3" t="s">
        <v>483</v>
      </c>
      <c r="B515" s="3" t="s">
        <v>55</v>
      </c>
      <c r="C515" s="3" t="str">
        <f t="shared" si="8"/>
        <v>450013951350</v>
      </c>
      <c r="D515" s="3" t="s">
        <v>706</v>
      </c>
    </row>
    <row r="516" spans="1:4" x14ac:dyDescent="0.3">
      <c r="A516" s="3" t="s">
        <v>483</v>
      </c>
      <c r="B516" s="3" t="s">
        <v>80</v>
      </c>
      <c r="C516" s="3" t="str">
        <f t="shared" si="8"/>
        <v>450013951360</v>
      </c>
      <c r="D516" s="3" t="s">
        <v>706</v>
      </c>
    </row>
    <row r="517" spans="1:4" x14ac:dyDescent="0.3">
      <c r="A517" s="3" t="s">
        <v>546</v>
      </c>
      <c r="B517" s="3" t="s">
        <v>32</v>
      </c>
      <c r="C517" s="3" t="str">
        <f t="shared" si="8"/>
        <v>450013924610</v>
      </c>
      <c r="D517" s="3" t="s">
        <v>711</v>
      </c>
    </row>
    <row r="518" spans="1:4" x14ac:dyDescent="0.3">
      <c r="A518" s="3" t="s">
        <v>476</v>
      </c>
      <c r="B518" s="3" t="s">
        <v>32</v>
      </c>
      <c r="C518" s="3" t="str">
        <f t="shared" si="8"/>
        <v>450013844310</v>
      </c>
      <c r="D518" s="3" t="s">
        <v>715</v>
      </c>
    </row>
    <row r="519" spans="1:4" x14ac:dyDescent="0.3">
      <c r="A519" s="3" t="s">
        <v>476</v>
      </c>
      <c r="B519" s="3" t="s">
        <v>28</v>
      </c>
      <c r="C519" s="3" t="str">
        <f t="shared" si="8"/>
        <v>450013844320</v>
      </c>
      <c r="D519" s="3" t="s">
        <v>715</v>
      </c>
    </row>
    <row r="520" spans="1:4" x14ac:dyDescent="0.3">
      <c r="A520" s="3" t="s">
        <v>476</v>
      </c>
      <c r="B520" s="3" t="s">
        <v>54</v>
      </c>
      <c r="C520" s="3" t="str">
        <f t="shared" si="8"/>
        <v>450013844330</v>
      </c>
      <c r="D520" s="3" t="s">
        <v>715</v>
      </c>
    </row>
    <row r="521" spans="1:4" x14ac:dyDescent="0.3">
      <c r="A521" s="3" t="s">
        <v>476</v>
      </c>
      <c r="B521" s="3" t="s">
        <v>23</v>
      </c>
      <c r="C521" s="3" t="str">
        <f t="shared" si="8"/>
        <v>450013844340</v>
      </c>
      <c r="D521" s="3" t="s">
        <v>715</v>
      </c>
    </row>
    <row r="522" spans="1:4" x14ac:dyDescent="0.3">
      <c r="A522" s="3" t="s">
        <v>502</v>
      </c>
      <c r="B522" s="3" t="s">
        <v>32</v>
      </c>
      <c r="C522" s="3" t="str">
        <f t="shared" si="8"/>
        <v>450013873810</v>
      </c>
      <c r="D522" s="3" t="s">
        <v>715</v>
      </c>
    </row>
    <row r="523" spans="1:4" x14ac:dyDescent="0.3">
      <c r="A523" s="3" t="s">
        <v>494</v>
      </c>
      <c r="B523" s="3" t="s">
        <v>32</v>
      </c>
      <c r="C523" s="3" t="str">
        <f t="shared" si="8"/>
        <v>450013874810</v>
      </c>
      <c r="D523" s="3" t="s">
        <v>707</v>
      </c>
    </row>
    <row r="524" spans="1:4" x14ac:dyDescent="0.3">
      <c r="A524" s="3" t="s">
        <v>146</v>
      </c>
      <c r="B524" s="3" t="s">
        <v>82</v>
      </c>
      <c r="C524" s="3" t="str">
        <f t="shared" si="8"/>
        <v>450013929980</v>
      </c>
      <c r="D524" s="3" t="s">
        <v>716</v>
      </c>
    </row>
    <row r="525" spans="1:4" x14ac:dyDescent="0.3">
      <c r="A525" s="3" t="s">
        <v>575</v>
      </c>
      <c r="B525" s="3" t="s">
        <v>86</v>
      </c>
      <c r="C525" s="3" t="str">
        <f t="shared" si="8"/>
        <v>4500139290120</v>
      </c>
      <c r="D525" s="3" t="s">
        <v>716</v>
      </c>
    </row>
    <row r="526" spans="1:4" x14ac:dyDescent="0.3">
      <c r="A526" s="3" t="s">
        <v>445</v>
      </c>
      <c r="B526" s="3" t="s">
        <v>28</v>
      </c>
      <c r="C526" s="3" t="str">
        <f t="shared" si="8"/>
        <v>450013892020</v>
      </c>
      <c r="D526" s="3" t="s">
        <v>716</v>
      </c>
    </row>
    <row r="527" spans="1:4" x14ac:dyDescent="0.3">
      <c r="A527" s="3" t="s">
        <v>535</v>
      </c>
      <c r="B527" s="3" t="s">
        <v>32</v>
      </c>
      <c r="C527" s="3" t="str">
        <f t="shared" si="8"/>
        <v>450013935910</v>
      </c>
      <c r="D527" s="3" t="s">
        <v>715</v>
      </c>
    </row>
    <row r="528" spans="1:4" x14ac:dyDescent="0.3">
      <c r="A528" s="3" t="s">
        <v>111</v>
      </c>
      <c r="B528" s="3" t="s">
        <v>32</v>
      </c>
      <c r="C528" s="3" t="str">
        <f t="shared" si="8"/>
        <v>450013864910</v>
      </c>
      <c r="D528" s="3" t="s">
        <v>707</v>
      </c>
    </row>
    <row r="529" spans="1:4" x14ac:dyDescent="0.3">
      <c r="A529" s="3" t="s">
        <v>111</v>
      </c>
      <c r="B529" s="3" t="s">
        <v>28</v>
      </c>
      <c r="C529" s="3" t="str">
        <f t="shared" si="8"/>
        <v>450013864920</v>
      </c>
      <c r="D529" s="3" t="s">
        <v>707</v>
      </c>
    </row>
    <row r="530" spans="1:4" x14ac:dyDescent="0.3">
      <c r="A530" s="3" t="s">
        <v>111</v>
      </c>
      <c r="B530" s="3" t="s">
        <v>54</v>
      </c>
      <c r="C530" s="3" t="str">
        <f t="shared" si="8"/>
        <v>450013864930</v>
      </c>
      <c r="D530" s="3" t="s">
        <v>707</v>
      </c>
    </row>
    <row r="531" spans="1:4" x14ac:dyDescent="0.3">
      <c r="A531" s="3" t="s">
        <v>111</v>
      </c>
      <c r="B531" s="3" t="s">
        <v>23</v>
      </c>
      <c r="C531" s="3" t="str">
        <f t="shared" si="8"/>
        <v>450013864940</v>
      </c>
      <c r="D531" s="3" t="s">
        <v>707</v>
      </c>
    </row>
    <row r="532" spans="1:4" x14ac:dyDescent="0.3">
      <c r="A532" s="3" t="s">
        <v>111</v>
      </c>
      <c r="B532" s="3" t="s">
        <v>55</v>
      </c>
      <c r="C532" s="3" t="str">
        <f t="shared" si="8"/>
        <v>450013864950</v>
      </c>
      <c r="D532" s="3" t="s">
        <v>707</v>
      </c>
    </row>
    <row r="533" spans="1:4" x14ac:dyDescent="0.3">
      <c r="A533" s="3" t="s">
        <v>111</v>
      </c>
      <c r="B533" s="3" t="s">
        <v>80</v>
      </c>
      <c r="C533" s="3" t="str">
        <f t="shared" si="8"/>
        <v>450013864960</v>
      </c>
      <c r="D533" s="3" t="s">
        <v>707</v>
      </c>
    </row>
    <row r="534" spans="1:4" x14ac:dyDescent="0.3">
      <c r="A534" s="3" t="s">
        <v>111</v>
      </c>
      <c r="B534" s="3" t="s">
        <v>81</v>
      </c>
      <c r="C534" s="3" t="str">
        <f t="shared" si="8"/>
        <v>450013864970</v>
      </c>
      <c r="D534" s="3" t="s">
        <v>707</v>
      </c>
    </row>
    <row r="535" spans="1:4" x14ac:dyDescent="0.3">
      <c r="A535" s="3" t="s">
        <v>111</v>
      </c>
      <c r="B535" s="3" t="s">
        <v>82</v>
      </c>
      <c r="C535" s="3" t="str">
        <f t="shared" si="8"/>
        <v>450013864980</v>
      </c>
      <c r="D535" s="3" t="s">
        <v>707</v>
      </c>
    </row>
    <row r="536" spans="1:4" x14ac:dyDescent="0.3">
      <c r="A536" s="3" t="s">
        <v>146</v>
      </c>
      <c r="B536" s="3" t="s">
        <v>55</v>
      </c>
      <c r="C536" s="3" t="str">
        <f t="shared" si="8"/>
        <v>450013929950</v>
      </c>
      <c r="D536" s="3" t="s">
        <v>716</v>
      </c>
    </row>
    <row r="537" spans="1:4" x14ac:dyDescent="0.3">
      <c r="A537" s="3" t="s">
        <v>461</v>
      </c>
      <c r="B537" s="3" t="s">
        <v>81</v>
      </c>
      <c r="C537" s="3" t="str">
        <f t="shared" si="8"/>
        <v>450013930370</v>
      </c>
      <c r="D537" s="3" t="s">
        <v>716</v>
      </c>
    </row>
    <row r="538" spans="1:4" x14ac:dyDescent="0.3">
      <c r="A538" s="3" t="s">
        <v>575</v>
      </c>
      <c r="B538" s="3" t="s">
        <v>83</v>
      </c>
      <c r="C538" s="3" t="str">
        <f t="shared" si="8"/>
        <v>450013929090</v>
      </c>
      <c r="D538" s="3" t="s">
        <v>716</v>
      </c>
    </row>
    <row r="539" spans="1:4" x14ac:dyDescent="0.3">
      <c r="A539" s="3" t="s">
        <v>575</v>
      </c>
      <c r="B539" s="3" t="s">
        <v>84</v>
      </c>
      <c r="C539" s="3" t="str">
        <f t="shared" si="8"/>
        <v>4500139290100</v>
      </c>
      <c r="D539" s="3" t="s">
        <v>716</v>
      </c>
    </row>
    <row r="540" spans="1:4" x14ac:dyDescent="0.3">
      <c r="A540" s="3" t="s">
        <v>461</v>
      </c>
      <c r="B540" s="3" t="s">
        <v>23</v>
      </c>
      <c r="C540" s="3" t="str">
        <f t="shared" si="8"/>
        <v>450013930340</v>
      </c>
      <c r="D540" s="3" t="s">
        <v>716</v>
      </c>
    </row>
    <row r="541" spans="1:4" x14ac:dyDescent="0.3">
      <c r="A541" s="3" t="s">
        <v>575</v>
      </c>
      <c r="B541" s="3" t="s">
        <v>82</v>
      </c>
      <c r="C541" s="3" t="str">
        <f t="shared" si="8"/>
        <v>450013929080</v>
      </c>
      <c r="D541" s="3" t="s">
        <v>716</v>
      </c>
    </row>
    <row r="542" spans="1:4" x14ac:dyDescent="0.3">
      <c r="A542" s="3" t="s">
        <v>575</v>
      </c>
      <c r="B542" s="3" t="s">
        <v>32</v>
      </c>
      <c r="C542" s="3" t="str">
        <f t="shared" si="8"/>
        <v>450013929010</v>
      </c>
      <c r="D542" s="3" t="s">
        <v>716</v>
      </c>
    </row>
    <row r="543" spans="1:4" x14ac:dyDescent="0.3">
      <c r="A543" s="3" t="s">
        <v>146</v>
      </c>
      <c r="B543" s="3" t="s">
        <v>32</v>
      </c>
      <c r="C543" s="3" t="str">
        <f t="shared" si="8"/>
        <v>450013929910</v>
      </c>
      <c r="D543" s="3" t="s">
        <v>716</v>
      </c>
    </row>
    <row r="544" spans="1:4" x14ac:dyDescent="0.3">
      <c r="A544" s="3" t="s">
        <v>120</v>
      </c>
      <c r="B544" s="3" t="s">
        <v>28</v>
      </c>
      <c r="C544" s="3" t="str">
        <f t="shared" si="8"/>
        <v>450013946020</v>
      </c>
      <c r="D544" s="3" t="s">
        <v>722</v>
      </c>
    </row>
    <row r="545" spans="1:4" x14ac:dyDescent="0.3">
      <c r="A545" s="3" t="s">
        <v>461</v>
      </c>
      <c r="B545" s="3" t="s">
        <v>32</v>
      </c>
      <c r="C545" s="3" t="str">
        <f t="shared" si="8"/>
        <v>450013930310</v>
      </c>
      <c r="D545" s="3" t="s">
        <v>716</v>
      </c>
    </row>
    <row r="546" spans="1:4" x14ac:dyDescent="0.3">
      <c r="A546" s="3" t="s">
        <v>575</v>
      </c>
      <c r="B546" s="3" t="s">
        <v>23</v>
      </c>
      <c r="C546" s="3" t="str">
        <f t="shared" si="8"/>
        <v>450013929040</v>
      </c>
      <c r="D546" s="3" t="s">
        <v>716</v>
      </c>
    </row>
    <row r="547" spans="1:4" x14ac:dyDescent="0.3">
      <c r="A547" s="3" t="s">
        <v>581</v>
      </c>
      <c r="B547" s="3" t="s">
        <v>32</v>
      </c>
      <c r="C547" s="3" t="str">
        <f t="shared" si="8"/>
        <v>450013942110</v>
      </c>
      <c r="D547" s="3" t="s">
        <v>716</v>
      </c>
    </row>
    <row r="548" spans="1:4" x14ac:dyDescent="0.3">
      <c r="A548" s="3" t="s">
        <v>485</v>
      </c>
      <c r="B548" s="3" t="s">
        <v>85</v>
      </c>
      <c r="C548" s="3" t="str">
        <f t="shared" si="8"/>
        <v>4500139185110</v>
      </c>
      <c r="D548" s="3" t="s">
        <v>705</v>
      </c>
    </row>
    <row r="549" spans="1:4" x14ac:dyDescent="0.3">
      <c r="A549" s="3" t="s">
        <v>474</v>
      </c>
      <c r="B549" s="3" t="s">
        <v>28</v>
      </c>
      <c r="C549" s="3" t="str">
        <f t="shared" si="8"/>
        <v>450013912220</v>
      </c>
      <c r="D549" s="3" t="s">
        <v>705</v>
      </c>
    </row>
    <row r="550" spans="1:4" x14ac:dyDescent="0.3">
      <c r="A550" s="3" t="s">
        <v>474</v>
      </c>
      <c r="B550" s="3" t="s">
        <v>54</v>
      </c>
      <c r="C550" s="3" t="str">
        <f t="shared" si="8"/>
        <v>450013912230</v>
      </c>
      <c r="D550" s="3" t="s">
        <v>705</v>
      </c>
    </row>
    <row r="551" spans="1:4" x14ac:dyDescent="0.3">
      <c r="A551" s="3" t="s">
        <v>474</v>
      </c>
      <c r="B551" s="3" t="s">
        <v>23</v>
      </c>
      <c r="C551" s="3" t="str">
        <f t="shared" si="8"/>
        <v>450013912240</v>
      </c>
      <c r="D551" s="3" t="s">
        <v>705</v>
      </c>
    </row>
    <row r="552" spans="1:4" x14ac:dyDescent="0.3">
      <c r="A552" s="3" t="s">
        <v>474</v>
      </c>
      <c r="B552" s="3" t="s">
        <v>55</v>
      </c>
      <c r="C552" s="3" t="str">
        <f t="shared" si="8"/>
        <v>450013912250</v>
      </c>
      <c r="D552" s="3" t="s">
        <v>705</v>
      </c>
    </row>
    <row r="553" spans="1:4" x14ac:dyDescent="0.3">
      <c r="A553" s="3" t="s">
        <v>122</v>
      </c>
      <c r="B553" s="3" t="s">
        <v>32</v>
      </c>
      <c r="C553" s="3" t="str">
        <f t="shared" si="8"/>
        <v>450013928410</v>
      </c>
      <c r="D553" s="3" t="s">
        <v>707</v>
      </c>
    </row>
    <row r="554" spans="1:4" x14ac:dyDescent="0.3">
      <c r="A554" s="3" t="s">
        <v>485</v>
      </c>
      <c r="B554" s="3" t="s">
        <v>28</v>
      </c>
      <c r="C554" s="3" t="str">
        <f t="shared" si="8"/>
        <v>450013918520</v>
      </c>
      <c r="D554" s="3" t="s">
        <v>705</v>
      </c>
    </row>
    <row r="555" spans="1:4" x14ac:dyDescent="0.3">
      <c r="A555" s="3" t="s">
        <v>485</v>
      </c>
      <c r="B555" s="3" t="s">
        <v>54</v>
      </c>
      <c r="C555" s="3" t="str">
        <f t="shared" si="8"/>
        <v>450013918530</v>
      </c>
      <c r="D555" s="3" t="s">
        <v>705</v>
      </c>
    </row>
    <row r="556" spans="1:4" x14ac:dyDescent="0.3">
      <c r="A556" s="3" t="s">
        <v>485</v>
      </c>
      <c r="B556" s="3" t="s">
        <v>23</v>
      </c>
      <c r="C556" s="3" t="str">
        <f t="shared" si="8"/>
        <v>450013918540</v>
      </c>
      <c r="D556" s="3" t="s">
        <v>705</v>
      </c>
    </row>
    <row r="557" spans="1:4" x14ac:dyDescent="0.3">
      <c r="A557" s="3" t="s">
        <v>485</v>
      </c>
      <c r="B557" s="3" t="s">
        <v>55</v>
      </c>
      <c r="C557" s="3" t="str">
        <f t="shared" si="8"/>
        <v>450013918550</v>
      </c>
      <c r="D557" s="3" t="s">
        <v>705</v>
      </c>
    </row>
    <row r="558" spans="1:4" x14ac:dyDescent="0.3">
      <c r="A558" s="3" t="s">
        <v>485</v>
      </c>
      <c r="B558" s="3" t="s">
        <v>80</v>
      </c>
      <c r="C558" s="3" t="str">
        <f t="shared" si="8"/>
        <v>450013918560</v>
      </c>
      <c r="D558" s="3" t="s">
        <v>705</v>
      </c>
    </row>
    <row r="559" spans="1:4" x14ac:dyDescent="0.3">
      <c r="A559" s="3" t="s">
        <v>485</v>
      </c>
      <c r="B559" s="3" t="s">
        <v>81</v>
      </c>
      <c r="C559" s="3" t="str">
        <f t="shared" si="8"/>
        <v>450013918570</v>
      </c>
      <c r="D559" s="3" t="s">
        <v>705</v>
      </c>
    </row>
    <row r="560" spans="1:4" x14ac:dyDescent="0.3">
      <c r="A560" s="3" t="s">
        <v>485</v>
      </c>
      <c r="B560" s="3" t="s">
        <v>82</v>
      </c>
      <c r="C560" s="3" t="str">
        <f t="shared" si="8"/>
        <v>450013918580</v>
      </c>
      <c r="D560" s="3" t="s">
        <v>705</v>
      </c>
    </row>
    <row r="561" spans="1:4" x14ac:dyDescent="0.3">
      <c r="A561" s="3" t="s">
        <v>485</v>
      </c>
      <c r="B561" s="3" t="s">
        <v>83</v>
      </c>
      <c r="C561" s="3" t="str">
        <f t="shared" si="8"/>
        <v>450013918590</v>
      </c>
      <c r="D561" s="3" t="s">
        <v>705</v>
      </c>
    </row>
    <row r="562" spans="1:4" x14ac:dyDescent="0.3">
      <c r="A562" s="3" t="s">
        <v>485</v>
      </c>
      <c r="B562" s="3" t="s">
        <v>84</v>
      </c>
      <c r="C562" s="3" t="str">
        <f t="shared" si="8"/>
        <v>4500139185100</v>
      </c>
      <c r="D562" s="3" t="s">
        <v>705</v>
      </c>
    </row>
    <row r="563" spans="1:4" x14ac:dyDescent="0.3">
      <c r="A563" s="3" t="s">
        <v>459</v>
      </c>
      <c r="B563" s="3" t="s">
        <v>32</v>
      </c>
      <c r="C563" s="3" t="str">
        <f t="shared" si="8"/>
        <v>450013919710</v>
      </c>
      <c r="D563" s="3" t="s">
        <v>715</v>
      </c>
    </row>
    <row r="564" spans="1:4" x14ac:dyDescent="0.3">
      <c r="A564" s="3" t="s">
        <v>573</v>
      </c>
      <c r="B564" s="3" t="s">
        <v>28</v>
      </c>
      <c r="C564" s="3" t="str">
        <f t="shared" si="8"/>
        <v>450013914420</v>
      </c>
      <c r="D564" s="3" t="s">
        <v>715</v>
      </c>
    </row>
    <row r="565" spans="1:4" x14ac:dyDescent="0.3">
      <c r="A565" s="3" t="s">
        <v>573</v>
      </c>
      <c r="B565" s="3" t="s">
        <v>54</v>
      </c>
      <c r="C565" s="3" t="str">
        <f t="shared" si="8"/>
        <v>450013914430</v>
      </c>
      <c r="D565" s="3" t="s">
        <v>715</v>
      </c>
    </row>
    <row r="566" spans="1:4" x14ac:dyDescent="0.3">
      <c r="A566" s="3" t="s">
        <v>108</v>
      </c>
      <c r="B566" s="3" t="s">
        <v>32</v>
      </c>
      <c r="C566" s="3" t="str">
        <f t="shared" si="8"/>
        <v>450013900010</v>
      </c>
      <c r="D566" s="3" t="s">
        <v>707</v>
      </c>
    </row>
    <row r="567" spans="1:4" x14ac:dyDescent="0.3">
      <c r="A567" s="3" t="s">
        <v>108</v>
      </c>
      <c r="B567" s="3" t="s">
        <v>28</v>
      </c>
      <c r="C567" s="3" t="str">
        <f t="shared" si="8"/>
        <v>450013900020</v>
      </c>
      <c r="D567" s="3" t="s">
        <v>707</v>
      </c>
    </row>
    <row r="568" spans="1:4" x14ac:dyDescent="0.3">
      <c r="A568" s="3" t="s">
        <v>108</v>
      </c>
      <c r="B568" s="3" t="s">
        <v>54</v>
      </c>
      <c r="C568" s="3" t="str">
        <f t="shared" si="8"/>
        <v>450013900030</v>
      </c>
      <c r="D568" s="3" t="s">
        <v>707</v>
      </c>
    </row>
    <row r="569" spans="1:4" x14ac:dyDescent="0.3">
      <c r="A569" s="3" t="s">
        <v>108</v>
      </c>
      <c r="B569" s="3" t="s">
        <v>23</v>
      </c>
      <c r="C569" s="3" t="str">
        <f t="shared" si="8"/>
        <v>450013900040</v>
      </c>
      <c r="D569" s="3" t="s">
        <v>707</v>
      </c>
    </row>
    <row r="570" spans="1:4" x14ac:dyDescent="0.3">
      <c r="A570" s="3" t="s">
        <v>490</v>
      </c>
      <c r="B570" s="3" t="s">
        <v>32</v>
      </c>
      <c r="C570" s="3" t="str">
        <f t="shared" si="8"/>
        <v>450013914010</v>
      </c>
      <c r="D570" s="3" t="s">
        <v>707</v>
      </c>
    </row>
    <row r="571" spans="1:4" x14ac:dyDescent="0.3">
      <c r="A571" s="3" t="s">
        <v>452</v>
      </c>
      <c r="B571" s="3" t="s">
        <v>23</v>
      </c>
      <c r="C571" s="3" t="str">
        <f t="shared" si="8"/>
        <v>450013903640</v>
      </c>
      <c r="D571" s="3" t="s">
        <v>707</v>
      </c>
    </row>
    <row r="572" spans="1:4" x14ac:dyDescent="0.3">
      <c r="A572" s="3" t="s">
        <v>452</v>
      </c>
      <c r="B572" s="3" t="s">
        <v>54</v>
      </c>
      <c r="C572" s="3" t="str">
        <f t="shared" si="8"/>
        <v>450013903630</v>
      </c>
      <c r="D572" s="3" t="s">
        <v>707</v>
      </c>
    </row>
    <row r="573" spans="1:4" x14ac:dyDescent="0.3">
      <c r="A573" s="3" t="s">
        <v>452</v>
      </c>
      <c r="B573" s="3" t="s">
        <v>28</v>
      </c>
      <c r="C573" s="3" t="str">
        <f t="shared" si="8"/>
        <v>450013903620</v>
      </c>
      <c r="D573" s="3" t="s">
        <v>707</v>
      </c>
    </row>
    <row r="574" spans="1:4" x14ac:dyDescent="0.3">
      <c r="A574" s="3" t="s">
        <v>452</v>
      </c>
      <c r="B574" s="3" t="s">
        <v>32</v>
      </c>
      <c r="C574" s="3" t="str">
        <f t="shared" ref="C574:C637" si="9">_xlfn.CONCAT(A574:B574)</f>
        <v>450013903610</v>
      </c>
      <c r="D574" s="3" t="s">
        <v>707</v>
      </c>
    </row>
    <row r="575" spans="1:4" x14ac:dyDescent="0.3">
      <c r="A575" s="3" t="s">
        <v>457</v>
      </c>
      <c r="B575" s="3" t="s">
        <v>32</v>
      </c>
      <c r="C575" s="3" t="str">
        <f t="shared" si="9"/>
        <v>450013928610</v>
      </c>
      <c r="D575" s="3" t="s">
        <v>721</v>
      </c>
    </row>
    <row r="576" spans="1:4" x14ac:dyDescent="0.3">
      <c r="A576" s="3" t="s">
        <v>492</v>
      </c>
      <c r="B576" s="3" t="s">
        <v>32</v>
      </c>
      <c r="C576" s="3" t="str">
        <f t="shared" si="9"/>
        <v>450013976910</v>
      </c>
      <c r="D576" s="3" t="s">
        <v>706</v>
      </c>
    </row>
    <row r="577" spans="1:4" x14ac:dyDescent="0.3">
      <c r="A577" s="3" t="s">
        <v>482</v>
      </c>
      <c r="B577" s="3" t="s">
        <v>82</v>
      </c>
      <c r="C577" s="3" t="str">
        <f t="shared" si="9"/>
        <v>450013951880</v>
      </c>
      <c r="D577" s="3" t="s">
        <v>706</v>
      </c>
    </row>
    <row r="578" spans="1:4" x14ac:dyDescent="0.3">
      <c r="A578" s="3" t="s">
        <v>531</v>
      </c>
      <c r="B578" s="3" t="s">
        <v>32</v>
      </c>
      <c r="C578" s="3" t="str">
        <f t="shared" si="9"/>
        <v>450013924310</v>
      </c>
      <c r="D578" s="3" t="s">
        <v>715</v>
      </c>
    </row>
    <row r="579" spans="1:4" x14ac:dyDescent="0.3">
      <c r="A579" s="3" t="s">
        <v>488</v>
      </c>
      <c r="B579" s="3" t="s">
        <v>28</v>
      </c>
      <c r="C579" s="3" t="str">
        <f t="shared" si="9"/>
        <v>450013941720</v>
      </c>
      <c r="D579" s="3" t="s">
        <v>707</v>
      </c>
    </row>
    <row r="580" spans="1:4" x14ac:dyDescent="0.3">
      <c r="A580" s="3" t="s">
        <v>98</v>
      </c>
      <c r="B580" s="3" t="s">
        <v>32</v>
      </c>
      <c r="C580" s="3" t="str">
        <f t="shared" si="9"/>
        <v>450013948110</v>
      </c>
      <c r="D580" s="3" t="s">
        <v>722</v>
      </c>
    </row>
    <row r="581" spans="1:4" x14ac:dyDescent="0.3">
      <c r="A581" s="3" t="s">
        <v>482</v>
      </c>
      <c r="B581" s="3" t="s">
        <v>83</v>
      </c>
      <c r="C581" s="3" t="str">
        <f t="shared" si="9"/>
        <v>450013951890</v>
      </c>
      <c r="D581" s="3" t="s">
        <v>706</v>
      </c>
    </row>
    <row r="582" spans="1:4" x14ac:dyDescent="0.3">
      <c r="A582" s="3" t="s">
        <v>482</v>
      </c>
      <c r="B582" s="3" t="s">
        <v>84</v>
      </c>
      <c r="C582" s="3" t="str">
        <f t="shared" si="9"/>
        <v>4500139518100</v>
      </c>
      <c r="D582" s="3" t="s">
        <v>706</v>
      </c>
    </row>
    <row r="583" spans="1:4" x14ac:dyDescent="0.3">
      <c r="A583" s="3" t="s">
        <v>120</v>
      </c>
      <c r="B583" s="3" t="s">
        <v>32</v>
      </c>
      <c r="C583" s="3" t="str">
        <f t="shared" si="9"/>
        <v>450013946010</v>
      </c>
      <c r="D583" s="3" t="s">
        <v>722</v>
      </c>
    </row>
    <row r="584" spans="1:4" x14ac:dyDescent="0.3">
      <c r="A584" s="3" t="s">
        <v>79</v>
      </c>
      <c r="B584" s="3" t="s">
        <v>32</v>
      </c>
      <c r="C584" s="3" t="str">
        <f t="shared" si="9"/>
        <v>450013929510</v>
      </c>
      <c r="D584" s="3" t="s">
        <v>715</v>
      </c>
    </row>
    <row r="585" spans="1:4" x14ac:dyDescent="0.3">
      <c r="A585" s="3" t="s">
        <v>79</v>
      </c>
      <c r="B585" s="3" t="s">
        <v>28</v>
      </c>
      <c r="C585" s="3" t="str">
        <f t="shared" si="9"/>
        <v>450013929520</v>
      </c>
      <c r="D585" s="3" t="s">
        <v>715</v>
      </c>
    </row>
    <row r="586" spans="1:4" x14ac:dyDescent="0.3">
      <c r="A586" s="3" t="s">
        <v>79</v>
      </c>
      <c r="B586" s="3" t="s">
        <v>54</v>
      </c>
      <c r="C586" s="3" t="str">
        <f t="shared" si="9"/>
        <v>450013929530</v>
      </c>
      <c r="D586" s="3" t="s">
        <v>715</v>
      </c>
    </row>
    <row r="587" spans="1:4" x14ac:dyDescent="0.3">
      <c r="A587" s="3" t="s">
        <v>79</v>
      </c>
      <c r="B587" s="3" t="s">
        <v>23</v>
      </c>
      <c r="C587" s="3" t="str">
        <f t="shared" si="9"/>
        <v>450013929540</v>
      </c>
      <c r="D587" s="3" t="s">
        <v>715</v>
      </c>
    </row>
    <row r="588" spans="1:4" x14ac:dyDescent="0.3">
      <c r="A588" s="3" t="s">
        <v>79</v>
      </c>
      <c r="B588" s="3" t="s">
        <v>55</v>
      </c>
      <c r="C588" s="3" t="str">
        <f t="shared" si="9"/>
        <v>450013929550</v>
      </c>
      <c r="D588" s="3" t="s">
        <v>715</v>
      </c>
    </row>
    <row r="589" spans="1:4" x14ac:dyDescent="0.3">
      <c r="A589" s="3" t="s">
        <v>79</v>
      </c>
      <c r="B589" s="3" t="s">
        <v>80</v>
      </c>
      <c r="C589" s="3" t="str">
        <f t="shared" si="9"/>
        <v>450013929560</v>
      </c>
      <c r="D589" s="3" t="s">
        <v>715</v>
      </c>
    </row>
    <row r="590" spans="1:4" x14ac:dyDescent="0.3">
      <c r="A590" s="3" t="s">
        <v>79</v>
      </c>
      <c r="B590" s="3" t="s">
        <v>81</v>
      </c>
      <c r="C590" s="3" t="str">
        <f t="shared" si="9"/>
        <v>450013929570</v>
      </c>
      <c r="D590" s="3" t="s">
        <v>715</v>
      </c>
    </row>
    <row r="591" spans="1:4" x14ac:dyDescent="0.3">
      <c r="A591" s="3" t="s">
        <v>79</v>
      </c>
      <c r="B591" s="3" t="s">
        <v>82</v>
      </c>
      <c r="C591" s="3" t="str">
        <f t="shared" si="9"/>
        <v>450013929580</v>
      </c>
      <c r="D591" s="3" t="s">
        <v>715</v>
      </c>
    </row>
    <row r="592" spans="1:4" x14ac:dyDescent="0.3">
      <c r="A592" s="3" t="s">
        <v>79</v>
      </c>
      <c r="B592" s="3" t="s">
        <v>83</v>
      </c>
      <c r="C592" s="3" t="str">
        <f t="shared" si="9"/>
        <v>450013929590</v>
      </c>
      <c r="D592" s="3" t="s">
        <v>715</v>
      </c>
    </row>
    <row r="593" spans="1:4" x14ac:dyDescent="0.3">
      <c r="A593" s="3" t="s">
        <v>79</v>
      </c>
      <c r="B593" s="3" t="s">
        <v>84</v>
      </c>
      <c r="C593" s="3" t="str">
        <f t="shared" si="9"/>
        <v>4500139295100</v>
      </c>
      <c r="D593" s="3" t="s">
        <v>715</v>
      </c>
    </row>
    <row r="594" spans="1:4" x14ac:dyDescent="0.3">
      <c r="A594" s="3" t="s">
        <v>79</v>
      </c>
      <c r="B594" s="3" t="s">
        <v>85</v>
      </c>
      <c r="C594" s="3" t="str">
        <f t="shared" si="9"/>
        <v>4500139295110</v>
      </c>
      <c r="D594" s="3" t="s">
        <v>715</v>
      </c>
    </row>
    <row r="595" spans="1:4" x14ac:dyDescent="0.3">
      <c r="A595" s="3" t="s">
        <v>79</v>
      </c>
      <c r="B595" s="3" t="s">
        <v>86</v>
      </c>
      <c r="C595" s="3" t="str">
        <f t="shared" si="9"/>
        <v>4500139295120</v>
      </c>
      <c r="D595" s="3" t="s">
        <v>715</v>
      </c>
    </row>
    <row r="596" spans="1:4" x14ac:dyDescent="0.3">
      <c r="A596" s="3" t="s">
        <v>79</v>
      </c>
      <c r="B596" s="3" t="s">
        <v>65</v>
      </c>
      <c r="C596" s="3" t="str">
        <f t="shared" si="9"/>
        <v>4500139295130</v>
      </c>
      <c r="D596" s="3" t="s">
        <v>715</v>
      </c>
    </row>
    <row r="597" spans="1:4" x14ac:dyDescent="0.3">
      <c r="A597" s="3" t="s">
        <v>79</v>
      </c>
      <c r="B597" s="3" t="s">
        <v>66</v>
      </c>
      <c r="C597" s="3" t="str">
        <f t="shared" si="9"/>
        <v>4500139295140</v>
      </c>
      <c r="D597" s="3" t="s">
        <v>715</v>
      </c>
    </row>
    <row r="598" spans="1:4" x14ac:dyDescent="0.3">
      <c r="A598" s="3" t="s">
        <v>79</v>
      </c>
      <c r="B598" s="3" t="s">
        <v>87</v>
      </c>
      <c r="C598" s="3" t="str">
        <f t="shared" si="9"/>
        <v>4500139295150</v>
      </c>
      <c r="D598" s="3" t="s">
        <v>715</v>
      </c>
    </row>
    <row r="599" spans="1:4" x14ac:dyDescent="0.3">
      <c r="A599" s="3" t="s">
        <v>79</v>
      </c>
      <c r="B599" s="3" t="s">
        <v>88</v>
      </c>
      <c r="C599" s="3" t="str">
        <f t="shared" si="9"/>
        <v>4500139295160</v>
      </c>
      <c r="D599" s="3" t="s">
        <v>715</v>
      </c>
    </row>
    <row r="600" spans="1:4" x14ac:dyDescent="0.3">
      <c r="A600" s="3" t="s">
        <v>79</v>
      </c>
      <c r="B600" s="3" t="s">
        <v>67</v>
      </c>
      <c r="C600" s="3" t="str">
        <f t="shared" si="9"/>
        <v>4500139295170</v>
      </c>
      <c r="D600" s="3" t="s">
        <v>715</v>
      </c>
    </row>
    <row r="601" spans="1:4" x14ac:dyDescent="0.3">
      <c r="A601" s="3" t="s">
        <v>488</v>
      </c>
      <c r="B601" s="3" t="s">
        <v>23</v>
      </c>
      <c r="C601" s="3" t="str">
        <f t="shared" si="9"/>
        <v>450013941740</v>
      </c>
      <c r="D601" s="3" t="s">
        <v>707</v>
      </c>
    </row>
    <row r="602" spans="1:4" x14ac:dyDescent="0.3">
      <c r="A602" s="3" t="s">
        <v>115</v>
      </c>
      <c r="B602" s="3" t="s">
        <v>28</v>
      </c>
      <c r="C602" s="3" t="str">
        <f t="shared" si="9"/>
        <v>450013980720</v>
      </c>
      <c r="D602" s="3" t="s">
        <v>722</v>
      </c>
    </row>
    <row r="603" spans="1:4" x14ac:dyDescent="0.3">
      <c r="A603" s="3" t="s">
        <v>488</v>
      </c>
      <c r="B603" s="3" t="s">
        <v>32</v>
      </c>
      <c r="C603" s="3" t="str">
        <f t="shared" si="9"/>
        <v>450013941710</v>
      </c>
      <c r="D603" s="3" t="s">
        <v>707</v>
      </c>
    </row>
    <row r="604" spans="1:4" x14ac:dyDescent="0.3">
      <c r="A604" s="3" t="s">
        <v>100</v>
      </c>
      <c r="B604" s="3" t="s">
        <v>23</v>
      </c>
      <c r="C604" s="3" t="str">
        <f t="shared" si="9"/>
        <v>450013932640</v>
      </c>
      <c r="D604" s="3" t="s">
        <v>722</v>
      </c>
    </row>
    <row r="605" spans="1:4" x14ac:dyDescent="0.3">
      <c r="A605" s="3" t="s">
        <v>578</v>
      </c>
      <c r="B605" s="3" t="s">
        <v>32</v>
      </c>
      <c r="C605" s="3" t="str">
        <f t="shared" si="9"/>
        <v>450013982210</v>
      </c>
      <c r="D605" s="3" t="s">
        <v>715</v>
      </c>
    </row>
    <row r="606" spans="1:4" x14ac:dyDescent="0.3">
      <c r="A606" s="3" t="s">
        <v>138</v>
      </c>
      <c r="B606" s="3" t="s">
        <v>54</v>
      </c>
      <c r="C606" s="3" t="str">
        <f t="shared" si="9"/>
        <v>450013988430</v>
      </c>
      <c r="D606" s="3" t="s">
        <v>715</v>
      </c>
    </row>
    <row r="607" spans="1:4" x14ac:dyDescent="0.3">
      <c r="A607" s="3" t="s">
        <v>138</v>
      </c>
      <c r="B607" s="3" t="s">
        <v>23</v>
      </c>
      <c r="C607" s="3" t="str">
        <f t="shared" si="9"/>
        <v>450013988440</v>
      </c>
      <c r="D607" s="3" t="s">
        <v>715</v>
      </c>
    </row>
    <row r="608" spans="1:4" x14ac:dyDescent="0.3">
      <c r="A608" s="3" t="s">
        <v>138</v>
      </c>
      <c r="B608" s="3" t="s">
        <v>55</v>
      </c>
      <c r="C608" s="3" t="str">
        <f t="shared" si="9"/>
        <v>450013988450</v>
      </c>
      <c r="D608" s="3" t="s">
        <v>715</v>
      </c>
    </row>
    <row r="609" spans="1:4" x14ac:dyDescent="0.3">
      <c r="A609" s="3" t="s">
        <v>488</v>
      </c>
      <c r="B609" s="3" t="s">
        <v>54</v>
      </c>
      <c r="C609" s="3" t="str">
        <f t="shared" si="9"/>
        <v>450013941730</v>
      </c>
      <c r="D609" s="3" t="s">
        <v>707</v>
      </c>
    </row>
    <row r="610" spans="1:4" x14ac:dyDescent="0.3">
      <c r="A610" s="3" t="s">
        <v>100</v>
      </c>
      <c r="B610" s="3" t="s">
        <v>32</v>
      </c>
      <c r="C610" s="3" t="str">
        <f t="shared" si="9"/>
        <v>450013932610</v>
      </c>
      <c r="D610" s="3" t="s">
        <v>722</v>
      </c>
    </row>
    <row r="611" spans="1:4" x14ac:dyDescent="0.3">
      <c r="A611" s="3" t="s">
        <v>100</v>
      </c>
      <c r="B611" s="3" t="s">
        <v>28</v>
      </c>
      <c r="C611" s="3" t="str">
        <f t="shared" si="9"/>
        <v>450013932620</v>
      </c>
      <c r="D611" s="3" t="s">
        <v>722</v>
      </c>
    </row>
    <row r="612" spans="1:4" x14ac:dyDescent="0.3">
      <c r="A612" s="3" t="s">
        <v>100</v>
      </c>
      <c r="B612" s="3" t="s">
        <v>54</v>
      </c>
      <c r="C612" s="3" t="str">
        <f t="shared" si="9"/>
        <v>450013932630</v>
      </c>
      <c r="D612" s="3" t="s">
        <v>722</v>
      </c>
    </row>
    <row r="613" spans="1:4" x14ac:dyDescent="0.3">
      <c r="A613" s="3" t="s">
        <v>466</v>
      </c>
      <c r="B613" s="3" t="s">
        <v>32</v>
      </c>
      <c r="C613" s="3" t="str">
        <f t="shared" si="9"/>
        <v>450013951410</v>
      </c>
      <c r="D613" s="3" t="s">
        <v>725</v>
      </c>
    </row>
    <row r="614" spans="1:4" x14ac:dyDescent="0.3">
      <c r="A614" s="3" t="s">
        <v>94</v>
      </c>
      <c r="B614" s="3" t="s">
        <v>28</v>
      </c>
      <c r="C614" s="3" t="str">
        <f t="shared" si="9"/>
        <v>450013446820</v>
      </c>
      <c r="D614" s="3" t="s">
        <v>711</v>
      </c>
    </row>
    <row r="615" spans="1:4" x14ac:dyDescent="0.3">
      <c r="A615" s="3" t="s">
        <v>143</v>
      </c>
      <c r="B615" s="3" t="s">
        <v>81</v>
      </c>
      <c r="C615" s="3" t="str">
        <f t="shared" si="9"/>
        <v>450013962370</v>
      </c>
      <c r="D615" s="3" t="s">
        <v>722</v>
      </c>
    </row>
    <row r="616" spans="1:4" x14ac:dyDescent="0.3">
      <c r="A616" s="3" t="s">
        <v>143</v>
      </c>
      <c r="B616" s="3" t="s">
        <v>82</v>
      </c>
      <c r="C616" s="3" t="str">
        <f t="shared" si="9"/>
        <v>450013962380</v>
      </c>
      <c r="D616" s="3" t="s">
        <v>722</v>
      </c>
    </row>
    <row r="617" spans="1:4" x14ac:dyDescent="0.3">
      <c r="A617" s="3" t="s">
        <v>143</v>
      </c>
      <c r="B617" s="3" t="s">
        <v>83</v>
      </c>
      <c r="C617" s="3" t="str">
        <f t="shared" si="9"/>
        <v>450013962390</v>
      </c>
      <c r="D617" s="3" t="s">
        <v>722</v>
      </c>
    </row>
    <row r="618" spans="1:4" x14ac:dyDescent="0.3">
      <c r="A618" s="3" t="s">
        <v>143</v>
      </c>
      <c r="B618" s="3" t="s">
        <v>84</v>
      </c>
      <c r="C618" s="3" t="str">
        <f t="shared" si="9"/>
        <v>4500139623100</v>
      </c>
      <c r="D618" s="3" t="s">
        <v>722</v>
      </c>
    </row>
    <row r="619" spans="1:4" x14ac:dyDescent="0.3">
      <c r="A619" s="3" t="s">
        <v>539</v>
      </c>
      <c r="B619" s="3" t="s">
        <v>55</v>
      </c>
      <c r="C619" s="3" t="str">
        <f t="shared" si="9"/>
        <v>450013972050</v>
      </c>
      <c r="D619" s="3" t="s">
        <v>707</v>
      </c>
    </row>
    <row r="620" spans="1:4" x14ac:dyDescent="0.3">
      <c r="A620" s="3" t="s">
        <v>115</v>
      </c>
      <c r="B620" s="3" t="s">
        <v>32</v>
      </c>
      <c r="C620" s="3" t="str">
        <f t="shared" si="9"/>
        <v>450013980710</v>
      </c>
      <c r="D620" s="3" t="s">
        <v>722</v>
      </c>
    </row>
    <row r="621" spans="1:4" x14ac:dyDescent="0.3">
      <c r="A621" s="3" t="s">
        <v>143</v>
      </c>
      <c r="B621" s="3" t="s">
        <v>85</v>
      </c>
      <c r="C621" s="3" t="str">
        <f t="shared" si="9"/>
        <v>4500139623110</v>
      </c>
      <c r="D621" s="3" t="s">
        <v>722</v>
      </c>
    </row>
    <row r="622" spans="1:4" x14ac:dyDescent="0.3">
      <c r="A622" s="3" t="s">
        <v>143</v>
      </c>
      <c r="B622" s="3" t="s">
        <v>86</v>
      </c>
      <c r="C622" s="3" t="str">
        <f t="shared" si="9"/>
        <v>4500139623120</v>
      </c>
      <c r="D622" s="3" t="s">
        <v>722</v>
      </c>
    </row>
    <row r="623" spans="1:4" x14ac:dyDescent="0.3">
      <c r="A623" s="3" t="s">
        <v>143</v>
      </c>
      <c r="B623" s="3" t="s">
        <v>65</v>
      </c>
      <c r="C623" s="3" t="str">
        <f t="shared" si="9"/>
        <v>4500139623130</v>
      </c>
      <c r="D623" s="3" t="s">
        <v>722</v>
      </c>
    </row>
    <row r="624" spans="1:4" x14ac:dyDescent="0.3">
      <c r="A624" s="3" t="s">
        <v>143</v>
      </c>
      <c r="B624" s="3" t="s">
        <v>66</v>
      </c>
      <c r="C624" s="3" t="str">
        <f t="shared" si="9"/>
        <v>4500139623140</v>
      </c>
      <c r="D624" s="3" t="s">
        <v>722</v>
      </c>
    </row>
    <row r="625" spans="1:4" x14ac:dyDescent="0.3">
      <c r="A625" s="3" t="s">
        <v>143</v>
      </c>
      <c r="B625" s="3" t="s">
        <v>87</v>
      </c>
      <c r="C625" s="3" t="str">
        <f t="shared" si="9"/>
        <v>4500139623150</v>
      </c>
      <c r="D625" s="3" t="s">
        <v>722</v>
      </c>
    </row>
    <row r="626" spans="1:4" x14ac:dyDescent="0.3">
      <c r="A626" s="3" t="s">
        <v>514</v>
      </c>
      <c r="B626" s="3" t="s">
        <v>32</v>
      </c>
      <c r="C626" s="3" t="str">
        <f t="shared" si="9"/>
        <v>450013958810</v>
      </c>
      <c r="D626" s="3" t="s">
        <v>715</v>
      </c>
    </row>
    <row r="627" spans="1:4" x14ac:dyDescent="0.3">
      <c r="A627" s="3" t="s">
        <v>514</v>
      </c>
      <c r="B627" s="3" t="s">
        <v>28</v>
      </c>
      <c r="C627" s="3" t="str">
        <f t="shared" si="9"/>
        <v>450013958820</v>
      </c>
      <c r="D627" s="3" t="s">
        <v>715</v>
      </c>
    </row>
    <row r="628" spans="1:4" x14ac:dyDescent="0.3">
      <c r="A628" s="3" t="s">
        <v>558</v>
      </c>
      <c r="B628" s="3" t="s">
        <v>32</v>
      </c>
      <c r="C628" s="3" t="str">
        <f t="shared" si="9"/>
        <v>450013958510</v>
      </c>
      <c r="D628" s="3" t="s">
        <v>715</v>
      </c>
    </row>
    <row r="629" spans="1:4" x14ac:dyDescent="0.3">
      <c r="A629" s="3" t="s">
        <v>558</v>
      </c>
      <c r="B629" s="3" t="s">
        <v>28</v>
      </c>
      <c r="C629" s="3" t="str">
        <f t="shared" si="9"/>
        <v>450013958520</v>
      </c>
      <c r="D629" s="3" t="s">
        <v>715</v>
      </c>
    </row>
    <row r="630" spans="1:4" x14ac:dyDescent="0.3">
      <c r="A630" s="3" t="s">
        <v>558</v>
      </c>
      <c r="B630" s="3" t="s">
        <v>54</v>
      </c>
      <c r="C630" s="3" t="str">
        <f t="shared" si="9"/>
        <v>450013958530</v>
      </c>
      <c r="D630" s="3" t="s">
        <v>715</v>
      </c>
    </row>
    <row r="631" spans="1:4" x14ac:dyDescent="0.3">
      <c r="A631" s="3" t="s">
        <v>561</v>
      </c>
      <c r="B631" s="3" t="s">
        <v>32</v>
      </c>
      <c r="C631" s="3" t="str">
        <f t="shared" si="9"/>
        <v>450013958610</v>
      </c>
      <c r="D631" s="3" t="s">
        <v>715</v>
      </c>
    </row>
    <row r="632" spans="1:4" x14ac:dyDescent="0.3">
      <c r="A632" s="3" t="s">
        <v>509</v>
      </c>
      <c r="B632" s="3" t="s">
        <v>85</v>
      </c>
      <c r="C632" s="3" t="str">
        <f t="shared" si="9"/>
        <v>4500139775110</v>
      </c>
      <c r="D632" s="3" t="s">
        <v>715</v>
      </c>
    </row>
    <row r="633" spans="1:4" x14ac:dyDescent="0.3">
      <c r="A633" s="3" t="s">
        <v>506</v>
      </c>
      <c r="B633" s="3" t="s">
        <v>54</v>
      </c>
      <c r="C633" s="3" t="str">
        <f t="shared" si="9"/>
        <v>450013978630</v>
      </c>
      <c r="D633" s="3" t="s">
        <v>715</v>
      </c>
    </row>
    <row r="634" spans="1:4" x14ac:dyDescent="0.3">
      <c r="A634" s="3" t="s">
        <v>506</v>
      </c>
      <c r="B634" s="3" t="s">
        <v>23</v>
      </c>
      <c r="C634" s="3" t="str">
        <f t="shared" si="9"/>
        <v>450013978640</v>
      </c>
      <c r="D634" s="3" t="s">
        <v>715</v>
      </c>
    </row>
    <row r="635" spans="1:4" x14ac:dyDescent="0.3">
      <c r="A635" s="3" t="s">
        <v>506</v>
      </c>
      <c r="B635" s="3" t="s">
        <v>55</v>
      </c>
      <c r="C635" s="3" t="str">
        <f t="shared" si="9"/>
        <v>450013978650</v>
      </c>
      <c r="D635" s="3" t="s">
        <v>715</v>
      </c>
    </row>
    <row r="636" spans="1:4" x14ac:dyDescent="0.3">
      <c r="A636" s="3" t="s">
        <v>506</v>
      </c>
      <c r="B636" s="3" t="s">
        <v>80</v>
      </c>
      <c r="C636" s="3" t="str">
        <f t="shared" si="9"/>
        <v>450013978660</v>
      </c>
      <c r="D636" s="3" t="s">
        <v>715</v>
      </c>
    </row>
    <row r="637" spans="1:4" x14ac:dyDescent="0.3">
      <c r="A637" s="3" t="s">
        <v>506</v>
      </c>
      <c r="B637" s="3" t="s">
        <v>81</v>
      </c>
      <c r="C637" s="3" t="str">
        <f t="shared" si="9"/>
        <v>450013978670</v>
      </c>
      <c r="D637" s="3" t="s">
        <v>715</v>
      </c>
    </row>
    <row r="638" spans="1:4" x14ac:dyDescent="0.3">
      <c r="A638" s="3" t="s">
        <v>506</v>
      </c>
      <c r="B638" s="3" t="s">
        <v>82</v>
      </c>
      <c r="C638" s="3" t="str">
        <f t="shared" ref="C638:C701" si="10">_xlfn.CONCAT(A638:B638)</f>
        <v>450013978680</v>
      </c>
      <c r="D638" s="3" t="s">
        <v>715</v>
      </c>
    </row>
    <row r="639" spans="1:4" x14ac:dyDescent="0.3">
      <c r="A639" s="3" t="s">
        <v>506</v>
      </c>
      <c r="B639" s="3" t="s">
        <v>83</v>
      </c>
      <c r="C639" s="3" t="str">
        <f t="shared" si="10"/>
        <v>450013978690</v>
      </c>
      <c r="D639" s="3" t="s">
        <v>715</v>
      </c>
    </row>
    <row r="640" spans="1:4" x14ac:dyDescent="0.3">
      <c r="A640" s="3" t="s">
        <v>506</v>
      </c>
      <c r="B640" s="3" t="s">
        <v>84</v>
      </c>
      <c r="C640" s="3" t="str">
        <f t="shared" si="10"/>
        <v>4500139786100</v>
      </c>
      <c r="D640" s="3" t="s">
        <v>715</v>
      </c>
    </row>
    <row r="641" spans="1:4" x14ac:dyDescent="0.3">
      <c r="A641" s="3" t="s">
        <v>506</v>
      </c>
      <c r="B641" s="3" t="s">
        <v>85</v>
      </c>
      <c r="C641" s="3" t="str">
        <f t="shared" si="10"/>
        <v>4500139786110</v>
      </c>
      <c r="D641" s="3" t="s">
        <v>715</v>
      </c>
    </row>
    <row r="642" spans="1:4" x14ac:dyDescent="0.3">
      <c r="A642" s="3" t="s">
        <v>541</v>
      </c>
      <c r="B642" s="3" t="s">
        <v>32</v>
      </c>
      <c r="C642" s="3" t="str">
        <f t="shared" si="10"/>
        <v>450013979310</v>
      </c>
      <c r="D642" s="3" t="s">
        <v>715</v>
      </c>
    </row>
    <row r="643" spans="1:4" x14ac:dyDescent="0.3">
      <c r="A643" s="3" t="s">
        <v>541</v>
      </c>
      <c r="B643" s="3" t="s">
        <v>28</v>
      </c>
      <c r="C643" s="3" t="str">
        <f t="shared" si="10"/>
        <v>450013979320</v>
      </c>
      <c r="D643" s="3" t="s">
        <v>715</v>
      </c>
    </row>
    <row r="644" spans="1:4" x14ac:dyDescent="0.3">
      <c r="A644" s="3" t="s">
        <v>567</v>
      </c>
      <c r="B644" s="3" t="s">
        <v>32</v>
      </c>
      <c r="C644" s="3" t="str">
        <f t="shared" si="10"/>
        <v>450013982510</v>
      </c>
      <c r="D644" s="3" t="s">
        <v>715</v>
      </c>
    </row>
    <row r="645" spans="1:4" x14ac:dyDescent="0.3">
      <c r="A645" s="3" t="s">
        <v>143</v>
      </c>
      <c r="B645" s="3" t="s">
        <v>32</v>
      </c>
      <c r="C645" s="3" t="str">
        <f t="shared" si="10"/>
        <v>450013962310</v>
      </c>
      <c r="D645" s="3" t="s">
        <v>722</v>
      </c>
    </row>
    <row r="646" spans="1:4" x14ac:dyDescent="0.3">
      <c r="A646" s="3" t="s">
        <v>143</v>
      </c>
      <c r="B646" s="3" t="s">
        <v>28</v>
      </c>
      <c r="C646" s="3" t="str">
        <f t="shared" si="10"/>
        <v>450013962320</v>
      </c>
      <c r="D646" s="3" t="s">
        <v>722</v>
      </c>
    </row>
    <row r="647" spans="1:4" x14ac:dyDescent="0.3">
      <c r="A647" s="3" t="s">
        <v>143</v>
      </c>
      <c r="B647" s="3" t="s">
        <v>54</v>
      </c>
      <c r="C647" s="3" t="str">
        <f t="shared" si="10"/>
        <v>450013962330</v>
      </c>
      <c r="D647" s="3" t="s">
        <v>722</v>
      </c>
    </row>
    <row r="648" spans="1:4" x14ac:dyDescent="0.3">
      <c r="A648" s="3" t="s">
        <v>143</v>
      </c>
      <c r="B648" s="3" t="s">
        <v>23</v>
      </c>
      <c r="C648" s="3" t="str">
        <f t="shared" si="10"/>
        <v>450013962340</v>
      </c>
      <c r="D648" s="3" t="s">
        <v>722</v>
      </c>
    </row>
    <row r="649" spans="1:4" x14ac:dyDescent="0.3">
      <c r="A649" s="3" t="s">
        <v>143</v>
      </c>
      <c r="B649" s="3" t="s">
        <v>55</v>
      </c>
      <c r="C649" s="3" t="str">
        <f t="shared" si="10"/>
        <v>450013962350</v>
      </c>
      <c r="D649" s="3" t="s">
        <v>722</v>
      </c>
    </row>
    <row r="650" spans="1:4" x14ac:dyDescent="0.3">
      <c r="A650" s="3" t="s">
        <v>143</v>
      </c>
      <c r="B650" s="3" t="s">
        <v>80</v>
      </c>
      <c r="C650" s="3" t="str">
        <f t="shared" si="10"/>
        <v>450013962360</v>
      </c>
      <c r="D650" s="3" t="s">
        <v>722</v>
      </c>
    </row>
    <row r="651" spans="1:4" x14ac:dyDescent="0.3">
      <c r="A651" s="3" t="s">
        <v>509</v>
      </c>
      <c r="B651" s="3" t="s">
        <v>91</v>
      </c>
      <c r="C651" s="3" t="str">
        <f t="shared" si="10"/>
        <v>4500139775190</v>
      </c>
      <c r="D651" s="3" t="s">
        <v>715</v>
      </c>
    </row>
    <row r="652" spans="1:4" x14ac:dyDescent="0.3">
      <c r="A652" s="3" t="s">
        <v>510</v>
      </c>
      <c r="B652" s="3" t="s">
        <v>84</v>
      </c>
      <c r="C652" s="3" t="str">
        <f t="shared" si="10"/>
        <v>4500139791100</v>
      </c>
      <c r="D652" s="3" t="s">
        <v>715</v>
      </c>
    </row>
    <row r="653" spans="1:4" x14ac:dyDescent="0.3">
      <c r="A653" s="3" t="s">
        <v>496</v>
      </c>
      <c r="B653" s="3" t="s">
        <v>32</v>
      </c>
      <c r="C653" s="3" t="str">
        <f t="shared" si="10"/>
        <v>450013977010</v>
      </c>
      <c r="D653" s="3" t="s">
        <v>715</v>
      </c>
    </row>
    <row r="654" spans="1:4" x14ac:dyDescent="0.3">
      <c r="A654" s="3" t="s">
        <v>496</v>
      </c>
      <c r="B654" s="3" t="s">
        <v>28</v>
      </c>
      <c r="C654" s="3" t="str">
        <f t="shared" si="10"/>
        <v>450013977020</v>
      </c>
      <c r="D654" s="3" t="s">
        <v>715</v>
      </c>
    </row>
    <row r="655" spans="1:4" x14ac:dyDescent="0.3">
      <c r="A655" s="3" t="s">
        <v>496</v>
      </c>
      <c r="B655" s="3" t="s">
        <v>54</v>
      </c>
      <c r="C655" s="3" t="str">
        <f t="shared" si="10"/>
        <v>450013977030</v>
      </c>
      <c r="D655" s="3" t="s">
        <v>715</v>
      </c>
    </row>
    <row r="656" spans="1:4" x14ac:dyDescent="0.3">
      <c r="A656" s="3" t="s">
        <v>496</v>
      </c>
      <c r="B656" s="3" t="s">
        <v>23</v>
      </c>
      <c r="C656" s="3" t="str">
        <f t="shared" si="10"/>
        <v>450013977040</v>
      </c>
      <c r="D656" s="3" t="s">
        <v>715</v>
      </c>
    </row>
    <row r="657" spans="1:4" x14ac:dyDescent="0.3">
      <c r="A657" s="3" t="s">
        <v>509</v>
      </c>
      <c r="B657" s="3" t="s">
        <v>43</v>
      </c>
      <c r="C657" s="3" t="str">
        <f t="shared" si="10"/>
        <v>4500139775210</v>
      </c>
      <c r="D657" s="3" t="s">
        <v>715</v>
      </c>
    </row>
    <row r="658" spans="1:4" x14ac:dyDescent="0.3">
      <c r="A658" s="3" t="s">
        <v>510</v>
      </c>
      <c r="B658" s="3" t="s">
        <v>28</v>
      </c>
      <c r="C658" s="3" t="str">
        <f t="shared" si="10"/>
        <v>450013979120</v>
      </c>
      <c r="D658" s="3" t="s">
        <v>715</v>
      </c>
    </row>
    <row r="659" spans="1:4" x14ac:dyDescent="0.3">
      <c r="A659" s="3" t="s">
        <v>510</v>
      </c>
      <c r="B659" s="3" t="s">
        <v>54</v>
      </c>
      <c r="C659" s="3" t="str">
        <f t="shared" si="10"/>
        <v>450013979130</v>
      </c>
      <c r="D659" s="3" t="s">
        <v>715</v>
      </c>
    </row>
    <row r="660" spans="1:4" x14ac:dyDescent="0.3">
      <c r="A660" s="3" t="s">
        <v>510</v>
      </c>
      <c r="B660" s="3" t="s">
        <v>23</v>
      </c>
      <c r="C660" s="3" t="str">
        <f t="shared" si="10"/>
        <v>450013979140</v>
      </c>
      <c r="D660" s="3" t="s">
        <v>715</v>
      </c>
    </row>
    <row r="661" spans="1:4" x14ac:dyDescent="0.3">
      <c r="A661" s="3" t="s">
        <v>510</v>
      </c>
      <c r="B661" s="3" t="s">
        <v>55</v>
      </c>
      <c r="C661" s="3" t="str">
        <f t="shared" si="10"/>
        <v>450013979150</v>
      </c>
      <c r="D661" s="3" t="s">
        <v>715</v>
      </c>
    </row>
    <row r="662" spans="1:4" x14ac:dyDescent="0.3">
      <c r="A662" s="3" t="s">
        <v>510</v>
      </c>
      <c r="B662" s="3" t="s">
        <v>80</v>
      </c>
      <c r="C662" s="3" t="str">
        <f t="shared" si="10"/>
        <v>450013979160</v>
      </c>
      <c r="D662" s="3" t="s">
        <v>715</v>
      </c>
    </row>
    <row r="663" spans="1:4" x14ac:dyDescent="0.3">
      <c r="A663" s="3" t="s">
        <v>510</v>
      </c>
      <c r="B663" s="3" t="s">
        <v>81</v>
      </c>
      <c r="C663" s="3" t="str">
        <f t="shared" si="10"/>
        <v>450013979170</v>
      </c>
      <c r="D663" s="3" t="s">
        <v>715</v>
      </c>
    </row>
    <row r="664" spans="1:4" x14ac:dyDescent="0.3">
      <c r="A664" s="3" t="s">
        <v>551</v>
      </c>
      <c r="B664" s="3" t="s">
        <v>32</v>
      </c>
      <c r="C664" s="3" t="str">
        <f t="shared" si="10"/>
        <v>450014000610</v>
      </c>
      <c r="D664" s="3" t="s">
        <v>716</v>
      </c>
    </row>
    <row r="665" spans="1:4" x14ac:dyDescent="0.3">
      <c r="A665" s="3" t="s">
        <v>551</v>
      </c>
      <c r="B665" s="3" t="s">
        <v>54</v>
      </c>
      <c r="C665" s="3" t="str">
        <f t="shared" si="10"/>
        <v>450014000630</v>
      </c>
      <c r="D665" s="3" t="s">
        <v>716</v>
      </c>
    </row>
    <row r="666" spans="1:4" x14ac:dyDescent="0.3">
      <c r="A666" s="3" t="s">
        <v>537</v>
      </c>
      <c r="B666" s="3" t="s">
        <v>32</v>
      </c>
      <c r="C666" s="3" t="str">
        <f t="shared" si="10"/>
        <v>450013974210</v>
      </c>
      <c r="D666" s="3" t="s">
        <v>722</v>
      </c>
    </row>
    <row r="667" spans="1:4" x14ac:dyDescent="0.3">
      <c r="A667" s="3" t="s">
        <v>537</v>
      </c>
      <c r="B667" s="3" t="s">
        <v>28</v>
      </c>
      <c r="C667" s="3" t="str">
        <f t="shared" si="10"/>
        <v>450013974220</v>
      </c>
      <c r="D667" s="3" t="s">
        <v>722</v>
      </c>
    </row>
    <row r="668" spans="1:4" x14ac:dyDescent="0.3">
      <c r="A668" s="3" t="s">
        <v>504</v>
      </c>
      <c r="B668" s="3" t="s">
        <v>32</v>
      </c>
      <c r="C668" s="3" t="str">
        <f t="shared" si="10"/>
        <v>450013975610</v>
      </c>
      <c r="D668" s="3" t="s">
        <v>722</v>
      </c>
    </row>
    <row r="669" spans="1:4" x14ac:dyDescent="0.3">
      <c r="A669" s="3" t="s">
        <v>504</v>
      </c>
      <c r="B669" s="3" t="s">
        <v>28</v>
      </c>
      <c r="C669" s="3" t="str">
        <f t="shared" si="10"/>
        <v>450013975620</v>
      </c>
      <c r="D669" s="3" t="s">
        <v>722</v>
      </c>
    </row>
    <row r="670" spans="1:4" x14ac:dyDescent="0.3">
      <c r="A670" s="3" t="s">
        <v>537</v>
      </c>
      <c r="B670" s="3" t="s">
        <v>54</v>
      </c>
      <c r="C670" s="3" t="str">
        <f t="shared" si="10"/>
        <v>450013974230</v>
      </c>
      <c r="D670" s="3" t="s">
        <v>722</v>
      </c>
    </row>
    <row r="671" spans="1:4" x14ac:dyDescent="0.3">
      <c r="A671" s="3" t="s">
        <v>539</v>
      </c>
      <c r="B671" s="3" t="s">
        <v>32</v>
      </c>
      <c r="C671" s="3" t="str">
        <f t="shared" si="10"/>
        <v>450013972010</v>
      </c>
      <c r="D671" s="3" t="s">
        <v>707</v>
      </c>
    </row>
    <row r="672" spans="1:4" x14ac:dyDescent="0.3">
      <c r="A672" s="3" t="s">
        <v>539</v>
      </c>
      <c r="B672" s="3" t="s">
        <v>28</v>
      </c>
      <c r="C672" s="3" t="str">
        <f t="shared" si="10"/>
        <v>450013972020</v>
      </c>
      <c r="D672" s="3" t="s">
        <v>707</v>
      </c>
    </row>
    <row r="673" spans="1:4" x14ac:dyDescent="0.3">
      <c r="A673" s="3" t="s">
        <v>539</v>
      </c>
      <c r="B673" s="3" t="s">
        <v>54</v>
      </c>
      <c r="C673" s="3" t="str">
        <f t="shared" si="10"/>
        <v>450013972030</v>
      </c>
      <c r="D673" s="3" t="s">
        <v>707</v>
      </c>
    </row>
    <row r="674" spans="1:4" x14ac:dyDescent="0.3">
      <c r="A674" s="3" t="s">
        <v>571</v>
      </c>
      <c r="B674" s="3" t="s">
        <v>32</v>
      </c>
      <c r="C674" s="3" t="str">
        <f t="shared" si="10"/>
        <v>450013974810</v>
      </c>
      <c r="D674" s="3" t="s">
        <v>707</v>
      </c>
    </row>
    <row r="675" spans="1:4" x14ac:dyDescent="0.3">
      <c r="A675" s="3" t="s">
        <v>539</v>
      </c>
      <c r="B675" s="3" t="s">
        <v>23</v>
      </c>
      <c r="C675" s="3" t="str">
        <f t="shared" si="10"/>
        <v>450013972040</v>
      </c>
      <c r="D675" s="3" t="s">
        <v>707</v>
      </c>
    </row>
    <row r="676" spans="1:4" x14ac:dyDescent="0.3">
      <c r="A676" s="3" t="s">
        <v>571</v>
      </c>
      <c r="B676" s="3" t="s">
        <v>28</v>
      </c>
      <c r="C676" s="3" t="str">
        <f t="shared" si="10"/>
        <v>450013974820</v>
      </c>
      <c r="D676" s="3" t="s">
        <v>707</v>
      </c>
    </row>
    <row r="677" spans="1:4" x14ac:dyDescent="0.3">
      <c r="A677" s="3" t="s">
        <v>539</v>
      </c>
      <c r="B677" s="3" t="s">
        <v>80</v>
      </c>
      <c r="C677" s="3" t="str">
        <f t="shared" si="10"/>
        <v>450013972060</v>
      </c>
      <c r="D677" s="3" t="s">
        <v>707</v>
      </c>
    </row>
    <row r="678" spans="1:4" x14ac:dyDescent="0.3">
      <c r="A678" s="3" t="s">
        <v>539</v>
      </c>
      <c r="B678" s="3" t="s">
        <v>81</v>
      </c>
      <c r="C678" s="3" t="str">
        <f t="shared" si="10"/>
        <v>450013972070</v>
      </c>
      <c r="D678" s="3" t="s">
        <v>707</v>
      </c>
    </row>
    <row r="679" spans="1:4" x14ac:dyDescent="0.3">
      <c r="A679" s="3" t="s">
        <v>539</v>
      </c>
      <c r="B679" s="3" t="s">
        <v>82</v>
      </c>
      <c r="C679" s="3" t="str">
        <f t="shared" si="10"/>
        <v>450013972080</v>
      </c>
      <c r="D679" s="3" t="s">
        <v>707</v>
      </c>
    </row>
    <row r="680" spans="1:4" x14ac:dyDescent="0.3">
      <c r="A680" s="3" t="s">
        <v>539</v>
      </c>
      <c r="B680" s="3" t="s">
        <v>83</v>
      </c>
      <c r="C680" s="3" t="str">
        <f t="shared" si="10"/>
        <v>450013972090</v>
      </c>
      <c r="D680" s="3" t="s">
        <v>707</v>
      </c>
    </row>
    <row r="681" spans="1:4" x14ac:dyDescent="0.3">
      <c r="A681" s="3" t="s">
        <v>539</v>
      </c>
      <c r="B681" s="3" t="s">
        <v>84</v>
      </c>
      <c r="C681" s="3" t="str">
        <f t="shared" si="10"/>
        <v>4500139720100</v>
      </c>
      <c r="D681" s="3" t="s">
        <v>707</v>
      </c>
    </row>
    <row r="682" spans="1:4" x14ac:dyDescent="0.3">
      <c r="A682" s="3" t="s">
        <v>537</v>
      </c>
      <c r="B682" s="3" t="s">
        <v>23</v>
      </c>
      <c r="C682" s="3" t="str">
        <f t="shared" si="10"/>
        <v>450013974240</v>
      </c>
      <c r="D682" s="3" t="s">
        <v>722</v>
      </c>
    </row>
    <row r="683" spans="1:4" x14ac:dyDescent="0.3">
      <c r="A683" s="3" t="s">
        <v>504</v>
      </c>
      <c r="B683" s="3" t="s">
        <v>54</v>
      </c>
      <c r="C683" s="3" t="str">
        <f t="shared" si="10"/>
        <v>450013975630</v>
      </c>
      <c r="D683" s="3" t="s">
        <v>722</v>
      </c>
    </row>
    <row r="684" spans="1:4" x14ac:dyDescent="0.3">
      <c r="A684" s="3" t="s">
        <v>539</v>
      </c>
      <c r="B684" s="3" t="s">
        <v>85</v>
      </c>
      <c r="C684" s="3" t="str">
        <f t="shared" si="10"/>
        <v>4500139720110</v>
      </c>
      <c r="D684" s="3" t="s">
        <v>707</v>
      </c>
    </row>
    <row r="685" spans="1:4" x14ac:dyDescent="0.3">
      <c r="A685" s="3" t="s">
        <v>569</v>
      </c>
      <c r="B685" s="3" t="s">
        <v>32</v>
      </c>
      <c r="C685" s="3" t="str">
        <f t="shared" si="10"/>
        <v>450013996110</v>
      </c>
      <c r="D685" s="3" t="s">
        <v>707</v>
      </c>
    </row>
    <row r="686" spans="1:4" x14ac:dyDescent="0.3">
      <c r="A686" s="3" t="s">
        <v>551</v>
      </c>
      <c r="B686" s="3" t="s">
        <v>55</v>
      </c>
      <c r="C686" s="3" t="str">
        <f t="shared" si="10"/>
        <v>450014000650</v>
      </c>
      <c r="D686" s="3" t="s">
        <v>716</v>
      </c>
    </row>
    <row r="687" spans="1:4" x14ac:dyDescent="0.3">
      <c r="A687" s="3" t="s">
        <v>537</v>
      </c>
      <c r="B687" s="3" t="s">
        <v>55</v>
      </c>
      <c r="C687" s="3" t="str">
        <f t="shared" si="10"/>
        <v>450013974250</v>
      </c>
      <c r="D687" s="3" t="s">
        <v>722</v>
      </c>
    </row>
    <row r="688" spans="1:4" x14ac:dyDescent="0.3">
      <c r="A688" s="3" t="s">
        <v>537</v>
      </c>
      <c r="B688" s="3" t="s">
        <v>80</v>
      </c>
      <c r="C688" s="3" t="str">
        <f t="shared" si="10"/>
        <v>450013974260</v>
      </c>
      <c r="D688" s="3" t="s">
        <v>722</v>
      </c>
    </row>
    <row r="689" spans="1:4" x14ac:dyDescent="0.3">
      <c r="A689" s="3" t="s">
        <v>537</v>
      </c>
      <c r="B689" s="3" t="s">
        <v>81</v>
      </c>
      <c r="C689" s="3" t="str">
        <f t="shared" si="10"/>
        <v>450013974270</v>
      </c>
      <c r="D689" s="3" t="s">
        <v>722</v>
      </c>
    </row>
    <row r="690" spans="1:4" x14ac:dyDescent="0.3">
      <c r="A690" s="3" t="s">
        <v>504</v>
      </c>
      <c r="B690" s="3" t="s">
        <v>23</v>
      </c>
      <c r="C690" s="3" t="str">
        <f t="shared" si="10"/>
        <v>450013975640</v>
      </c>
      <c r="D690" s="3" t="s">
        <v>722</v>
      </c>
    </row>
    <row r="691" spans="1:4" x14ac:dyDescent="0.3">
      <c r="A691" s="3" t="s">
        <v>556</v>
      </c>
      <c r="B691" s="3" t="s">
        <v>28</v>
      </c>
      <c r="C691" s="3" t="str">
        <f t="shared" si="10"/>
        <v>450013995420</v>
      </c>
      <c r="D691" s="3" t="s">
        <v>716</v>
      </c>
    </row>
    <row r="692" spans="1:4" x14ac:dyDescent="0.3">
      <c r="A692" s="3" t="s">
        <v>551</v>
      </c>
      <c r="B692" s="3" t="s">
        <v>84</v>
      </c>
      <c r="C692" s="3" t="str">
        <f t="shared" si="10"/>
        <v>4500140006100</v>
      </c>
      <c r="D692" s="3" t="s">
        <v>716</v>
      </c>
    </row>
    <row r="693" spans="1:4" x14ac:dyDescent="0.3">
      <c r="A693" s="3" t="s">
        <v>551</v>
      </c>
      <c r="B693" s="3" t="s">
        <v>86</v>
      </c>
      <c r="C693" s="3" t="str">
        <f t="shared" si="10"/>
        <v>4500140006120</v>
      </c>
      <c r="D693" s="3" t="s">
        <v>716</v>
      </c>
    </row>
    <row r="694" spans="1:4" x14ac:dyDescent="0.3">
      <c r="A694" s="3" t="s">
        <v>551</v>
      </c>
      <c r="B694" s="3" t="s">
        <v>65</v>
      </c>
      <c r="C694" s="3" t="str">
        <f t="shared" si="10"/>
        <v>4500140006130</v>
      </c>
      <c r="D694" s="3" t="s">
        <v>716</v>
      </c>
    </row>
    <row r="695" spans="1:4" x14ac:dyDescent="0.3">
      <c r="A695" s="3" t="s">
        <v>551</v>
      </c>
      <c r="B695" s="3" t="s">
        <v>66</v>
      </c>
      <c r="C695" s="3" t="str">
        <f t="shared" si="10"/>
        <v>4500140006140</v>
      </c>
      <c r="D695" s="3" t="s">
        <v>716</v>
      </c>
    </row>
    <row r="696" spans="1:4" x14ac:dyDescent="0.3">
      <c r="A696" s="3" t="s">
        <v>551</v>
      </c>
      <c r="B696" s="3" t="s">
        <v>87</v>
      </c>
      <c r="C696" s="3" t="str">
        <f t="shared" si="10"/>
        <v>4500140006150</v>
      </c>
      <c r="D696" s="3" t="s">
        <v>716</v>
      </c>
    </row>
    <row r="697" spans="1:4" x14ac:dyDescent="0.3">
      <c r="A697" s="3" t="s">
        <v>551</v>
      </c>
      <c r="B697" s="3" t="s">
        <v>67</v>
      </c>
      <c r="C697" s="3" t="str">
        <f t="shared" si="10"/>
        <v>4500140006170</v>
      </c>
      <c r="D697" s="3" t="s">
        <v>716</v>
      </c>
    </row>
    <row r="698" spans="1:4" x14ac:dyDescent="0.3">
      <c r="A698" s="3" t="s">
        <v>551</v>
      </c>
      <c r="B698" s="3" t="s">
        <v>125</v>
      </c>
      <c r="C698" s="3" t="str">
        <f t="shared" si="10"/>
        <v>4500140006180</v>
      </c>
      <c r="D698" s="3" t="s">
        <v>716</v>
      </c>
    </row>
    <row r="699" spans="1:4" x14ac:dyDescent="0.3">
      <c r="A699" s="3" t="s">
        <v>551</v>
      </c>
      <c r="B699" s="3" t="s">
        <v>91</v>
      </c>
      <c r="C699" s="3" t="str">
        <f t="shared" si="10"/>
        <v>4500140006190</v>
      </c>
      <c r="D699" s="3" t="s">
        <v>716</v>
      </c>
    </row>
    <row r="700" spans="1:4" x14ac:dyDescent="0.3">
      <c r="A700" s="3" t="s">
        <v>551</v>
      </c>
      <c r="B700" s="3" t="s">
        <v>92</v>
      </c>
      <c r="C700" s="3" t="str">
        <f t="shared" si="10"/>
        <v>4500140006200</v>
      </c>
      <c r="D700" s="3" t="s">
        <v>716</v>
      </c>
    </row>
    <row r="701" spans="1:4" x14ac:dyDescent="0.3">
      <c r="A701" s="3" t="s">
        <v>551</v>
      </c>
      <c r="B701" s="3" t="s">
        <v>44</v>
      </c>
      <c r="C701" s="3" t="str">
        <f t="shared" si="10"/>
        <v>4500140006220</v>
      </c>
      <c r="D701" s="3" t="s">
        <v>716</v>
      </c>
    </row>
    <row r="702" spans="1:4" x14ac:dyDescent="0.3">
      <c r="A702" s="3" t="s">
        <v>551</v>
      </c>
      <c r="B702" s="3" t="s">
        <v>126</v>
      </c>
      <c r="C702" s="3" t="str">
        <f t="shared" ref="C702:C765" si="11">_xlfn.CONCAT(A702:B702)</f>
        <v>4500140006230</v>
      </c>
      <c r="D702" s="3" t="s">
        <v>716</v>
      </c>
    </row>
    <row r="703" spans="1:4" x14ac:dyDescent="0.3">
      <c r="A703" s="3" t="s">
        <v>551</v>
      </c>
      <c r="B703" s="3" t="s">
        <v>128</v>
      </c>
      <c r="C703" s="3" t="str">
        <f t="shared" si="11"/>
        <v>4500140006250</v>
      </c>
      <c r="D703" s="3" t="s">
        <v>716</v>
      </c>
    </row>
    <row r="704" spans="1:4" x14ac:dyDescent="0.3">
      <c r="A704" s="3" t="s">
        <v>551</v>
      </c>
      <c r="B704" s="3" t="s">
        <v>129</v>
      </c>
      <c r="C704" s="3" t="str">
        <f t="shared" si="11"/>
        <v>4500140006260</v>
      </c>
      <c r="D704" s="3" t="s">
        <v>716</v>
      </c>
    </row>
    <row r="705" spans="1:4" x14ac:dyDescent="0.3">
      <c r="A705" s="3" t="s">
        <v>551</v>
      </c>
      <c r="B705" s="3" t="s">
        <v>130</v>
      </c>
      <c r="C705" s="3" t="str">
        <f t="shared" si="11"/>
        <v>4500140006270</v>
      </c>
      <c r="D705" s="3" t="s">
        <v>716</v>
      </c>
    </row>
    <row r="706" spans="1:4" x14ac:dyDescent="0.3">
      <c r="A706" s="3" t="s">
        <v>551</v>
      </c>
      <c r="B706" s="3" t="s">
        <v>131</v>
      </c>
      <c r="C706" s="3" t="str">
        <f t="shared" si="11"/>
        <v>4500140006280</v>
      </c>
      <c r="D706" s="3" t="s">
        <v>716</v>
      </c>
    </row>
    <row r="707" spans="1:4" x14ac:dyDescent="0.3">
      <c r="A707" s="3" t="s">
        <v>551</v>
      </c>
      <c r="B707" s="3" t="s">
        <v>132</v>
      </c>
      <c r="C707" s="3" t="str">
        <f t="shared" si="11"/>
        <v>4500140006290</v>
      </c>
      <c r="D707" s="3" t="s">
        <v>716</v>
      </c>
    </row>
    <row r="708" spans="1:4" x14ac:dyDescent="0.3">
      <c r="A708" s="3" t="s">
        <v>563</v>
      </c>
      <c r="B708" s="3" t="s">
        <v>32</v>
      </c>
      <c r="C708" s="3" t="str">
        <f t="shared" si="11"/>
        <v>450013967710</v>
      </c>
      <c r="D708" s="3" t="s">
        <v>715</v>
      </c>
    </row>
    <row r="709" spans="1:4" x14ac:dyDescent="0.3">
      <c r="A709" s="3" t="s">
        <v>516</v>
      </c>
      <c r="B709" s="3" t="s">
        <v>32</v>
      </c>
      <c r="C709" s="3" t="str">
        <f t="shared" si="11"/>
        <v>450013988910</v>
      </c>
      <c r="D709" s="3" t="s">
        <v>715</v>
      </c>
    </row>
    <row r="710" spans="1:4" x14ac:dyDescent="0.3">
      <c r="A710" s="3" t="s">
        <v>510</v>
      </c>
      <c r="B710" s="3" t="s">
        <v>83</v>
      </c>
      <c r="C710" s="3" t="str">
        <f t="shared" si="11"/>
        <v>450013979190</v>
      </c>
      <c r="D710" s="3" t="s">
        <v>715</v>
      </c>
    </row>
    <row r="711" spans="1:4" x14ac:dyDescent="0.3">
      <c r="A711" s="3" t="s">
        <v>554</v>
      </c>
      <c r="B711" s="3" t="s">
        <v>32</v>
      </c>
      <c r="C711" s="3" t="str">
        <f t="shared" si="11"/>
        <v>450014001410</v>
      </c>
      <c r="D711" s="3" t="s">
        <v>716</v>
      </c>
    </row>
    <row r="712" spans="1:4" x14ac:dyDescent="0.3">
      <c r="A712" s="3" t="s">
        <v>554</v>
      </c>
      <c r="B712" s="3" t="s">
        <v>28</v>
      </c>
      <c r="C712" s="3" t="str">
        <f t="shared" si="11"/>
        <v>450014001420</v>
      </c>
      <c r="D712" s="3" t="s">
        <v>716</v>
      </c>
    </row>
    <row r="713" spans="1:4" x14ac:dyDescent="0.3">
      <c r="A713" s="3" t="s">
        <v>554</v>
      </c>
      <c r="B713" s="3" t="s">
        <v>54</v>
      </c>
      <c r="C713" s="3" t="str">
        <f t="shared" si="11"/>
        <v>450014001430</v>
      </c>
      <c r="D713" s="3" t="s">
        <v>716</v>
      </c>
    </row>
    <row r="714" spans="1:4" x14ac:dyDescent="0.3">
      <c r="A714" s="3" t="s">
        <v>144</v>
      </c>
      <c r="B714" s="3" t="s">
        <v>32</v>
      </c>
      <c r="C714" s="3" t="str">
        <f t="shared" si="11"/>
        <v>450014009810</v>
      </c>
      <c r="D714" s="3" t="s">
        <v>727</v>
      </c>
    </row>
    <row r="715" spans="1:4" x14ac:dyDescent="0.3">
      <c r="A715" s="3" t="s">
        <v>549</v>
      </c>
      <c r="B715" s="3" t="s">
        <v>32</v>
      </c>
      <c r="C715" s="3" t="str">
        <f t="shared" si="11"/>
        <v>450014012810</v>
      </c>
      <c r="D715" s="3" t="s">
        <v>727</v>
      </c>
    </row>
    <row r="716" spans="1:4" x14ac:dyDescent="0.3">
      <c r="A716" s="3" t="s">
        <v>549</v>
      </c>
      <c r="B716" s="3" t="s">
        <v>28</v>
      </c>
      <c r="C716" s="3" t="str">
        <f t="shared" si="11"/>
        <v>450014012820</v>
      </c>
      <c r="D716" s="3" t="s">
        <v>727</v>
      </c>
    </row>
    <row r="717" spans="1:4" x14ac:dyDescent="0.3">
      <c r="A717" s="3" t="s">
        <v>196</v>
      </c>
      <c r="B717" s="3" t="s">
        <v>32</v>
      </c>
      <c r="C717" s="3" t="str">
        <f t="shared" si="11"/>
        <v>450012442610</v>
      </c>
      <c r="D717" s="3" t="s">
        <v>715</v>
      </c>
    </row>
    <row r="718" spans="1:4" x14ac:dyDescent="0.3">
      <c r="A718" s="3" t="s">
        <v>185</v>
      </c>
      <c r="B718" s="3" t="s">
        <v>32</v>
      </c>
      <c r="C718" s="3" t="str">
        <f t="shared" si="11"/>
        <v>450012529510</v>
      </c>
      <c r="D718" s="3" t="s">
        <v>715</v>
      </c>
    </row>
    <row r="719" spans="1:4" x14ac:dyDescent="0.3">
      <c r="A719" s="3" t="s">
        <v>187</v>
      </c>
      <c r="B719" s="3" t="s">
        <v>32</v>
      </c>
      <c r="C719" s="3" t="str">
        <f t="shared" si="11"/>
        <v>450012544210</v>
      </c>
      <c r="D719" s="3" t="s">
        <v>715</v>
      </c>
    </row>
    <row r="720" spans="1:4" x14ac:dyDescent="0.3">
      <c r="A720" s="3" t="s">
        <v>194</v>
      </c>
      <c r="B720" s="3" t="s">
        <v>32</v>
      </c>
      <c r="C720" s="3" t="str">
        <f t="shared" si="11"/>
        <v>450012617410</v>
      </c>
      <c r="D720" s="3" t="s">
        <v>715</v>
      </c>
    </row>
    <row r="721" spans="1:4" x14ac:dyDescent="0.3">
      <c r="A721" s="3" t="s">
        <v>209</v>
      </c>
      <c r="B721" s="3" t="s">
        <v>54</v>
      </c>
      <c r="C721" s="3" t="str">
        <f t="shared" si="11"/>
        <v>450012974130</v>
      </c>
      <c r="D721" s="3" t="s">
        <v>715</v>
      </c>
    </row>
    <row r="722" spans="1:4" x14ac:dyDescent="0.3">
      <c r="A722" s="3" t="s">
        <v>209</v>
      </c>
      <c r="B722" s="3" t="s">
        <v>28</v>
      </c>
      <c r="C722" s="3" t="str">
        <f t="shared" si="11"/>
        <v>450012974120</v>
      </c>
      <c r="D722" s="3" t="s">
        <v>715</v>
      </c>
    </row>
    <row r="723" spans="1:4" x14ac:dyDescent="0.3">
      <c r="A723" s="3" t="s">
        <v>205</v>
      </c>
      <c r="B723" s="3" t="s">
        <v>32</v>
      </c>
      <c r="C723" s="3" t="str">
        <f t="shared" si="11"/>
        <v>450012974210</v>
      </c>
      <c r="D723" s="3" t="s">
        <v>715</v>
      </c>
    </row>
    <row r="724" spans="1:4" x14ac:dyDescent="0.3">
      <c r="A724" s="3" t="s">
        <v>207</v>
      </c>
      <c r="B724" s="3" t="s">
        <v>28</v>
      </c>
      <c r="C724" s="3" t="str">
        <f t="shared" si="11"/>
        <v>450013030420</v>
      </c>
      <c r="D724" s="3" t="s">
        <v>715</v>
      </c>
    </row>
    <row r="725" spans="1:4" x14ac:dyDescent="0.3">
      <c r="A725" s="3" t="s">
        <v>245</v>
      </c>
      <c r="B725" s="3" t="s">
        <v>32</v>
      </c>
      <c r="C725" s="3" t="str">
        <f t="shared" si="11"/>
        <v>450013242110</v>
      </c>
      <c r="D725" s="3" t="s">
        <v>715</v>
      </c>
    </row>
    <row r="726" spans="1:4" x14ac:dyDescent="0.3">
      <c r="A726" s="3" t="s">
        <v>355</v>
      </c>
      <c r="B726" s="3" t="s">
        <v>32</v>
      </c>
      <c r="C726" s="3" t="str">
        <f t="shared" si="11"/>
        <v>450013801510</v>
      </c>
      <c r="D726" s="3" t="s">
        <v>715</v>
      </c>
    </row>
    <row r="727" spans="1:4" x14ac:dyDescent="0.3">
      <c r="A727" s="3" t="s">
        <v>63</v>
      </c>
      <c r="B727" s="3" t="s">
        <v>32</v>
      </c>
      <c r="C727" s="3" t="str">
        <f t="shared" si="11"/>
        <v>450013630410</v>
      </c>
      <c r="D727" s="3" t="s">
        <v>715</v>
      </c>
    </row>
    <row r="728" spans="1:4" x14ac:dyDescent="0.3">
      <c r="A728" s="3" t="s">
        <v>381</v>
      </c>
      <c r="B728" s="3" t="s">
        <v>32</v>
      </c>
      <c r="C728" s="3" t="str">
        <f t="shared" si="11"/>
        <v>450013624010</v>
      </c>
      <c r="D728" s="3" t="s">
        <v>715</v>
      </c>
    </row>
    <row r="729" spans="1:4" x14ac:dyDescent="0.3">
      <c r="A729" s="3" t="s">
        <v>343</v>
      </c>
      <c r="B729" s="3" t="s">
        <v>91</v>
      </c>
      <c r="C729" s="3" t="str">
        <f t="shared" si="11"/>
        <v>4500136939190</v>
      </c>
      <c r="D729" s="3" t="s">
        <v>712</v>
      </c>
    </row>
    <row r="730" spans="1:4" x14ac:dyDescent="0.3">
      <c r="A730" s="3" t="s">
        <v>343</v>
      </c>
      <c r="B730" s="3" t="s">
        <v>125</v>
      </c>
      <c r="C730" s="3" t="str">
        <f t="shared" si="11"/>
        <v>4500136939180</v>
      </c>
      <c r="D730" s="3" t="s">
        <v>712</v>
      </c>
    </row>
    <row r="731" spans="1:4" x14ac:dyDescent="0.3">
      <c r="A731" s="3" t="s">
        <v>343</v>
      </c>
      <c r="B731" s="3" t="s">
        <v>67</v>
      </c>
      <c r="C731" s="3" t="str">
        <f t="shared" si="11"/>
        <v>4500136939170</v>
      </c>
      <c r="D731" s="3" t="s">
        <v>712</v>
      </c>
    </row>
    <row r="732" spans="1:4" x14ac:dyDescent="0.3">
      <c r="A732" s="3" t="s">
        <v>343</v>
      </c>
      <c r="B732" s="3" t="s">
        <v>88</v>
      </c>
      <c r="C732" s="3" t="str">
        <f t="shared" si="11"/>
        <v>4500136939160</v>
      </c>
      <c r="D732" s="3" t="s">
        <v>712</v>
      </c>
    </row>
    <row r="733" spans="1:4" x14ac:dyDescent="0.3">
      <c r="A733" s="3" t="s">
        <v>343</v>
      </c>
      <c r="B733" s="3" t="s">
        <v>87</v>
      </c>
      <c r="C733" s="3" t="str">
        <f t="shared" si="11"/>
        <v>4500136939150</v>
      </c>
      <c r="D733" s="3" t="s">
        <v>712</v>
      </c>
    </row>
    <row r="734" spans="1:4" x14ac:dyDescent="0.3">
      <c r="A734" s="3" t="s">
        <v>343</v>
      </c>
      <c r="B734" s="3" t="s">
        <v>66</v>
      </c>
      <c r="C734" s="3" t="str">
        <f t="shared" si="11"/>
        <v>4500136939140</v>
      </c>
      <c r="D734" s="3" t="s">
        <v>712</v>
      </c>
    </row>
    <row r="735" spans="1:4" x14ac:dyDescent="0.3">
      <c r="A735" s="3" t="s">
        <v>343</v>
      </c>
      <c r="B735" s="3" t="s">
        <v>65</v>
      </c>
      <c r="C735" s="3" t="str">
        <f t="shared" si="11"/>
        <v>4500136939130</v>
      </c>
      <c r="D735" s="3" t="s">
        <v>712</v>
      </c>
    </row>
    <row r="736" spans="1:4" x14ac:dyDescent="0.3">
      <c r="A736" s="3" t="s">
        <v>343</v>
      </c>
      <c r="B736" s="3" t="s">
        <v>86</v>
      </c>
      <c r="C736" s="3" t="str">
        <f t="shared" si="11"/>
        <v>4500136939120</v>
      </c>
      <c r="D736" s="3" t="s">
        <v>712</v>
      </c>
    </row>
    <row r="737" spans="1:4" x14ac:dyDescent="0.3">
      <c r="A737" s="3" t="s">
        <v>343</v>
      </c>
      <c r="B737" s="3" t="s">
        <v>85</v>
      </c>
      <c r="C737" s="3" t="str">
        <f t="shared" si="11"/>
        <v>4500136939110</v>
      </c>
      <c r="D737" s="3" t="s">
        <v>712</v>
      </c>
    </row>
    <row r="738" spans="1:4" x14ac:dyDescent="0.3">
      <c r="A738" s="3" t="s">
        <v>343</v>
      </c>
      <c r="B738" s="3" t="s">
        <v>84</v>
      </c>
      <c r="C738" s="3" t="str">
        <f t="shared" si="11"/>
        <v>4500136939100</v>
      </c>
      <c r="D738" s="3" t="s">
        <v>712</v>
      </c>
    </row>
    <row r="739" spans="1:4" x14ac:dyDescent="0.3">
      <c r="A739" s="3" t="s">
        <v>343</v>
      </c>
      <c r="B739" s="3" t="s">
        <v>83</v>
      </c>
      <c r="C739" s="3" t="str">
        <f t="shared" si="11"/>
        <v>450013693990</v>
      </c>
      <c r="D739" s="3" t="s">
        <v>712</v>
      </c>
    </row>
    <row r="740" spans="1:4" x14ac:dyDescent="0.3">
      <c r="A740" s="3" t="s">
        <v>343</v>
      </c>
      <c r="B740" s="3" t="s">
        <v>82</v>
      </c>
      <c r="C740" s="3" t="str">
        <f t="shared" si="11"/>
        <v>450013693980</v>
      </c>
      <c r="D740" s="3" t="s">
        <v>712</v>
      </c>
    </row>
    <row r="741" spans="1:4" x14ac:dyDescent="0.3">
      <c r="A741" s="3" t="s">
        <v>343</v>
      </c>
      <c r="B741" s="3" t="s">
        <v>81</v>
      </c>
      <c r="C741" s="3" t="str">
        <f t="shared" si="11"/>
        <v>450013693970</v>
      </c>
      <c r="D741" s="3" t="s">
        <v>712</v>
      </c>
    </row>
    <row r="742" spans="1:4" x14ac:dyDescent="0.3">
      <c r="A742" s="3" t="s">
        <v>343</v>
      </c>
      <c r="B742" s="3" t="s">
        <v>80</v>
      </c>
      <c r="C742" s="3" t="str">
        <f t="shared" si="11"/>
        <v>450013693960</v>
      </c>
      <c r="D742" s="3" t="s">
        <v>712</v>
      </c>
    </row>
    <row r="743" spans="1:4" x14ac:dyDescent="0.3">
      <c r="A743" s="3" t="s">
        <v>343</v>
      </c>
      <c r="B743" s="3" t="s">
        <v>55</v>
      </c>
      <c r="C743" s="3" t="str">
        <f t="shared" si="11"/>
        <v>450013693950</v>
      </c>
      <c r="D743" s="3" t="s">
        <v>712</v>
      </c>
    </row>
    <row r="744" spans="1:4" x14ac:dyDescent="0.3">
      <c r="A744" s="3" t="s">
        <v>478</v>
      </c>
      <c r="B744" s="3" t="s">
        <v>32</v>
      </c>
      <c r="C744" s="3" t="str">
        <f t="shared" si="11"/>
        <v>450013875010</v>
      </c>
      <c r="D744" s="3" t="s">
        <v>715</v>
      </c>
    </row>
    <row r="745" spans="1:4" x14ac:dyDescent="0.3">
      <c r="A745" s="3" t="s">
        <v>434</v>
      </c>
      <c r="B745" s="3" t="s">
        <v>32</v>
      </c>
      <c r="C745" s="3" t="str">
        <f t="shared" si="11"/>
        <v>450013894310</v>
      </c>
      <c r="D745" s="3" t="s">
        <v>715</v>
      </c>
    </row>
    <row r="746" spans="1:4" x14ac:dyDescent="0.3">
      <c r="A746" s="3" t="s">
        <v>565</v>
      </c>
      <c r="B746" s="3" t="s">
        <v>32</v>
      </c>
      <c r="C746" s="3" t="str">
        <f t="shared" si="11"/>
        <v>450013877210</v>
      </c>
      <c r="D746" s="3" t="s">
        <v>715</v>
      </c>
    </row>
    <row r="747" spans="1:4" x14ac:dyDescent="0.3">
      <c r="A747" s="3" t="s">
        <v>543</v>
      </c>
      <c r="B747" s="3" t="s">
        <v>32</v>
      </c>
      <c r="C747" s="3" t="str">
        <f t="shared" si="11"/>
        <v>450014005110</v>
      </c>
      <c r="D747" s="3" t="s">
        <v>708</v>
      </c>
    </row>
    <row r="748" spans="1:4" x14ac:dyDescent="0.3">
      <c r="A748" s="3" t="s">
        <v>436</v>
      </c>
      <c r="B748" s="3" t="s">
        <v>32</v>
      </c>
      <c r="C748" s="3" t="str">
        <f t="shared" si="11"/>
        <v>450013890010</v>
      </c>
      <c r="D748" s="3" t="s">
        <v>715</v>
      </c>
    </row>
    <row r="749" spans="1:4" x14ac:dyDescent="0.3">
      <c r="A749" s="3" t="s">
        <v>442</v>
      </c>
      <c r="B749" s="3" t="s">
        <v>32</v>
      </c>
      <c r="C749" s="3" t="str">
        <f t="shared" si="11"/>
        <v>450013902510</v>
      </c>
      <c r="D749" s="3" t="s">
        <v>715</v>
      </c>
    </row>
    <row r="750" spans="1:4" x14ac:dyDescent="0.3">
      <c r="A750" s="3" t="s">
        <v>110</v>
      </c>
      <c r="B750" s="3" t="s">
        <v>32</v>
      </c>
      <c r="C750" s="3" t="str">
        <f t="shared" si="11"/>
        <v>450013961810</v>
      </c>
      <c r="D750" s="3" t="s">
        <v>715</v>
      </c>
    </row>
    <row r="751" spans="1:4" x14ac:dyDescent="0.3">
      <c r="A751" s="3" t="s">
        <v>113</v>
      </c>
      <c r="B751" s="3" t="s">
        <v>32</v>
      </c>
      <c r="C751" s="3" t="str">
        <f t="shared" si="11"/>
        <v>450013962110</v>
      </c>
      <c r="D751" s="3" t="s">
        <v>715</v>
      </c>
    </row>
    <row r="752" spans="1:4" x14ac:dyDescent="0.3">
      <c r="A752" s="3" t="s">
        <v>533</v>
      </c>
      <c r="B752" s="3" t="s">
        <v>32</v>
      </c>
      <c r="C752" s="3" t="str">
        <f t="shared" si="11"/>
        <v>450014001610</v>
      </c>
      <c r="D752" s="3" t="s">
        <v>715</v>
      </c>
    </row>
    <row r="753" spans="1:4" x14ac:dyDescent="0.3">
      <c r="A753" s="3" t="s">
        <v>343</v>
      </c>
      <c r="B753" s="3" t="s">
        <v>92</v>
      </c>
      <c r="C753" s="3" t="str">
        <f t="shared" si="11"/>
        <v>4500136939200</v>
      </c>
      <c r="D753" s="3" t="s">
        <v>712</v>
      </c>
    </row>
    <row r="754" spans="1:4" x14ac:dyDescent="0.3">
      <c r="A754" s="3" t="s">
        <v>343</v>
      </c>
      <c r="B754" s="3" t="s">
        <v>43</v>
      </c>
      <c r="C754" s="3" t="str">
        <f t="shared" si="11"/>
        <v>4500136939210</v>
      </c>
      <c r="D754" s="3" t="s">
        <v>712</v>
      </c>
    </row>
    <row r="755" spans="1:4" x14ac:dyDescent="0.3">
      <c r="A755" s="3" t="s">
        <v>343</v>
      </c>
      <c r="B755" s="3" t="s">
        <v>44</v>
      </c>
      <c r="C755" s="3" t="str">
        <f t="shared" si="11"/>
        <v>4500136939220</v>
      </c>
      <c r="D755" s="3" t="s">
        <v>712</v>
      </c>
    </row>
    <row r="756" spans="1:4" x14ac:dyDescent="0.3">
      <c r="A756" s="3" t="s">
        <v>343</v>
      </c>
      <c r="B756" s="3" t="s">
        <v>126</v>
      </c>
      <c r="C756" s="3" t="str">
        <f t="shared" si="11"/>
        <v>4500136939230</v>
      </c>
      <c r="D756" s="3" t="s">
        <v>712</v>
      </c>
    </row>
    <row r="757" spans="1:4" x14ac:dyDescent="0.3">
      <c r="A757" s="3" t="s">
        <v>343</v>
      </c>
      <c r="B757" s="3" t="s">
        <v>127</v>
      </c>
      <c r="C757" s="3" t="str">
        <f t="shared" si="11"/>
        <v>4500136939240</v>
      </c>
      <c r="D757" s="3" t="s">
        <v>712</v>
      </c>
    </row>
    <row r="758" spans="1:4" x14ac:dyDescent="0.3">
      <c r="A758" s="3" t="s">
        <v>343</v>
      </c>
      <c r="B758" s="3" t="s">
        <v>128</v>
      </c>
      <c r="C758" s="3" t="str">
        <f t="shared" si="11"/>
        <v>4500136939250</v>
      </c>
      <c r="D758" s="3" t="s">
        <v>712</v>
      </c>
    </row>
    <row r="759" spans="1:4" x14ac:dyDescent="0.3">
      <c r="A759" s="3" t="s">
        <v>343</v>
      </c>
      <c r="B759" s="3" t="s">
        <v>129</v>
      </c>
      <c r="C759" s="3" t="str">
        <f t="shared" si="11"/>
        <v>4500136939260</v>
      </c>
      <c r="D759" s="3" t="s">
        <v>712</v>
      </c>
    </row>
    <row r="760" spans="1:4" x14ac:dyDescent="0.3">
      <c r="A760" s="3" t="s">
        <v>343</v>
      </c>
      <c r="B760" s="3" t="s">
        <v>130</v>
      </c>
      <c r="C760" s="3" t="str">
        <f t="shared" si="11"/>
        <v>4500136939270</v>
      </c>
      <c r="D760" s="3" t="s">
        <v>712</v>
      </c>
    </row>
    <row r="761" spans="1:4" x14ac:dyDescent="0.3">
      <c r="A761" s="3" t="s">
        <v>343</v>
      </c>
      <c r="B761" s="3" t="s">
        <v>131</v>
      </c>
      <c r="C761" s="3" t="str">
        <f t="shared" si="11"/>
        <v>4500136939280</v>
      </c>
      <c r="D761" s="3" t="s">
        <v>712</v>
      </c>
    </row>
    <row r="762" spans="1:4" x14ac:dyDescent="0.3">
      <c r="A762" s="3" t="s">
        <v>343</v>
      </c>
      <c r="B762" s="3" t="s">
        <v>132</v>
      </c>
      <c r="C762" s="3" t="str">
        <f t="shared" si="11"/>
        <v>4500136939290</v>
      </c>
      <c r="D762" s="3" t="s">
        <v>712</v>
      </c>
    </row>
    <row r="763" spans="1:4" x14ac:dyDescent="0.3">
      <c r="A763" s="3" t="s">
        <v>343</v>
      </c>
      <c r="B763" s="3" t="s">
        <v>133</v>
      </c>
      <c r="C763" s="3" t="str">
        <f t="shared" si="11"/>
        <v>4500136939300</v>
      </c>
      <c r="D763" s="3" t="s">
        <v>712</v>
      </c>
    </row>
    <row r="764" spans="1:4" x14ac:dyDescent="0.3">
      <c r="A764" s="3" t="s">
        <v>343</v>
      </c>
      <c r="B764" s="3" t="s">
        <v>134</v>
      </c>
      <c r="C764" s="3" t="str">
        <f t="shared" si="11"/>
        <v>4500136939310</v>
      </c>
      <c r="D764" s="3" t="s">
        <v>712</v>
      </c>
    </row>
    <row r="765" spans="1:4" x14ac:dyDescent="0.3">
      <c r="A765" s="3" t="s">
        <v>343</v>
      </c>
      <c r="B765" s="3" t="s">
        <v>135</v>
      </c>
      <c r="C765" s="3" t="str">
        <f t="shared" si="11"/>
        <v>4500136939320</v>
      </c>
      <c r="D765" s="3" t="s">
        <v>712</v>
      </c>
    </row>
    <row r="766" spans="1:4" x14ac:dyDescent="0.3">
      <c r="A766" s="3" t="s">
        <v>343</v>
      </c>
      <c r="B766" s="3" t="s">
        <v>430</v>
      </c>
      <c r="C766" s="3" t="str">
        <f t="shared" ref="C766:C827" si="12">_xlfn.CONCAT(A766:B766)</f>
        <v>4500136939330</v>
      </c>
      <c r="D766" s="3" t="s">
        <v>712</v>
      </c>
    </row>
    <row r="767" spans="1:4" x14ac:dyDescent="0.3">
      <c r="A767" s="3" t="s">
        <v>343</v>
      </c>
      <c r="B767" s="3" t="s">
        <v>579</v>
      </c>
      <c r="C767" s="3" t="str">
        <f t="shared" si="12"/>
        <v>4500136939340</v>
      </c>
      <c r="D767" s="3" t="s">
        <v>712</v>
      </c>
    </row>
    <row r="768" spans="1:4" x14ac:dyDescent="0.3">
      <c r="A768" s="3" t="s">
        <v>833</v>
      </c>
      <c r="B768" s="3" t="s">
        <v>32</v>
      </c>
      <c r="C768" s="3" t="str">
        <f t="shared" si="12"/>
        <v>450012703010</v>
      </c>
      <c r="D768" s="3" t="s">
        <v>707</v>
      </c>
    </row>
    <row r="769" spans="1:11" x14ac:dyDescent="0.3">
      <c r="A769" s="3" t="s">
        <v>833</v>
      </c>
      <c r="B769" s="3" t="s">
        <v>28</v>
      </c>
      <c r="C769" s="3" t="str">
        <f t="shared" si="12"/>
        <v>450012703020</v>
      </c>
      <c r="D769" s="3" t="s">
        <v>707</v>
      </c>
    </row>
    <row r="770" spans="1:11" x14ac:dyDescent="0.3">
      <c r="A770" s="3" t="s">
        <v>833</v>
      </c>
      <c r="B770" s="3" t="s">
        <v>54</v>
      </c>
      <c r="C770" s="3" t="str">
        <f t="shared" si="12"/>
        <v>450012703030</v>
      </c>
      <c r="D770" s="3" t="s">
        <v>707</v>
      </c>
    </row>
    <row r="771" spans="1:11" x14ac:dyDescent="0.3">
      <c r="A771" s="3" t="s">
        <v>795</v>
      </c>
      <c r="B771" s="3" t="s">
        <v>32</v>
      </c>
      <c r="C771" s="3" t="str">
        <f t="shared" si="12"/>
        <v>450012916210</v>
      </c>
      <c r="D771" s="3" t="s">
        <v>711</v>
      </c>
    </row>
    <row r="772" spans="1:11" x14ac:dyDescent="0.3">
      <c r="A772" s="3" t="s">
        <v>810</v>
      </c>
      <c r="B772" s="3" t="s">
        <v>65</v>
      </c>
      <c r="C772" s="3" t="str">
        <f t="shared" si="12"/>
        <v>4500134947130</v>
      </c>
      <c r="D772" s="3" t="s">
        <v>706</v>
      </c>
      <c r="G772" s="3"/>
      <c r="H772" s="3"/>
      <c r="I772" s="3"/>
      <c r="J772" s="8"/>
      <c r="K772" s="3"/>
    </row>
    <row r="773" spans="1:11" x14ac:dyDescent="0.3">
      <c r="A773" s="3" t="s">
        <v>810</v>
      </c>
      <c r="B773" s="3" t="s">
        <v>81</v>
      </c>
      <c r="C773" s="3" t="str">
        <f t="shared" si="12"/>
        <v>450013494770</v>
      </c>
      <c r="D773" s="3" t="s">
        <v>706</v>
      </c>
      <c r="G773" s="3"/>
      <c r="H773" s="3"/>
      <c r="I773" s="3"/>
      <c r="J773" s="8"/>
      <c r="K773" s="3"/>
    </row>
    <row r="774" spans="1:11" x14ac:dyDescent="0.3">
      <c r="A774" s="3" t="s">
        <v>810</v>
      </c>
      <c r="B774" s="3" t="s">
        <v>82</v>
      </c>
      <c r="C774" s="3" t="str">
        <f t="shared" si="12"/>
        <v>450013494780</v>
      </c>
      <c r="D774" s="3" t="s">
        <v>706</v>
      </c>
      <c r="G774" s="3"/>
      <c r="H774" s="3"/>
      <c r="I774" s="3"/>
      <c r="J774" s="8"/>
      <c r="K774" s="3"/>
    </row>
    <row r="775" spans="1:11" x14ac:dyDescent="0.3">
      <c r="A775" s="3" t="s">
        <v>730</v>
      </c>
      <c r="B775" s="3" t="s">
        <v>66</v>
      </c>
      <c r="C775" s="3" t="str">
        <f t="shared" si="12"/>
        <v>4500136112140</v>
      </c>
      <c r="D775" s="3" t="s">
        <v>705</v>
      </c>
      <c r="G775" s="3"/>
      <c r="H775" s="3"/>
      <c r="I775" s="3"/>
      <c r="J775" s="8"/>
      <c r="K775" s="3"/>
    </row>
    <row r="776" spans="1:11" x14ac:dyDescent="0.3">
      <c r="A776" s="3" t="s">
        <v>730</v>
      </c>
      <c r="B776" s="3" t="s">
        <v>87</v>
      </c>
      <c r="C776" s="3" t="str">
        <f t="shared" si="12"/>
        <v>4500136112150</v>
      </c>
      <c r="D776" s="3" t="s">
        <v>705</v>
      </c>
      <c r="G776" s="3"/>
      <c r="H776" s="3"/>
      <c r="I776" s="3"/>
      <c r="J776" s="8"/>
      <c r="K776" s="3"/>
    </row>
    <row r="777" spans="1:11" x14ac:dyDescent="0.3">
      <c r="A777" s="3" t="s">
        <v>779</v>
      </c>
      <c r="B777" s="3" t="s">
        <v>32</v>
      </c>
      <c r="C777" s="3" t="str">
        <f t="shared" si="12"/>
        <v>450013882810</v>
      </c>
      <c r="D777" s="3" t="s">
        <v>706</v>
      </c>
      <c r="G777" s="3"/>
      <c r="H777" s="3"/>
      <c r="I777" s="3"/>
      <c r="J777" s="8"/>
      <c r="K777" s="3"/>
    </row>
    <row r="778" spans="1:11" x14ac:dyDescent="0.3">
      <c r="A778" s="3" t="s">
        <v>827</v>
      </c>
      <c r="B778" s="3" t="s">
        <v>23</v>
      </c>
      <c r="C778" s="3" t="str">
        <f t="shared" si="12"/>
        <v>450014007240</v>
      </c>
      <c r="D778" s="3" t="s">
        <v>706</v>
      </c>
      <c r="G778" s="3"/>
      <c r="H778" s="3"/>
      <c r="I778" s="3"/>
      <c r="J778" s="8"/>
      <c r="K778" s="3"/>
    </row>
    <row r="779" spans="1:11" x14ac:dyDescent="0.3">
      <c r="A779" s="3" t="s">
        <v>768</v>
      </c>
      <c r="B779" s="3" t="s">
        <v>32</v>
      </c>
      <c r="C779" s="3" t="str">
        <f t="shared" si="12"/>
        <v>450013701510</v>
      </c>
      <c r="D779" s="3" t="s">
        <v>706</v>
      </c>
      <c r="G779" s="3"/>
      <c r="H779" s="3"/>
      <c r="I779" s="3"/>
      <c r="J779" s="8"/>
      <c r="K779" s="3"/>
    </row>
    <row r="780" spans="1:11" x14ac:dyDescent="0.3">
      <c r="A780" s="3" t="s">
        <v>768</v>
      </c>
      <c r="B780" s="3" t="s">
        <v>28</v>
      </c>
      <c r="C780" s="3" t="str">
        <f t="shared" si="12"/>
        <v>450013701520</v>
      </c>
      <c r="D780" s="3" t="s">
        <v>706</v>
      </c>
      <c r="G780" s="3"/>
      <c r="H780" s="3"/>
      <c r="I780" s="3"/>
      <c r="J780" s="8"/>
      <c r="K780" s="3"/>
    </row>
    <row r="781" spans="1:11" x14ac:dyDescent="0.3">
      <c r="A781" s="3" t="s">
        <v>768</v>
      </c>
      <c r="B781" s="3" t="s">
        <v>54</v>
      </c>
      <c r="C781" s="3" t="str">
        <f t="shared" si="12"/>
        <v>450013701530</v>
      </c>
      <c r="D781" s="3" t="s">
        <v>706</v>
      </c>
      <c r="G781" s="3"/>
      <c r="H781" s="3"/>
      <c r="I781" s="3"/>
      <c r="J781" s="8"/>
      <c r="K781" s="3"/>
    </row>
    <row r="782" spans="1:11" x14ac:dyDescent="0.3">
      <c r="A782" s="3" t="s">
        <v>779</v>
      </c>
      <c r="B782" s="3" t="s">
        <v>28</v>
      </c>
      <c r="C782" s="3" t="str">
        <f t="shared" si="12"/>
        <v>450013882820</v>
      </c>
      <c r="D782" s="3" t="s">
        <v>706</v>
      </c>
      <c r="G782" s="3"/>
      <c r="H782" s="3"/>
      <c r="I782" s="3"/>
      <c r="J782" s="8"/>
      <c r="K782" s="3"/>
    </row>
    <row r="783" spans="1:11" x14ac:dyDescent="0.3">
      <c r="A783" s="3" t="s">
        <v>750</v>
      </c>
      <c r="B783" s="3" t="s">
        <v>32</v>
      </c>
      <c r="C783" s="3" t="str">
        <f t="shared" si="12"/>
        <v>450013910910</v>
      </c>
      <c r="D783" s="3" t="s">
        <v>716</v>
      </c>
      <c r="G783" s="3"/>
      <c r="H783" s="3"/>
      <c r="I783" s="3"/>
      <c r="J783" s="8"/>
      <c r="K783" s="3"/>
    </row>
    <row r="784" spans="1:11" x14ac:dyDescent="0.3">
      <c r="A784" s="3" t="s">
        <v>827</v>
      </c>
      <c r="B784" s="3" t="s">
        <v>32</v>
      </c>
      <c r="C784" s="3" t="str">
        <f t="shared" si="12"/>
        <v>450014007210</v>
      </c>
      <c r="D784" s="3" t="s">
        <v>706</v>
      </c>
      <c r="G784" s="3"/>
      <c r="H784" s="3"/>
      <c r="I784" s="3"/>
      <c r="J784" s="8"/>
      <c r="K784" s="3"/>
    </row>
    <row r="785" spans="1:11" x14ac:dyDescent="0.3">
      <c r="A785" s="3" t="s">
        <v>827</v>
      </c>
      <c r="B785" s="3" t="s">
        <v>28</v>
      </c>
      <c r="C785" s="3" t="str">
        <f t="shared" si="12"/>
        <v>450014007220</v>
      </c>
      <c r="D785" s="3" t="s">
        <v>706</v>
      </c>
      <c r="G785" s="3"/>
      <c r="H785" s="3"/>
      <c r="I785" s="3"/>
      <c r="J785" s="8"/>
      <c r="K785" s="3"/>
    </row>
    <row r="786" spans="1:11" x14ac:dyDescent="0.3">
      <c r="A786" s="3" t="s">
        <v>772</v>
      </c>
      <c r="B786" s="3" t="s">
        <v>32</v>
      </c>
      <c r="C786" s="3" t="str">
        <f t="shared" si="12"/>
        <v>450013857010</v>
      </c>
      <c r="D786" s="3" t="s">
        <v>846</v>
      </c>
      <c r="G786" s="3"/>
      <c r="H786" s="3"/>
      <c r="I786" s="3"/>
      <c r="J786" s="8"/>
      <c r="K786" s="3"/>
    </row>
    <row r="787" spans="1:11" x14ac:dyDescent="0.3">
      <c r="A787" s="3" t="s">
        <v>772</v>
      </c>
      <c r="B787" s="3" t="s">
        <v>28</v>
      </c>
      <c r="C787" s="3" t="str">
        <f t="shared" si="12"/>
        <v>450013857020</v>
      </c>
      <c r="D787" s="3" t="s">
        <v>846</v>
      </c>
      <c r="G787" s="3"/>
      <c r="H787" s="3"/>
      <c r="I787" s="3"/>
      <c r="J787" s="8"/>
      <c r="K787" s="3"/>
    </row>
    <row r="788" spans="1:11" x14ac:dyDescent="0.3">
      <c r="A788" s="3" t="s">
        <v>772</v>
      </c>
      <c r="B788" s="3" t="s">
        <v>54</v>
      </c>
      <c r="C788" s="3" t="str">
        <f t="shared" si="12"/>
        <v>450013857030</v>
      </c>
      <c r="D788" s="3" t="s">
        <v>846</v>
      </c>
      <c r="G788" s="3"/>
      <c r="H788" s="3"/>
      <c r="I788" s="3"/>
      <c r="J788" s="8"/>
      <c r="K788" s="3"/>
    </row>
    <row r="789" spans="1:11" x14ac:dyDescent="0.3">
      <c r="A789" s="3" t="s">
        <v>772</v>
      </c>
      <c r="B789" s="3" t="s">
        <v>23</v>
      </c>
      <c r="C789" s="3" t="str">
        <f t="shared" si="12"/>
        <v>450013857040</v>
      </c>
      <c r="D789" s="3" t="s">
        <v>846</v>
      </c>
      <c r="G789" s="3"/>
      <c r="H789" s="3"/>
      <c r="I789" s="3"/>
      <c r="J789" s="8"/>
      <c r="K789" s="3"/>
    </row>
    <row r="790" spans="1:11" x14ac:dyDescent="0.3">
      <c r="A790" s="3" t="s">
        <v>772</v>
      </c>
      <c r="B790" s="3" t="s">
        <v>55</v>
      </c>
      <c r="C790" s="3" t="str">
        <f t="shared" si="12"/>
        <v>450013857050</v>
      </c>
      <c r="D790" s="3" t="s">
        <v>846</v>
      </c>
      <c r="G790" s="3"/>
      <c r="H790" s="3"/>
      <c r="I790" s="3"/>
      <c r="J790" s="8"/>
      <c r="K790" s="3"/>
    </row>
    <row r="791" spans="1:11" x14ac:dyDescent="0.3">
      <c r="A791" s="3" t="s">
        <v>772</v>
      </c>
      <c r="B791" s="3" t="s">
        <v>80</v>
      </c>
      <c r="C791" s="3" t="str">
        <f t="shared" si="12"/>
        <v>450013857060</v>
      </c>
      <c r="D791" s="3" t="s">
        <v>846</v>
      </c>
      <c r="G791" s="3"/>
      <c r="H791" s="3"/>
      <c r="I791" s="3"/>
      <c r="J791" s="8"/>
      <c r="K791" s="3"/>
    </row>
    <row r="792" spans="1:11" x14ac:dyDescent="0.3">
      <c r="A792" s="3" t="s">
        <v>772</v>
      </c>
      <c r="B792" s="3" t="s">
        <v>81</v>
      </c>
      <c r="C792" s="3" t="str">
        <f t="shared" si="12"/>
        <v>450013857070</v>
      </c>
      <c r="D792" s="3" t="s">
        <v>846</v>
      </c>
      <c r="G792" s="3"/>
      <c r="H792" s="3"/>
      <c r="I792" s="3"/>
      <c r="J792" s="8"/>
      <c r="K792" s="3"/>
    </row>
    <row r="793" spans="1:11" x14ac:dyDescent="0.3">
      <c r="A793" s="3" t="s">
        <v>808</v>
      </c>
      <c r="B793" s="3" t="s">
        <v>32</v>
      </c>
      <c r="C793" s="3" t="str">
        <f t="shared" si="12"/>
        <v>450013976810</v>
      </c>
      <c r="D793" s="3" t="s">
        <v>706</v>
      </c>
      <c r="G793" s="3"/>
      <c r="H793" s="3"/>
      <c r="I793" s="3"/>
      <c r="J793" s="8"/>
      <c r="K793" s="3"/>
    </row>
    <row r="794" spans="1:11" x14ac:dyDescent="0.3">
      <c r="A794" s="3" t="s">
        <v>779</v>
      </c>
      <c r="B794" s="3" t="s">
        <v>55</v>
      </c>
      <c r="C794" s="3" t="str">
        <f t="shared" si="12"/>
        <v>450013882850</v>
      </c>
      <c r="D794" s="3" t="s">
        <v>706</v>
      </c>
      <c r="G794" s="3"/>
      <c r="H794" s="3"/>
      <c r="I794" s="3"/>
      <c r="J794" s="8"/>
      <c r="K794" s="3"/>
    </row>
    <row r="795" spans="1:11" x14ac:dyDescent="0.3">
      <c r="A795" s="3" t="s">
        <v>779</v>
      </c>
      <c r="B795" s="3" t="s">
        <v>80</v>
      </c>
      <c r="C795" s="3" t="str">
        <f t="shared" si="12"/>
        <v>450013882860</v>
      </c>
      <c r="D795" s="3" t="s">
        <v>706</v>
      </c>
      <c r="G795" s="3"/>
      <c r="H795" s="3"/>
      <c r="I795" s="3"/>
      <c r="J795" s="8"/>
      <c r="K795" s="3"/>
    </row>
    <row r="796" spans="1:11" x14ac:dyDescent="0.3">
      <c r="A796" s="3" t="s">
        <v>748</v>
      </c>
      <c r="B796" s="3" t="s">
        <v>28</v>
      </c>
      <c r="C796" s="3" t="str">
        <f t="shared" si="12"/>
        <v>450013910220</v>
      </c>
      <c r="D796" s="3" t="s">
        <v>716</v>
      </c>
      <c r="G796" s="3"/>
      <c r="H796" s="3"/>
      <c r="I796" s="3"/>
      <c r="J796" s="8"/>
      <c r="K796" s="3"/>
    </row>
    <row r="797" spans="1:11" x14ac:dyDescent="0.3">
      <c r="A797" s="3" t="s">
        <v>748</v>
      </c>
      <c r="B797" s="3" t="s">
        <v>54</v>
      </c>
      <c r="C797" s="3" t="str">
        <f t="shared" si="12"/>
        <v>450013910230</v>
      </c>
      <c r="D797" s="3" t="s">
        <v>716</v>
      </c>
      <c r="G797" s="3"/>
      <c r="H797" s="3"/>
      <c r="I797" s="3"/>
      <c r="J797" s="8"/>
      <c r="K797" s="3"/>
    </row>
    <row r="798" spans="1:11" x14ac:dyDescent="0.3">
      <c r="A798" s="3" t="s">
        <v>748</v>
      </c>
      <c r="B798" s="3" t="s">
        <v>23</v>
      </c>
      <c r="C798" s="3" t="str">
        <f t="shared" si="12"/>
        <v>450013910240</v>
      </c>
      <c r="D798" s="3" t="s">
        <v>716</v>
      </c>
      <c r="G798" s="3"/>
      <c r="H798" s="3"/>
      <c r="I798" s="3"/>
      <c r="J798" s="8"/>
      <c r="K798" s="3"/>
    </row>
    <row r="799" spans="1:11" x14ac:dyDescent="0.3">
      <c r="A799" s="3" t="s">
        <v>748</v>
      </c>
      <c r="B799" s="3" t="s">
        <v>55</v>
      </c>
      <c r="C799" s="3" t="str">
        <f t="shared" si="12"/>
        <v>450013910250</v>
      </c>
      <c r="D799" s="3" t="s">
        <v>716</v>
      </c>
      <c r="G799" s="3"/>
      <c r="H799" s="3"/>
      <c r="I799" s="3"/>
      <c r="J799" s="8"/>
      <c r="K799" s="3"/>
    </row>
    <row r="800" spans="1:11" x14ac:dyDescent="0.3">
      <c r="A800" s="3" t="s">
        <v>748</v>
      </c>
      <c r="B800" s="3" t="s">
        <v>80</v>
      </c>
      <c r="C800" s="3" t="str">
        <f t="shared" si="12"/>
        <v>450013910260</v>
      </c>
      <c r="D800" s="3" t="s">
        <v>716</v>
      </c>
      <c r="G800" s="3"/>
      <c r="H800" s="3"/>
      <c r="I800" s="3"/>
      <c r="J800" s="8"/>
      <c r="K800" s="3"/>
    </row>
    <row r="801" spans="1:11" x14ac:dyDescent="0.3">
      <c r="A801" s="3" t="s">
        <v>748</v>
      </c>
      <c r="B801" s="3" t="s">
        <v>81</v>
      </c>
      <c r="C801" s="3" t="str">
        <f t="shared" si="12"/>
        <v>450013910270</v>
      </c>
      <c r="D801" s="3" t="s">
        <v>716</v>
      </c>
      <c r="G801" s="3"/>
      <c r="H801" s="3"/>
      <c r="I801" s="3"/>
      <c r="J801" s="8"/>
      <c r="K801" s="3"/>
    </row>
    <row r="802" spans="1:11" x14ac:dyDescent="0.3">
      <c r="A802" s="3" t="s">
        <v>748</v>
      </c>
      <c r="B802" s="3" t="s">
        <v>82</v>
      </c>
      <c r="C802" s="3" t="str">
        <f t="shared" si="12"/>
        <v>450013910280</v>
      </c>
      <c r="D802" s="3" t="s">
        <v>716</v>
      </c>
      <c r="G802" s="3"/>
      <c r="H802" s="3"/>
      <c r="I802" s="3"/>
      <c r="J802" s="8"/>
      <c r="K802" s="3"/>
    </row>
    <row r="803" spans="1:11" x14ac:dyDescent="0.3">
      <c r="A803" s="3" t="s">
        <v>748</v>
      </c>
      <c r="B803" s="3" t="s">
        <v>83</v>
      </c>
      <c r="C803" s="3" t="str">
        <f t="shared" si="12"/>
        <v>450013910290</v>
      </c>
      <c r="D803" s="3" t="s">
        <v>716</v>
      </c>
      <c r="G803" s="3"/>
      <c r="H803" s="3"/>
      <c r="I803" s="3"/>
      <c r="J803" s="8"/>
      <c r="K803" s="3"/>
    </row>
    <row r="804" spans="1:11" x14ac:dyDescent="0.3">
      <c r="A804" s="3" t="s">
        <v>748</v>
      </c>
      <c r="B804" s="3" t="s">
        <v>84</v>
      </c>
      <c r="C804" s="3" t="str">
        <f t="shared" si="12"/>
        <v>4500139102100</v>
      </c>
      <c r="D804" s="3" t="s">
        <v>716</v>
      </c>
      <c r="G804" s="3"/>
      <c r="H804" s="3"/>
      <c r="I804" s="3"/>
      <c r="J804" s="8"/>
      <c r="K804" s="3"/>
    </row>
    <row r="805" spans="1:11" x14ac:dyDescent="0.3">
      <c r="A805" s="3" t="s">
        <v>748</v>
      </c>
      <c r="B805" s="3" t="s">
        <v>85</v>
      </c>
      <c r="C805" s="3" t="str">
        <f t="shared" si="12"/>
        <v>4500139102110</v>
      </c>
      <c r="D805" s="3" t="s">
        <v>716</v>
      </c>
      <c r="G805" s="3"/>
      <c r="H805" s="3"/>
      <c r="I805" s="3"/>
      <c r="J805" s="8"/>
      <c r="K805" s="3"/>
    </row>
    <row r="806" spans="1:11" x14ac:dyDescent="0.3">
      <c r="A806" s="3" t="s">
        <v>748</v>
      </c>
      <c r="B806" s="3" t="s">
        <v>86</v>
      </c>
      <c r="C806" s="3" t="str">
        <f t="shared" si="12"/>
        <v>4500139102120</v>
      </c>
      <c r="D806" s="3" t="s">
        <v>716</v>
      </c>
      <c r="G806" s="3"/>
      <c r="H806" s="3"/>
      <c r="I806" s="3"/>
      <c r="J806" s="8"/>
      <c r="K806" s="3"/>
    </row>
    <row r="807" spans="1:11" x14ac:dyDescent="0.3">
      <c r="A807" s="3" t="s">
        <v>748</v>
      </c>
      <c r="B807" s="3" t="s">
        <v>65</v>
      </c>
      <c r="C807" s="3" t="str">
        <f t="shared" si="12"/>
        <v>4500139102130</v>
      </c>
      <c r="D807" s="3" t="s">
        <v>716</v>
      </c>
      <c r="G807" s="3"/>
      <c r="H807" s="3"/>
      <c r="I807" s="3"/>
      <c r="J807" s="8"/>
      <c r="K807" s="3"/>
    </row>
    <row r="808" spans="1:11" x14ac:dyDescent="0.3">
      <c r="A808" s="3" t="s">
        <v>748</v>
      </c>
      <c r="B808" s="3" t="s">
        <v>66</v>
      </c>
      <c r="C808" s="3" t="str">
        <f t="shared" si="12"/>
        <v>4500139102140</v>
      </c>
      <c r="D808" s="3" t="s">
        <v>716</v>
      </c>
      <c r="G808" s="3"/>
      <c r="H808" s="3"/>
      <c r="I808" s="3"/>
      <c r="J808" s="8"/>
      <c r="K808" s="3"/>
    </row>
    <row r="809" spans="1:11" x14ac:dyDescent="0.3">
      <c r="A809" s="3" t="s">
        <v>798</v>
      </c>
      <c r="B809" s="3" t="s">
        <v>28</v>
      </c>
      <c r="C809" s="3" t="str">
        <f t="shared" si="12"/>
        <v>450013912420</v>
      </c>
      <c r="D809" s="3" t="s">
        <v>715</v>
      </c>
      <c r="G809" s="3"/>
      <c r="H809" s="3"/>
      <c r="I809" s="3"/>
      <c r="J809" s="8"/>
      <c r="K809" s="3"/>
    </row>
    <row r="810" spans="1:11" x14ac:dyDescent="0.3">
      <c r="A810" s="3" t="s">
        <v>756</v>
      </c>
      <c r="B810" s="3" t="s">
        <v>32</v>
      </c>
      <c r="C810" s="3" t="str">
        <f t="shared" si="12"/>
        <v>450013958210</v>
      </c>
      <c r="D810" s="3" t="s">
        <v>716</v>
      </c>
      <c r="G810" s="3"/>
      <c r="H810" s="3"/>
      <c r="I810" s="3"/>
      <c r="J810" s="8"/>
      <c r="K810" s="3"/>
    </row>
    <row r="811" spans="1:11" x14ac:dyDescent="0.3">
      <c r="A811" s="3" t="s">
        <v>798</v>
      </c>
      <c r="B811" s="3" t="s">
        <v>54</v>
      </c>
      <c r="C811" s="3" t="str">
        <f t="shared" si="12"/>
        <v>450013912430</v>
      </c>
      <c r="D811" s="3" t="s">
        <v>715</v>
      </c>
      <c r="G811" s="3"/>
      <c r="H811" s="3"/>
      <c r="I811" s="3"/>
      <c r="J811" s="8"/>
      <c r="K811" s="3"/>
    </row>
    <row r="812" spans="1:11" x14ac:dyDescent="0.3">
      <c r="A812" s="3" t="s">
        <v>798</v>
      </c>
      <c r="B812" s="3" t="s">
        <v>23</v>
      </c>
      <c r="C812" s="3" t="str">
        <f t="shared" si="12"/>
        <v>450013912440</v>
      </c>
      <c r="D812" s="3" t="s">
        <v>715</v>
      </c>
      <c r="G812" s="3"/>
      <c r="H812" s="3"/>
      <c r="I812" s="3"/>
      <c r="J812" s="8"/>
      <c r="K812" s="3"/>
    </row>
    <row r="813" spans="1:11" x14ac:dyDescent="0.3">
      <c r="A813" s="3" t="s">
        <v>801</v>
      </c>
      <c r="B813" s="3" t="s">
        <v>32</v>
      </c>
      <c r="C813" s="3" t="str">
        <f t="shared" si="12"/>
        <v>450013902910</v>
      </c>
      <c r="D813" s="3" t="s">
        <v>722</v>
      </c>
      <c r="G813" s="3"/>
      <c r="H813" s="3"/>
      <c r="I813" s="3"/>
      <c r="J813" s="8"/>
      <c r="K813" s="3"/>
    </row>
    <row r="814" spans="1:11" x14ac:dyDescent="0.3">
      <c r="A814" s="3" t="s">
        <v>801</v>
      </c>
      <c r="B814" s="3" t="s">
        <v>28</v>
      </c>
      <c r="C814" s="3" t="str">
        <f t="shared" si="12"/>
        <v>450013902920</v>
      </c>
      <c r="D814" s="3" t="s">
        <v>722</v>
      </c>
      <c r="G814" s="3"/>
      <c r="H814" s="3"/>
      <c r="I814" s="3"/>
      <c r="J814" s="8"/>
      <c r="K814" s="3"/>
    </row>
    <row r="815" spans="1:11" x14ac:dyDescent="0.3">
      <c r="A815" s="3" t="s">
        <v>746</v>
      </c>
      <c r="B815" s="3" t="s">
        <v>32</v>
      </c>
      <c r="C815" s="3" t="str">
        <f t="shared" si="12"/>
        <v>450013940610</v>
      </c>
      <c r="D815" s="3" t="s">
        <v>715</v>
      </c>
      <c r="G815" s="3"/>
      <c r="H815" s="3"/>
      <c r="I815" s="3"/>
      <c r="J815" s="8"/>
      <c r="K815" s="3"/>
    </row>
    <row r="816" spans="1:11" x14ac:dyDescent="0.3">
      <c r="A816" s="3" t="s">
        <v>746</v>
      </c>
      <c r="B816" s="3" t="s">
        <v>28</v>
      </c>
      <c r="C816" s="3" t="str">
        <f t="shared" si="12"/>
        <v>450013940620</v>
      </c>
      <c r="D816" s="3" t="s">
        <v>715</v>
      </c>
      <c r="G816" s="3"/>
      <c r="H816" s="3"/>
      <c r="I816" s="3"/>
      <c r="J816" s="8"/>
      <c r="K816" s="3"/>
    </row>
    <row r="817" spans="1:11" x14ac:dyDescent="0.3">
      <c r="A817" s="3" t="s">
        <v>746</v>
      </c>
      <c r="B817" s="3" t="s">
        <v>54</v>
      </c>
      <c r="C817" s="3" t="str">
        <f t="shared" si="12"/>
        <v>450013940630</v>
      </c>
      <c r="D817" s="3" t="s">
        <v>715</v>
      </c>
      <c r="G817" s="3"/>
      <c r="H817" s="3"/>
      <c r="I817" s="3"/>
      <c r="J817" s="8"/>
      <c r="K817" s="3"/>
    </row>
    <row r="818" spans="1:11" x14ac:dyDescent="0.3">
      <c r="A818" s="3" t="s">
        <v>746</v>
      </c>
      <c r="B818" s="3" t="s">
        <v>23</v>
      </c>
      <c r="C818" s="3" t="str">
        <f t="shared" si="12"/>
        <v>450013940640</v>
      </c>
      <c r="D818" s="3" t="s">
        <v>715</v>
      </c>
      <c r="G818" s="3"/>
      <c r="H818" s="3"/>
      <c r="I818" s="3"/>
      <c r="J818" s="8"/>
      <c r="K818" s="3"/>
    </row>
    <row r="819" spans="1:11" x14ac:dyDescent="0.3">
      <c r="A819" s="3" t="s">
        <v>746</v>
      </c>
      <c r="B819" s="3" t="s">
        <v>55</v>
      </c>
      <c r="C819" s="3" t="str">
        <f t="shared" si="12"/>
        <v>450013940650</v>
      </c>
      <c r="D819" s="3" t="s">
        <v>715</v>
      </c>
      <c r="G819" s="3"/>
      <c r="H819" s="3"/>
      <c r="I819" s="3"/>
      <c r="J819" s="8"/>
      <c r="K819" s="3"/>
    </row>
    <row r="820" spans="1:11" x14ac:dyDescent="0.3">
      <c r="A820" s="3" t="s">
        <v>774</v>
      </c>
      <c r="B820" s="3" t="s">
        <v>32</v>
      </c>
      <c r="C820" s="3" t="str">
        <f t="shared" si="12"/>
        <v>450014022810</v>
      </c>
      <c r="D820" s="3" t="s">
        <v>711</v>
      </c>
      <c r="G820" s="3"/>
      <c r="H820" s="3"/>
      <c r="I820" s="3"/>
      <c r="J820" s="8"/>
      <c r="K820" s="3"/>
    </row>
    <row r="821" spans="1:11" x14ac:dyDescent="0.3">
      <c r="A821" s="3" t="s">
        <v>766</v>
      </c>
      <c r="B821" s="3" t="s">
        <v>32</v>
      </c>
      <c r="C821" s="3" t="str">
        <f t="shared" si="12"/>
        <v>450013926210</v>
      </c>
      <c r="D821" s="3" t="s">
        <v>720</v>
      </c>
      <c r="G821" s="3"/>
      <c r="H821" s="3"/>
      <c r="I821" s="3"/>
      <c r="J821" s="8"/>
      <c r="K821" s="3"/>
    </row>
    <row r="822" spans="1:11" x14ac:dyDescent="0.3">
      <c r="A822" s="3" t="s">
        <v>766</v>
      </c>
      <c r="B822" s="3" t="s">
        <v>28</v>
      </c>
      <c r="C822" s="3" t="str">
        <f t="shared" si="12"/>
        <v>450013926220</v>
      </c>
      <c r="D822" s="3" t="s">
        <v>720</v>
      </c>
      <c r="G822" s="3"/>
      <c r="H822" s="3"/>
      <c r="I822" s="3"/>
      <c r="J822" s="8"/>
      <c r="K822" s="3"/>
    </row>
    <row r="823" spans="1:11" x14ac:dyDescent="0.3">
      <c r="A823" s="3" t="s">
        <v>735</v>
      </c>
      <c r="B823" s="3" t="s">
        <v>32</v>
      </c>
      <c r="C823" s="3" t="str">
        <f t="shared" si="12"/>
        <v>450013933710</v>
      </c>
      <c r="D823" s="3" t="s">
        <v>722</v>
      </c>
      <c r="G823" s="3"/>
      <c r="H823" s="3"/>
      <c r="I823" s="3"/>
      <c r="J823" s="8"/>
      <c r="K823" s="3"/>
    </row>
    <row r="824" spans="1:11" x14ac:dyDescent="0.3">
      <c r="A824" s="3" t="s">
        <v>735</v>
      </c>
      <c r="B824" s="3" t="s">
        <v>28</v>
      </c>
      <c r="C824" s="3" t="str">
        <f t="shared" si="12"/>
        <v>450013933720</v>
      </c>
      <c r="D824" s="3" t="s">
        <v>722</v>
      </c>
      <c r="G824" s="3"/>
      <c r="H824" s="3"/>
      <c r="I824" s="3"/>
      <c r="J824" s="8"/>
      <c r="K824" s="3"/>
    </row>
    <row r="825" spans="1:11" x14ac:dyDescent="0.3">
      <c r="A825" s="3" t="s">
        <v>816</v>
      </c>
      <c r="B825" s="3" t="s">
        <v>32</v>
      </c>
      <c r="C825" s="3" t="str">
        <f t="shared" si="12"/>
        <v>450014015810</v>
      </c>
      <c r="D825" s="3" t="s">
        <v>715</v>
      </c>
      <c r="G825" s="3"/>
      <c r="H825" s="3"/>
      <c r="I825" s="3"/>
      <c r="J825" s="8"/>
      <c r="K825" s="3"/>
    </row>
    <row r="826" spans="1:11" x14ac:dyDescent="0.3">
      <c r="A826" s="3" t="s">
        <v>814</v>
      </c>
      <c r="B826" s="3" t="s">
        <v>81</v>
      </c>
      <c r="C826" s="3" t="str">
        <f t="shared" si="12"/>
        <v>450013945970</v>
      </c>
      <c r="D826" s="3" t="s">
        <v>715</v>
      </c>
      <c r="G826" s="3"/>
      <c r="H826" s="3"/>
      <c r="I826" s="3"/>
      <c r="J826" s="8"/>
      <c r="K826" s="3"/>
    </row>
    <row r="827" spans="1:11" x14ac:dyDescent="0.3">
      <c r="A827" s="3" t="s">
        <v>814</v>
      </c>
      <c r="B827" s="3" t="s">
        <v>82</v>
      </c>
      <c r="C827" s="3" t="str">
        <f t="shared" si="12"/>
        <v>450013945980</v>
      </c>
      <c r="D827" s="3" t="s">
        <v>715</v>
      </c>
      <c r="G827" s="3"/>
      <c r="H827" s="3"/>
      <c r="I827" s="3"/>
      <c r="J827" s="8"/>
      <c r="K827" s="3"/>
    </row>
    <row r="828" spans="1:11" x14ac:dyDescent="0.3">
      <c r="A828" s="3" t="s">
        <v>814</v>
      </c>
      <c r="B828" s="3" t="s">
        <v>83</v>
      </c>
      <c r="C828" s="3" t="str">
        <f t="shared" ref="C828:C891" si="13">_xlfn.CONCAT(A828:B828)</f>
        <v>450013945990</v>
      </c>
      <c r="D828" s="3" t="s">
        <v>715</v>
      </c>
      <c r="G828" s="3"/>
      <c r="H828" s="3"/>
      <c r="I828" s="3"/>
      <c r="J828" s="8"/>
      <c r="K828" s="3"/>
    </row>
    <row r="829" spans="1:11" x14ac:dyDescent="0.3">
      <c r="A829" s="3" t="s">
        <v>814</v>
      </c>
      <c r="B829" s="3" t="s">
        <v>84</v>
      </c>
      <c r="C829" s="3" t="str">
        <f t="shared" si="13"/>
        <v>4500139459100</v>
      </c>
      <c r="D829" s="3" t="s">
        <v>715</v>
      </c>
      <c r="G829" s="3"/>
      <c r="H829" s="3"/>
      <c r="I829" s="3"/>
      <c r="J829" s="8"/>
      <c r="K829" s="3"/>
    </row>
    <row r="830" spans="1:11" x14ac:dyDescent="0.3">
      <c r="A830" s="3" t="s">
        <v>814</v>
      </c>
      <c r="B830" s="3" t="s">
        <v>85</v>
      </c>
      <c r="C830" s="3" t="str">
        <f t="shared" si="13"/>
        <v>4500139459110</v>
      </c>
      <c r="D830" s="3" t="s">
        <v>715</v>
      </c>
      <c r="G830" s="3"/>
      <c r="H830" s="3"/>
      <c r="I830" s="3"/>
      <c r="J830" s="8"/>
      <c r="K830" s="3"/>
    </row>
    <row r="831" spans="1:11" x14ac:dyDescent="0.3">
      <c r="A831" s="3" t="s">
        <v>814</v>
      </c>
      <c r="B831" s="3" t="s">
        <v>86</v>
      </c>
      <c r="C831" s="3" t="str">
        <f t="shared" si="13"/>
        <v>4500139459120</v>
      </c>
      <c r="D831" s="3" t="s">
        <v>715</v>
      </c>
      <c r="G831" s="3"/>
      <c r="H831" s="3"/>
      <c r="I831" s="3"/>
      <c r="J831" s="8"/>
      <c r="K831" s="3"/>
    </row>
    <row r="832" spans="1:11" x14ac:dyDescent="0.3">
      <c r="A832" s="3" t="s">
        <v>814</v>
      </c>
      <c r="B832" s="3" t="s">
        <v>65</v>
      </c>
      <c r="C832" s="3" t="str">
        <f t="shared" si="13"/>
        <v>4500139459130</v>
      </c>
      <c r="D832" s="3" t="s">
        <v>715</v>
      </c>
      <c r="G832" s="3"/>
      <c r="H832" s="3"/>
      <c r="I832" s="3"/>
      <c r="J832" s="8"/>
      <c r="K832" s="3"/>
    </row>
    <row r="833" spans="1:11" x14ac:dyDescent="0.3">
      <c r="A833" s="3" t="s">
        <v>819</v>
      </c>
      <c r="B833" s="3" t="s">
        <v>32</v>
      </c>
      <c r="C833" s="3" t="str">
        <f t="shared" si="13"/>
        <v>450013947210</v>
      </c>
      <c r="D833" s="3" t="s">
        <v>715</v>
      </c>
      <c r="G833" s="3"/>
      <c r="H833" s="3"/>
      <c r="I833" s="3"/>
      <c r="J833" s="8"/>
      <c r="K833" s="3"/>
    </row>
    <row r="834" spans="1:11" x14ac:dyDescent="0.3">
      <c r="A834" s="3" t="s">
        <v>819</v>
      </c>
      <c r="B834" s="3" t="s">
        <v>28</v>
      </c>
      <c r="C834" s="3" t="str">
        <f t="shared" si="13"/>
        <v>450013947220</v>
      </c>
      <c r="D834" s="3" t="s">
        <v>715</v>
      </c>
      <c r="G834" s="3"/>
      <c r="H834" s="3"/>
      <c r="I834" s="3"/>
      <c r="J834" s="8"/>
      <c r="K834" s="3"/>
    </row>
    <row r="835" spans="1:11" x14ac:dyDescent="0.3">
      <c r="A835" s="3" t="s">
        <v>819</v>
      </c>
      <c r="B835" s="3" t="s">
        <v>54</v>
      </c>
      <c r="C835" s="3" t="str">
        <f t="shared" si="13"/>
        <v>450013947230</v>
      </c>
      <c r="D835" s="3" t="s">
        <v>715</v>
      </c>
      <c r="G835" s="3"/>
      <c r="H835" s="3"/>
      <c r="I835" s="3"/>
      <c r="J835" s="8"/>
      <c r="K835" s="3"/>
    </row>
    <row r="836" spans="1:11" x14ac:dyDescent="0.3">
      <c r="A836" s="3" t="s">
        <v>821</v>
      </c>
      <c r="B836" s="3" t="s">
        <v>32</v>
      </c>
      <c r="C836" s="3" t="str">
        <f t="shared" si="13"/>
        <v>450013997510</v>
      </c>
      <c r="D836" s="3" t="s">
        <v>722</v>
      </c>
      <c r="G836" s="3"/>
      <c r="H836" s="3"/>
      <c r="I836" s="3"/>
      <c r="J836" s="8"/>
      <c r="K836" s="3"/>
    </row>
    <row r="837" spans="1:11" x14ac:dyDescent="0.3">
      <c r="A837" s="3" t="s">
        <v>789</v>
      </c>
      <c r="B837" s="3" t="s">
        <v>28</v>
      </c>
      <c r="C837" s="3" t="str">
        <f t="shared" si="13"/>
        <v>450014008720</v>
      </c>
      <c r="D837" s="3" t="s">
        <v>722</v>
      </c>
      <c r="G837" s="3"/>
      <c r="H837" s="3"/>
      <c r="I837" s="3"/>
      <c r="J837" s="8"/>
      <c r="K837" s="3"/>
    </row>
    <row r="838" spans="1:11" x14ac:dyDescent="0.3">
      <c r="A838" s="3" t="s">
        <v>789</v>
      </c>
      <c r="B838" s="3" t="s">
        <v>54</v>
      </c>
      <c r="C838" s="3" t="str">
        <f t="shared" si="13"/>
        <v>450014008730</v>
      </c>
      <c r="D838" s="3" t="s">
        <v>722</v>
      </c>
      <c r="G838" s="3"/>
      <c r="H838" s="3"/>
      <c r="I838" s="3"/>
      <c r="J838" s="8"/>
      <c r="K838" s="3"/>
    </row>
    <row r="839" spans="1:11" x14ac:dyDescent="0.3">
      <c r="A839" s="3" t="s">
        <v>789</v>
      </c>
      <c r="B839" s="3" t="s">
        <v>23</v>
      </c>
      <c r="C839" s="3" t="str">
        <f t="shared" si="13"/>
        <v>450014008740</v>
      </c>
      <c r="D839" s="3" t="s">
        <v>722</v>
      </c>
      <c r="G839" s="3"/>
      <c r="H839" s="3"/>
      <c r="I839" s="3"/>
      <c r="J839" s="8"/>
      <c r="K839" s="3"/>
    </row>
    <row r="840" spans="1:11" x14ac:dyDescent="0.3">
      <c r="A840" s="3" t="s">
        <v>831</v>
      </c>
      <c r="B840" s="3" t="s">
        <v>32</v>
      </c>
      <c r="C840" s="3" t="str">
        <f t="shared" si="13"/>
        <v>450014000710</v>
      </c>
      <c r="D840" s="3" t="s">
        <v>715</v>
      </c>
      <c r="G840" s="3"/>
      <c r="H840" s="3"/>
      <c r="I840" s="3"/>
      <c r="J840" s="8"/>
      <c r="K840" s="3"/>
    </row>
    <row r="841" spans="1:11" x14ac:dyDescent="0.3">
      <c r="A841" s="3" t="s">
        <v>831</v>
      </c>
      <c r="B841" s="3" t="s">
        <v>28</v>
      </c>
      <c r="C841" s="3" t="str">
        <f t="shared" si="13"/>
        <v>450014000720</v>
      </c>
      <c r="D841" s="3" t="s">
        <v>715</v>
      </c>
      <c r="G841" s="3"/>
      <c r="H841" s="3"/>
      <c r="I841" s="3"/>
      <c r="J841" s="8"/>
      <c r="K841" s="3"/>
    </row>
    <row r="842" spans="1:11" x14ac:dyDescent="0.3">
      <c r="A842" s="3" t="s">
        <v>825</v>
      </c>
      <c r="B842" s="3" t="s">
        <v>55</v>
      </c>
      <c r="C842" s="3" t="str">
        <f t="shared" si="13"/>
        <v>450014008950</v>
      </c>
      <c r="D842" s="3" t="s">
        <v>722</v>
      </c>
      <c r="G842" s="3"/>
      <c r="H842" s="3"/>
      <c r="I842" s="3"/>
      <c r="J842" s="8"/>
      <c r="K842" s="3"/>
    </row>
    <row r="843" spans="1:11" x14ac:dyDescent="0.3">
      <c r="A843" s="3" t="s">
        <v>825</v>
      </c>
      <c r="B843" s="3" t="s">
        <v>80</v>
      </c>
      <c r="C843" s="3" t="str">
        <f t="shared" si="13"/>
        <v>450014008960</v>
      </c>
      <c r="D843" s="3" t="s">
        <v>722</v>
      </c>
      <c r="G843" s="3"/>
      <c r="H843" s="3"/>
      <c r="I843" s="3"/>
      <c r="J843" s="8"/>
      <c r="K843" s="3"/>
    </row>
    <row r="844" spans="1:11" x14ac:dyDescent="0.3">
      <c r="A844" s="3" t="s">
        <v>789</v>
      </c>
      <c r="B844" s="3" t="s">
        <v>32</v>
      </c>
      <c r="C844" s="3" t="str">
        <f t="shared" si="13"/>
        <v>450014008710</v>
      </c>
      <c r="D844" s="3" t="s">
        <v>722</v>
      </c>
      <c r="G844" s="3"/>
      <c r="H844" s="3"/>
      <c r="I844" s="3"/>
      <c r="J844" s="8"/>
      <c r="K844" s="3"/>
    </row>
    <row r="845" spans="1:11" x14ac:dyDescent="0.3">
      <c r="A845" s="3" t="s">
        <v>758</v>
      </c>
      <c r="B845" s="3" t="s">
        <v>32</v>
      </c>
      <c r="C845" s="3" t="str">
        <f t="shared" si="13"/>
        <v>450013968110</v>
      </c>
      <c r="D845" s="3" t="s">
        <v>716</v>
      </c>
      <c r="G845" s="3"/>
      <c r="H845" s="3"/>
      <c r="I845" s="3"/>
      <c r="J845" s="8"/>
      <c r="K845" s="3"/>
    </row>
    <row r="846" spans="1:11" x14ac:dyDescent="0.3">
      <c r="A846" s="3" t="s">
        <v>825</v>
      </c>
      <c r="B846" s="3" t="s">
        <v>81</v>
      </c>
      <c r="C846" s="3" t="str">
        <f t="shared" si="13"/>
        <v>450014008970</v>
      </c>
      <c r="D846" s="3" t="s">
        <v>722</v>
      </c>
      <c r="G846" s="3"/>
      <c r="H846" s="3"/>
      <c r="I846" s="3"/>
      <c r="J846" s="8"/>
      <c r="K846" s="3"/>
    </row>
    <row r="847" spans="1:11" x14ac:dyDescent="0.3">
      <c r="A847" s="3" t="s">
        <v>792</v>
      </c>
      <c r="B847" s="3" t="s">
        <v>28</v>
      </c>
      <c r="C847" s="3" t="str">
        <f t="shared" si="13"/>
        <v>450013986320</v>
      </c>
      <c r="D847" s="3" t="s">
        <v>722</v>
      </c>
      <c r="G847" s="3"/>
      <c r="H847" s="3"/>
      <c r="I847" s="3"/>
      <c r="J847" s="8"/>
      <c r="K847" s="3"/>
    </row>
    <row r="848" spans="1:11" x14ac:dyDescent="0.3">
      <c r="A848" s="3" t="s">
        <v>792</v>
      </c>
      <c r="B848" s="3" t="s">
        <v>54</v>
      </c>
      <c r="C848" s="3" t="str">
        <f t="shared" si="13"/>
        <v>450013986330</v>
      </c>
      <c r="D848" s="3" t="s">
        <v>722</v>
      </c>
      <c r="G848" s="3"/>
      <c r="H848" s="3"/>
      <c r="I848" s="3"/>
      <c r="J848" s="8"/>
      <c r="K848" s="3"/>
    </row>
    <row r="849" spans="1:11" x14ac:dyDescent="0.3">
      <c r="A849" s="3" t="s">
        <v>744</v>
      </c>
      <c r="B849" s="3" t="s">
        <v>32</v>
      </c>
      <c r="C849" s="3" t="str">
        <f t="shared" si="13"/>
        <v>450013987010</v>
      </c>
      <c r="D849" s="3" t="s">
        <v>722</v>
      </c>
      <c r="G849" s="3"/>
      <c r="H849" s="3"/>
      <c r="I849" s="3"/>
      <c r="J849" s="8"/>
      <c r="K849" s="3"/>
    </row>
    <row r="850" spans="1:11" x14ac:dyDescent="0.3">
      <c r="A850" s="3" t="s">
        <v>744</v>
      </c>
      <c r="B850" s="3" t="s">
        <v>28</v>
      </c>
      <c r="C850" s="3" t="str">
        <f t="shared" si="13"/>
        <v>450013987020</v>
      </c>
      <c r="D850" s="3" t="s">
        <v>722</v>
      </c>
      <c r="G850" s="3"/>
      <c r="H850" s="3"/>
      <c r="I850" s="3"/>
      <c r="J850" s="8"/>
      <c r="K850" s="3"/>
    </row>
    <row r="851" spans="1:11" x14ac:dyDescent="0.3">
      <c r="A851" s="3" t="s">
        <v>744</v>
      </c>
      <c r="B851" s="3" t="s">
        <v>54</v>
      </c>
      <c r="C851" s="3" t="str">
        <f t="shared" si="13"/>
        <v>450013987030</v>
      </c>
      <c r="D851" s="3" t="s">
        <v>722</v>
      </c>
      <c r="G851" s="3"/>
      <c r="H851" s="3"/>
      <c r="I851" s="3"/>
      <c r="J851" s="8"/>
      <c r="K851" s="3"/>
    </row>
    <row r="852" spans="1:11" x14ac:dyDescent="0.3">
      <c r="A852" s="3" t="s">
        <v>744</v>
      </c>
      <c r="B852" s="3" t="s">
        <v>23</v>
      </c>
      <c r="C852" s="3" t="str">
        <f t="shared" si="13"/>
        <v>450013987040</v>
      </c>
      <c r="D852" s="3" t="s">
        <v>722</v>
      </c>
      <c r="G852" s="3"/>
      <c r="H852" s="3"/>
      <c r="I852" s="3"/>
      <c r="J852" s="8"/>
      <c r="K852" s="3"/>
    </row>
    <row r="853" spans="1:11" x14ac:dyDescent="0.3">
      <c r="A853" s="3" t="s">
        <v>744</v>
      </c>
      <c r="B853" s="3" t="s">
        <v>55</v>
      </c>
      <c r="C853" s="3" t="str">
        <f t="shared" si="13"/>
        <v>450013987050</v>
      </c>
      <c r="D853" s="3" t="s">
        <v>722</v>
      </c>
      <c r="G853" s="3"/>
      <c r="H853" s="3"/>
      <c r="I853" s="3"/>
      <c r="J853" s="8"/>
      <c r="K853" s="3"/>
    </row>
    <row r="854" spans="1:11" x14ac:dyDescent="0.3">
      <c r="A854" s="3" t="s">
        <v>806</v>
      </c>
      <c r="B854" s="3" t="s">
        <v>28</v>
      </c>
      <c r="C854" s="3" t="str">
        <f t="shared" si="13"/>
        <v>450013976420</v>
      </c>
      <c r="D854" s="3" t="s">
        <v>722</v>
      </c>
      <c r="G854" s="3"/>
      <c r="H854" s="3"/>
      <c r="I854" s="3"/>
      <c r="J854" s="8"/>
      <c r="K854" s="3"/>
    </row>
    <row r="855" spans="1:11" x14ac:dyDescent="0.3">
      <c r="A855" s="3" t="s">
        <v>758</v>
      </c>
      <c r="B855" s="3" t="s">
        <v>54</v>
      </c>
      <c r="C855" s="3" t="str">
        <f t="shared" si="13"/>
        <v>450013968130</v>
      </c>
      <c r="D855" s="3" t="s">
        <v>716</v>
      </c>
      <c r="G855" s="3"/>
      <c r="H855" s="3"/>
      <c r="I855" s="3"/>
      <c r="J855" s="8"/>
      <c r="K855" s="3"/>
    </row>
    <row r="856" spans="1:11" x14ac:dyDescent="0.3">
      <c r="A856" s="3" t="s">
        <v>758</v>
      </c>
      <c r="B856" s="3" t="s">
        <v>23</v>
      </c>
      <c r="C856" s="3" t="str">
        <f t="shared" si="13"/>
        <v>450013968140</v>
      </c>
      <c r="D856" s="3" t="s">
        <v>716</v>
      </c>
      <c r="G856" s="3"/>
      <c r="H856" s="3"/>
      <c r="I856" s="3"/>
      <c r="J856" s="8"/>
      <c r="K856" s="3"/>
    </row>
    <row r="857" spans="1:11" x14ac:dyDescent="0.3">
      <c r="A857" s="3" t="s">
        <v>752</v>
      </c>
      <c r="B857" s="3" t="s">
        <v>32</v>
      </c>
      <c r="C857" s="3" t="str">
        <f t="shared" si="13"/>
        <v>450013993910</v>
      </c>
      <c r="D857" s="3" t="s">
        <v>715</v>
      </c>
      <c r="G857" s="3"/>
      <c r="H857" s="3"/>
      <c r="I857" s="3"/>
      <c r="J857" s="8"/>
      <c r="K857" s="3"/>
    </row>
    <row r="858" spans="1:11" x14ac:dyDescent="0.3">
      <c r="A858" s="3" t="s">
        <v>785</v>
      </c>
      <c r="B858" s="3" t="s">
        <v>32</v>
      </c>
      <c r="C858" s="3" t="str">
        <f t="shared" si="13"/>
        <v>450014000910</v>
      </c>
      <c r="D858" s="3" t="s">
        <v>716</v>
      </c>
      <c r="G858" s="3"/>
      <c r="H858" s="3"/>
      <c r="I858" s="3"/>
      <c r="J858" s="8"/>
      <c r="K858" s="3"/>
    </row>
    <row r="859" spans="1:11" x14ac:dyDescent="0.3">
      <c r="A859" s="3" t="s">
        <v>754</v>
      </c>
      <c r="B859" s="3" t="s">
        <v>32</v>
      </c>
      <c r="C859" s="3" t="str">
        <f t="shared" si="13"/>
        <v>450013981010</v>
      </c>
      <c r="D859" s="3" t="s">
        <v>716</v>
      </c>
      <c r="G859" s="3"/>
      <c r="H859" s="3"/>
      <c r="I859" s="3"/>
      <c r="J859" s="8"/>
      <c r="K859" s="3"/>
    </row>
    <row r="860" spans="1:11" x14ac:dyDescent="0.3">
      <c r="A860" s="3" t="s">
        <v>754</v>
      </c>
      <c r="B860" s="3" t="s">
        <v>28</v>
      </c>
      <c r="C860" s="3" t="str">
        <f t="shared" si="13"/>
        <v>450013981020</v>
      </c>
      <c r="D860" s="3" t="s">
        <v>716</v>
      </c>
      <c r="G860" s="3"/>
      <c r="H860" s="3"/>
      <c r="I860" s="3"/>
      <c r="J860" s="8"/>
      <c r="K860" s="3"/>
    </row>
    <row r="861" spans="1:11" x14ac:dyDescent="0.3">
      <c r="A861" s="3" t="s">
        <v>777</v>
      </c>
      <c r="B861" s="3" t="s">
        <v>23</v>
      </c>
      <c r="C861" s="3" t="str">
        <f t="shared" si="13"/>
        <v>450013978940</v>
      </c>
      <c r="D861" s="3" t="s">
        <v>716</v>
      </c>
      <c r="G861" s="3"/>
      <c r="H861" s="3"/>
      <c r="I861" s="3"/>
      <c r="J861" s="8"/>
      <c r="K861" s="3"/>
    </row>
    <row r="862" spans="1:11" x14ac:dyDescent="0.3">
      <c r="A862" s="3" t="s">
        <v>777</v>
      </c>
      <c r="B862" s="3" t="s">
        <v>55</v>
      </c>
      <c r="C862" s="3" t="str">
        <f t="shared" si="13"/>
        <v>450013978950</v>
      </c>
      <c r="D862" s="3" t="s">
        <v>716</v>
      </c>
      <c r="G862" s="3"/>
      <c r="H862" s="3"/>
      <c r="I862" s="3"/>
      <c r="J862" s="8"/>
      <c r="K862" s="3"/>
    </row>
    <row r="863" spans="1:11" x14ac:dyDescent="0.3">
      <c r="A863" s="3" t="s">
        <v>777</v>
      </c>
      <c r="B863" s="3" t="s">
        <v>80</v>
      </c>
      <c r="C863" s="3" t="str">
        <f t="shared" si="13"/>
        <v>450013978960</v>
      </c>
      <c r="D863" s="3" t="s">
        <v>716</v>
      </c>
      <c r="G863" s="3"/>
      <c r="H863" s="3"/>
      <c r="I863" s="3"/>
      <c r="J863" s="8"/>
      <c r="K863" s="3"/>
    </row>
    <row r="864" spans="1:11" x14ac:dyDescent="0.3">
      <c r="A864" s="3" t="s">
        <v>777</v>
      </c>
      <c r="B864" s="3" t="s">
        <v>81</v>
      </c>
      <c r="C864" s="3" t="str">
        <f t="shared" si="13"/>
        <v>450013978970</v>
      </c>
      <c r="D864" s="3" t="s">
        <v>716</v>
      </c>
      <c r="G864" s="3"/>
      <c r="H864" s="3"/>
      <c r="I864" s="3"/>
      <c r="J864" s="8"/>
      <c r="K864" s="3"/>
    </row>
    <row r="865" spans="1:11" x14ac:dyDescent="0.3">
      <c r="A865" s="3" t="s">
        <v>742</v>
      </c>
      <c r="B865" s="3" t="s">
        <v>32</v>
      </c>
      <c r="C865" s="3" t="str">
        <f t="shared" si="13"/>
        <v>450013978110</v>
      </c>
      <c r="D865" s="3" t="s">
        <v>707</v>
      </c>
      <c r="G865" s="3"/>
      <c r="H865" s="3"/>
      <c r="I865" s="3"/>
      <c r="J865" s="8"/>
      <c r="K865" s="3"/>
    </row>
    <row r="866" spans="1:11" x14ac:dyDescent="0.3">
      <c r="A866" s="3" t="s">
        <v>803</v>
      </c>
      <c r="B866" s="3" t="s">
        <v>32</v>
      </c>
      <c r="C866" s="3" t="str">
        <f t="shared" si="13"/>
        <v>450013982910</v>
      </c>
      <c r="D866" s="3" t="s">
        <v>720</v>
      </c>
      <c r="G866" s="3"/>
      <c r="H866" s="3"/>
      <c r="I866" s="3"/>
      <c r="J866" s="8"/>
      <c r="K866" s="3"/>
    </row>
    <row r="867" spans="1:11" x14ac:dyDescent="0.3">
      <c r="A867" s="3" t="s">
        <v>777</v>
      </c>
      <c r="B867" s="3" t="s">
        <v>82</v>
      </c>
      <c r="C867" s="3" t="str">
        <f t="shared" si="13"/>
        <v>450013978980</v>
      </c>
      <c r="D867" s="3" t="s">
        <v>716</v>
      </c>
      <c r="G867" s="3"/>
      <c r="H867" s="3"/>
      <c r="I867" s="3"/>
      <c r="J867" s="8"/>
      <c r="K867" s="3"/>
    </row>
    <row r="868" spans="1:11" x14ac:dyDescent="0.3">
      <c r="A868" s="3" t="s">
        <v>806</v>
      </c>
      <c r="B868" s="3" t="s">
        <v>32</v>
      </c>
      <c r="C868" s="3" t="str">
        <f t="shared" si="13"/>
        <v>450013976410</v>
      </c>
      <c r="D868" s="3" t="s">
        <v>722</v>
      </c>
      <c r="G868" s="3"/>
      <c r="H868" s="3"/>
      <c r="I868" s="3"/>
      <c r="J868" s="8"/>
      <c r="K868" s="3"/>
    </row>
    <row r="869" spans="1:11" x14ac:dyDescent="0.3">
      <c r="A869" s="3" t="s">
        <v>785</v>
      </c>
      <c r="B869" s="3" t="s">
        <v>28</v>
      </c>
      <c r="C869" s="3" t="str">
        <f t="shared" si="13"/>
        <v>450014000920</v>
      </c>
      <c r="D869" s="3" t="s">
        <v>716</v>
      </c>
      <c r="G869" s="3"/>
      <c r="H869" s="3"/>
      <c r="I869" s="3"/>
      <c r="J869" s="8"/>
      <c r="K869" s="3"/>
    </row>
    <row r="870" spans="1:11" x14ac:dyDescent="0.3">
      <c r="A870" s="3" t="s">
        <v>785</v>
      </c>
      <c r="B870" s="3" t="s">
        <v>54</v>
      </c>
      <c r="C870" s="3" t="str">
        <f t="shared" si="13"/>
        <v>450014000930</v>
      </c>
      <c r="D870" s="3" t="s">
        <v>716</v>
      </c>
      <c r="G870" s="3"/>
      <c r="H870" s="3"/>
      <c r="I870" s="3"/>
      <c r="J870" s="8"/>
      <c r="K870" s="3"/>
    </row>
    <row r="871" spans="1:11" x14ac:dyDescent="0.3">
      <c r="A871" s="3" t="s">
        <v>785</v>
      </c>
      <c r="B871" s="3" t="s">
        <v>23</v>
      </c>
      <c r="C871" s="3" t="str">
        <f t="shared" si="13"/>
        <v>450014000940</v>
      </c>
      <c r="D871" s="3" t="s">
        <v>716</v>
      </c>
      <c r="G871" s="3"/>
      <c r="H871" s="3"/>
      <c r="I871" s="3"/>
      <c r="J871" s="8"/>
      <c r="K871" s="3"/>
    </row>
    <row r="872" spans="1:11" x14ac:dyDescent="0.3">
      <c r="A872" s="3" t="s">
        <v>785</v>
      </c>
      <c r="B872" s="3" t="s">
        <v>55</v>
      </c>
      <c r="C872" s="3" t="str">
        <f t="shared" si="13"/>
        <v>450014000950</v>
      </c>
      <c r="D872" s="3" t="s">
        <v>716</v>
      </c>
      <c r="G872" s="3"/>
      <c r="H872" s="3"/>
      <c r="I872" s="3"/>
      <c r="J872" s="8"/>
      <c r="K872" s="3"/>
    </row>
    <row r="873" spans="1:11" x14ac:dyDescent="0.3">
      <c r="A873" s="3" t="s">
        <v>777</v>
      </c>
      <c r="B873" s="3" t="s">
        <v>84</v>
      </c>
      <c r="C873" s="3" t="str">
        <f t="shared" si="13"/>
        <v>4500139789100</v>
      </c>
      <c r="D873" s="3" t="s">
        <v>716</v>
      </c>
      <c r="G873" s="3"/>
      <c r="H873" s="3"/>
      <c r="I873" s="3"/>
      <c r="J873" s="8"/>
      <c r="K873" s="3"/>
    </row>
    <row r="874" spans="1:11" x14ac:dyDescent="0.3">
      <c r="A874" s="3" t="s">
        <v>777</v>
      </c>
      <c r="B874" s="3" t="s">
        <v>86</v>
      </c>
      <c r="C874" s="3" t="str">
        <f t="shared" si="13"/>
        <v>4500139789120</v>
      </c>
      <c r="D874" s="3" t="s">
        <v>716</v>
      </c>
      <c r="G874" s="3"/>
      <c r="H874" s="3"/>
      <c r="I874" s="3"/>
      <c r="J874" s="8"/>
      <c r="K874" s="3"/>
    </row>
    <row r="875" spans="1:11" x14ac:dyDescent="0.3">
      <c r="A875" s="3" t="s">
        <v>785</v>
      </c>
      <c r="B875" s="3" t="s">
        <v>80</v>
      </c>
      <c r="C875" s="3" t="str">
        <f t="shared" si="13"/>
        <v>450014000960</v>
      </c>
      <c r="D875" s="3" t="s">
        <v>716</v>
      </c>
      <c r="G875" s="3"/>
      <c r="H875" s="3"/>
      <c r="I875" s="3"/>
      <c r="J875" s="8"/>
      <c r="K875" s="3"/>
    </row>
    <row r="876" spans="1:11" x14ac:dyDescent="0.3">
      <c r="A876" s="3" t="s">
        <v>785</v>
      </c>
      <c r="B876" s="3" t="s">
        <v>81</v>
      </c>
      <c r="C876" s="3" t="str">
        <f t="shared" si="13"/>
        <v>450014000970</v>
      </c>
      <c r="D876" s="3" t="s">
        <v>716</v>
      </c>
      <c r="G876" s="3"/>
      <c r="H876" s="3"/>
      <c r="I876" s="3"/>
      <c r="J876" s="8"/>
      <c r="K876" s="3"/>
    </row>
    <row r="877" spans="1:11" x14ac:dyDescent="0.3">
      <c r="A877" s="3" t="s">
        <v>785</v>
      </c>
      <c r="B877" s="3" t="s">
        <v>82</v>
      </c>
      <c r="C877" s="3" t="str">
        <f t="shared" si="13"/>
        <v>450014000980</v>
      </c>
      <c r="D877" s="3" t="s">
        <v>716</v>
      </c>
      <c r="G877" s="3"/>
      <c r="H877" s="3"/>
      <c r="I877" s="3"/>
      <c r="J877" s="8"/>
      <c r="K877" s="3"/>
    </row>
    <row r="878" spans="1:11" x14ac:dyDescent="0.3">
      <c r="A878" s="3" t="s">
        <v>785</v>
      </c>
      <c r="B878" s="3" t="s">
        <v>83</v>
      </c>
      <c r="C878" s="3" t="str">
        <f t="shared" si="13"/>
        <v>450014000990</v>
      </c>
      <c r="D878" s="3" t="s">
        <v>716</v>
      </c>
      <c r="G878" s="3"/>
      <c r="H878" s="3"/>
      <c r="I878" s="3"/>
      <c r="J878" s="8"/>
      <c r="K878" s="3"/>
    </row>
    <row r="879" spans="1:11" x14ac:dyDescent="0.3">
      <c r="A879" s="3" t="s">
        <v>785</v>
      </c>
      <c r="B879" s="3" t="s">
        <v>84</v>
      </c>
      <c r="C879" s="3" t="str">
        <f t="shared" si="13"/>
        <v>4500140009100</v>
      </c>
      <c r="D879" s="3" t="s">
        <v>716</v>
      </c>
      <c r="G879" s="3"/>
      <c r="H879" s="3"/>
      <c r="I879" s="3"/>
      <c r="J879" s="8"/>
      <c r="K879" s="3"/>
    </row>
    <row r="880" spans="1:11" x14ac:dyDescent="0.3">
      <c r="A880" s="3" t="s">
        <v>777</v>
      </c>
      <c r="B880" s="3" t="s">
        <v>65</v>
      </c>
      <c r="C880" s="3" t="str">
        <f t="shared" si="13"/>
        <v>4500139789130</v>
      </c>
      <c r="D880" s="3" t="s">
        <v>716</v>
      </c>
      <c r="G880" s="3"/>
      <c r="H880" s="3"/>
      <c r="I880" s="3"/>
      <c r="J880" s="8"/>
      <c r="K880" s="3"/>
    </row>
    <row r="881" spans="1:11" x14ac:dyDescent="0.3">
      <c r="A881" s="3" t="s">
        <v>777</v>
      </c>
      <c r="B881" s="3" t="s">
        <v>66</v>
      </c>
      <c r="C881" s="3" t="str">
        <f t="shared" si="13"/>
        <v>4500139789140</v>
      </c>
      <c r="D881" s="3" t="s">
        <v>716</v>
      </c>
      <c r="G881" s="3"/>
      <c r="H881" s="3"/>
      <c r="I881" s="3"/>
      <c r="J881" s="8"/>
      <c r="K881" s="3"/>
    </row>
    <row r="882" spans="1:11" x14ac:dyDescent="0.3">
      <c r="A882" s="3" t="s">
        <v>825</v>
      </c>
      <c r="B882" s="3" t="s">
        <v>32</v>
      </c>
      <c r="C882" s="3" t="str">
        <f t="shared" si="13"/>
        <v>450014008910</v>
      </c>
      <c r="D882" s="3" t="s">
        <v>722</v>
      </c>
      <c r="G882" s="3"/>
      <c r="H882" s="3"/>
      <c r="I882" s="3"/>
      <c r="J882" s="8"/>
      <c r="K882" s="3"/>
    </row>
    <row r="883" spans="1:11" x14ac:dyDescent="0.3">
      <c r="A883" s="3" t="s">
        <v>825</v>
      </c>
      <c r="B883" s="3" t="s">
        <v>28</v>
      </c>
      <c r="C883" s="3" t="str">
        <f t="shared" si="13"/>
        <v>450014008920</v>
      </c>
      <c r="D883" s="3" t="s">
        <v>722</v>
      </c>
      <c r="G883" s="3"/>
      <c r="H883" s="3"/>
      <c r="I883" s="3"/>
      <c r="J883" s="8"/>
      <c r="K883" s="3"/>
    </row>
    <row r="884" spans="1:11" x14ac:dyDescent="0.3">
      <c r="A884" s="3" t="s">
        <v>825</v>
      </c>
      <c r="B884" s="3" t="s">
        <v>54</v>
      </c>
      <c r="C884" s="3" t="str">
        <f t="shared" si="13"/>
        <v>450014008930</v>
      </c>
      <c r="D884" s="3" t="s">
        <v>722</v>
      </c>
      <c r="G884" s="3"/>
      <c r="H884" s="3"/>
      <c r="I884" s="3"/>
      <c r="J884" s="8"/>
      <c r="K884" s="3"/>
    </row>
    <row r="885" spans="1:11" x14ac:dyDescent="0.3">
      <c r="A885" s="3" t="s">
        <v>825</v>
      </c>
      <c r="B885" s="3" t="s">
        <v>23</v>
      </c>
      <c r="C885" s="3" t="str">
        <f t="shared" si="13"/>
        <v>450014008940</v>
      </c>
      <c r="D885" s="3" t="s">
        <v>722</v>
      </c>
      <c r="G885" s="3"/>
      <c r="H885" s="3"/>
      <c r="I885" s="3"/>
      <c r="J885" s="8"/>
      <c r="K885" s="3"/>
    </row>
    <row r="886" spans="1:11" x14ac:dyDescent="0.3">
      <c r="A886" s="3" t="s">
        <v>763</v>
      </c>
      <c r="B886" s="3" t="s">
        <v>32</v>
      </c>
      <c r="C886" s="3" t="str">
        <f t="shared" si="13"/>
        <v>450014006510</v>
      </c>
      <c r="D886" s="3" t="s">
        <v>722</v>
      </c>
      <c r="G886" s="3"/>
      <c r="H886" s="3"/>
      <c r="I886" s="3"/>
      <c r="J886" s="8"/>
      <c r="K886" s="3"/>
    </row>
    <row r="887" spans="1:11" x14ac:dyDescent="0.3">
      <c r="A887" s="3" t="s">
        <v>823</v>
      </c>
      <c r="B887" s="3" t="s">
        <v>32</v>
      </c>
      <c r="C887" s="3" t="str">
        <f t="shared" si="13"/>
        <v>450014012910</v>
      </c>
      <c r="D887" s="3" t="s">
        <v>715</v>
      </c>
      <c r="G887" s="3"/>
      <c r="H887" s="3"/>
      <c r="I887" s="3"/>
      <c r="J887" s="8"/>
      <c r="K887" s="3"/>
    </row>
    <row r="888" spans="1:11" x14ac:dyDescent="0.3">
      <c r="A888" s="3" t="s">
        <v>829</v>
      </c>
      <c r="B888" s="3" t="s">
        <v>32</v>
      </c>
      <c r="C888" s="3" t="str">
        <f t="shared" si="13"/>
        <v>450014040310</v>
      </c>
      <c r="D888" s="3" t="s">
        <v>847</v>
      </c>
      <c r="G888" s="3"/>
      <c r="H888" s="3"/>
      <c r="I888" s="3"/>
      <c r="J888" s="8"/>
      <c r="K888" s="3"/>
    </row>
    <row r="889" spans="1:11" x14ac:dyDescent="0.3">
      <c r="A889" s="3" t="s">
        <v>829</v>
      </c>
      <c r="B889" s="3" t="s">
        <v>28</v>
      </c>
      <c r="C889" s="3" t="str">
        <f t="shared" si="13"/>
        <v>450014040320</v>
      </c>
      <c r="D889" s="3" t="s">
        <v>847</v>
      </c>
      <c r="G889" s="3"/>
      <c r="H889" s="3"/>
      <c r="I889" s="3"/>
      <c r="J889" s="8"/>
      <c r="K889" s="3"/>
    </row>
    <row r="890" spans="1:11" x14ac:dyDescent="0.3">
      <c r="A890" s="3" t="s">
        <v>829</v>
      </c>
      <c r="B890" s="3" t="s">
        <v>54</v>
      </c>
      <c r="C890" s="3" t="str">
        <f t="shared" si="13"/>
        <v>450014040330</v>
      </c>
      <c r="D890" s="3" t="s">
        <v>847</v>
      </c>
      <c r="G890" s="3"/>
      <c r="H890" s="3"/>
      <c r="I890" s="3"/>
      <c r="J890" s="8"/>
      <c r="K890" s="3"/>
    </row>
    <row r="891" spans="1:11" x14ac:dyDescent="0.3">
      <c r="A891" s="3" t="s">
        <v>829</v>
      </c>
      <c r="B891" s="3" t="s">
        <v>23</v>
      </c>
      <c r="C891" s="3" t="str">
        <f t="shared" si="13"/>
        <v>450014040340</v>
      </c>
      <c r="D891" s="3" t="s">
        <v>847</v>
      </c>
      <c r="G891" s="3"/>
      <c r="H891" s="3"/>
      <c r="I891" s="3"/>
      <c r="J891" s="8"/>
      <c r="K891" s="3"/>
    </row>
    <row r="892" spans="1:11" x14ac:dyDescent="0.3">
      <c r="A892" s="3" t="s">
        <v>761</v>
      </c>
      <c r="B892" s="3" t="s">
        <v>32</v>
      </c>
      <c r="C892" s="3" t="str">
        <f t="shared" ref="C892:C903" si="14">_xlfn.CONCAT(A892:B892)</f>
        <v>450014016410</v>
      </c>
      <c r="D892" s="3" t="s">
        <v>707</v>
      </c>
      <c r="G892" s="3"/>
      <c r="H892" s="3"/>
      <c r="I892" s="3"/>
      <c r="J892" s="8"/>
      <c r="K892" s="3"/>
    </row>
    <row r="893" spans="1:11" x14ac:dyDescent="0.3">
      <c r="A893" s="3" t="s">
        <v>787</v>
      </c>
      <c r="B893" s="3" t="s">
        <v>32</v>
      </c>
      <c r="C893" s="3" t="str">
        <f t="shared" si="14"/>
        <v>450014017410</v>
      </c>
      <c r="D893" s="3" t="s">
        <v>846</v>
      </c>
      <c r="G893" s="3"/>
      <c r="H893" s="3"/>
      <c r="I893" s="3"/>
      <c r="J893" s="8"/>
      <c r="K893" s="3"/>
    </row>
    <row r="894" spans="1:11" x14ac:dyDescent="0.3">
      <c r="A894" s="3" t="s">
        <v>783</v>
      </c>
      <c r="B894" s="3" t="s">
        <v>32</v>
      </c>
      <c r="C894" s="3" t="str">
        <f t="shared" si="14"/>
        <v>450014021110</v>
      </c>
      <c r="D894" s="3" t="s">
        <v>715</v>
      </c>
      <c r="G894" s="3"/>
      <c r="H894" s="3"/>
      <c r="I894" s="3"/>
      <c r="J894" s="8"/>
      <c r="K894" s="3"/>
    </row>
    <row r="895" spans="1:11" x14ac:dyDescent="0.3">
      <c r="A895" s="3" t="s">
        <v>783</v>
      </c>
      <c r="B895" s="3" t="s">
        <v>28</v>
      </c>
      <c r="C895" s="3" t="str">
        <f t="shared" si="14"/>
        <v>450014021120</v>
      </c>
      <c r="D895" s="3" t="s">
        <v>715</v>
      </c>
      <c r="G895" s="3"/>
      <c r="H895" s="3"/>
      <c r="I895" s="3"/>
      <c r="J895" s="8"/>
      <c r="K895" s="3"/>
    </row>
    <row r="896" spans="1:11" x14ac:dyDescent="0.3">
      <c r="A896" s="3" t="s">
        <v>783</v>
      </c>
      <c r="B896" s="3" t="s">
        <v>54</v>
      </c>
      <c r="C896" s="3" t="str">
        <f t="shared" si="14"/>
        <v>450014021130</v>
      </c>
      <c r="D896" s="3" t="s">
        <v>715</v>
      </c>
      <c r="G896" s="3"/>
      <c r="H896" s="3"/>
      <c r="I896" s="3"/>
      <c r="J896" s="8"/>
      <c r="K896" s="3"/>
    </row>
    <row r="897" spans="1:11" x14ac:dyDescent="0.3">
      <c r="A897" s="3" t="s">
        <v>783</v>
      </c>
      <c r="B897" s="3" t="s">
        <v>23</v>
      </c>
      <c r="C897" s="3" t="str">
        <f t="shared" si="14"/>
        <v>450014021140</v>
      </c>
      <c r="D897" s="3" t="s">
        <v>715</v>
      </c>
      <c r="G897" s="3"/>
      <c r="H897" s="3"/>
      <c r="I897" s="3"/>
      <c r="J897" s="8"/>
      <c r="K897" s="3"/>
    </row>
    <row r="898" spans="1:11" x14ac:dyDescent="0.3">
      <c r="A898" s="3" t="s">
        <v>738</v>
      </c>
      <c r="B898" s="3" t="s">
        <v>32</v>
      </c>
      <c r="C898" s="3" t="str">
        <f t="shared" si="14"/>
        <v>450013795410</v>
      </c>
      <c r="D898" s="3" t="s">
        <v>715</v>
      </c>
      <c r="G898" s="3"/>
      <c r="H898" s="3"/>
      <c r="I898" s="3"/>
      <c r="J898" s="8"/>
      <c r="K898" s="3"/>
    </row>
    <row r="899" spans="1:11" x14ac:dyDescent="0.3">
      <c r="A899" s="3" t="s">
        <v>781</v>
      </c>
      <c r="B899" s="3" t="s">
        <v>32</v>
      </c>
      <c r="C899" s="3" t="str">
        <f t="shared" si="14"/>
        <v>450014000310</v>
      </c>
      <c r="D899" s="3" t="s">
        <v>715</v>
      </c>
      <c r="G899" s="3"/>
      <c r="H899" s="3"/>
      <c r="I899" s="3"/>
      <c r="J899" s="8"/>
      <c r="K899" s="3"/>
    </row>
    <row r="900" spans="1:11" x14ac:dyDescent="0.3">
      <c r="A900" s="3" t="s">
        <v>889</v>
      </c>
      <c r="B900" s="3" t="s">
        <v>32</v>
      </c>
      <c r="C900" s="3" t="str">
        <f t="shared" si="14"/>
        <v>450013697410</v>
      </c>
      <c r="D900" s="3" t="s">
        <v>722</v>
      </c>
      <c r="G900" s="3"/>
      <c r="H900" s="3"/>
      <c r="I900" s="3"/>
      <c r="J900" s="8"/>
      <c r="K900" s="3"/>
    </row>
    <row r="901" spans="1:11" x14ac:dyDescent="0.3">
      <c r="A901" s="3" t="s">
        <v>889</v>
      </c>
      <c r="B901" s="3" t="s">
        <v>28</v>
      </c>
      <c r="C901" s="3" t="str">
        <f t="shared" si="14"/>
        <v>450013697420</v>
      </c>
      <c r="D901" s="3" t="s">
        <v>722</v>
      </c>
      <c r="G901" s="3"/>
      <c r="H901" s="3"/>
      <c r="I901" s="3"/>
      <c r="J901" s="8"/>
      <c r="K901" s="3"/>
    </row>
    <row r="902" spans="1:11" x14ac:dyDescent="0.3">
      <c r="A902" s="3" t="s">
        <v>889</v>
      </c>
      <c r="B902" s="3" t="s">
        <v>54</v>
      </c>
      <c r="C902" s="3" t="str">
        <f t="shared" si="14"/>
        <v>450013697430</v>
      </c>
      <c r="D902" s="3" t="s">
        <v>722</v>
      </c>
      <c r="G902" s="3"/>
      <c r="H902" s="3"/>
      <c r="I902" s="3"/>
      <c r="J902" s="8"/>
      <c r="K902" s="3"/>
    </row>
    <row r="903" spans="1:11" x14ac:dyDescent="0.3">
      <c r="A903" s="3" t="s">
        <v>887</v>
      </c>
      <c r="B903" s="3" t="s">
        <v>32</v>
      </c>
      <c r="C903" s="3" t="str">
        <f t="shared" si="14"/>
        <v>450014013210</v>
      </c>
      <c r="D903" s="3" t="s">
        <v>715</v>
      </c>
      <c r="G903" s="3"/>
      <c r="H903" s="3"/>
      <c r="I903" s="3"/>
      <c r="J903" s="8"/>
      <c r="K90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3407-1BDC-488C-8E27-CF78A97DF261}">
  <dimension ref="A1:F962"/>
  <sheetViews>
    <sheetView topLeftCell="A900" workbookViewId="0">
      <selection activeCell="D918" sqref="D918"/>
    </sheetView>
  </sheetViews>
  <sheetFormatPr baseColWidth="10" defaultRowHeight="14.4" x14ac:dyDescent="0.3"/>
  <cols>
    <col min="1" max="1" width="18" bestFit="1" customWidth="1"/>
    <col min="2" max="2" width="9" bestFit="1" customWidth="1"/>
    <col min="3" max="3" width="13.33203125" customWidth="1"/>
    <col min="4" max="5" width="17" bestFit="1" customWidth="1"/>
    <col min="6" max="6" width="47" bestFit="1" customWidth="1"/>
  </cols>
  <sheetData>
    <row r="1" spans="1:6" x14ac:dyDescent="0.3">
      <c r="A1" s="1" t="s">
        <v>13</v>
      </c>
      <c r="B1" s="1" t="s">
        <v>14</v>
      </c>
      <c r="C1" s="1" t="s">
        <v>582</v>
      </c>
      <c r="D1" s="1" t="s">
        <v>583</v>
      </c>
      <c r="E1" s="1" t="s">
        <v>584</v>
      </c>
      <c r="F1" s="1" t="s">
        <v>585</v>
      </c>
    </row>
    <row r="2" spans="1:6" x14ac:dyDescent="0.3">
      <c r="A2" s="3" t="s">
        <v>58</v>
      </c>
      <c r="B2" s="3" t="s">
        <v>23</v>
      </c>
      <c r="C2" s="3" t="str">
        <f>_xlfn.CONCAT(A2:B2)</f>
        <v>450012757340</v>
      </c>
      <c r="D2" s="4">
        <v>46537</v>
      </c>
      <c r="E2" s="3" t="s">
        <v>586</v>
      </c>
      <c r="F2" s="3" t="s">
        <v>587</v>
      </c>
    </row>
    <row r="3" spans="1:6" x14ac:dyDescent="0.3">
      <c r="A3" s="3" t="s">
        <v>529</v>
      </c>
      <c r="B3" s="3" t="s">
        <v>32</v>
      </c>
      <c r="C3" s="3" t="str">
        <f t="shared" ref="C3:C66" si="0">_xlfn.CONCAT(A3:B3)</f>
        <v>450013118210</v>
      </c>
      <c r="D3" s="4">
        <v>46387</v>
      </c>
      <c r="E3" s="3" t="s">
        <v>586</v>
      </c>
      <c r="F3" s="3" t="s">
        <v>588</v>
      </c>
    </row>
    <row r="4" spans="1:6" x14ac:dyDescent="0.3">
      <c r="A4" s="3" t="s">
        <v>90</v>
      </c>
      <c r="B4" s="3" t="s">
        <v>32</v>
      </c>
      <c r="C4" s="3" t="str">
        <f t="shared" si="0"/>
        <v>450012775710</v>
      </c>
      <c r="D4" s="4">
        <v>46356</v>
      </c>
      <c r="E4" s="3" t="s">
        <v>589</v>
      </c>
      <c r="F4" s="3" t="s">
        <v>590</v>
      </c>
    </row>
    <row r="5" spans="1:6" x14ac:dyDescent="0.3">
      <c r="A5" s="3" t="s">
        <v>546</v>
      </c>
      <c r="B5" s="3" t="s">
        <v>32</v>
      </c>
      <c r="C5" s="3" t="str">
        <f t="shared" si="0"/>
        <v>450013924610</v>
      </c>
      <c r="D5" s="4">
        <v>46466</v>
      </c>
      <c r="E5" s="3" t="s">
        <v>586</v>
      </c>
      <c r="F5" s="3" t="s">
        <v>591</v>
      </c>
    </row>
    <row r="6" spans="1:6" x14ac:dyDescent="0.3">
      <c r="A6" s="3" t="s">
        <v>537</v>
      </c>
      <c r="B6" s="3" t="s">
        <v>55</v>
      </c>
      <c r="C6" s="3" t="str">
        <f t="shared" si="0"/>
        <v>450013974250</v>
      </c>
      <c r="D6" s="4">
        <v>46318</v>
      </c>
      <c r="E6" s="3" t="s">
        <v>592</v>
      </c>
      <c r="F6" s="3" t="s">
        <v>593</v>
      </c>
    </row>
    <row r="7" spans="1:6" x14ac:dyDescent="0.3">
      <c r="A7" s="3" t="s">
        <v>93</v>
      </c>
      <c r="B7" s="3" t="s">
        <v>32</v>
      </c>
      <c r="C7" s="3" t="str">
        <f t="shared" si="0"/>
        <v>450012927810</v>
      </c>
      <c r="D7" s="4">
        <v>46387</v>
      </c>
      <c r="E7" s="3" t="s">
        <v>586</v>
      </c>
      <c r="F7" s="3" t="s">
        <v>594</v>
      </c>
    </row>
    <row r="8" spans="1:6" x14ac:dyDescent="0.3">
      <c r="A8" s="3" t="s">
        <v>494</v>
      </c>
      <c r="B8" s="3" t="s">
        <v>32</v>
      </c>
      <c r="C8" s="3" t="str">
        <f t="shared" si="0"/>
        <v>450013874810</v>
      </c>
      <c r="D8" s="4">
        <v>46300</v>
      </c>
      <c r="E8" s="3" t="s">
        <v>595</v>
      </c>
      <c r="F8" s="3" t="s">
        <v>596</v>
      </c>
    </row>
    <row r="9" spans="1:6" x14ac:dyDescent="0.3">
      <c r="A9" s="3" t="s">
        <v>529</v>
      </c>
      <c r="B9" s="3" t="s">
        <v>28</v>
      </c>
      <c r="C9" s="3" t="str">
        <f t="shared" si="0"/>
        <v>450013118220</v>
      </c>
      <c r="D9" s="4">
        <v>46387</v>
      </c>
      <c r="E9" s="3" t="s">
        <v>586</v>
      </c>
      <c r="F9" s="3" t="s">
        <v>588</v>
      </c>
    </row>
    <row r="10" spans="1:6" x14ac:dyDescent="0.3">
      <c r="A10" s="3" t="s">
        <v>138</v>
      </c>
      <c r="B10" s="3" t="s">
        <v>55</v>
      </c>
      <c r="C10" s="3" t="str">
        <f t="shared" si="0"/>
        <v>450013988450</v>
      </c>
      <c r="D10" s="4">
        <v>46300</v>
      </c>
      <c r="E10" s="3" t="s">
        <v>597</v>
      </c>
      <c r="F10" s="3" t="s">
        <v>598</v>
      </c>
    </row>
    <row r="11" spans="1:6" x14ac:dyDescent="0.3">
      <c r="A11" s="3" t="s">
        <v>143</v>
      </c>
      <c r="B11" s="3" t="s">
        <v>82</v>
      </c>
      <c r="C11" s="3" t="str">
        <f t="shared" si="0"/>
        <v>450013962380</v>
      </c>
      <c r="D11" s="4">
        <v>46318</v>
      </c>
      <c r="E11" s="3" t="s">
        <v>592</v>
      </c>
      <c r="F11" s="3" t="s">
        <v>593</v>
      </c>
    </row>
    <row r="12" spans="1:6" x14ac:dyDescent="0.3">
      <c r="A12" s="3" t="s">
        <v>90</v>
      </c>
      <c r="B12" s="3" t="s">
        <v>23</v>
      </c>
      <c r="C12" s="3" t="str">
        <f t="shared" si="0"/>
        <v>450012775740</v>
      </c>
      <c r="D12" s="4">
        <v>46356</v>
      </c>
      <c r="E12" s="3" t="s">
        <v>589</v>
      </c>
      <c r="F12" s="3" t="s">
        <v>590</v>
      </c>
    </row>
    <row r="13" spans="1:6" x14ac:dyDescent="0.3">
      <c r="A13" s="3" t="s">
        <v>537</v>
      </c>
      <c r="B13" s="3" t="s">
        <v>54</v>
      </c>
      <c r="C13" s="3" t="str">
        <f t="shared" si="0"/>
        <v>450013974230</v>
      </c>
      <c r="D13" s="4">
        <v>46318</v>
      </c>
      <c r="E13" s="3" t="s">
        <v>592</v>
      </c>
      <c r="F13" s="3" t="s">
        <v>593</v>
      </c>
    </row>
    <row r="14" spans="1:6" x14ac:dyDescent="0.3">
      <c r="A14" s="3" t="s">
        <v>143</v>
      </c>
      <c r="B14" s="3" t="s">
        <v>66</v>
      </c>
      <c r="C14" s="3" t="str">
        <f t="shared" si="0"/>
        <v>4500139623140</v>
      </c>
      <c r="D14" s="4">
        <v>46318</v>
      </c>
      <c r="E14" s="3" t="s">
        <v>592</v>
      </c>
      <c r="F14" s="3" t="s">
        <v>593</v>
      </c>
    </row>
    <row r="15" spans="1:6" x14ac:dyDescent="0.3">
      <c r="A15" s="3" t="s">
        <v>143</v>
      </c>
      <c r="B15" s="3" t="s">
        <v>80</v>
      </c>
      <c r="C15" s="3" t="str">
        <f t="shared" si="0"/>
        <v>450013962360</v>
      </c>
      <c r="D15" s="4">
        <v>46318</v>
      </c>
      <c r="E15" s="3" t="s">
        <v>592</v>
      </c>
      <c r="F15" s="3" t="s">
        <v>593</v>
      </c>
    </row>
    <row r="16" spans="1:6" x14ac:dyDescent="0.3">
      <c r="A16" s="3" t="s">
        <v>537</v>
      </c>
      <c r="B16" s="3" t="s">
        <v>80</v>
      </c>
      <c r="C16" s="3" t="str">
        <f t="shared" si="0"/>
        <v>450013974260</v>
      </c>
      <c r="D16" s="4">
        <v>46318</v>
      </c>
      <c r="E16" s="3" t="s">
        <v>592</v>
      </c>
      <c r="F16" s="3" t="s">
        <v>593</v>
      </c>
    </row>
    <row r="17" spans="1:6" x14ac:dyDescent="0.3">
      <c r="A17" s="3" t="s">
        <v>504</v>
      </c>
      <c r="B17" s="3" t="s">
        <v>23</v>
      </c>
      <c r="C17" s="3" t="str">
        <f t="shared" si="0"/>
        <v>450013975640</v>
      </c>
      <c r="D17" s="4">
        <v>46311</v>
      </c>
      <c r="E17" s="3" t="s">
        <v>599</v>
      </c>
      <c r="F17" s="3" t="s">
        <v>600</v>
      </c>
    </row>
    <row r="18" spans="1:6" x14ac:dyDescent="0.3">
      <c r="A18" s="3" t="s">
        <v>143</v>
      </c>
      <c r="B18" s="3" t="s">
        <v>65</v>
      </c>
      <c r="C18" s="3" t="str">
        <f t="shared" si="0"/>
        <v>4500139623130</v>
      </c>
      <c r="D18" s="4">
        <v>46318</v>
      </c>
      <c r="E18" s="3" t="s">
        <v>592</v>
      </c>
      <c r="F18" s="3" t="s">
        <v>593</v>
      </c>
    </row>
    <row r="19" spans="1:6" x14ac:dyDescent="0.3">
      <c r="A19" s="3" t="s">
        <v>90</v>
      </c>
      <c r="B19" s="3" t="s">
        <v>85</v>
      </c>
      <c r="C19" s="3" t="str">
        <f t="shared" si="0"/>
        <v>4500127757110</v>
      </c>
      <c r="D19" s="4">
        <v>46356</v>
      </c>
      <c r="E19" s="3" t="s">
        <v>589</v>
      </c>
      <c r="F19" s="3" t="s">
        <v>590</v>
      </c>
    </row>
    <row r="20" spans="1:6" x14ac:dyDescent="0.3">
      <c r="A20" s="3" t="s">
        <v>90</v>
      </c>
      <c r="B20" s="3" t="s">
        <v>28</v>
      </c>
      <c r="C20" s="3" t="str">
        <f t="shared" si="0"/>
        <v>450012775720</v>
      </c>
      <c r="D20" s="4">
        <v>46356</v>
      </c>
      <c r="E20" s="3" t="s">
        <v>589</v>
      </c>
      <c r="F20" s="3" t="s">
        <v>590</v>
      </c>
    </row>
    <row r="21" spans="1:6" x14ac:dyDescent="0.3">
      <c r="A21" s="3" t="s">
        <v>90</v>
      </c>
      <c r="B21" s="3" t="s">
        <v>80</v>
      </c>
      <c r="C21" s="3" t="str">
        <f t="shared" si="0"/>
        <v>450012775760</v>
      </c>
      <c r="D21" s="4">
        <v>46356</v>
      </c>
      <c r="E21" s="3" t="s">
        <v>589</v>
      </c>
      <c r="F21" s="3" t="s">
        <v>590</v>
      </c>
    </row>
    <row r="22" spans="1:6" x14ac:dyDescent="0.3">
      <c r="A22" s="3" t="s">
        <v>143</v>
      </c>
      <c r="B22" s="3" t="s">
        <v>32</v>
      </c>
      <c r="C22" s="3" t="str">
        <f t="shared" si="0"/>
        <v>450013962310</v>
      </c>
      <c r="D22" s="4">
        <v>46318</v>
      </c>
      <c r="E22" s="3" t="s">
        <v>592</v>
      </c>
      <c r="F22" s="3" t="s">
        <v>593</v>
      </c>
    </row>
    <row r="23" spans="1:6" x14ac:dyDescent="0.3">
      <c r="A23" s="3" t="s">
        <v>145</v>
      </c>
      <c r="B23" s="3" t="s">
        <v>28</v>
      </c>
      <c r="C23" s="3" t="str">
        <f t="shared" si="0"/>
        <v>450013628420</v>
      </c>
      <c r="D23" s="4">
        <v>46276</v>
      </c>
      <c r="E23" s="3" t="s">
        <v>592</v>
      </c>
      <c r="F23" s="3" t="s">
        <v>593</v>
      </c>
    </row>
    <row r="24" spans="1:6" x14ac:dyDescent="0.3">
      <c r="A24" s="3" t="s">
        <v>537</v>
      </c>
      <c r="B24" s="3" t="s">
        <v>81</v>
      </c>
      <c r="C24" s="3" t="str">
        <f t="shared" si="0"/>
        <v>450013974270</v>
      </c>
      <c r="D24" s="4">
        <v>46318</v>
      </c>
      <c r="E24" s="3" t="s">
        <v>592</v>
      </c>
      <c r="F24" s="3" t="s">
        <v>593</v>
      </c>
    </row>
    <row r="25" spans="1:6" x14ac:dyDescent="0.3">
      <c r="A25" s="3" t="s">
        <v>509</v>
      </c>
      <c r="B25" s="3" t="s">
        <v>91</v>
      </c>
      <c r="C25" s="3" t="str">
        <f t="shared" si="0"/>
        <v>4500139775190</v>
      </c>
      <c r="D25" s="4">
        <v>46301</v>
      </c>
      <c r="E25" s="3" t="s">
        <v>597</v>
      </c>
      <c r="F25" s="3" t="s">
        <v>593</v>
      </c>
    </row>
    <row r="26" spans="1:6" x14ac:dyDescent="0.3">
      <c r="A26" s="3" t="s">
        <v>143</v>
      </c>
      <c r="B26" s="3" t="s">
        <v>87</v>
      </c>
      <c r="C26" s="3" t="str">
        <f t="shared" si="0"/>
        <v>4500139623150</v>
      </c>
      <c r="D26" s="4">
        <v>46318</v>
      </c>
      <c r="E26" s="3" t="s">
        <v>592</v>
      </c>
      <c r="F26" s="3" t="s">
        <v>593</v>
      </c>
    </row>
    <row r="27" spans="1:6" x14ac:dyDescent="0.3">
      <c r="A27" s="3" t="s">
        <v>90</v>
      </c>
      <c r="B27" s="3" t="s">
        <v>54</v>
      </c>
      <c r="C27" s="3" t="str">
        <f t="shared" si="0"/>
        <v>450012775730</v>
      </c>
      <c r="D27" s="4">
        <v>46356</v>
      </c>
      <c r="E27" s="3" t="s">
        <v>589</v>
      </c>
      <c r="F27" s="3" t="s">
        <v>590</v>
      </c>
    </row>
    <row r="28" spans="1:6" x14ac:dyDescent="0.3">
      <c r="A28" s="3" t="s">
        <v>510</v>
      </c>
      <c r="B28" s="3" t="s">
        <v>84</v>
      </c>
      <c r="C28" s="3" t="str">
        <f t="shared" si="0"/>
        <v>4500139791100</v>
      </c>
      <c r="D28" s="4">
        <v>46303</v>
      </c>
      <c r="E28" s="3" t="s">
        <v>597</v>
      </c>
      <c r="F28" s="3" t="s">
        <v>600</v>
      </c>
    </row>
    <row r="29" spans="1:6" x14ac:dyDescent="0.3">
      <c r="A29" s="3" t="s">
        <v>138</v>
      </c>
      <c r="B29" s="3" t="s">
        <v>54</v>
      </c>
      <c r="C29" s="3" t="str">
        <f t="shared" si="0"/>
        <v>450013988430</v>
      </c>
      <c r="D29" s="4">
        <v>46300</v>
      </c>
      <c r="E29" s="3" t="s">
        <v>597</v>
      </c>
      <c r="F29" s="3" t="s">
        <v>598</v>
      </c>
    </row>
    <row r="30" spans="1:6" x14ac:dyDescent="0.3">
      <c r="A30" s="3" t="s">
        <v>90</v>
      </c>
      <c r="B30" s="3" t="s">
        <v>83</v>
      </c>
      <c r="C30" s="3" t="str">
        <f t="shared" si="0"/>
        <v>450012775790</v>
      </c>
      <c r="D30" s="4">
        <v>46356</v>
      </c>
      <c r="E30" s="3" t="s">
        <v>589</v>
      </c>
      <c r="F30" s="3" t="s">
        <v>590</v>
      </c>
    </row>
    <row r="31" spans="1:6" x14ac:dyDescent="0.3">
      <c r="A31" s="3" t="s">
        <v>521</v>
      </c>
      <c r="B31" s="3" t="s">
        <v>32</v>
      </c>
      <c r="C31" s="3" t="str">
        <f t="shared" si="0"/>
        <v>450013481110</v>
      </c>
      <c r="D31" s="4">
        <v>46630</v>
      </c>
      <c r="E31" s="3" t="s">
        <v>586</v>
      </c>
      <c r="F31" s="3" t="s">
        <v>601</v>
      </c>
    </row>
    <row r="32" spans="1:6" x14ac:dyDescent="0.3">
      <c r="A32" s="3" t="s">
        <v>554</v>
      </c>
      <c r="B32" s="3" t="s">
        <v>32</v>
      </c>
      <c r="C32" s="3" t="str">
        <f t="shared" si="0"/>
        <v>450014001410</v>
      </c>
      <c r="D32" s="4">
        <v>46309</v>
      </c>
      <c r="E32" s="3" t="s">
        <v>602</v>
      </c>
      <c r="F32" s="3" t="s">
        <v>603</v>
      </c>
    </row>
    <row r="33" spans="1:6" x14ac:dyDescent="0.3">
      <c r="A33" s="3" t="s">
        <v>38</v>
      </c>
      <c r="B33" s="3" t="s">
        <v>39</v>
      </c>
      <c r="C33" s="3" t="str">
        <f t="shared" si="0"/>
        <v>4500111062390</v>
      </c>
      <c r="D33" s="4">
        <v>45968</v>
      </c>
      <c r="E33" s="3" t="s">
        <v>604</v>
      </c>
      <c r="F33" s="3" t="s">
        <v>605</v>
      </c>
    </row>
    <row r="34" spans="1:6" x14ac:dyDescent="0.3">
      <c r="A34" s="3" t="s">
        <v>58</v>
      </c>
      <c r="B34" s="3" t="s">
        <v>32</v>
      </c>
      <c r="C34" s="3" t="str">
        <f t="shared" si="0"/>
        <v>450012757310</v>
      </c>
      <c r="D34" s="4">
        <v>46537</v>
      </c>
      <c r="E34" s="3" t="s">
        <v>586</v>
      </c>
      <c r="F34" s="3" t="s">
        <v>587</v>
      </c>
    </row>
    <row r="35" spans="1:6" x14ac:dyDescent="0.3">
      <c r="A35" s="3" t="s">
        <v>58</v>
      </c>
      <c r="B35" s="3" t="s">
        <v>28</v>
      </c>
      <c r="C35" s="3" t="str">
        <f t="shared" si="0"/>
        <v>450012757320</v>
      </c>
      <c r="D35" s="4">
        <v>46537</v>
      </c>
      <c r="E35" s="3" t="s">
        <v>586</v>
      </c>
      <c r="F35" s="3" t="s">
        <v>587</v>
      </c>
    </row>
    <row r="36" spans="1:6" x14ac:dyDescent="0.3">
      <c r="A36" s="3" t="s">
        <v>58</v>
      </c>
      <c r="B36" s="3" t="s">
        <v>54</v>
      </c>
      <c r="C36" s="3" t="str">
        <f t="shared" si="0"/>
        <v>450012757330</v>
      </c>
      <c r="D36" s="4">
        <v>46537</v>
      </c>
      <c r="E36" s="3" t="s">
        <v>586</v>
      </c>
      <c r="F36" s="3" t="s">
        <v>587</v>
      </c>
    </row>
    <row r="37" spans="1:6" x14ac:dyDescent="0.3">
      <c r="A37" s="3" t="s">
        <v>90</v>
      </c>
      <c r="B37" s="3" t="s">
        <v>82</v>
      </c>
      <c r="C37" s="3" t="str">
        <f t="shared" si="0"/>
        <v>450012775780</v>
      </c>
      <c r="D37" s="4">
        <v>46356</v>
      </c>
      <c r="E37" s="3" t="s">
        <v>589</v>
      </c>
      <c r="F37" s="3" t="s">
        <v>590</v>
      </c>
    </row>
    <row r="38" spans="1:6" x14ac:dyDescent="0.3">
      <c r="A38" s="3" t="s">
        <v>95</v>
      </c>
      <c r="B38" s="3" t="s">
        <v>32</v>
      </c>
      <c r="C38" s="3" t="str">
        <f t="shared" si="0"/>
        <v>450012855510</v>
      </c>
      <c r="D38" s="4">
        <v>46520</v>
      </c>
      <c r="E38" s="3" t="s">
        <v>586</v>
      </c>
      <c r="F38" s="3" t="s">
        <v>606</v>
      </c>
    </row>
    <row r="39" spans="1:6" x14ac:dyDescent="0.3">
      <c r="A39" s="3" t="s">
        <v>429</v>
      </c>
      <c r="B39" s="3" t="s">
        <v>85</v>
      </c>
      <c r="C39" s="3" t="str">
        <f t="shared" si="0"/>
        <v>4500137794110</v>
      </c>
      <c r="D39" s="4">
        <v>46284</v>
      </c>
      <c r="E39" s="3" t="s">
        <v>597</v>
      </c>
      <c r="F39" s="3" t="s">
        <v>603</v>
      </c>
    </row>
    <row r="40" spans="1:6" x14ac:dyDescent="0.3">
      <c r="A40" s="3" t="s">
        <v>482</v>
      </c>
      <c r="B40" s="3" t="s">
        <v>55</v>
      </c>
      <c r="C40" s="3" t="str">
        <f t="shared" si="0"/>
        <v>450013951850</v>
      </c>
      <c r="D40" s="4">
        <v>46302</v>
      </c>
      <c r="E40" s="3" t="s">
        <v>604</v>
      </c>
      <c r="F40" s="3" t="s">
        <v>607</v>
      </c>
    </row>
    <row r="41" spans="1:6" x14ac:dyDescent="0.3">
      <c r="A41" s="3" t="s">
        <v>138</v>
      </c>
      <c r="B41" s="3" t="s">
        <v>23</v>
      </c>
      <c r="C41" s="3" t="str">
        <f t="shared" si="0"/>
        <v>450013988440</v>
      </c>
      <c r="D41" s="4">
        <v>46300</v>
      </c>
      <c r="E41" s="3" t="s">
        <v>597</v>
      </c>
      <c r="F41" s="3" t="s">
        <v>598</v>
      </c>
    </row>
    <row r="42" spans="1:6" x14ac:dyDescent="0.3">
      <c r="A42" s="3" t="s">
        <v>90</v>
      </c>
      <c r="B42" s="3" t="s">
        <v>81</v>
      </c>
      <c r="C42" s="3" t="str">
        <f t="shared" si="0"/>
        <v>450012775770</v>
      </c>
      <c r="D42" s="4">
        <v>46356</v>
      </c>
      <c r="E42" s="3" t="s">
        <v>589</v>
      </c>
      <c r="F42" s="3" t="s">
        <v>590</v>
      </c>
    </row>
    <row r="43" spans="1:6" x14ac:dyDescent="0.3">
      <c r="A43" s="3" t="s">
        <v>480</v>
      </c>
      <c r="B43" s="3" t="s">
        <v>32</v>
      </c>
      <c r="C43" s="3" t="str">
        <f t="shared" si="0"/>
        <v>450013011110</v>
      </c>
      <c r="D43" s="4">
        <v>46446</v>
      </c>
      <c r="E43" s="3" t="s">
        <v>608</v>
      </c>
      <c r="F43" s="3" t="s">
        <v>609</v>
      </c>
    </row>
    <row r="44" spans="1:6" x14ac:dyDescent="0.3">
      <c r="A44" s="3" t="s">
        <v>76</v>
      </c>
      <c r="B44" s="3" t="s">
        <v>32</v>
      </c>
      <c r="C44" s="3" t="str">
        <f t="shared" si="0"/>
        <v>450013441310</v>
      </c>
      <c r="D44" s="4">
        <v>46387</v>
      </c>
      <c r="E44" s="3" t="s">
        <v>610</v>
      </c>
      <c r="F44" s="3" t="s">
        <v>609</v>
      </c>
    </row>
    <row r="45" spans="1:6" x14ac:dyDescent="0.3">
      <c r="A45" s="3" t="s">
        <v>523</v>
      </c>
      <c r="B45" s="3" t="s">
        <v>32</v>
      </c>
      <c r="C45" s="3" t="str">
        <f t="shared" si="0"/>
        <v>450013467310</v>
      </c>
      <c r="D45" s="4">
        <v>46447</v>
      </c>
      <c r="E45" s="3" t="s">
        <v>586</v>
      </c>
      <c r="F45" s="3" t="s">
        <v>601</v>
      </c>
    </row>
    <row r="46" spans="1:6" x14ac:dyDescent="0.3">
      <c r="A46" s="3" t="s">
        <v>42</v>
      </c>
      <c r="B46" s="3" t="s">
        <v>44</v>
      </c>
      <c r="C46" s="3" t="str">
        <f t="shared" si="0"/>
        <v>4500111070220</v>
      </c>
      <c r="D46" s="4">
        <v>45971</v>
      </c>
      <c r="E46" s="3" t="s">
        <v>604</v>
      </c>
      <c r="F46" s="3" t="s">
        <v>605</v>
      </c>
    </row>
    <row r="47" spans="1:6" x14ac:dyDescent="0.3">
      <c r="A47" s="3" t="s">
        <v>519</v>
      </c>
      <c r="B47" s="3" t="s">
        <v>32</v>
      </c>
      <c r="C47" s="3" t="str">
        <f t="shared" si="0"/>
        <v>450011908310</v>
      </c>
      <c r="D47" s="4">
        <v>46447</v>
      </c>
      <c r="E47" s="3" t="s">
        <v>586</v>
      </c>
      <c r="F47" s="3" t="s">
        <v>601</v>
      </c>
    </row>
    <row r="48" spans="1:6" x14ac:dyDescent="0.3">
      <c r="A48" s="3" t="s">
        <v>519</v>
      </c>
      <c r="B48" s="3" t="s">
        <v>28</v>
      </c>
      <c r="C48" s="3" t="str">
        <f t="shared" si="0"/>
        <v>450011908320</v>
      </c>
      <c r="D48" s="4">
        <v>46447</v>
      </c>
      <c r="E48" s="3" t="s">
        <v>586</v>
      </c>
      <c r="F48" s="3" t="s">
        <v>601</v>
      </c>
    </row>
    <row r="49" spans="1:6" x14ac:dyDescent="0.3">
      <c r="A49" s="3" t="s">
        <v>485</v>
      </c>
      <c r="B49" s="3" t="s">
        <v>81</v>
      </c>
      <c r="C49" s="3" t="str">
        <f t="shared" si="0"/>
        <v>450013918570</v>
      </c>
      <c r="D49" s="4">
        <v>46337</v>
      </c>
      <c r="E49" s="3" t="s">
        <v>611</v>
      </c>
      <c r="F49" s="3" t="s">
        <v>612</v>
      </c>
    </row>
    <row r="50" spans="1:6" x14ac:dyDescent="0.3">
      <c r="A50" s="3" t="s">
        <v>571</v>
      </c>
      <c r="B50" s="3" t="s">
        <v>32</v>
      </c>
      <c r="C50" s="3" t="str">
        <f t="shared" si="0"/>
        <v>450013974810</v>
      </c>
      <c r="D50" s="4">
        <v>46305</v>
      </c>
      <c r="E50" s="3" t="s">
        <v>595</v>
      </c>
      <c r="F50" s="3" t="s">
        <v>613</v>
      </c>
    </row>
    <row r="51" spans="1:6" x14ac:dyDescent="0.3">
      <c r="A51" s="3" t="s">
        <v>90</v>
      </c>
      <c r="B51" s="3" t="s">
        <v>65</v>
      </c>
      <c r="C51" s="3" t="str">
        <f t="shared" si="0"/>
        <v>4500127757130</v>
      </c>
      <c r="D51" s="4">
        <v>46356</v>
      </c>
      <c r="E51" s="3" t="s">
        <v>589</v>
      </c>
      <c r="F51" s="3" t="s">
        <v>590</v>
      </c>
    </row>
    <row r="52" spans="1:6" x14ac:dyDescent="0.3">
      <c r="A52" s="3" t="s">
        <v>90</v>
      </c>
      <c r="B52" s="3" t="s">
        <v>87</v>
      </c>
      <c r="C52" s="3" t="str">
        <f t="shared" si="0"/>
        <v>4500127757150</v>
      </c>
      <c r="D52" s="4">
        <v>46356</v>
      </c>
      <c r="E52" s="3" t="s">
        <v>589</v>
      </c>
      <c r="F52" s="3" t="s">
        <v>590</v>
      </c>
    </row>
    <row r="53" spans="1:6" x14ac:dyDescent="0.3">
      <c r="A53" s="3" t="s">
        <v>90</v>
      </c>
      <c r="B53" s="3" t="s">
        <v>88</v>
      </c>
      <c r="C53" s="3" t="str">
        <f t="shared" si="0"/>
        <v>4500127757160</v>
      </c>
      <c r="D53" s="4">
        <v>46356</v>
      </c>
      <c r="E53" s="3" t="s">
        <v>589</v>
      </c>
      <c r="F53" s="3" t="s">
        <v>590</v>
      </c>
    </row>
    <row r="54" spans="1:6" x14ac:dyDescent="0.3">
      <c r="A54" s="3" t="s">
        <v>90</v>
      </c>
      <c r="B54" s="3" t="s">
        <v>67</v>
      </c>
      <c r="C54" s="3" t="str">
        <f t="shared" si="0"/>
        <v>4500127757170</v>
      </c>
      <c r="D54" s="4">
        <v>46356</v>
      </c>
      <c r="E54" s="3" t="s">
        <v>589</v>
      </c>
      <c r="F54" s="3" t="s">
        <v>590</v>
      </c>
    </row>
    <row r="55" spans="1:6" x14ac:dyDescent="0.3">
      <c r="A55" s="3" t="s">
        <v>22</v>
      </c>
      <c r="B55" s="3" t="s">
        <v>23</v>
      </c>
      <c r="C55" s="3" t="str">
        <f t="shared" si="0"/>
        <v>450011066540</v>
      </c>
      <c r="D55" s="4">
        <v>45959</v>
      </c>
      <c r="E55" s="3" t="s">
        <v>604</v>
      </c>
      <c r="F55" s="3" t="s">
        <v>614</v>
      </c>
    </row>
    <row r="56" spans="1:6" x14ac:dyDescent="0.3">
      <c r="A56" s="3" t="s">
        <v>42</v>
      </c>
      <c r="B56" s="3" t="s">
        <v>43</v>
      </c>
      <c r="C56" s="3" t="str">
        <f t="shared" si="0"/>
        <v>4500111070210</v>
      </c>
      <c r="D56" s="4">
        <v>45971</v>
      </c>
      <c r="E56" s="3" t="s">
        <v>604</v>
      </c>
      <c r="F56" s="3" t="s">
        <v>605</v>
      </c>
    </row>
    <row r="57" spans="1:6" x14ac:dyDescent="0.3">
      <c r="A57" s="3" t="s">
        <v>346</v>
      </c>
      <c r="B57" s="3" t="s">
        <v>54</v>
      </c>
      <c r="C57" s="3" t="str">
        <f t="shared" si="0"/>
        <v>450013225130</v>
      </c>
      <c r="D57" s="4">
        <v>46295</v>
      </c>
      <c r="E57" s="3" t="s">
        <v>615</v>
      </c>
      <c r="F57" s="3" t="s">
        <v>616</v>
      </c>
    </row>
    <row r="58" spans="1:6" x14ac:dyDescent="0.3">
      <c r="A58" s="3" t="s">
        <v>342</v>
      </c>
      <c r="B58" s="3" t="s">
        <v>32</v>
      </c>
      <c r="C58" s="3" t="str">
        <f t="shared" si="0"/>
        <v>450013271710</v>
      </c>
      <c r="D58" s="4">
        <v>46366</v>
      </c>
      <c r="E58" s="3" t="s">
        <v>586</v>
      </c>
      <c r="F58" s="3" t="s">
        <v>617</v>
      </c>
    </row>
    <row r="59" spans="1:6" x14ac:dyDescent="0.3">
      <c r="A59" s="3" t="s">
        <v>266</v>
      </c>
      <c r="B59" s="3" t="s">
        <v>155</v>
      </c>
      <c r="C59" s="3" t="str">
        <f t="shared" si="0"/>
        <v>4500134133440</v>
      </c>
      <c r="D59" s="4">
        <v>46244</v>
      </c>
      <c r="E59" s="3" t="s">
        <v>604</v>
      </c>
      <c r="F59" s="3" t="s">
        <v>607</v>
      </c>
    </row>
    <row r="60" spans="1:6" x14ac:dyDescent="0.3">
      <c r="A60" s="3" t="s">
        <v>294</v>
      </c>
      <c r="B60" s="3" t="s">
        <v>32</v>
      </c>
      <c r="C60" s="3" t="str">
        <f t="shared" si="0"/>
        <v>450013520510</v>
      </c>
      <c r="D60" s="4">
        <v>46254</v>
      </c>
      <c r="E60" s="3" t="s">
        <v>604</v>
      </c>
      <c r="F60" s="3" t="s">
        <v>607</v>
      </c>
    </row>
    <row r="61" spans="1:6" x14ac:dyDescent="0.3">
      <c r="A61" s="3" t="s">
        <v>485</v>
      </c>
      <c r="B61" s="3" t="s">
        <v>85</v>
      </c>
      <c r="C61" s="3" t="str">
        <f t="shared" si="0"/>
        <v>4500139185110</v>
      </c>
      <c r="D61" s="4">
        <v>46337</v>
      </c>
      <c r="E61" s="3" t="s">
        <v>611</v>
      </c>
      <c r="F61" s="3" t="s">
        <v>612</v>
      </c>
    </row>
    <row r="62" spans="1:6" x14ac:dyDescent="0.3">
      <c r="A62" s="3" t="s">
        <v>461</v>
      </c>
      <c r="B62" s="3" t="s">
        <v>32</v>
      </c>
      <c r="C62" s="3" t="str">
        <f t="shared" si="0"/>
        <v>450013930310</v>
      </c>
      <c r="D62" s="4">
        <v>46295</v>
      </c>
      <c r="E62" s="3" t="s">
        <v>618</v>
      </c>
      <c r="F62" s="3" t="s">
        <v>619</v>
      </c>
    </row>
    <row r="63" spans="1:6" x14ac:dyDescent="0.3">
      <c r="A63" s="3" t="s">
        <v>38</v>
      </c>
      <c r="B63" s="3" t="s">
        <v>40</v>
      </c>
      <c r="C63" s="3" t="str">
        <f t="shared" si="0"/>
        <v>4500111062470</v>
      </c>
      <c r="D63" s="4">
        <v>45968</v>
      </c>
      <c r="E63" s="3" t="s">
        <v>604</v>
      </c>
      <c r="F63" s="3" t="s">
        <v>605</v>
      </c>
    </row>
    <row r="64" spans="1:6" x14ac:dyDescent="0.3">
      <c r="A64" s="3" t="s">
        <v>90</v>
      </c>
      <c r="B64" s="3" t="s">
        <v>55</v>
      </c>
      <c r="C64" s="3" t="str">
        <f t="shared" si="0"/>
        <v>450012775750</v>
      </c>
      <c r="D64" s="4">
        <v>46356</v>
      </c>
      <c r="E64" s="3" t="s">
        <v>589</v>
      </c>
      <c r="F64" s="3" t="s">
        <v>590</v>
      </c>
    </row>
    <row r="65" spans="1:6" x14ac:dyDescent="0.3">
      <c r="A65" s="3" t="s">
        <v>225</v>
      </c>
      <c r="B65" s="3" t="s">
        <v>292</v>
      </c>
      <c r="C65" s="3" t="str">
        <f t="shared" si="0"/>
        <v>45001308791290</v>
      </c>
      <c r="D65" s="4">
        <v>46211</v>
      </c>
      <c r="E65" s="3" t="s">
        <v>604</v>
      </c>
      <c r="F65" s="3" t="s">
        <v>607</v>
      </c>
    </row>
    <row r="66" spans="1:6" x14ac:dyDescent="0.3">
      <c r="A66" s="3" t="s">
        <v>346</v>
      </c>
      <c r="B66" s="3" t="s">
        <v>23</v>
      </c>
      <c r="C66" s="3" t="str">
        <f t="shared" si="0"/>
        <v>450013225140</v>
      </c>
      <c r="D66" s="4">
        <v>46295</v>
      </c>
      <c r="E66" s="3" t="s">
        <v>615</v>
      </c>
      <c r="F66" s="3" t="s">
        <v>616</v>
      </c>
    </row>
    <row r="67" spans="1:6" x14ac:dyDescent="0.3">
      <c r="A67" s="3" t="s">
        <v>271</v>
      </c>
      <c r="B67" s="3" t="s">
        <v>238</v>
      </c>
      <c r="C67" s="3" t="str">
        <f t="shared" ref="C67:C130" si="1">_xlfn.CONCAT(A67:B67)</f>
        <v>4500134136810</v>
      </c>
      <c r="D67" s="4">
        <v>46235</v>
      </c>
      <c r="E67" s="3" t="s">
        <v>604</v>
      </c>
      <c r="F67" s="3" t="s">
        <v>607</v>
      </c>
    </row>
    <row r="68" spans="1:6" x14ac:dyDescent="0.3">
      <c r="A68" s="3" t="s">
        <v>271</v>
      </c>
      <c r="B68" s="3" t="s">
        <v>620</v>
      </c>
      <c r="C68" s="3" t="str">
        <f t="shared" si="1"/>
        <v>45001341361040</v>
      </c>
      <c r="D68" s="4">
        <v>46235</v>
      </c>
      <c r="E68" s="3" t="s">
        <v>604</v>
      </c>
      <c r="F68" s="3" t="s">
        <v>607</v>
      </c>
    </row>
    <row r="69" spans="1:6" x14ac:dyDescent="0.3">
      <c r="A69" s="3" t="s">
        <v>474</v>
      </c>
      <c r="B69" s="3" t="s">
        <v>55</v>
      </c>
      <c r="C69" s="3" t="str">
        <f t="shared" si="1"/>
        <v>450013912250</v>
      </c>
      <c r="D69" s="4">
        <v>46337</v>
      </c>
      <c r="E69" s="3" t="s">
        <v>611</v>
      </c>
      <c r="F69" s="3" t="s">
        <v>612</v>
      </c>
    </row>
    <row r="70" spans="1:6" x14ac:dyDescent="0.3">
      <c r="A70" s="3" t="s">
        <v>485</v>
      </c>
      <c r="B70" s="3" t="s">
        <v>54</v>
      </c>
      <c r="C70" s="3" t="str">
        <f t="shared" si="1"/>
        <v>450013918530</v>
      </c>
      <c r="D70" s="4">
        <v>46337</v>
      </c>
      <c r="E70" s="3" t="s">
        <v>611</v>
      </c>
      <c r="F70" s="3" t="s">
        <v>612</v>
      </c>
    </row>
    <row r="71" spans="1:6" x14ac:dyDescent="0.3">
      <c r="A71" s="3" t="s">
        <v>485</v>
      </c>
      <c r="B71" s="3" t="s">
        <v>80</v>
      </c>
      <c r="C71" s="3" t="str">
        <f t="shared" si="1"/>
        <v>450013918560</v>
      </c>
      <c r="D71" s="4">
        <v>46337</v>
      </c>
      <c r="E71" s="3" t="s">
        <v>611</v>
      </c>
      <c r="F71" s="3" t="s">
        <v>612</v>
      </c>
    </row>
    <row r="72" spans="1:6" x14ac:dyDescent="0.3">
      <c r="A72" s="3" t="s">
        <v>485</v>
      </c>
      <c r="B72" s="3" t="s">
        <v>82</v>
      </c>
      <c r="C72" s="3" t="str">
        <f t="shared" si="1"/>
        <v>450013918580</v>
      </c>
      <c r="D72" s="4">
        <v>46337</v>
      </c>
      <c r="E72" s="3" t="s">
        <v>611</v>
      </c>
      <c r="F72" s="3" t="s">
        <v>612</v>
      </c>
    </row>
    <row r="73" spans="1:6" x14ac:dyDescent="0.3">
      <c r="A73" s="3" t="s">
        <v>485</v>
      </c>
      <c r="B73" s="3" t="s">
        <v>84</v>
      </c>
      <c r="C73" s="3" t="str">
        <f t="shared" si="1"/>
        <v>4500139185100</v>
      </c>
      <c r="D73" s="4">
        <v>46337</v>
      </c>
      <c r="E73" s="3" t="s">
        <v>611</v>
      </c>
      <c r="F73" s="3" t="s">
        <v>612</v>
      </c>
    </row>
    <row r="74" spans="1:6" x14ac:dyDescent="0.3">
      <c r="A74" s="3" t="s">
        <v>483</v>
      </c>
      <c r="B74" s="3" t="s">
        <v>54</v>
      </c>
      <c r="C74" s="3" t="str">
        <f t="shared" si="1"/>
        <v>450013951330</v>
      </c>
      <c r="D74" s="4">
        <v>46304</v>
      </c>
      <c r="E74" s="3" t="s">
        <v>604</v>
      </c>
      <c r="F74" s="3" t="s">
        <v>607</v>
      </c>
    </row>
    <row r="75" spans="1:6" x14ac:dyDescent="0.3">
      <c r="A75" s="3" t="s">
        <v>482</v>
      </c>
      <c r="B75" s="3" t="s">
        <v>82</v>
      </c>
      <c r="C75" s="3" t="str">
        <f t="shared" si="1"/>
        <v>450013951880</v>
      </c>
      <c r="D75" s="4">
        <v>46313</v>
      </c>
      <c r="E75" s="3" t="s">
        <v>604</v>
      </c>
      <c r="F75" s="3" t="s">
        <v>607</v>
      </c>
    </row>
    <row r="76" spans="1:6" x14ac:dyDescent="0.3">
      <c r="A76" s="3" t="s">
        <v>90</v>
      </c>
      <c r="B76" s="3" t="s">
        <v>86</v>
      </c>
      <c r="C76" s="3" t="str">
        <f t="shared" si="1"/>
        <v>4500127757120</v>
      </c>
      <c r="D76" s="4">
        <v>46356</v>
      </c>
      <c r="E76" s="3" t="s">
        <v>589</v>
      </c>
      <c r="F76" s="3" t="s">
        <v>590</v>
      </c>
    </row>
    <row r="77" spans="1:6" x14ac:dyDescent="0.3">
      <c r="A77" s="3" t="s">
        <v>90</v>
      </c>
      <c r="B77" s="3" t="s">
        <v>66</v>
      </c>
      <c r="C77" s="3" t="str">
        <f t="shared" si="1"/>
        <v>4500127757140</v>
      </c>
      <c r="D77" s="4">
        <v>46356</v>
      </c>
      <c r="E77" s="3" t="s">
        <v>589</v>
      </c>
      <c r="F77" s="3" t="s">
        <v>590</v>
      </c>
    </row>
    <row r="78" spans="1:6" x14ac:dyDescent="0.3">
      <c r="A78" s="3" t="s">
        <v>90</v>
      </c>
      <c r="B78" s="3" t="s">
        <v>84</v>
      </c>
      <c r="C78" s="3" t="str">
        <f t="shared" si="1"/>
        <v>4500127757100</v>
      </c>
      <c r="D78" s="4">
        <v>46356</v>
      </c>
      <c r="E78" s="3" t="s">
        <v>589</v>
      </c>
      <c r="F78" s="3" t="s">
        <v>590</v>
      </c>
    </row>
    <row r="79" spans="1:6" x14ac:dyDescent="0.3">
      <c r="A79" s="3" t="s">
        <v>90</v>
      </c>
      <c r="B79" s="3" t="s">
        <v>91</v>
      </c>
      <c r="C79" s="3" t="str">
        <f t="shared" si="1"/>
        <v>4500127757190</v>
      </c>
      <c r="D79" s="4">
        <v>46356</v>
      </c>
      <c r="E79" s="3" t="s">
        <v>589</v>
      </c>
      <c r="F79" s="3" t="s">
        <v>590</v>
      </c>
    </row>
    <row r="80" spans="1:6" x14ac:dyDescent="0.3">
      <c r="A80" s="3" t="s">
        <v>90</v>
      </c>
      <c r="B80" s="3" t="s">
        <v>92</v>
      </c>
      <c r="C80" s="3" t="str">
        <f t="shared" si="1"/>
        <v>4500127757200</v>
      </c>
      <c r="D80" s="4">
        <v>46356</v>
      </c>
      <c r="E80" s="3" t="s">
        <v>589</v>
      </c>
      <c r="F80" s="3" t="s">
        <v>590</v>
      </c>
    </row>
    <row r="81" spans="1:6" x14ac:dyDescent="0.3">
      <c r="A81" s="3" t="s">
        <v>162</v>
      </c>
      <c r="B81" s="3" t="s">
        <v>32</v>
      </c>
      <c r="C81" s="3" t="str">
        <f t="shared" si="1"/>
        <v>450009174910</v>
      </c>
      <c r="D81" s="4">
        <v>45838</v>
      </c>
      <c r="E81" s="3" t="s">
        <v>608</v>
      </c>
      <c r="F81" s="3" t="s">
        <v>621</v>
      </c>
    </row>
    <row r="82" spans="1:6" x14ac:dyDescent="0.3">
      <c r="A82" s="3" t="s">
        <v>151</v>
      </c>
      <c r="B82" s="3" t="s">
        <v>32</v>
      </c>
      <c r="C82" s="3" t="str">
        <f t="shared" si="1"/>
        <v>450009886410</v>
      </c>
      <c r="D82" s="4">
        <v>45803</v>
      </c>
      <c r="E82" s="3" t="s">
        <v>611</v>
      </c>
      <c r="F82" s="3" t="s">
        <v>622</v>
      </c>
    </row>
    <row r="83" spans="1:6" x14ac:dyDescent="0.3">
      <c r="A83" s="3" t="s">
        <v>151</v>
      </c>
      <c r="B83" s="3" t="s">
        <v>86</v>
      </c>
      <c r="C83" s="3" t="str">
        <f t="shared" si="1"/>
        <v>4500098864120</v>
      </c>
      <c r="D83" s="4">
        <v>45803</v>
      </c>
      <c r="E83" s="3" t="s">
        <v>611</v>
      </c>
      <c r="F83" s="3" t="s">
        <v>622</v>
      </c>
    </row>
    <row r="84" spans="1:6" x14ac:dyDescent="0.3">
      <c r="A84" s="3" t="s">
        <v>35</v>
      </c>
      <c r="B84" s="3" t="s">
        <v>32</v>
      </c>
      <c r="C84" s="3" t="str">
        <f t="shared" si="1"/>
        <v>450009947610</v>
      </c>
      <c r="D84" s="4">
        <v>45894</v>
      </c>
      <c r="E84" s="3" t="s">
        <v>595</v>
      </c>
      <c r="F84" s="3" t="s">
        <v>623</v>
      </c>
    </row>
    <row r="85" spans="1:6" x14ac:dyDescent="0.3">
      <c r="A85" s="3" t="s">
        <v>35</v>
      </c>
      <c r="B85" s="3" t="s">
        <v>28</v>
      </c>
      <c r="C85" s="3" t="str">
        <f t="shared" si="1"/>
        <v>450009947620</v>
      </c>
      <c r="D85" s="4">
        <v>45894</v>
      </c>
      <c r="E85" s="3" t="s">
        <v>595</v>
      </c>
      <c r="F85" s="3" t="s">
        <v>623</v>
      </c>
    </row>
    <row r="86" spans="1:6" x14ac:dyDescent="0.3">
      <c r="A86" s="3" t="s">
        <v>159</v>
      </c>
      <c r="B86" s="3" t="s">
        <v>23</v>
      </c>
      <c r="C86" s="3" t="str">
        <f t="shared" si="1"/>
        <v>450010091940</v>
      </c>
      <c r="D86" s="4">
        <v>45820</v>
      </c>
      <c r="E86" s="3" t="s">
        <v>604</v>
      </c>
      <c r="F86" s="3" t="s">
        <v>624</v>
      </c>
    </row>
    <row r="87" spans="1:6" x14ac:dyDescent="0.3">
      <c r="A87" s="3" t="s">
        <v>159</v>
      </c>
      <c r="B87" s="3" t="s">
        <v>81</v>
      </c>
      <c r="C87" s="3" t="str">
        <f t="shared" si="1"/>
        <v>450010091970</v>
      </c>
      <c r="D87" s="4">
        <v>45820</v>
      </c>
      <c r="E87" s="3" t="s">
        <v>604</v>
      </c>
      <c r="F87" s="3" t="s">
        <v>624</v>
      </c>
    </row>
    <row r="88" spans="1:6" x14ac:dyDescent="0.3">
      <c r="A88" s="3" t="s">
        <v>159</v>
      </c>
      <c r="B88" s="3" t="s">
        <v>85</v>
      </c>
      <c r="C88" s="3" t="str">
        <f t="shared" si="1"/>
        <v>4500100919110</v>
      </c>
      <c r="D88" s="4">
        <v>45820</v>
      </c>
      <c r="E88" s="3" t="s">
        <v>604</v>
      </c>
      <c r="F88" s="3" t="s">
        <v>624</v>
      </c>
    </row>
    <row r="89" spans="1:6" x14ac:dyDescent="0.3">
      <c r="A89" s="3" t="s">
        <v>159</v>
      </c>
      <c r="B89" s="3" t="s">
        <v>86</v>
      </c>
      <c r="C89" s="3" t="str">
        <f t="shared" si="1"/>
        <v>4500100919120</v>
      </c>
      <c r="D89" s="4">
        <v>45820</v>
      </c>
      <c r="E89" s="3" t="s">
        <v>604</v>
      </c>
      <c r="F89" s="3" t="s">
        <v>624</v>
      </c>
    </row>
    <row r="90" spans="1:6" x14ac:dyDescent="0.3">
      <c r="A90" s="3" t="s">
        <v>159</v>
      </c>
      <c r="B90" s="3" t="s">
        <v>67</v>
      </c>
      <c r="C90" s="3" t="str">
        <f t="shared" si="1"/>
        <v>4500100919170</v>
      </c>
      <c r="D90" s="4">
        <v>45820</v>
      </c>
      <c r="E90" s="3" t="s">
        <v>604</v>
      </c>
      <c r="F90" s="3" t="s">
        <v>624</v>
      </c>
    </row>
    <row r="91" spans="1:6" x14ac:dyDescent="0.3">
      <c r="A91" s="3" t="s">
        <v>159</v>
      </c>
      <c r="B91" s="3" t="s">
        <v>125</v>
      </c>
      <c r="C91" s="3" t="str">
        <f t="shared" si="1"/>
        <v>4500100919180</v>
      </c>
      <c r="D91" s="4">
        <v>45820</v>
      </c>
      <c r="E91" s="3" t="s">
        <v>604</v>
      </c>
      <c r="F91" s="3" t="s">
        <v>624</v>
      </c>
    </row>
    <row r="92" spans="1:6" x14ac:dyDescent="0.3">
      <c r="A92" s="3" t="s">
        <v>159</v>
      </c>
      <c r="B92" s="3" t="s">
        <v>92</v>
      </c>
      <c r="C92" s="3" t="str">
        <f t="shared" si="1"/>
        <v>4500100919200</v>
      </c>
      <c r="D92" s="4">
        <v>45824</v>
      </c>
      <c r="E92" s="3" t="s">
        <v>604</v>
      </c>
      <c r="F92" s="3" t="s">
        <v>624</v>
      </c>
    </row>
    <row r="93" spans="1:6" x14ac:dyDescent="0.3">
      <c r="A93" s="3" t="s">
        <v>31</v>
      </c>
      <c r="B93" s="3" t="s">
        <v>32</v>
      </c>
      <c r="C93" s="3" t="str">
        <f t="shared" si="1"/>
        <v>450010411610</v>
      </c>
      <c r="D93" s="4">
        <v>46387</v>
      </c>
      <c r="E93" s="3" t="s">
        <v>608</v>
      </c>
      <c r="F93" s="3" t="s">
        <v>625</v>
      </c>
    </row>
    <row r="94" spans="1:6" x14ac:dyDescent="0.3">
      <c r="A94" s="3" t="s">
        <v>31</v>
      </c>
      <c r="B94" s="3" t="s">
        <v>28</v>
      </c>
      <c r="C94" s="3" t="str">
        <f t="shared" si="1"/>
        <v>450010411620</v>
      </c>
      <c r="D94" s="4">
        <v>46387</v>
      </c>
      <c r="E94" s="3" t="s">
        <v>608</v>
      </c>
      <c r="F94" s="3" t="s">
        <v>625</v>
      </c>
    </row>
    <row r="95" spans="1:6" x14ac:dyDescent="0.3">
      <c r="A95" s="3" t="s">
        <v>165</v>
      </c>
      <c r="B95" s="3" t="s">
        <v>28</v>
      </c>
      <c r="C95" s="3" t="str">
        <f t="shared" si="1"/>
        <v>450010465220</v>
      </c>
      <c r="D95" s="4">
        <v>45869</v>
      </c>
      <c r="E95" s="3" t="s">
        <v>604</v>
      </c>
      <c r="F95" s="3" t="s">
        <v>626</v>
      </c>
    </row>
    <row r="96" spans="1:6" x14ac:dyDescent="0.3">
      <c r="A96" s="3" t="s">
        <v>165</v>
      </c>
      <c r="B96" s="3" t="s">
        <v>80</v>
      </c>
      <c r="C96" s="3" t="str">
        <f t="shared" si="1"/>
        <v>450010465260</v>
      </c>
      <c r="D96" s="4">
        <v>45869</v>
      </c>
      <c r="E96" s="3" t="s">
        <v>604</v>
      </c>
      <c r="F96" s="3" t="s">
        <v>626</v>
      </c>
    </row>
    <row r="97" spans="1:6" x14ac:dyDescent="0.3">
      <c r="A97" s="3" t="s">
        <v>168</v>
      </c>
      <c r="B97" s="3" t="s">
        <v>80</v>
      </c>
      <c r="C97" s="3" t="str">
        <f t="shared" si="1"/>
        <v>450010465660</v>
      </c>
      <c r="D97" s="4">
        <v>45869</v>
      </c>
      <c r="E97" s="3" t="s">
        <v>604</v>
      </c>
      <c r="F97" s="3" t="s">
        <v>627</v>
      </c>
    </row>
    <row r="98" spans="1:6" x14ac:dyDescent="0.3">
      <c r="A98" s="3" t="s">
        <v>170</v>
      </c>
      <c r="B98" s="3" t="s">
        <v>54</v>
      </c>
      <c r="C98" s="3" t="str">
        <f t="shared" si="1"/>
        <v>450010597730</v>
      </c>
      <c r="D98" s="4">
        <v>45897</v>
      </c>
      <c r="E98" s="3" t="s">
        <v>604</v>
      </c>
      <c r="F98" s="3" t="s">
        <v>624</v>
      </c>
    </row>
    <row r="99" spans="1:6" x14ac:dyDescent="0.3">
      <c r="A99" s="3" t="s">
        <v>170</v>
      </c>
      <c r="B99" s="3" t="s">
        <v>23</v>
      </c>
      <c r="C99" s="3" t="str">
        <f t="shared" si="1"/>
        <v>450010597740</v>
      </c>
      <c r="D99" s="4">
        <v>45897</v>
      </c>
      <c r="E99" s="3" t="s">
        <v>604</v>
      </c>
      <c r="F99" s="3" t="s">
        <v>624</v>
      </c>
    </row>
    <row r="100" spans="1:6" x14ac:dyDescent="0.3">
      <c r="A100" s="3" t="s">
        <v>170</v>
      </c>
      <c r="B100" s="3" t="s">
        <v>55</v>
      </c>
      <c r="C100" s="3" t="str">
        <f t="shared" si="1"/>
        <v>450010597750</v>
      </c>
      <c r="D100" s="4">
        <v>45897</v>
      </c>
      <c r="E100" s="3" t="s">
        <v>604</v>
      </c>
      <c r="F100" s="3" t="s">
        <v>624</v>
      </c>
    </row>
    <row r="101" spans="1:6" x14ac:dyDescent="0.3">
      <c r="A101" s="3" t="s">
        <v>170</v>
      </c>
      <c r="B101" s="3" t="s">
        <v>80</v>
      </c>
      <c r="C101" s="3" t="str">
        <f t="shared" si="1"/>
        <v>450010597760</v>
      </c>
      <c r="D101" s="4">
        <v>45897</v>
      </c>
      <c r="E101" s="3" t="s">
        <v>604</v>
      </c>
      <c r="F101" s="3" t="s">
        <v>624</v>
      </c>
    </row>
    <row r="102" spans="1:6" x14ac:dyDescent="0.3">
      <c r="A102" s="3" t="s">
        <v>174</v>
      </c>
      <c r="B102" s="3" t="s">
        <v>32</v>
      </c>
      <c r="C102" s="3" t="str">
        <f t="shared" si="1"/>
        <v>450010712610</v>
      </c>
      <c r="D102" s="4">
        <v>45905</v>
      </c>
      <c r="E102" s="3" t="s">
        <v>595</v>
      </c>
      <c r="F102" s="3" t="s">
        <v>628</v>
      </c>
    </row>
    <row r="103" spans="1:6" x14ac:dyDescent="0.3">
      <c r="A103" s="3" t="s">
        <v>172</v>
      </c>
      <c r="B103" s="3" t="s">
        <v>81</v>
      </c>
      <c r="C103" s="3" t="str">
        <f t="shared" si="1"/>
        <v>450010738370</v>
      </c>
      <c r="D103" s="4">
        <v>45915</v>
      </c>
      <c r="E103" s="3" t="s">
        <v>604</v>
      </c>
      <c r="F103" s="3" t="s">
        <v>624</v>
      </c>
    </row>
    <row r="104" spans="1:6" x14ac:dyDescent="0.3">
      <c r="A104" s="3" t="s">
        <v>172</v>
      </c>
      <c r="B104" s="3" t="s">
        <v>82</v>
      </c>
      <c r="C104" s="3" t="str">
        <f t="shared" si="1"/>
        <v>450010738380</v>
      </c>
      <c r="D104" s="4">
        <v>45915</v>
      </c>
      <c r="E104" s="3" t="s">
        <v>604</v>
      </c>
      <c r="F104" s="3" t="s">
        <v>624</v>
      </c>
    </row>
    <row r="105" spans="1:6" x14ac:dyDescent="0.3">
      <c r="A105" s="3" t="s">
        <v>172</v>
      </c>
      <c r="B105" s="3" t="s">
        <v>83</v>
      </c>
      <c r="C105" s="3" t="str">
        <f t="shared" si="1"/>
        <v>450010738390</v>
      </c>
      <c r="D105" s="4">
        <v>45915</v>
      </c>
      <c r="E105" s="3" t="s">
        <v>604</v>
      </c>
      <c r="F105" s="3" t="s">
        <v>624</v>
      </c>
    </row>
    <row r="106" spans="1:6" x14ac:dyDescent="0.3">
      <c r="A106" s="3" t="s">
        <v>181</v>
      </c>
      <c r="B106" s="3" t="s">
        <v>32</v>
      </c>
      <c r="C106" s="3" t="str">
        <f t="shared" si="1"/>
        <v>450010807610</v>
      </c>
      <c r="D106" s="4">
        <v>45981</v>
      </c>
      <c r="E106" s="3" t="s">
        <v>611</v>
      </c>
      <c r="F106" s="3" t="s">
        <v>628</v>
      </c>
    </row>
    <row r="107" spans="1:6" x14ac:dyDescent="0.3">
      <c r="A107" s="3" t="s">
        <v>181</v>
      </c>
      <c r="B107" s="3" t="s">
        <v>28</v>
      </c>
      <c r="C107" s="3" t="str">
        <f t="shared" si="1"/>
        <v>450010807620</v>
      </c>
      <c r="D107" s="4">
        <v>46059</v>
      </c>
      <c r="E107" s="3" t="s">
        <v>611</v>
      </c>
      <c r="F107" s="3" t="s">
        <v>628</v>
      </c>
    </row>
    <row r="108" spans="1:6" x14ac:dyDescent="0.3">
      <c r="A108" s="3" t="s">
        <v>47</v>
      </c>
      <c r="B108" s="3" t="s">
        <v>48</v>
      </c>
      <c r="C108" s="3" t="str">
        <f t="shared" si="1"/>
        <v>4500108431490</v>
      </c>
      <c r="D108" s="4">
        <v>45930</v>
      </c>
      <c r="E108" s="3" t="s">
        <v>604</v>
      </c>
      <c r="F108" s="3" t="s">
        <v>629</v>
      </c>
    </row>
    <row r="109" spans="1:6" x14ac:dyDescent="0.3">
      <c r="A109" s="3" t="s">
        <v>183</v>
      </c>
      <c r="B109" s="3" t="s">
        <v>43</v>
      </c>
      <c r="C109" s="3" t="str">
        <f t="shared" si="1"/>
        <v>4500109392210</v>
      </c>
      <c r="D109" s="4">
        <v>45934</v>
      </c>
      <c r="E109" s="3" t="s">
        <v>604</v>
      </c>
      <c r="F109" s="3" t="s">
        <v>628</v>
      </c>
    </row>
    <row r="110" spans="1:6" x14ac:dyDescent="0.3">
      <c r="A110" s="3" t="s">
        <v>183</v>
      </c>
      <c r="B110" s="3" t="s">
        <v>44</v>
      </c>
      <c r="C110" s="3" t="str">
        <f t="shared" si="1"/>
        <v>4500109392220</v>
      </c>
      <c r="D110" s="4">
        <v>45934</v>
      </c>
      <c r="E110" s="3" t="s">
        <v>604</v>
      </c>
      <c r="F110" s="3" t="s">
        <v>628</v>
      </c>
    </row>
    <row r="111" spans="1:6" x14ac:dyDescent="0.3">
      <c r="A111" s="3" t="s">
        <v>183</v>
      </c>
      <c r="B111" s="3" t="s">
        <v>126</v>
      </c>
      <c r="C111" s="3" t="str">
        <f t="shared" si="1"/>
        <v>4500109392230</v>
      </c>
      <c r="D111" s="4">
        <v>45934</v>
      </c>
      <c r="E111" s="3" t="s">
        <v>604</v>
      </c>
      <c r="F111" s="3" t="s">
        <v>628</v>
      </c>
    </row>
    <row r="112" spans="1:6" x14ac:dyDescent="0.3">
      <c r="A112" s="3" t="s">
        <v>183</v>
      </c>
      <c r="B112" s="3" t="s">
        <v>128</v>
      </c>
      <c r="C112" s="3" t="str">
        <f t="shared" si="1"/>
        <v>4500109392250</v>
      </c>
      <c r="D112" s="4">
        <v>45934</v>
      </c>
      <c r="E112" s="3" t="s">
        <v>604</v>
      </c>
      <c r="F112" s="3" t="s">
        <v>628</v>
      </c>
    </row>
    <row r="113" spans="1:6" x14ac:dyDescent="0.3">
      <c r="A113" s="3" t="s">
        <v>183</v>
      </c>
      <c r="B113" s="3" t="s">
        <v>129</v>
      </c>
      <c r="C113" s="3" t="str">
        <f t="shared" si="1"/>
        <v>4500109392260</v>
      </c>
      <c r="D113" s="4">
        <v>45934</v>
      </c>
      <c r="E113" s="3" t="s">
        <v>604</v>
      </c>
      <c r="F113" s="3" t="s">
        <v>628</v>
      </c>
    </row>
    <row r="114" spans="1:6" x14ac:dyDescent="0.3">
      <c r="A114" s="3" t="s">
        <v>183</v>
      </c>
      <c r="B114" s="3" t="s">
        <v>130</v>
      </c>
      <c r="C114" s="3" t="str">
        <f t="shared" si="1"/>
        <v>4500109392270</v>
      </c>
      <c r="D114" s="4">
        <v>45934</v>
      </c>
      <c r="E114" s="3" t="s">
        <v>604</v>
      </c>
      <c r="F114" s="3" t="s">
        <v>628</v>
      </c>
    </row>
    <row r="115" spans="1:6" x14ac:dyDescent="0.3">
      <c r="A115" s="3" t="s">
        <v>183</v>
      </c>
      <c r="B115" s="3" t="s">
        <v>133</v>
      </c>
      <c r="C115" s="3" t="str">
        <f t="shared" si="1"/>
        <v>4500109392300</v>
      </c>
      <c r="D115" s="4">
        <v>45934</v>
      </c>
      <c r="E115" s="3" t="s">
        <v>604</v>
      </c>
      <c r="F115" s="3" t="s">
        <v>628</v>
      </c>
    </row>
    <row r="116" spans="1:6" x14ac:dyDescent="0.3">
      <c r="A116" s="3" t="s">
        <v>183</v>
      </c>
      <c r="B116" s="3" t="s">
        <v>430</v>
      </c>
      <c r="C116" s="3" t="str">
        <f t="shared" si="1"/>
        <v>4500109392330</v>
      </c>
      <c r="D116" s="4">
        <v>45934</v>
      </c>
      <c r="E116" s="3" t="s">
        <v>604</v>
      </c>
      <c r="F116" s="3" t="s">
        <v>628</v>
      </c>
    </row>
    <row r="117" spans="1:6" x14ac:dyDescent="0.3">
      <c r="A117" s="3" t="s">
        <v>52</v>
      </c>
      <c r="B117" s="3" t="s">
        <v>32</v>
      </c>
      <c r="C117" s="3" t="str">
        <f t="shared" si="1"/>
        <v>450011013510</v>
      </c>
      <c r="D117" s="4">
        <v>45954</v>
      </c>
      <c r="E117" s="3" t="s">
        <v>618</v>
      </c>
      <c r="F117" s="3" t="s">
        <v>630</v>
      </c>
    </row>
    <row r="118" spans="1:6" x14ac:dyDescent="0.3">
      <c r="A118" s="3" t="s">
        <v>52</v>
      </c>
      <c r="B118" s="3" t="s">
        <v>28</v>
      </c>
      <c r="C118" s="3" t="str">
        <f t="shared" si="1"/>
        <v>450011013520</v>
      </c>
      <c r="D118" s="4">
        <v>45959</v>
      </c>
      <c r="E118" s="3" t="s">
        <v>618</v>
      </c>
      <c r="F118" s="3" t="s">
        <v>630</v>
      </c>
    </row>
    <row r="119" spans="1:6" x14ac:dyDescent="0.3">
      <c r="A119" s="3" t="s">
        <v>52</v>
      </c>
      <c r="B119" s="3" t="s">
        <v>65</v>
      </c>
      <c r="C119" s="3" t="str">
        <f t="shared" si="1"/>
        <v>4500110135130</v>
      </c>
      <c r="D119" s="4">
        <v>45954</v>
      </c>
      <c r="E119" s="3" t="s">
        <v>618</v>
      </c>
      <c r="F119" s="3" t="s">
        <v>630</v>
      </c>
    </row>
    <row r="120" spans="1:6" x14ac:dyDescent="0.3">
      <c r="A120" s="3" t="s">
        <v>52</v>
      </c>
      <c r="B120" s="3" t="s">
        <v>66</v>
      </c>
      <c r="C120" s="3" t="str">
        <f t="shared" si="1"/>
        <v>4500110135140</v>
      </c>
      <c r="D120" s="4">
        <v>45954</v>
      </c>
      <c r="E120" s="3" t="s">
        <v>618</v>
      </c>
      <c r="F120" s="3" t="s">
        <v>630</v>
      </c>
    </row>
    <row r="121" spans="1:6" x14ac:dyDescent="0.3">
      <c r="A121" s="3" t="s">
        <v>52</v>
      </c>
      <c r="B121" s="3" t="s">
        <v>87</v>
      </c>
      <c r="C121" s="3" t="str">
        <f t="shared" si="1"/>
        <v>4500110135150</v>
      </c>
      <c r="D121" s="4">
        <v>45954</v>
      </c>
      <c r="E121" s="3" t="s">
        <v>618</v>
      </c>
      <c r="F121" s="3" t="s">
        <v>630</v>
      </c>
    </row>
    <row r="122" spans="1:6" x14ac:dyDescent="0.3">
      <c r="A122" s="3" t="s">
        <v>52</v>
      </c>
      <c r="B122" s="3" t="s">
        <v>88</v>
      </c>
      <c r="C122" s="3" t="str">
        <f t="shared" si="1"/>
        <v>4500110135160</v>
      </c>
      <c r="D122" s="4">
        <v>45954</v>
      </c>
      <c r="E122" s="3" t="s">
        <v>618</v>
      </c>
      <c r="F122" s="3" t="s">
        <v>630</v>
      </c>
    </row>
    <row r="123" spans="1:6" x14ac:dyDescent="0.3">
      <c r="A123" s="3" t="s">
        <v>52</v>
      </c>
      <c r="B123" s="3" t="s">
        <v>67</v>
      </c>
      <c r="C123" s="3" t="str">
        <f t="shared" si="1"/>
        <v>4500110135170</v>
      </c>
      <c r="D123" s="4">
        <v>45954</v>
      </c>
      <c r="E123" s="3" t="s">
        <v>618</v>
      </c>
      <c r="F123" s="3" t="s">
        <v>630</v>
      </c>
    </row>
    <row r="124" spans="1:6" x14ac:dyDescent="0.3">
      <c r="A124" s="3" t="s">
        <v>52</v>
      </c>
      <c r="B124" s="3" t="s">
        <v>125</v>
      </c>
      <c r="C124" s="3" t="str">
        <f t="shared" si="1"/>
        <v>4500110135180</v>
      </c>
      <c r="D124" s="4">
        <v>45954</v>
      </c>
      <c r="E124" s="3" t="s">
        <v>618</v>
      </c>
      <c r="F124" s="3" t="s">
        <v>630</v>
      </c>
    </row>
    <row r="125" spans="1:6" x14ac:dyDescent="0.3">
      <c r="A125" s="3" t="s">
        <v>52</v>
      </c>
      <c r="B125" s="3" t="s">
        <v>91</v>
      </c>
      <c r="C125" s="3" t="str">
        <f t="shared" si="1"/>
        <v>4500110135190</v>
      </c>
      <c r="D125" s="4">
        <v>45954</v>
      </c>
      <c r="E125" s="3" t="s">
        <v>618</v>
      </c>
      <c r="F125" s="3" t="s">
        <v>630</v>
      </c>
    </row>
    <row r="126" spans="1:6" x14ac:dyDescent="0.3">
      <c r="A126" s="3" t="s">
        <v>52</v>
      </c>
      <c r="B126" s="3" t="s">
        <v>92</v>
      </c>
      <c r="C126" s="3" t="str">
        <f t="shared" si="1"/>
        <v>4500110135200</v>
      </c>
      <c r="D126" s="4">
        <v>45954</v>
      </c>
      <c r="E126" s="3" t="s">
        <v>618</v>
      </c>
      <c r="F126" s="3" t="s">
        <v>630</v>
      </c>
    </row>
    <row r="127" spans="1:6" x14ac:dyDescent="0.3">
      <c r="A127" s="3" t="s">
        <v>52</v>
      </c>
      <c r="B127" s="3" t="s">
        <v>43</v>
      </c>
      <c r="C127" s="3" t="str">
        <f t="shared" si="1"/>
        <v>4500110135210</v>
      </c>
      <c r="D127" s="4">
        <v>45954</v>
      </c>
      <c r="E127" s="3" t="s">
        <v>618</v>
      </c>
      <c r="F127" s="3" t="s">
        <v>630</v>
      </c>
    </row>
    <row r="128" spans="1:6" x14ac:dyDescent="0.3">
      <c r="A128" s="3" t="s">
        <v>52</v>
      </c>
      <c r="B128" s="3" t="s">
        <v>44</v>
      </c>
      <c r="C128" s="3" t="str">
        <f t="shared" si="1"/>
        <v>4500110135220</v>
      </c>
      <c r="D128" s="4">
        <v>45954</v>
      </c>
      <c r="E128" s="3" t="s">
        <v>618</v>
      </c>
      <c r="F128" s="3" t="s">
        <v>630</v>
      </c>
    </row>
    <row r="129" spans="1:6" x14ac:dyDescent="0.3">
      <c r="A129" s="3" t="s">
        <v>52</v>
      </c>
      <c r="B129" s="3" t="s">
        <v>126</v>
      </c>
      <c r="C129" s="3" t="str">
        <f t="shared" si="1"/>
        <v>4500110135230</v>
      </c>
      <c r="D129" s="4">
        <v>45954</v>
      </c>
      <c r="E129" s="3" t="s">
        <v>618</v>
      </c>
      <c r="F129" s="3" t="s">
        <v>630</v>
      </c>
    </row>
    <row r="130" spans="1:6" x14ac:dyDescent="0.3">
      <c r="A130" s="3" t="s">
        <v>52</v>
      </c>
      <c r="B130" s="3" t="s">
        <v>127</v>
      </c>
      <c r="C130" s="3" t="str">
        <f t="shared" si="1"/>
        <v>4500110135240</v>
      </c>
      <c r="D130" s="4">
        <v>45984</v>
      </c>
      <c r="E130" s="3" t="s">
        <v>618</v>
      </c>
      <c r="F130" s="3" t="s">
        <v>630</v>
      </c>
    </row>
    <row r="131" spans="1:6" x14ac:dyDescent="0.3">
      <c r="A131" s="3" t="s">
        <v>52</v>
      </c>
      <c r="B131" s="3" t="s">
        <v>129</v>
      </c>
      <c r="C131" s="3" t="str">
        <f t="shared" ref="C131:C194" si="2">_xlfn.CONCAT(A131:B131)</f>
        <v>4500110135260</v>
      </c>
      <c r="D131" s="4">
        <v>45954</v>
      </c>
      <c r="E131" s="3" t="s">
        <v>618</v>
      </c>
      <c r="F131" s="3" t="s">
        <v>630</v>
      </c>
    </row>
    <row r="132" spans="1:6" x14ac:dyDescent="0.3">
      <c r="A132" s="3" t="s">
        <v>52</v>
      </c>
      <c r="B132" s="3" t="s">
        <v>130</v>
      </c>
      <c r="C132" s="3" t="str">
        <f t="shared" si="2"/>
        <v>4500110135270</v>
      </c>
      <c r="D132" s="4">
        <v>45954</v>
      </c>
      <c r="E132" s="3" t="s">
        <v>618</v>
      </c>
      <c r="F132" s="3" t="s">
        <v>630</v>
      </c>
    </row>
    <row r="133" spans="1:6" x14ac:dyDescent="0.3">
      <c r="A133" s="3" t="s">
        <v>52</v>
      </c>
      <c r="B133" s="3" t="s">
        <v>131</v>
      </c>
      <c r="C133" s="3" t="str">
        <f t="shared" si="2"/>
        <v>4500110135280</v>
      </c>
      <c r="D133" s="4">
        <v>45954</v>
      </c>
      <c r="E133" s="3" t="s">
        <v>618</v>
      </c>
      <c r="F133" s="3" t="s">
        <v>630</v>
      </c>
    </row>
    <row r="134" spans="1:6" x14ac:dyDescent="0.3">
      <c r="A134" s="3" t="s">
        <v>52</v>
      </c>
      <c r="B134" s="3" t="s">
        <v>132</v>
      </c>
      <c r="C134" s="3" t="str">
        <f t="shared" si="2"/>
        <v>4500110135290</v>
      </c>
      <c r="D134" s="4">
        <v>45954</v>
      </c>
      <c r="E134" s="3" t="s">
        <v>618</v>
      </c>
      <c r="F134" s="3" t="s">
        <v>630</v>
      </c>
    </row>
    <row r="135" spans="1:6" x14ac:dyDescent="0.3">
      <c r="A135" s="3" t="s">
        <v>52</v>
      </c>
      <c r="B135" s="3" t="s">
        <v>133</v>
      </c>
      <c r="C135" s="3" t="str">
        <f t="shared" si="2"/>
        <v>4500110135300</v>
      </c>
      <c r="D135" s="4">
        <v>45954</v>
      </c>
      <c r="E135" s="3" t="s">
        <v>618</v>
      </c>
      <c r="F135" s="3" t="s">
        <v>630</v>
      </c>
    </row>
    <row r="136" spans="1:6" x14ac:dyDescent="0.3">
      <c r="A136" s="3" t="s">
        <v>52</v>
      </c>
      <c r="B136" s="3" t="s">
        <v>134</v>
      </c>
      <c r="C136" s="3" t="str">
        <f t="shared" si="2"/>
        <v>4500110135310</v>
      </c>
      <c r="D136" s="4">
        <v>45954</v>
      </c>
      <c r="E136" s="3" t="s">
        <v>618</v>
      </c>
      <c r="F136" s="3" t="s">
        <v>630</v>
      </c>
    </row>
    <row r="137" spans="1:6" x14ac:dyDescent="0.3">
      <c r="A137" s="3" t="s">
        <v>52</v>
      </c>
      <c r="B137" s="3" t="s">
        <v>631</v>
      </c>
      <c r="C137" s="3" t="str">
        <f t="shared" si="2"/>
        <v>4500110135350</v>
      </c>
      <c r="D137" s="4">
        <v>45954</v>
      </c>
      <c r="E137" s="3" t="s">
        <v>618</v>
      </c>
      <c r="F137" s="3" t="s">
        <v>630</v>
      </c>
    </row>
    <row r="138" spans="1:6" x14ac:dyDescent="0.3">
      <c r="A138" s="3" t="s">
        <v>52</v>
      </c>
      <c r="B138" s="3" t="s">
        <v>632</v>
      </c>
      <c r="C138" s="3" t="str">
        <f t="shared" si="2"/>
        <v>4500110135360</v>
      </c>
      <c r="D138" s="4">
        <v>45954</v>
      </c>
      <c r="E138" s="3" t="s">
        <v>618</v>
      </c>
      <c r="F138" s="3" t="s">
        <v>630</v>
      </c>
    </row>
    <row r="139" spans="1:6" x14ac:dyDescent="0.3">
      <c r="A139" s="3" t="s">
        <v>52</v>
      </c>
      <c r="B139" s="3" t="s">
        <v>277</v>
      </c>
      <c r="C139" s="3" t="str">
        <f t="shared" si="2"/>
        <v>4500110135370</v>
      </c>
      <c r="D139" s="4">
        <v>45954</v>
      </c>
      <c r="E139" s="3" t="s">
        <v>618</v>
      </c>
      <c r="F139" s="3" t="s">
        <v>630</v>
      </c>
    </row>
    <row r="140" spans="1:6" x14ac:dyDescent="0.3">
      <c r="A140" s="3" t="s">
        <v>38</v>
      </c>
      <c r="B140" s="3" t="s">
        <v>268</v>
      </c>
      <c r="C140" s="3" t="str">
        <f t="shared" si="2"/>
        <v>4500111062450</v>
      </c>
      <c r="D140" s="4">
        <v>45968</v>
      </c>
      <c r="E140" s="3" t="s">
        <v>604</v>
      </c>
      <c r="F140" s="3" t="s">
        <v>605</v>
      </c>
    </row>
    <row r="141" spans="1:6" x14ac:dyDescent="0.3">
      <c r="A141" s="3" t="s">
        <v>192</v>
      </c>
      <c r="B141" s="3" t="s">
        <v>32</v>
      </c>
      <c r="C141" s="3" t="str">
        <f t="shared" si="2"/>
        <v>450011196410</v>
      </c>
      <c r="D141" s="4">
        <v>45968</v>
      </c>
      <c r="E141" s="3" t="s">
        <v>604</v>
      </c>
      <c r="F141" s="3" t="s">
        <v>614</v>
      </c>
    </row>
    <row r="142" spans="1:6" x14ac:dyDescent="0.3">
      <c r="A142" s="3" t="s">
        <v>154</v>
      </c>
      <c r="B142" s="3" t="s">
        <v>155</v>
      </c>
      <c r="C142" s="3" t="str">
        <f t="shared" si="2"/>
        <v>4500115337440</v>
      </c>
      <c r="D142" s="4">
        <v>46021</v>
      </c>
      <c r="E142" s="3" t="s">
        <v>604</v>
      </c>
      <c r="F142" s="3" t="s">
        <v>628</v>
      </c>
    </row>
    <row r="143" spans="1:6" x14ac:dyDescent="0.3">
      <c r="A143" s="3" t="s">
        <v>154</v>
      </c>
      <c r="B143" s="3" t="s">
        <v>156</v>
      </c>
      <c r="C143" s="3" t="str">
        <f t="shared" si="2"/>
        <v>4500115337560</v>
      </c>
      <c r="D143" s="4">
        <v>46021</v>
      </c>
      <c r="E143" s="3" t="s">
        <v>604</v>
      </c>
      <c r="F143" s="3" t="s">
        <v>628</v>
      </c>
    </row>
    <row r="144" spans="1:6" x14ac:dyDescent="0.3">
      <c r="A144" s="3" t="s">
        <v>177</v>
      </c>
      <c r="B144" s="3" t="s">
        <v>28</v>
      </c>
      <c r="C144" s="3" t="str">
        <f t="shared" si="2"/>
        <v>450012252120</v>
      </c>
      <c r="D144" s="4">
        <v>46071</v>
      </c>
      <c r="E144" s="3" t="s">
        <v>604</v>
      </c>
      <c r="F144" s="3" t="s">
        <v>633</v>
      </c>
    </row>
    <row r="145" spans="1:6" x14ac:dyDescent="0.3">
      <c r="A145" s="3" t="s">
        <v>177</v>
      </c>
      <c r="B145" s="3" t="s">
        <v>54</v>
      </c>
      <c r="C145" s="3" t="str">
        <f t="shared" si="2"/>
        <v>450012252130</v>
      </c>
      <c r="D145" s="4">
        <v>46071</v>
      </c>
      <c r="E145" s="3" t="s">
        <v>604</v>
      </c>
      <c r="F145" s="3" t="s">
        <v>633</v>
      </c>
    </row>
    <row r="146" spans="1:6" x14ac:dyDescent="0.3">
      <c r="A146" s="3" t="s">
        <v>212</v>
      </c>
      <c r="B146" s="3" t="s">
        <v>32</v>
      </c>
      <c r="C146" s="3" t="str">
        <f t="shared" si="2"/>
        <v>450012276610</v>
      </c>
      <c r="D146" s="4">
        <v>46203</v>
      </c>
      <c r="E146" s="3" t="s">
        <v>634</v>
      </c>
      <c r="F146" s="3" t="s">
        <v>635</v>
      </c>
    </row>
    <row r="147" spans="1:6" x14ac:dyDescent="0.3">
      <c r="A147" s="3" t="s">
        <v>27</v>
      </c>
      <c r="B147" s="3" t="s">
        <v>32</v>
      </c>
      <c r="C147" s="3" t="str">
        <f t="shared" si="2"/>
        <v>450012307210</v>
      </c>
      <c r="D147" s="4">
        <v>46108</v>
      </c>
      <c r="E147" s="3" t="s">
        <v>618</v>
      </c>
      <c r="F147" s="3" t="s">
        <v>636</v>
      </c>
    </row>
    <row r="148" spans="1:6" x14ac:dyDescent="0.3">
      <c r="A148" s="3" t="s">
        <v>27</v>
      </c>
      <c r="B148" s="3" t="s">
        <v>28</v>
      </c>
      <c r="C148" s="3" t="str">
        <f t="shared" si="2"/>
        <v>450012307220</v>
      </c>
      <c r="D148" s="4">
        <v>46108</v>
      </c>
      <c r="E148" s="3" t="s">
        <v>618</v>
      </c>
      <c r="F148" s="3" t="s">
        <v>636</v>
      </c>
    </row>
    <row r="149" spans="1:6" x14ac:dyDescent="0.3">
      <c r="A149" s="3" t="s">
        <v>196</v>
      </c>
      <c r="B149" s="3" t="s">
        <v>32</v>
      </c>
      <c r="C149" s="3" t="str">
        <f t="shared" si="2"/>
        <v>450012442610</v>
      </c>
      <c r="D149" s="4">
        <v>46108</v>
      </c>
      <c r="E149" s="3" t="s">
        <v>597</v>
      </c>
      <c r="F149" s="3" t="s">
        <v>624</v>
      </c>
    </row>
    <row r="150" spans="1:6" x14ac:dyDescent="0.3">
      <c r="A150" s="3" t="s">
        <v>526</v>
      </c>
      <c r="B150" s="3" t="s">
        <v>32</v>
      </c>
      <c r="C150" s="3" t="str">
        <f t="shared" si="2"/>
        <v>450012510610</v>
      </c>
      <c r="D150" s="4">
        <v>46300</v>
      </c>
      <c r="E150" s="3" t="s">
        <v>586</v>
      </c>
      <c r="F150" s="3" t="s">
        <v>637</v>
      </c>
    </row>
    <row r="151" spans="1:6" x14ac:dyDescent="0.3">
      <c r="A151" s="3" t="s">
        <v>185</v>
      </c>
      <c r="B151" s="3" t="s">
        <v>32</v>
      </c>
      <c r="C151" s="3" t="str">
        <f t="shared" si="2"/>
        <v>450012529510</v>
      </c>
      <c r="D151" s="4">
        <v>46132</v>
      </c>
      <c r="E151" s="3" t="s">
        <v>597</v>
      </c>
      <c r="F151" s="3" t="s">
        <v>624</v>
      </c>
    </row>
    <row r="152" spans="1:6" x14ac:dyDescent="0.3">
      <c r="A152" s="3" t="s">
        <v>190</v>
      </c>
      <c r="B152" s="3" t="s">
        <v>32</v>
      </c>
      <c r="C152" s="3" t="str">
        <f t="shared" si="2"/>
        <v>450012544110</v>
      </c>
      <c r="D152" s="4">
        <v>46142</v>
      </c>
      <c r="E152" s="3" t="s">
        <v>615</v>
      </c>
      <c r="F152" s="3" t="s">
        <v>638</v>
      </c>
    </row>
    <row r="153" spans="1:6" x14ac:dyDescent="0.3">
      <c r="A153" s="3" t="s">
        <v>187</v>
      </c>
      <c r="B153" s="3" t="s">
        <v>32</v>
      </c>
      <c r="C153" s="3" t="str">
        <f t="shared" si="2"/>
        <v>450012544210</v>
      </c>
      <c r="D153" s="4">
        <v>46132</v>
      </c>
      <c r="E153" s="3" t="s">
        <v>597</v>
      </c>
      <c r="F153" s="3" t="s">
        <v>624</v>
      </c>
    </row>
    <row r="154" spans="1:6" x14ac:dyDescent="0.3">
      <c r="A154" s="3" t="s">
        <v>328</v>
      </c>
      <c r="B154" s="3" t="s">
        <v>32</v>
      </c>
      <c r="C154" s="3" t="str">
        <f t="shared" si="2"/>
        <v>450012582210</v>
      </c>
      <c r="D154" s="4">
        <v>46280</v>
      </c>
      <c r="E154" s="3" t="s">
        <v>595</v>
      </c>
      <c r="F154" s="3" t="s">
        <v>628</v>
      </c>
    </row>
    <row r="155" spans="1:6" x14ac:dyDescent="0.3">
      <c r="A155" s="3" t="s">
        <v>328</v>
      </c>
      <c r="B155" s="3" t="s">
        <v>28</v>
      </c>
      <c r="C155" s="3" t="str">
        <f t="shared" si="2"/>
        <v>450012582220</v>
      </c>
      <c r="D155" s="4">
        <v>46246</v>
      </c>
      <c r="E155" s="3" t="s">
        <v>595</v>
      </c>
      <c r="F155" s="3" t="s">
        <v>628</v>
      </c>
    </row>
    <row r="156" spans="1:6" x14ac:dyDescent="0.3">
      <c r="A156" s="3" t="s">
        <v>328</v>
      </c>
      <c r="B156" s="3" t="s">
        <v>54</v>
      </c>
      <c r="C156" s="3" t="str">
        <f t="shared" si="2"/>
        <v>450012582230</v>
      </c>
      <c r="D156" s="4">
        <v>46246</v>
      </c>
      <c r="E156" s="3" t="s">
        <v>595</v>
      </c>
      <c r="F156" s="3" t="s">
        <v>628</v>
      </c>
    </row>
    <row r="157" spans="1:6" x14ac:dyDescent="0.3">
      <c r="A157" s="3" t="s">
        <v>328</v>
      </c>
      <c r="B157" s="3" t="s">
        <v>23</v>
      </c>
      <c r="C157" s="3" t="str">
        <f t="shared" si="2"/>
        <v>450012582240</v>
      </c>
      <c r="D157" s="4">
        <v>46280</v>
      </c>
      <c r="E157" s="3" t="s">
        <v>595</v>
      </c>
      <c r="F157" s="3" t="s">
        <v>628</v>
      </c>
    </row>
    <row r="158" spans="1:6" x14ac:dyDescent="0.3">
      <c r="A158" s="3" t="s">
        <v>194</v>
      </c>
      <c r="B158" s="3" t="s">
        <v>32</v>
      </c>
      <c r="C158" s="3" t="str">
        <f t="shared" si="2"/>
        <v>450012617410</v>
      </c>
      <c r="D158" s="4">
        <v>46142</v>
      </c>
      <c r="E158" s="3" t="s">
        <v>597</v>
      </c>
      <c r="F158" s="3" t="s">
        <v>624</v>
      </c>
    </row>
    <row r="159" spans="1:6" x14ac:dyDescent="0.3">
      <c r="A159" s="3" t="s">
        <v>215</v>
      </c>
      <c r="B159" s="3" t="s">
        <v>32</v>
      </c>
      <c r="C159" s="3" t="str">
        <f t="shared" si="2"/>
        <v>450012705710</v>
      </c>
      <c r="D159" s="4">
        <v>46203</v>
      </c>
      <c r="E159" s="3" t="s">
        <v>595</v>
      </c>
      <c r="F159" s="3" t="s">
        <v>629</v>
      </c>
    </row>
    <row r="160" spans="1:6" x14ac:dyDescent="0.3">
      <c r="A160" s="3" t="s">
        <v>215</v>
      </c>
      <c r="B160" s="3" t="s">
        <v>28</v>
      </c>
      <c r="C160" s="3" t="str">
        <f t="shared" si="2"/>
        <v>450012705720</v>
      </c>
      <c r="D160" s="4">
        <v>46162</v>
      </c>
      <c r="E160" s="3" t="s">
        <v>595</v>
      </c>
      <c r="F160" s="3" t="s">
        <v>629</v>
      </c>
    </row>
    <row r="161" spans="1:6" x14ac:dyDescent="0.3">
      <c r="A161" s="3" t="s">
        <v>215</v>
      </c>
      <c r="B161" s="3" t="s">
        <v>54</v>
      </c>
      <c r="C161" s="3" t="str">
        <f t="shared" si="2"/>
        <v>450012705730</v>
      </c>
      <c r="D161" s="4">
        <v>46162</v>
      </c>
      <c r="E161" s="3" t="s">
        <v>595</v>
      </c>
      <c r="F161" s="3" t="s">
        <v>629</v>
      </c>
    </row>
    <row r="162" spans="1:6" x14ac:dyDescent="0.3">
      <c r="A162" s="3" t="s">
        <v>58</v>
      </c>
      <c r="B162" s="3" t="s">
        <v>55</v>
      </c>
      <c r="C162" s="3" t="str">
        <f t="shared" si="2"/>
        <v>450012757350</v>
      </c>
      <c r="D162" s="4">
        <v>46537</v>
      </c>
      <c r="E162" s="3" t="s">
        <v>586</v>
      </c>
      <c r="F162" s="3" t="s">
        <v>587</v>
      </c>
    </row>
    <row r="163" spans="1:6" x14ac:dyDescent="0.3">
      <c r="A163" s="3" t="s">
        <v>90</v>
      </c>
      <c r="B163" s="3" t="s">
        <v>125</v>
      </c>
      <c r="C163" s="3" t="str">
        <f t="shared" si="2"/>
        <v>4500127757180</v>
      </c>
      <c r="D163" s="4">
        <v>46356</v>
      </c>
      <c r="E163" s="3" t="s">
        <v>589</v>
      </c>
      <c r="F163" s="3" t="s">
        <v>590</v>
      </c>
    </row>
    <row r="164" spans="1:6" x14ac:dyDescent="0.3">
      <c r="A164" s="3" t="s">
        <v>90</v>
      </c>
      <c r="B164" s="3" t="s">
        <v>43</v>
      </c>
      <c r="C164" s="3" t="str">
        <f t="shared" si="2"/>
        <v>4500127757210</v>
      </c>
      <c r="D164" s="4">
        <v>46356</v>
      </c>
      <c r="E164" s="3" t="s">
        <v>589</v>
      </c>
      <c r="F164" s="3" t="s">
        <v>590</v>
      </c>
    </row>
    <row r="165" spans="1:6" x14ac:dyDescent="0.3">
      <c r="A165" s="3" t="s">
        <v>203</v>
      </c>
      <c r="B165" s="3" t="s">
        <v>32</v>
      </c>
      <c r="C165" s="3" t="str">
        <f t="shared" si="2"/>
        <v>450012949210</v>
      </c>
      <c r="D165" s="4">
        <v>46191</v>
      </c>
      <c r="E165" s="3" t="s">
        <v>595</v>
      </c>
      <c r="F165" s="3" t="s">
        <v>628</v>
      </c>
    </row>
    <row r="166" spans="1:6" x14ac:dyDescent="0.3">
      <c r="A166" s="3" t="s">
        <v>203</v>
      </c>
      <c r="B166" s="3" t="s">
        <v>28</v>
      </c>
      <c r="C166" s="3" t="str">
        <f t="shared" si="2"/>
        <v>450012949220</v>
      </c>
      <c r="D166" s="4">
        <v>46191</v>
      </c>
      <c r="E166" s="3" t="s">
        <v>595</v>
      </c>
      <c r="F166" s="3" t="s">
        <v>628</v>
      </c>
    </row>
    <row r="167" spans="1:6" x14ac:dyDescent="0.3">
      <c r="A167" s="3" t="s">
        <v>203</v>
      </c>
      <c r="B167" s="3" t="s">
        <v>54</v>
      </c>
      <c r="C167" s="3" t="str">
        <f t="shared" si="2"/>
        <v>450012949230</v>
      </c>
      <c r="D167" s="4">
        <v>46191</v>
      </c>
      <c r="E167" s="3" t="s">
        <v>595</v>
      </c>
      <c r="F167" s="3" t="s">
        <v>628</v>
      </c>
    </row>
    <row r="168" spans="1:6" x14ac:dyDescent="0.3">
      <c r="A168" s="3" t="s">
        <v>203</v>
      </c>
      <c r="B168" s="3" t="s">
        <v>23</v>
      </c>
      <c r="C168" s="3" t="str">
        <f t="shared" si="2"/>
        <v>450012949240</v>
      </c>
      <c r="D168" s="4">
        <v>46191</v>
      </c>
      <c r="E168" s="3" t="s">
        <v>595</v>
      </c>
      <c r="F168" s="3" t="s">
        <v>628</v>
      </c>
    </row>
    <row r="169" spans="1:6" x14ac:dyDescent="0.3">
      <c r="A169" s="3" t="s">
        <v>203</v>
      </c>
      <c r="B169" s="3" t="s">
        <v>55</v>
      </c>
      <c r="C169" s="3" t="str">
        <f t="shared" si="2"/>
        <v>450012949250</v>
      </c>
      <c r="D169" s="4">
        <v>46191</v>
      </c>
      <c r="E169" s="3" t="s">
        <v>595</v>
      </c>
      <c r="F169" s="3" t="s">
        <v>628</v>
      </c>
    </row>
    <row r="170" spans="1:6" x14ac:dyDescent="0.3">
      <c r="A170" s="3" t="s">
        <v>203</v>
      </c>
      <c r="B170" s="3" t="s">
        <v>80</v>
      </c>
      <c r="C170" s="3" t="str">
        <f t="shared" si="2"/>
        <v>450012949260</v>
      </c>
      <c r="D170" s="4">
        <v>46191</v>
      </c>
      <c r="E170" s="3" t="s">
        <v>595</v>
      </c>
      <c r="F170" s="3" t="s">
        <v>628</v>
      </c>
    </row>
    <row r="171" spans="1:6" x14ac:dyDescent="0.3">
      <c r="A171" s="3" t="s">
        <v>203</v>
      </c>
      <c r="B171" s="3" t="s">
        <v>81</v>
      </c>
      <c r="C171" s="3" t="str">
        <f t="shared" si="2"/>
        <v>450012949270</v>
      </c>
      <c r="D171" s="4">
        <v>46191</v>
      </c>
      <c r="E171" s="3" t="s">
        <v>595</v>
      </c>
      <c r="F171" s="3" t="s">
        <v>628</v>
      </c>
    </row>
    <row r="172" spans="1:6" x14ac:dyDescent="0.3">
      <c r="A172" s="3" t="s">
        <v>209</v>
      </c>
      <c r="B172" s="3" t="s">
        <v>32</v>
      </c>
      <c r="C172" s="3" t="str">
        <f t="shared" si="2"/>
        <v>450012974110</v>
      </c>
      <c r="D172" s="4">
        <v>46183</v>
      </c>
      <c r="E172" s="3" t="s">
        <v>597</v>
      </c>
      <c r="F172" s="3" t="s">
        <v>624</v>
      </c>
    </row>
    <row r="173" spans="1:6" x14ac:dyDescent="0.3">
      <c r="A173" s="3" t="s">
        <v>209</v>
      </c>
      <c r="B173" s="3" t="s">
        <v>28</v>
      </c>
      <c r="C173" s="3" t="str">
        <f t="shared" si="2"/>
        <v>450012974120</v>
      </c>
      <c r="D173" s="4">
        <v>46183</v>
      </c>
      <c r="E173" s="3" t="s">
        <v>597</v>
      </c>
      <c r="F173" s="3" t="s">
        <v>624</v>
      </c>
    </row>
    <row r="174" spans="1:6" x14ac:dyDescent="0.3">
      <c r="A174" s="3" t="s">
        <v>209</v>
      </c>
      <c r="B174" s="3" t="s">
        <v>54</v>
      </c>
      <c r="C174" s="3" t="str">
        <f t="shared" si="2"/>
        <v>450012974130</v>
      </c>
      <c r="D174" s="4">
        <v>46183</v>
      </c>
      <c r="E174" s="3" t="s">
        <v>597</v>
      </c>
      <c r="F174" s="3" t="s">
        <v>624</v>
      </c>
    </row>
    <row r="175" spans="1:6" x14ac:dyDescent="0.3">
      <c r="A175" s="3" t="s">
        <v>205</v>
      </c>
      <c r="B175" s="3" t="s">
        <v>32</v>
      </c>
      <c r="C175" s="3" t="str">
        <f t="shared" si="2"/>
        <v>450012974210</v>
      </c>
      <c r="D175" s="4">
        <v>46183</v>
      </c>
      <c r="E175" s="3" t="s">
        <v>597</v>
      </c>
      <c r="F175" s="3" t="s">
        <v>624</v>
      </c>
    </row>
    <row r="176" spans="1:6" x14ac:dyDescent="0.3">
      <c r="A176" s="3" t="s">
        <v>222</v>
      </c>
      <c r="B176" s="3" t="s">
        <v>32</v>
      </c>
      <c r="C176" s="3" t="str">
        <f t="shared" si="2"/>
        <v>450013012510</v>
      </c>
      <c r="D176" s="4">
        <v>46188</v>
      </c>
      <c r="E176" s="3" t="s">
        <v>597</v>
      </c>
      <c r="F176" s="3" t="s">
        <v>625</v>
      </c>
    </row>
    <row r="177" spans="1:6" x14ac:dyDescent="0.3">
      <c r="A177" s="3" t="s">
        <v>222</v>
      </c>
      <c r="B177" s="3" t="s">
        <v>28</v>
      </c>
      <c r="C177" s="3" t="str">
        <f t="shared" si="2"/>
        <v>450013012520</v>
      </c>
      <c r="D177" s="4">
        <v>46188</v>
      </c>
      <c r="E177" s="3" t="s">
        <v>597</v>
      </c>
      <c r="F177" s="3" t="s">
        <v>625</v>
      </c>
    </row>
    <row r="178" spans="1:6" x14ac:dyDescent="0.3">
      <c r="A178" s="3" t="s">
        <v>222</v>
      </c>
      <c r="B178" s="3" t="s">
        <v>54</v>
      </c>
      <c r="C178" s="3" t="str">
        <f t="shared" si="2"/>
        <v>450013012530</v>
      </c>
      <c r="D178" s="4">
        <v>46188</v>
      </c>
      <c r="E178" s="3" t="s">
        <v>597</v>
      </c>
      <c r="F178" s="3" t="s">
        <v>625</v>
      </c>
    </row>
    <row r="179" spans="1:6" x14ac:dyDescent="0.3">
      <c r="A179" s="3" t="s">
        <v>313</v>
      </c>
      <c r="B179" s="3" t="s">
        <v>32</v>
      </c>
      <c r="C179" s="3" t="str">
        <f t="shared" si="2"/>
        <v>450013019310</v>
      </c>
      <c r="D179" s="4">
        <v>46234</v>
      </c>
      <c r="E179" s="3" t="s">
        <v>639</v>
      </c>
      <c r="F179" s="3" t="s">
        <v>640</v>
      </c>
    </row>
    <row r="180" spans="1:6" x14ac:dyDescent="0.3">
      <c r="A180" s="3" t="s">
        <v>313</v>
      </c>
      <c r="B180" s="3" t="s">
        <v>28</v>
      </c>
      <c r="C180" s="3" t="str">
        <f t="shared" si="2"/>
        <v>450013019320</v>
      </c>
      <c r="D180" s="4">
        <v>46234</v>
      </c>
      <c r="E180" s="3" t="s">
        <v>639</v>
      </c>
      <c r="F180" s="3" t="s">
        <v>640</v>
      </c>
    </row>
    <row r="181" spans="1:6" x14ac:dyDescent="0.3">
      <c r="A181" s="3" t="s">
        <v>313</v>
      </c>
      <c r="B181" s="3" t="s">
        <v>54</v>
      </c>
      <c r="C181" s="3" t="str">
        <f t="shared" si="2"/>
        <v>450013019330</v>
      </c>
      <c r="D181" s="4">
        <v>46234</v>
      </c>
      <c r="E181" s="3" t="s">
        <v>639</v>
      </c>
      <c r="F181" s="3" t="s">
        <v>640</v>
      </c>
    </row>
    <row r="182" spans="1:6" x14ac:dyDescent="0.3">
      <c r="A182" s="3" t="s">
        <v>207</v>
      </c>
      <c r="B182" s="3" t="s">
        <v>32</v>
      </c>
      <c r="C182" s="3" t="str">
        <f t="shared" si="2"/>
        <v>450013030410</v>
      </c>
      <c r="D182" s="4">
        <v>46191</v>
      </c>
      <c r="E182" s="3" t="s">
        <v>597</v>
      </c>
      <c r="F182" s="3" t="s">
        <v>624</v>
      </c>
    </row>
    <row r="183" spans="1:6" x14ac:dyDescent="0.3">
      <c r="A183" s="3" t="s">
        <v>207</v>
      </c>
      <c r="B183" s="3" t="s">
        <v>28</v>
      </c>
      <c r="C183" s="3" t="str">
        <f t="shared" si="2"/>
        <v>450013030420</v>
      </c>
      <c r="D183" s="4">
        <v>46191</v>
      </c>
      <c r="E183" s="3" t="s">
        <v>597</v>
      </c>
      <c r="F183" s="3" t="s">
        <v>624</v>
      </c>
    </row>
    <row r="184" spans="1:6" x14ac:dyDescent="0.3">
      <c r="A184" s="3" t="s">
        <v>364</v>
      </c>
      <c r="B184" s="3" t="s">
        <v>32</v>
      </c>
      <c r="C184" s="3" t="str">
        <f t="shared" si="2"/>
        <v>450013045810</v>
      </c>
      <c r="D184" s="4">
        <v>46200</v>
      </c>
      <c r="E184" s="3" t="s">
        <v>595</v>
      </c>
      <c r="F184" s="3" t="s">
        <v>596</v>
      </c>
    </row>
    <row r="185" spans="1:6" x14ac:dyDescent="0.3">
      <c r="A185" s="3" t="s">
        <v>364</v>
      </c>
      <c r="B185" s="3" t="s">
        <v>28</v>
      </c>
      <c r="C185" s="3" t="str">
        <f t="shared" si="2"/>
        <v>450013045820</v>
      </c>
      <c r="D185" s="4">
        <v>46200</v>
      </c>
      <c r="E185" s="3" t="s">
        <v>595</v>
      </c>
      <c r="F185" s="3" t="s">
        <v>596</v>
      </c>
    </row>
    <row r="186" spans="1:6" x14ac:dyDescent="0.3">
      <c r="A186" s="3" t="s">
        <v>364</v>
      </c>
      <c r="B186" s="3" t="s">
        <v>54</v>
      </c>
      <c r="C186" s="3" t="str">
        <f t="shared" si="2"/>
        <v>450013045830</v>
      </c>
      <c r="D186" s="4">
        <v>46274</v>
      </c>
      <c r="E186" s="3" t="s">
        <v>595</v>
      </c>
      <c r="F186" s="3" t="s">
        <v>596</v>
      </c>
    </row>
    <row r="187" spans="1:6" x14ac:dyDescent="0.3">
      <c r="A187" s="3" t="s">
        <v>364</v>
      </c>
      <c r="B187" s="3" t="s">
        <v>23</v>
      </c>
      <c r="C187" s="3" t="str">
        <f t="shared" si="2"/>
        <v>450013045840</v>
      </c>
      <c r="D187" s="4">
        <v>46200</v>
      </c>
      <c r="E187" s="3" t="s">
        <v>595</v>
      </c>
      <c r="F187" s="3" t="s">
        <v>596</v>
      </c>
    </row>
    <row r="188" spans="1:6" x14ac:dyDescent="0.3">
      <c r="A188" s="3" t="s">
        <v>364</v>
      </c>
      <c r="B188" s="3" t="s">
        <v>55</v>
      </c>
      <c r="C188" s="3" t="str">
        <f t="shared" si="2"/>
        <v>450013045850</v>
      </c>
      <c r="D188" s="4">
        <v>46200</v>
      </c>
      <c r="E188" s="3" t="s">
        <v>595</v>
      </c>
      <c r="F188" s="3" t="s">
        <v>596</v>
      </c>
    </row>
    <row r="189" spans="1:6" x14ac:dyDescent="0.3">
      <c r="A189" s="3" t="s">
        <v>364</v>
      </c>
      <c r="B189" s="3" t="s">
        <v>80</v>
      </c>
      <c r="C189" s="3" t="str">
        <f t="shared" si="2"/>
        <v>450013045860</v>
      </c>
      <c r="D189" s="4">
        <v>46200</v>
      </c>
      <c r="E189" s="3" t="s">
        <v>595</v>
      </c>
      <c r="F189" s="3" t="s">
        <v>596</v>
      </c>
    </row>
    <row r="190" spans="1:6" x14ac:dyDescent="0.3">
      <c r="A190" s="3" t="s">
        <v>218</v>
      </c>
      <c r="B190" s="3" t="s">
        <v>32</v>
      </c>
      <c r="C190" s="3" t="str">
        <f t="shared" si="2"/>
        <v>450013086810</v>
      </c>
      <c r="D190" s="4">
        <v>46202</v>
      </c>
      <c r="E190" s="3" t="s">
        <v>595</v>
      </c>
      <c r="F190" s="3" t="s">
        <v>612</v>
      </c>
    </row>
    <row r="191" spans="1:6" x14ac:dyDescent="0.3">
      <c r="A191" s="3" t="s">
        <v>218</v>
      </c>
      <c r="B191" s="3" t="s">
        <v>28</v>
      </c>
      <c r="C191" s="3" t="str">
        <f t="shared" si="2"/>
        <v>450013086820</v>
      </c>
      <c r="D191" s="4">
        <v>46215</v>
      </c>
      <c r="E191" s="3" t="s">
        <v>595</v>
      </c>
      <c r="F191" s="3" t="s">
        <v>612</v>
      </c>
    </row>
    <row r="192" spans="1:6" x14ac:dyDescent="0.3">
      <c r="A192" s="3" t="s">
        <v>225</v>
      </c>
      <c r="B192" s="3" t="s">
        <v>226</v>
      </c>
      <c r="C192" s="3" t="str">
        <f t="shared" si="2"/>
        <v>45001308791060</v>
      </c>
      <c r="D192" s="4">
        <v>46211</v>
      </c>
      <c r="E192" s="3" t="s">
        <v>604</v>
      </c>
      <c r="F192" s="3" t="s">
        <v>607</v>
      </c>
    </row>
    <row r="193" spans="1:6" x14ac:dyDescent="0.3">
      <c r="A193" s="3" t="s">
        <v>225</v>
      </c>
      <c r="B193" s="3" t="s">
        <v>227</v>
      </c>
      <c r="C193" s="3" t="str">
        <f t="shared" si="2"/>
        <v>45001308791260</v>
      </c>
      <c r="D193" s="4">
        <v>46211</v>
      </c>
      <c r="E193" s="3" t="s">
        <v>604</v>
      </c>
      <c r="F193" s="3" t="s">
        <v>607</v>
      </c>
    </row>
    <row r="194" spans="1:6" x14ac:dyDescent="0.3">
      <c r="A194" s="3" t="s">
        <v>231</v>
      </c>
      <c r="B194" s="3" t="s">
        <v>32</v>
      </c>
      <c r="C194" s="3" t="str">
        <f t="shared" si="2"/>
        <v>450013128010</v>
      </c>
      <c r="D194" s="4">
        <v>46213</v>
      </c>
      <c r="E194" s="3" t="s">
        <v>611</v>
      </c>
      <c r="F194" s="3" t="s">
        <v>624</v>
      </c>
    </row>
    <row r="195" spans="1:6" x14ac:dyDescent="0.3">
      <c r="A195" s="3" t="s">
        <v>231</v>
      </c>
      <c r="B195" s="3" t="s">
        <v>28</v>
      </c>
      <c r="C195" s="3" t="str">
        <f t="shared" ref="C195:C258" si="3">_xlfn.CONCAT(A195:B195)</f>
        <v>450013128020</v>
      </c>
      <c r="D195" s="4">
        <v>46213</v>
      </c>
      <c r="E195" s="3" t="s">
        <v>611</v>
      </c>
      <c r="F195" s="3" t="s">
        <v>624</v>
      </c>
    </row>
    <row r="196" spans="1:6" x14ac:dyDescent="0.3">
      <c r="A196" s="3" t="s">
        <v>234</v>
      </c>
      <c r="B196" s="3" t="s">
        <v>32</v>
      </c>
      <c r="C196" s="3" t="str">
        <f t="shared" si="3"/>
        <v>450013137110</v>
      </c>
      <c r="D196" s="4">
        <v>46206</v>
      </c>
      <c r="E196" s="3" t="s">
        <v>618</v>
      </c>
      <c r="F196" s="3" t="s">
        <v>641</v>
      </c>
    </row>
    <row r="197" spans="1:6" x14ac:dyDescent="0.3">
      <c r="A197" s="3" t="s">
        <v>234</v>
      </c>
      <c r="B197" s="3" t="s">
        <v>28</v>
      </c>
      <c r="C197" s="3" t="str">
        <f t="shared" si="3"/>
        <v>450013137120</v>
      </c>
      <c r="D197" s="4">
        <v>46206</v>
      </c>
      <c r="E197" s="3" t="s">
        <v>618</v>
      </c>
      <c r="F197" s="3" t="s">
        <v>641</v>
      </c>
    </row>
    <row r="198" spans="1:6" x14ac:dyDescent="0.3">
      <c r="A198" s="3" t="s">
        <v>229</v>
      </c>
      <c r="B198" s="3" t="s">
        <v>32</v>
      </c>
      <c r="C198" s="3" t="str">
        <f t="shared" si="3"/>
        <v>450013144010</v>
      </c>
      <c r="D198" s="4">
        <v>46211</v>
      </c>
      <c r="E198" s="3" t="s">
        <v>618</v>
      </c>
      <c r="F198" s="3" t="s">
        <v>642</v>
      </c>
    </row>
    <row r="199" spans="1:6" x14ac:dyDescent="0.3">
      <c r="A199" s="3" t="s">
        <v>229</v>
      </c>
      <c r="B199" s="3" t="s">
        <v>28</v>
      </c>
      <c r="C199" s="3" t="str">
        <f t="shared" si="3"/>
        <v>450013144020</v>
      </c>
      <c r="D199" s="4">
        <v>46208</v>
      </c>
      <c r="E199" s="3" t="s">
        <v>618</v>
      </c>
      <c r="F199" s="3" t="s">
        <v>642</v>
      </c>
    </row>
    <row r="200" spans="1:6" x14ac:dyDescent="0.3">
      <c r="A200" s="3" t="s">
        <v>229</v>
      </c>
      <c r="B200" s="3" t="s">
        <v>54</v>
      </c>
      <c r="C200" s="3" t="str">
        <f t="shared" si="3"/>
        <v>450013144030</v>
      </c>
      <c r="D200" s="4">
        <v>46208</v>
      </c>
      <c r="E200" s="3" t="s">
        <v>618</v>
      </c>
      <c r="F200" s="3" t="s">
        <v>642</v>
      </c>
    </row>
    <row r="201" spans="1:6" x14ac:dyDescent="0.3">
      <c r="A201" s="3" t="s">
        <v>229</v>
      </c>
      <c r="B201" s="3" t="s">
        <v>23</v>
      </c>
      <c r="C201" s="3" t="str">
        <f t="shared" si="3"/>
        <v>450013144040</v>
      </c>
      <c r="D201" s="4">
        <v>46208</v>
      </c>
      <c r="E201" s="3" t="s">
        <v>618</v>
      </c>
      <c r="F201" s="3" t="s">
        <v>642</v>
      </c>
    </row>
    <row r="202" spans="1:6" x14ac:dyDescent="0.3">
      <c r="A202" s="3" t="s">
        <v>229</v>
      </c>
      <c r="B202" s="3" t="s">
        <v>55</v>
      </c>
      <c r="C202" s="3" t="str">
        <f t="shared" si="3"/>
        <v>450013144050</v>
      </c>
      <c r="D202" s="4">
        <v>46208</v>
      </c>
      <c r="E202" s="3" t="s">
        <v>618</v>
      </c>
      <c r="F202" s="3" t="s">
        <v>642</v>
      </c>
    </row>
    <row r="203" spans="1:6" x14ac:dyDescent="0.3">
      <c r="A203" s="3" t="s">
        <v>220</v>
      </c>
      <c r="B203" s="3" t="s">
        <v>32</v>
      </c>
      <c r="C203" s="3" t="str">
        <f t="shared" si="3"/>
        <v>450013155110</v>
      </c>
      <c r="D203" s="4">
        <v>46205</v>
      </c>
      <c r="E203" s="3" t="s">
        <v>604</v>
      </c>
      <c r="F203" s="3" t="s">
        <v>624</v>
      </c>
    </row>
    <row r="204" spans="1:6" x14ac:dyDescent="0.3">
      <c r="A204" s="3" t="s">
        <v>334</v>
      </c>
      <c r="B204" s="3" t="s">
        <v>32</v>
      </c>
      <c r="C204" s="3" t="str">
        <f t="shared" si="3"/>
        <v>450013224610</v>
      </c>
      <c r="D204" s="4">
        <v>46274</v>
      </c>
      <c r="E204" s="3" t="s">
        <v>611</v>
      </c>
      <c r="F204" s="3" t="s">
        <v>643</v>
      </c>
    </row>
    <row r="205" spans="1:6" x14ac:dyDescent="0.3">
      <c r="A205" s="3" t="s">
        <v>346</v>
      </c>
      <c r="B205" s="3" t="s">
        <v>32</v>
      </c>
      <c r="C205" s="3" t="str">
        <f t="shared" si="3"/>
        <v>450013225110</v>
      </c>
      <c r="D205" s="4">
        <v>46238</v>
      </c>
      <c r="E205" s="3" t="s">
        <v>615</v>
      </c>
      <c r="F205" s="3" t="s">
        <v>616</v>
      </c>
    </row>
    <row r="206" spans="1:6" x14ac:dyDescent="0.3">
      <c r="A206" s="3" t="s">
        <v>346</v>
      </c>
      <c r="B206" s="3" t="s">
        <v>28</v>
      </c>
      <c r="C206" s="3" t="str">
        <f t="shared" si="3"/>
        <v>450013225120</v>
      </c>
      <c r="D206" s="4">
        <v>46238</v>
      </c>
      <c r="E206" s="3" t="s">
        <v>615</v>
      </c>
      <c r="F206" s="3" t="s">
        <v>616</v>
      </c>
    </row>
    <row r="207" spans="1:6" x14ac:dyDescent="0.3">
      <c r="A207" s="3" t="s">
        <v>346</v>
      </c>
      <c r="B207" s="3" t="s">
        <v>55</v>
      </c>
      <c r="C207" s="3" t="str">
        <f t="shared" si="3"/>
        <v>450013225150</v>
      </c>
      <c r="D207" s="4">
        <v>46238</v>
      </c>
      <c r="E207" s="3" t="s">
        <v>615</v>
      </c>
      <c r="F207" s="3" t="s">
        <v>616</v>
      </c>
    </row>
    <row r="208" spans="1:6" x14ac:dyDescent="0.3">
      <c r="A208" s="3" t="s">
        <v>346</v>
      </c>
      <c r="B208" s="3" t="s">
        <v>80</v>
      </c>
      <c r="C208" s="3" t="str">
        <f t="shared" si="3"/>
        <v>450013225160</v>
      </c>
      <c r="D208" s="4">
        <v>46295</v>
      </c>
      <c r="E208" s="3" t="s">
        <v>615</v>
      </c>
      <c r="F208" s="3" t="s">
        <v>616</v>
      </c>
    </row>
    <row r="209" spans="1:6" x14ac:dyDescent="0.3">
      <c r="A209" s="3" t="s">
        <v>346</v>
      </c>
      <c r="B209" s="3" t="s">
        <v>81</v>
      </c>
      <c r="C209" s="3" t="str">
        <f t="shared" si="3"/>
        <v>450013225170</v>
      </c>
      <c r="D209" s="4">
        <v>46238</v>
      </c>
      <c r="E209" s="3" t="s">
        <v>615</v>
      </c>
      <c r="F209" s="3" t="s">
        <v>616</v>
      </c>
    </row>
    <row r="210" spans="1:6" x14ac:dyDescent="0.3">
      <c r="A210" s="3" t="s">
        <v>346</v>
      </c>
      <c r="B210" s="3" t="s">
        <v>82</v>
      </c>
      <c r="C210" s="3" t="str">
        <f t="shared" si="3"/>
        <v>450013225180</v>
      </c>
      <c r="D210" s="4">
        <v>46295</v>
      </c>
      <c r="E210" s="3" t="s">
        <v>615</v>
      </c>
      <c r="F210" s="3" t="s">
        <v>616</v>
      </c>
    </row>
    <row r="211" spans="1:6" x14ac:dyDescent="0.3">
      <c r="A211" s="3" t="s">
        <v>346</v>
      </c>
      <c r="B211" s="3" t="s">
        <v>83</v>
      </c>
      <c r="C211" s="3" t="str">
        <f t="shared" si="3"/>
        <v>450013225190</v>
      </c>
      <c r="D211" s="4">
        <v>46238</v>
      </c>
      <c r="E211" s="3" t="s">
        <v>615</v>
      </c>
      <c r="F211" s="3" t="s">
        <v>616</v>
      </c>
    </row>
    <row r="212" spans="1:6" x14ac:dyDescent="0.3">
      <c r="A212" s="3" t="s">
        <v>245</v>
      </c>
      <c r="B212" s="3" t="s">
        <v>32</v>
      </c>
      <c r="C212" s="3" t="str">
        <f t="shared" si="3"/>
        <v>450013242110</v>
      </c>
      <c r="D212" s="4">
        <v>46220</v>
      </c>
      <c r="E212" s="3" t="s">
        <v>597</v>
      </c>
      <c r="F212" s="3" t="s">
        <v>644</v>
      </c>
    </row>
    <row r="213" spans="1:6" x14ac:dyDescent="0.3">
      <c r="A213" s="3" t="s">
        <v>236</v>
      </c>
      <c r="B213" s="3" t="s">
        <v>237</v>
      </c>
      <c r="C213" s="3" t="str">
        <f t="shared" si="3"/>
        <v>4500132453600</v>
      </c>
      <c r="D213" s="4">
        <v>46235</v>
      </c>
      <c r="E213" s="3" t="s">
        <v>595</v>
      </c>
      <c r="F213" s="3" t="s">
        <v>607</v>
      </c>
    </row>
    <row r="214" spans="1:6" x14ac:dyDescent="0.3">
      <c r="A214" s="3" t="s">
        <v>236</v>
      </c>
      <c r="B214" s="3" t="s">
        <v>238</v>
      </c>
      <c r="C214" s="3" t="str">
        <f t="shared" si="3"/>
        <v>4500132453810</v>
      </c>
      <c r="D214" s="4">
        <v>46232</v>
      </c>
      <c r="E214" s="3" t="s">
        <v>595</v>
      </c>
      <c r="F214" s="3" t="s">
        <v>607</v>
      </c>
    </row>
    <row r="215" spans="1:6" x14ac:dyDescent="0.3">
      <c r="A215" s="3" t="s">
        <v>236</v>
      </c>
      <c r="B215" s="3" t="s">
        <v>239</v>
      </c>
      <c r="C215" s="3" t="str">
        <f t="shared" si="3"/>
        <v>4500132453860</v>
      </c>
      <c r="D215" s="4">
        <v>46232</v>
      </c>
      <c r="E215" s="3" t="s">
        <v>595</v>
      </c>
      <c r="F215" s="3" t="s">
        <v>607</v>
      </c>
    </row>
    <row r="216" spans="1:6" x14ac:dyDescent="0.3">
      <c r="A216" s="3" t="s">
        <v>236</v>
      </c>
      <c r="B216" s="3" t="s">
        <v>240</v>
      </c>
      <c r="C216" s="3" t="str">
        <f t="shared" si="3"/>
        <v>4500132453880</v>
      </c>
      <c r="D216" s="4">
        <v>46232</v>
      </c>
      <c r="E216" s="3" t="s">
        <v>595</v>
      </c>
      <c r="F216" s="3" t="s">
        <v>607</v>
      </c>
    </row>
    <row r="217" spans="1:6" x14ac:dyDescent="0.3">
      <c r="A217" s="3" t="s">
        <v>236</v>
      </c>
      <c r="B217" s="3" t="s">
        <v>241</v>
      </c>
      <c r="C217" s="3" t="str">
        <f t="shared" si="3"/>
        <v>4500132453950</v>
      </c>
      <c r="D217" s="4">
        <v>46217</v>
      </c>
      <c r="E217" s="3" t="s">
        <v>595</v>
      </c>
      <c r="F217" s="3" t="s">
        <v>607</v>
      </c>
    </row>
    <row r="218" spans="1:6" x14ac:dyDescent="0.3">
      <c r="A218" s="3" t="s">
        <v>236</v>
      </c>
      <c r="B218" s="3" t="s">
        <v>242</v>
      </c>
      <c r="C218" s="3" t="str">
        <f t="shared" si="3"/>
        <v>4500132453980</v>
      </c>
      <c r="D218" s="4">
        <v>46217</v>
      </c>
      <c r="E218" s="3" t="s">
        <v>595</v>
      </c>
      <c r="F218" s="3" t="s">
        <v>607</v>
      </c>
    </row>
    <row r="219" spans="1:6" x14ac:dyDescent="0.3">
      <c r="A219" s="3" t="s">
        <v>248</v>
      </c>
      <c r="B219" s="3" t="s">
        <v>32</v>
      </c>
      <c r="C219" s="3" t="str">
        <f t="shared" si="3"/>
        <v>450013257710</v>
      </c>
      <c r="D219" s="4">
        <v>46244</v>
      </c>
      <c r="E219" s="3" t="s">
        <v>595</v>
      </c>
      <c r="F219" s="3" t="s">
        <v>645</v>
      </c>
    </row>
    <row r="220" spans="1:6" x14ac:dyDescent="0.3">
      <c r="A220" s="3" t="s">
        <v>258</v>
      </c>
      <c r="B220" s="3" t="s">
        <v>32</v>
      </c>
      <c r="C220" s="3" t="str">
        <f t="shared" si="3"/>
        <v>450013260810</v>
      </c>
      <c r="D220" s="4">
        <v>46232</v>
      </c>
      <c r="E220" s="3" t="s">
        <v>611</v>
      </c>
      <c r="F220" s="3" t="s">
        <v>596</v>
      </c>
    </row>
    <row r="221" spans="1:6" x14ac:dyDescent="0.3">
      <c r="A221" s="3" t="s">
        <v>258</v>
      </c>
      <c r="B221" s="3" t="s">
        <v>28</v>
      </c>
      <c r="C221" s="3" t="str">
        <f t="shared" si="3"/>
        <v>450013260820</v>
      </c>
      <c r="D221" s="4">
        <v>46232</v>
      </c>
      <c r="E221" s="3" t="s">
        <v>611</v>
      </c>
      <c r="F221" s="3" t="s">
        <v>596</v>
      </c>
    </row>
    <row r="222" spans="1:6" x14ac:dyDescent="0.3">
      <c r="A222" s="3" t="s">
        <v>258</v>
      </c>
      <c r="B222" s="3" t="s">
        <v>54</v>
      </c>
      <c r="C222" s="3" t="str">
        <f t="shared" si="3"/>
        <v>450013260830</v>
      </c>
      <c r="D222" s="4">
        <v>46232</v>
      </c>
      <c r="E222" s="3" t="s">
        <v>611</v>
      </c>
      <c r="F222" s="3" t="s">
        <v>596</v>
      </c>
    </row>
    <row r="223" spans="1:6" x14ac:dyDescent="0.3">
      <c r="A223" s="3" t="s">
        <v>258</v>
      </c>
      <c r="B223" s="3" t="s">
        <v>23</v>
      </c>
      <c r="C223" s="3" t="str">
        <f t="shared" si="3"/>
        <v>450013260840</v>
      </c>
      <c r="D223" s="4">
        <v>46280</v>
      </c>
      <c r="E223" s="3" t="s">
        <v>611</v>
      </c>
      <c r="F223" s="3" t="s">
        <v>596</v>
      </c>
    </row>
    <row r="224" spans="1:6" x14ac:dyDescent="0.3">
      <c r="A224" s="3" t="s">
        <v>258</v>
      </c>
      <c r="B224" s="3" t="s">
        <v>55</v>
      </c>
      <c r="C224" s="3" t="str">
        <f t="shared" si="3"/>
        <v>450013260850</v>
      </c>
      <c r="D224" s="4">
        <v>46232</v>
      </c>
      <c r="E224" s="3" t="s">
        <v>611</v>
      </c>
      <c r="F224" s="3" t="s">
        <v>596</v>
      </c>
    </row>
    <row r="225" spans="1:6" x14ac:dyDescent="0.3">
      <c r="A225" s="3" t="s">
        <v>258</v>
      </c>
      <c r="B225" s="3" t="s">
        <v>80</v>
      </c>
      <c r="C225" s="3" t="str">
        <f t="shared" si="3"/>
        <v>450013260860</v>
      </c>
      <c r="D225" s="4">
        <v>46232</v>
      </c>
      <c r="E225" s="3" t="s">
        <v>611</v>
      </c>
      <c r="F225" s="3" t="s">
        <v>596</v>
      </c>
    </row>
    <row r="226" spans="1:6" x14ac:dyDescent="0.3">
      <c r="A226" s="3" t="s">
        <v>263</v>
      </c>
      <c r="B226" s="3" t="s">
        <v>646</v>
      </c>
      <c r="C226" s="3" t="str">
        <f t="shared" si="3"/>
        <v>4500133085700</v>
      </c>
      <c r="D226" s="4">
        <v>46228</v>
      </c>
      <c r="E226" s="3" t="s">
        <v>604</v>
      </c>
      <c r="F226" s="3" t="s">
        <v>607</v>
      </c>
    </row>
    <row r="227" spans="1:6" x14ac:dyDescent="0.3">
      <c r="A227" s="3" t="s">
        <v>263</v>
      </c>
      <c r="B227" s="3" t="s">
        <v>264</v>
      </c>
      <c r="C227" s="3" t="str">
        <f t="shared" si="3"/>
        <v>4500133085720</v>
      </c>
      <c r="D227" s="4">
        <v>46233</v>
      </c>
      <c r="E227" s="3" t="s">
        <v>604</v>
      </c>
      <c r="F227" s="3" t="s">
        <v>607</v>
      </c>
    </row>
    <row r="228" spans="1:6" x14ac:dyDescent="0.3">
      <c r="A228" s="3" t="s">
        <v>255</v>
      </c>
      <c r="B228" s="3" t="s">
        <v>32</v>
      </c>
      <c r="C228" s="3" t="str">
        <f t="shared" si="3"/>
        <v>450013333610</v>
      </c>
      <c r="D228" s="4">
        <v>46287</v>
      </c>
      <c r="E228" s="3" t="s">
        <v>611</v>
      </c>
      <c r="F228" s="3" t="s">
        <v>612</v>
      </c>
    </row>
    <row r="229" spans="1:6" x14ac:dyDescent="0.3">
      <c r="A229" s="3" t="s">
        <v>255</v>
      </c>
      <c r="B229" s="3" t="s">
        <v>28</v>
      </c>
      <c r="C229" s="3" t="str">
        <f t="shared" si="3"/>
        <v>450013333620</v>
      </c>
      <c r="D229" s="4">
        <v>46274</v>
      </c>
      <c r="E229" s="3" t="s">
        <v>611</v>
      </c>
      <c r="F229" s="3" t="s">
        <v>612</v>
      </c>
    </row>
    <row r="230" spans="1:6" x14ac:dyDescent="0.3">
      <c r="A230" s="3" t="s">
        <v>255</v>
      </c>
      <c r="B230" s="3" t="s">
        <v>54</v>
      </c>
      <c r="C230" s="3" t="str">
        <f t="shared" si="3"/>
        <v>450013333630</v>
      </c>
      <c r="D230" s="4">
        <v>46234</v>
      </c>
      <c r="E230" s="3" t="s">
        <v>611</v>
      </c>
      <c r="F230" s="3" t="s">
        <v>612</v>
      </c>
    </row>
    <row r="231" spans="1:6" x14ac:dyDescent="0.3">
      <c r="A231" s="3" t="s">
        <v>255</v>
      </c>
      <c r="B231" s="3" t="s">
        <v>23</v>
      </c>
      <c r="C231" s="3" t="str">
        <f t="shared" si="3"/>
        <v>450013333640</v>
      </c>
      <c r="D231" s="4">
        <v>46234</v>
      </c>
      <c r="E231" s="3" t="s">
        <v>611</v>
      </c>
      <c r="F231" s="3" t="s">
        <v>612</v>
      </c>
    </row>
    <row r="232" spans="1:6" x14ac:dyDescent="0.3">
      <c r="A232" s="3" t="s">
        <v>255</v>
      </c>
      <c r="B232" s="3" t="s">
        <v>55</v>
      </c>
      <c r="C232" s="3" t="str">
        <f t="shared" si="3"/>
        <v>450013333650</v>
      </c>
      <c r="D232" s="4">
        <v>46234</v>
      </c>
      <c r="E232" s="3" t="s">
        <v>611</v>
      </c>
      <c r="F232" s="3" t="s">
        <v>612</v>
      </c>
    </row>
    <row r="233" spans="1:6" x14ac:dyDescent="0.3">
      <c r="A233" s="3" t="s">
        <v>255</v>
      </c>
      <c r="B233" s="3" t="s">
        <v>80</v>
      </c>
      <c r="C233" s="3" t="str">
        <f t="shared" si="3"/>
        <v>450013333660</v>
      </c>
      <c r="D233" s="4">
        <v>46234</v>
      </c>
      <c r="E233" s="3" t="s">
        <v>611</v>
      </c>
      <c r="F233" s="3" t="s">
        <v>612</v>
      </c>
    </row>
    <row r="234" spans="1:6" x14ac:dyDescent="0.3">
      <c r="A234" s="3" t="s">
        <v>295</v>
      </c>
      <c r="B234" s="3" t="s">
        <v>88</v>
      </c>
      <c r="C234" s="3" t="str">
        <f t="shared" si="3"/>
        <v>4500133466160</v>
      </c>
      <c r="D234" s="4">
        <v>46233</v>
      </c>
      <c r="E234" s="3" t="s">
        <v>604</v>
      </c>
      <c r="F234" s="3" t="s">
        <v>647</v>
      </c>
    </row>
    <row r="235" spans="1:6" x14ac:dyDescent="0.3">
      <c r="A235" s="3" t="s">
        <v>295</v>
      </c>
      <c r="B235" s="3" t="s">
        <v>91</v>
      </c>
      <c r="C235" s="3" t="str">
        <f t="shared" si="3"/>
        <v>4500133466190</v>
      </c>
      <c r="D235" s="4">
        <v>46233</v>
      </c>
      <c r="E235" s="3" t="s">
        <v>604</v>
      </c>
      <c r="F235" s="3" t="s">
        <v>647</v>
      </c>
    </row>
    <row r="236" spans="1:6" x14ac:dyDescent="0.3">
      <c r="A236" s="3" t="s">
        <v>404</v>
      </c>
      <c r="B236" s="3" t="s">
        <v>32</v>
      </c>
      <c r="C236" s="3" t="str">
        <f t="shared" si="3"/>
        <v>450013351410</v>
      </c>
      <c r="D236" s="4">
        <v>46290</v>
      </c>
      <c r="E236" s="3" t="s">
        <v>611</v>
      </c>
      <c r="F236" s="3" t="s">
        <v>648</v>
      </c>
    </row>
    <row r="237" spans="1:6" x14ac:dyDescent="0.3">
      <c r="A237" s="3" t="s">
        <v>261</v>
      </c>
      <c r="B237" s="3" t="s">
        <v>32</v>
      </c>
      <c r="C237" s="3" t="str">
        <f t="shared" si="3"/>
        <v>450013354710</v>
      </c>
      <c r="D237" s="4">
        <v>46239</v>
      </c>
      <c r="E237" s="3" t="s">
        <v>595</v>
      </c>
      <c r="F237" s="3" t="s">
        <v>649</v>
      </c>
    </row>
    <row r="238" spans="1:6" x14ac:dyDescent="0.3">
      <c r="A238" s="3" t="s">
        <v>253</v>
      </c>
      <c r="B238" s="3" t="s">
        <v>32</v>
      </c>
      <c r="C238" s="3" t="str">
        <f t="shared" si="3"/>
        <v>450013355010</v>
      </c>
      <c r="D238" s="4">
        <v>46238</v>
      </c>
      <c r="E238" s="3" t="s">
        <v>595</v>
      </c>
      <c r="F238" s="3" t="s">
        <v>642</v>
      </c>
    </row>
    <row r="239" spans="1:6" x14ac:dyDescent="0.3">
      <c r="A239" s="3" t="s">
        <v>251</v>
      </c>
      <c r="B239" s="3" t="s">
        <v>32</v>
      </c>
      <c r="C239" s="3" t="str">
        <f t="shared" si="3"/>
        <v>450013355710</v>
      </c>
      <c r="D239" s="4">
        <v>46256</v>
      </c>
      <c r="E239" s="3" t="s">
        <v>595</v>
      </c>
      <c r="F239" s="3" t="s">
        <v>642</v>
      </c>
    </row>
    <row r="240" spans="1:6" x14ac:dyDescent="0.3">
      <c r="A240" s="3" t="s">
        <v>266</v>
      </c>
      <c r="B240" s="3" t="s">
        <v>267</v>
      </c>
      <c r="C240" s="3" t="str">
        <f t="shared" si="3"/>
        <v>4500134133430</v>
      </c>
      <c r="D240" s="4">
        <v>46244</v>
      </c>
      <c r="E240" s="3" t="s">
        <v>604</v>
      </c>
      <c r="F240" s="3" t="s">
        <v>607</v>
      </c>
    </row>
    <row r="241" spans="1:6" x14ac:dyDescent="0.3">
      <c r="A241" s="3" t="s">
        <v>266</v>
      </c>
      <c r="B241" s="3" t="s">
        <v>268</v>
      </c>
      <c r="C241" s="3" t="str">
        <f t="shared" si="3"/>
        <v>4500134133450</v>
      </c>
      <c r="D241" s="4">
        <v>46244</v>
      </c>
      <c r="E241" s="3" t="s">
        <v>604</v>
      </c>
      <c r="F241" s="3" t="s">
        <v>607</v>
      </c>
    </row>
    <row r="242" spans="1:6" x14ac:dyDescent="0.3">
      <c r="A242" s="3" t="s">
        <v>266</v>
      </c>
      <c r="B242" s="3" t="s">
        <v>269</v>
      </c>
      <c r="C242" s="3" t="str">
        <f t="shared" si="3"/>
        <v>4500134133460</v>
      </c>
      <c r="D242" s="4">
        <v>46244</v>
      </c>
      <c r="E242" s="3" t="s">
        <v>604</v>
      </c>
      <c r="F242" s="3" t="s">
        <v>607</v>
      </c>
    </row>
    <row r="243" spans="1:6" x14ac:dyDescent="0.3">
      <c r="A243" s="3" t="s">
        <v>270</v>
      </c>
      <c r="B243" s="3" t="s">
        <v>130</v>
      </c>
      <c r="C243" s="3" t="str">
        <f t="shared" si="3"/>
        <v>4500134134270</v>
      </c>
      <c r="D243" s="4">
        <v>46244</v>
      </c>
      <c r="E243" s="3" t="s">
        <v>604</v>
      </c>
      <c r="F243" s="3" t="s">
        <v>607</v>
      </c>
    </row>
    <row r="244" spans="1:6" x14ac:dyDescent="0.3">
      <c r="A244" s="3" t="s">
        <v>270</v>
      </c>
      <c r="B244" s="3" t="s">
        <v>132</v>
      </c>
      <c r="C244" s="3" t="str">
        <f t="shared" si="3"/>
        <v>4500134134290</v>
      </c>
      <c r="D244" s="4">
        <v>46244</v>
      </c>
      <c r="E244" s="3" t="s">
        <v>604</v>
      </c>
      <c r="F244" s="3" t="s">
        <v>607</v>
      </c>
    </row>
    <row r="245" spans="1:6" x14ac:dyDescent="0.3">
      <c r="A245" s="3" t="s">
        <v>270</v>
      </c>
      <c r="B245" s="3" t="s">
        <v>134</v>
      </c>
      <c r="C245" s="3" t="str">
        <f t="shared" si="3"/>
        <v>4500134134310</v>
      </c>
      <c r="D245" s="4">
        <v>46244</v>
      </c>
      <c r="E245" s="3" t="s">
        <v>604</v>
      </c>
      <c r="F245" s="3" t="s">
        <v>607</v>
      </c>
    </row>
    <row r="246" spans="1:6" x14ac:dyDescent="0.3">
      <c r="A246" s="3" t="s">
        <v>271</v>
      </c>
      <c r="B246" s="3" t="s">
        <v>272</v>
      </c>
      <c r="C246" s="3" t="str">
        <f t="shared" si="3"/>
        <v>4500134136930</v>
      </c>
      <c r="D246" s="4">
        <v>46235</v>
      </c>
      <c r="E246" s="3" t="s">
        <v>604</v>
      </c>
      <c r="F246" s="3" t="s">
        <v>607</v>
      </c>
    </row>
    <row r="247" spans="1:6" x14ac:dyDescent="0.3">
      <c r="A247" s="3" t="s">
        <v>271</v>
      </c>
      <c r="B247" s="3" t="s">
        <v>273</v>
      </c>
      <c r="C247" s="3" t="str">
        <f t="shared" si="3"/>
        <v>45001341361030</v>
      </c>
      <c r="D247" s="4">
        <v>46235</v>
      </c>
      <c r="E247" s="3" t="s">
        <v>604</v>
      </c>
      <c r="F247" s="3" t="s">
        <v>607</v>
      </c>
    </row>
    <row r="248" spans="1:6" x14ac:dyDescent="0.3">
      <c r="A248" s="3" t="s">
        <v>271</v>
      </c>
      <c r="B248" s="3" t="s">
        <v>274</v>
      </c>
      <c r="C248" s="3" t="str">
        <f t="shared" si="3"/>
        <v>45001341361050</v>
      </c>
      <c r="D248" s="4">
        <v>46235</v>
      </c>
      <c r="E248" s="3" t="s">
        <v>604</v>
      </c>
      <c r="F248" s="3" t="s">
        <v>607</v>
      </c>
    </row>
    <row r="249" spans="1:6" x14ac:dyDescent="0.3">
      <c r="A249" s="3" t="s">
        <v>271</v>
      </c>
      <c r="B249" s="3" t="s">
        <v>226</v>
      </c>
      <c r="C249" s="3" t="str">
        <f t="shared" si="3"/>
        <v>45001341361060</v>
      </c>
      <c r="D249" s="4">
        <v>46235</v>
      </c>
      <c r="E249" s="3" t="s">
        <v>604</v>
      </c>
      <c r="F249" s="3" t="s">
        <v>607</v>
      </c>
    </row>
    <row r="250" spans="1:6" x14ac:dyDescent="0.3">
      <c r="A250" s="3" t="s">
        <v>331</v>
      </c>
      <c r="B250" s="3" t="s">
        <v>32</v>
      </c>
      <c r="C250" s="3" t="str">
        <f t="shared" si="3"/>
        <v>450013415710</v>
      </c>
      <c r="D250" s="4">
        <v>46251</v>
      </c>
      <c r="E250" s="3" t="s">
        <v>602</v>
      </c>
      <c r="F250" s="3" t="s">
        <v>650</v>
      </c>
    </row>
    <row r="251" spans="1:6" x14ac:dyDescent="0.3">
      <c r="A251" s="3" t="s">
        <v>94</v>
      </c>
      <c r="B251" s="3" t="s">
        <v>32</v>
      </c>
      <c r="C251" s="3" t="str">
        <f t="shared" si="3"/>
        <v>450013446810</v>
      </c>
      <c r="D251" s="4">
        <v>46248</v>
      </c>
      <c r="E251" s="3" t="s">
        <v>586</v>
      </c>
      <c r="F251" s="3" t="s">
        <v>606</v>
      </c>
    </row>
    <row r="252" spans="1:6" x14ac:dyDescent="0.3">
      <c r="A252" s="3" t="s">
        <v>94</v>
      </c>
      <c r="B252" s="3" t="s">
        <v>28</v>
      </c>
      <c r="C252" s="3" t="str">
        <f t="shared" si="3"/>
        <v>450013446820</v>
      </c>
      <c r="D252" s="4">
        <v>46302</v>
      </c>
      <c r="E252" s="3" t="s">
        <v>586</v>
      </c>
      <c r="F252" s="3" t="s">
        <v>606</v>
      </c>
    </row>
    <row r="253" spans="1:6" x14ac:dyDescent="0.3">
      <c r="A253" s="3" t="s">
        <v>276</v>
      </c>
      <c r="B253" s="3" t="s">
        <v>32</v>
      </c>
      <c r="C253" s="3" t="str">
        <f t="shared" si="3"/>
        <v>450013452810</v>
      </c>
      <c r="D253" s="4">
        <v>46256</v>
      </c>
      <c r="E253" s="3" t="s">
        <v>604</v>
      </c>
      <c r="F253" s="3" t="s">
        <v>624</v>
      </c>
    </row>
    <row r="254" spans="1:6" x14ac:dyDescent="0.3">
      <c r="A254" s="3" t="s">
        <v>276</v>
      </c>
      <c r="B254" s="3" t="s">
        <v>28</v>
      </c>
      <c r="C254" s="3" t="str">
        <f t="shared" si="3"/>
        <v>450013452820</v>
      </c>
      <c r="D254" s="4">
        <v>46256</v>
      </c>
      <c r="E254" s="3" t="s">
        <v>604</v>
      </c>
      <c r="F254" s="3" t="s">
        <v>624</v>
      </c>
    </row>
    <row r="255" spans="1:6" x14ac:dyDescent="0.3">
      <c r="A255" s="3" t="s">
        <v>276</v>
      </c>
      <c r="B255" s="3" t="s">
        <v>54</v>
      </c>
      <c r="C255" s="3" t="str">
        <f t="shared" si="3"/>
        <v>450013452830</v>
      </c>
      <c r="D255" s="4">
        <v>46249</v>
      </c>
      <c r="E255" s="3" t="s">
        <v>604</v>
      </c>
      <c r="F255" s="3" t="s">
        <v>624</v>
      </c>
    </row>
    <row r="256" spans="1:6" x14ac:dyDescent="0.3">
      <c r="A256" s="3" t="s">
        <v>276</v>
      </c>
      <c r="B256" s="3" t="s">
        <v>277</v>
      </c>
      <c r="C256" s="3" t="str">
        <f t="shared" si="3"/>
        <v>4500134528370</v>
      </c>
      <c r="D256" s="4">
        <v>46261</v>
      </c>
      <c r="E256" s="3" t="s">
        <v>604</v>
      </c>
      <c r="F256" s="3" t="s">
        <v>624</v>
      </c>
    </row>
    <row r="257" spans="1:6" x14ac:dyDescent="0.3">
      <c r="A257" s="3" t="s">
        <v>384</v>
      </c>
      <c r="B257" s="3" t="s">
        <v>32</v>
      </c>
      <c r="C257" s="3" t="str">
        <f t="shared" si="3"/>
        <v>450013457010</v>
      </c>
      <c r="D257" s="4">
        <v>46280</v>
      </c>
      <c r="E257" s="3" t="s">
        <v>595</v>
      </c>
      <c r="F257" s="3" t="s">
        <v>651</v>
      </c>
    </row>
    <row r="258" spans="1:6" x14ac:dyDescent="0.3">
      <c r="A258" s="3" t="s">
        <v>523</v>
      </c>
      <c r="B258" s="3" t="s">
        <v>28</v>
      </c>
      <c r="C258" s="3" t="str">
        <f t="shared" si="3"/>
        <v>450013467320</v>
      </c>
      <c r="D258" s="4">
        <v>46447</v>
      </c>
      <c r="E258" s="3" t="s">
        <v>586</v>
      </c>
      <c r="F258" s="3" t="s">
        <v>601</v>
      </c>
    </row>
    <row r="259" spans="1:6" x14ac:dyDescent="0.3">
      <c r="A259" s="3" t="s">
        <v>280</v>
      </c>
      <c r="B259" s="3" t="s">
        <v>67</v>
      </c>
      <c r="C259" s="3" t="str">
        <f t="shared" ref="C259:C322" si="4">_xlfn.CONCAT(A259:B259)</f>
        <v>4500134715170</v>
      </c>
      <c r="D259" s="4">
        <v>46240</v>
      </c>
      <c r="E259" s="3" t="s">
        <v>604</v>
      </c>
      <c r="F259" s="3" t="s">
        <v>647</v>
      </c>
    </row>
    <row r="260" spans="1:6" x14ac:dyDescent="0.3">
      <c r="A260" s="3" t="s">
        <v>280</v>
      </c>
      <c r="B260" s="3" t="s">
        <v>125</v>
      </c>
      <c r="C260" s="3" t="str">
        <f t="shared" si="4"/>
        <v>4500134715180</v>
      </c>
      <c r="D260" s="4">
        <v>46240</v>
      </c>
      <c r="E260" s="3" t="s">
        <v>604</v>
      </c>
      <c r="F260" s="3" t="s">
        <v>647</v>
      </c>
    </row>
    <row r="261" spans="1:6" x14ac:dyDescent="0.3">
      <c r="A261" s="3" t="s">
        <v>280</v>
      </c>
      <c r="B261" s="3" t="s">
        <v>281</v>
      </c>
      <c r="C261" s="3" t="str">
        <f t="shared" si="4"/>
        <v>45001347151340</v>
      </c>
      <c r="D261" s="4">
        <v>46240</v>
      </c>
      <c r="E261" s="3" t="s">
        <v>604</v>
      </c>
      <c r="F261" s="3" t="s">
        <v>647</v>
      </c>
    </row>
    <row r="262" spans="1:6" x14ac:dyDescent="0.3">
      <c r="A262" s="3" t="s">
        <v>280</v>
      </c>
      <c r="B262" s="3" t="s">
        <v>282</v>
      </c>
      <c r="C262" s="3" t="str">
        <f t="shared" si="4"/>
        <v>45001347151350</v>
      </c>
      <c r="D262" s="4">
        <v>46240</v>
      </c>
      <c r="E262" s="3" t="s">
        <v>604</v>
      </c>
      <c r="F262" s="3" t="s">
        <v>647</v>
      </c>
    </row>
    <row r="263" spans="1:6" x14ac:dyDescent="0.3">
      <c r="A263" s="3" t="s">
        <v>401</v>
      </c>
      <c r="B263" s="3" t="s">
        <v>32</v>
      </c>
      <c r="C263" s="3" t="str">
        <f t="shared" si="4"/>
        <v>450013482610</v>
      </c>
      <c r="D263" s="4">
        <v>46287</v>
      </c>
      <c r="E263" s="3" t="s">
        <v>595</v>
      </c>
      <c r="F263" s="3" t="s">
        <v>652</v>
      </c>
    </row>
    <row r="264" spans="1:6" x14ac:dyDescent="0.3">
      <c r="A264" s="3" t="s">
        <v>373</v>
      </c>
      <c r="B264" s="3" t="s">
        <v>32</v>
      </c>
      <c r="C264" s="3" t="str">
        <f t="shared" si="4"/>
        <v>450013494910</v>
      </c>
      <c r="D264" s="4">
        <v>46274</v>
      </c>
      <c r="E264" s="3" t="s">
        <v>595</v>
      </c>
      <c r="F264" s="3" t="s">
        <v>653</v>
      </c>
    </row>
    <row r="265" spans="1:6" x14ac:dyDescent="0.3">
      <c r="A265" s="3" t="s">
        <v>373</v>
      </c>
      <c r="B265" s="3" t="s">
        <v>28</v>
      </c>
      <c r="C265" s="3" t="str">
        <f t="shared" si="4"/>
        <v>450013494920</v>
      </c>
      <c r="D265" s="4">
        <v>46274</v>
      </c>
      <c r="E265" s="3" t="s">
        <v>595</v>
      </c>
      <c r="F265" s="3" t="s">
        <v>653</v>
      </c>
    </row>
    <row r="266" spans="1:6" x14ac:dyDescent="0.3">
      <c r="A266" s="3" t="s">
        <v>119</v>
      </c>
      <c r="B266" s="3" t="s">
        <v>32</v>
      </c>
      <c r="C266" s="3" t="str">
        <f t="shared" si="4"/>
        <v>450013502110</v>
      </c>
      <c r="D266" s="4">
        <v>46279</v>
      </c>
      <c r="E266" s="3" t="s">
        <v>611</v>
      </c>
      <c r="F266" s="3" t="s">
        <v>654</v>
      </c>
    </row>
    <row r="267" spans="1:6" x14ac:dyDescent="0.3">
      <c r="A267" s="3" t="s">
        <v>119</v>
      </c>
      <c r="B267" s="3" t="s">
        <v>28</v>
      </c>
      <c r="C267" s="3" t="str">
        <f t="shared" si="4"/>
        <v>450013502120</v>
      </c>
      <c r="D267" s="4">
        <v>46279</v>
      </c>
      <c r="E267" s="3" t="s">
        <v>611</v>
      </c>
      <c r="F267" s="3" t="s">
        <v>654</v>
      </c>
    </row>
    <row r="268" spans="1:6" x14ac:dyDescent="0.3">
      <c r="A268" s="3" t="s">
        <v>119</v>
      </c>
      <c r="B268" s="3" t="s">
        <v>54</v>
      </c>
      <c r="C268" s="3" t="str">
        <f t="shared" si="4"/>
        <v>450013502130</v>
      </c>
      <c r="D268" s="4">
        <v>46279</v>
      </c>
      <c r="E268" s="3" t="s">
        <v>611</v>
      </c>
      <c r="F268" s="3" t="s">
        <v>654</v>
      </c>
    </row>
    <row r="269" spans="1:6" x14ac:dyDescent="0.3">
      <c r="A269" s="3" t="s">
        <v>119</v>
      </c>
      <c r="B269" s="3" t="s">
        <v>23</v>
      </c>
      <c r="C269" s="3" t="str">
        <f t="shared" si="4"/>
        <v>450013502140</v>
      </c>
      <c r="D269" s="4">
        <v>46279</v>
      </c>
      <c r="E269" s="3" t="s">
        <v>611</v>
      </c>
      <c r="F269" s="3" t="s">
        <v>654</v>
      </c>
    </row>
    <row r="270" spans="1:6" x14ac:dyDescent="0.3">
      <c r="A270" s="3" t="s">
        <v>119</v>
      </c>
      <c r="B270" s="3" t="s">
        <v>55</v>
      </c>
      <c r="C270" s="3" t="str">
        <f t="shared" si="4"/>
        <v>450013502150</v>
      </c>
      <c r="D270" s="4">
        <v>46279</v>
      </c>
      <c r="E270" s="3" t="s">
        <v>611</v>
      </c>
      <c r="F270" s="3" t="s">
        <v>654</v>
      </c>
    </row>
    <row r="271" spans="1:6" x14ac:dyDescent="0.3">
      <c r="A271" s="3" t="s">
        <v>438</v>
      </c>
      <c r="B271" s="3" t="s">
        <v>32</v>
      </c>
      <c r="C271" s="3" t="str">
        <f t="shared" si="4"/>
        <v>450013506010</v>
      </c>
      <c r="D271" s="4">
        <v>46285</v>
      </c>
      <c r="E271" s="3" t="s">
        <v>595</v>
      </c>
      <c r="F271" s="3" t="s">
        <v>612</v>
      </c>
    </row>
    <row r="272" spans="1:6" x14ac:dyDescent="0.3">
      <c r="A272" s="3" t="s">
        <v>438</v>
      </c>
      <c r="B272" s="3" t="s">
        <v>54</v>
      </c>
      <c r="C272" s="3" t="str">
        <f t="shared" si="4"/>
        <v>450013506030</v>
      </c>
      <c r="D272" s="4">
        <v>46269</v>
      </c>
      <c r="E272" s="3" t="s">
        <v>595</v>
      </c>
      <c r="F272" s="3" t="s">
        <v>612</v>
      </c>
    </row>
    <row r="273" spans="1:6" x14ac:dyDescent="0.3">
      <c r="A273" s="3" t="s">
        <v>291</v>
      </c>
      <c r="B273" s="3" t="s">
        <v>292</v>
      </c>
      <c r="C273" s="3" t="str">
        <f t="shared" si="4"/>
        <v>45001351481290</v>
      </c>
      <c r="D273" s="4">
        <v>46246</v>
      </c>
      <c r="E273" s="3" t="s">
        <v>595</v>
      </c>
      <c r="F273" s="3" t="s">
        <v>607</v>
      </c>
    </row>
    <row r="274" spans="1:6" x14ac:dyDescent="0.3">
      <c r="A274" s="3" t="s">
        <v>291</v>
      </c>
      <c r="B274" s="3" t="s">
        <v>293</v>
      </c>
      <c r="C274" s="3" t="str">
        <f t="shared" si="4"/>
        <v>45001351481300</v>
      </c>
      <c r="D274" s="4">
        <v>46246</v>
      </c>
      <c r="E274" s="3" t="s">
        <v>595</v>
      </c>
      <c r="F274" s="3" t="s">
        <v>607</v>
      </c>
    </row>
    <row r="275" spans="1:6" x14ac:dyDescent="0.3">
      <c r="A275" s="3" t="s">
        <v>287</v>
      </c>
      <c r="B275" s="3" t="s">
        <v>32</v>
      </c>
      <c r="C275" s="3" t="str">
        <f t="shared" si="4"/>
        <v>450013515810</v>
      </c>
      <c r="D275" s="4">
        <v>46269</v>
      </c>
      <c r="E275" s="3" t="s">
        <v>604</v>
      </c>
      <c r="F275" s="3" t="s">
        <v>624</v>
      </c>
    </row>
    <row r="276" spans="1:6" x14ac:dyDescent="0.3">
      <c r="A276" s="3" t="s">
        <v>287</v>
      </c>
      <c r="B276" s="3" t="s">
        <v>28</v>
      </c>
      <c r="C276" s="3" t="str">
        <f t="shared" si="4"/>
        <v>450013515820</v>
      </c>
      <c r="D276" s="4">
        <v>46269</v>
      </c>
      <c r="E276" s="3" t="s">
        <v>604</v>
      </c>
      <c r="F276" s="3" t="s">
        <v>624</v>
      </c>
    </row>
    <row r="277" spans="1:6" x14ac:dyDescent="0.3">
      <c r="A277" s="3" t="s">
        <v>287</v>
      </c>
      <c r="B277" s="3" t="s">
        <v>54</v>
      </c>
      <c r="C277" s="3" t="str">
        <f t="shared" si="4"/>
        <v>450013515830</v>
      </c>
      <c r="D277" s="4">
        <v>46269</v>
      </c>
      <c r="E277" s="3" t="s">
        <v>604</v>
      </c>
      <c r="F277" s="3" t="s">
        <v>624</v>
      </c>
    </row>
    <row r="278" spans="1:6" x14ac:dyDescent="0.3">
      <c r="A278" s="3" t="s">
        <v>287</v>
      </c>
      <c r="B278" s="3" t="s">
        <v>23</v>
      </c>
      <c r="C278" s="3" t="str">
        <f t="shared" si="4"/>
        <v>450013515840</v>
      </c>
      <c r="D278" s="4">
        <v>46269</v>
      </c>
      <c r="E278" s="3" t="s">
        <v>604</v>
      </c>
      <c r="F278" s="3" t="s">
        <v>624</v>
      </c>
    </row>
    <row r="279" spans="1:6" x14ac:dyDescent="0.3">
      <c r="A279" s="3" t="s">
        <v>287</v>
      </c>
      <c r="B279" s="3" t="s">
        <v>55</v>
      </c>
      <c r="C279" s="3" t="str">
        <f t="shared" si="4"/>
        <v>450013515850</v>
      </c>
      <c r="D279" s="4">
        <v>46269</v>
      </c>
      <c r="E279" s="3" t="s">
        <v>604</v>
      </c>
      <c r="F279" s="3" t="s">
        <v>624</v>
      </c>
    </row>
    <row r="280" spans="1:6" x14ac:dyDescent="0.3">
      <c r="A280" s="3" t="s">
        <v>285</v>
      </c>
      <c r="B280" s="3" t="s">
        <v>32</v>
      </c>
      <c r="C280" s="3" t="str">
        <f t="shared" si="4"/>
        <v>450013518510</v>
      </c>
      <c r="D280" s="4">
        <v>46255</v>
      </c>
      <c r="E280" s="3" t="s">
        <v>604</v>
      </c>
      <c r="F280" s="3" t="s">
        <v>655</v>
      </c>
    </row>
    <row r="281" spans="1:6" x14ac:dyDescent="0.3">
      <c r="A281" s="3" t="s">
        <v>285</v>
      </c>
      <c r="B281" s="3" t="s">
        <v>28</v>
      </c>
      <c r="C281" s="3" t="str">
        <f t="shared" si="4"/>
        <v>450013518520</v>
      </c>
      <c r="D281" s="4">
        <v>46269</v>
      </c>
      <c r="E281" s="3" t="s">
        <v>604</v>
      </c>
      <c r="F281" s="3" t="s">
        <v>655</v>
      </c>
    </row>
    <row r="282" spans="1:6" x14ac:dyDescent="0.3">
      <c r="A282" s="3" t="s">
        <v>294</v>
      </c>
      <c r="B282" s="3" t="s">
        <v>28</v>
      </c>
      <c r="C282" s="3" t="str">
        <f t="shared" si="4"/>
        <v>450013520520</v>
      </c>
      <c r="D282" s="4">
        <v>46256</v>
      </c>
      <c r="E282" s="3" t="s">
        <v>604</v>
      </c>
      <c r="F282" s="3" t="s">
        <v>607</v>
      </c>
    </row>
    <row r="283" spans="1:6" x14ac:dyDescent="0.3">
      <c r="A283" s="3" t="s">
        <v>294</v>
      </c>
      <c r="B283" s="3" t="s">
        <v>54</v>
      </c>
      <c r="C283" s="3" t="str">
        <f t="shared" si="4"/>
        <v>450013520530</v>
      </c>
      <c r="D283" s="4">
        <v>46269</v>
      </c>
      <c r="E283" s="3" t="s">
        <v>604</v>
      </c>
      <c r="F283" s="3" t="s">
        <v>607</v>
      </c>
    </row>
    <row r="284" spans="1:6" x14ac:dyDescent="0.3">
      <c r="A284" s="3" t="s">
        <v>294</v>
      </c>
      <c r="B284" s="3" t="s">
        <v>23</v>
      </c>
      <c r="C284" s="3" t="str">
        <f t="shared" si="4"/>
        <v>450013520540</v>
      </c>
      <c r="D284" s="4">
        <v>46269</v>
      </c>
      <c r="E284" s="3" t="s">
        <v>604</v>
      </c>
      <c r="F284" s="3" t="s">
        <v>607</v>
      </c>
    </row>
    <row r="285" spans="1:6" x14ac:dyDescent="0.3">
      <c r="A285" s="3" t="s">
        <v>294</v>
      </c>
      <c r="B285" s="3" t="s">
        <v>55</v>
      </c>
      <c r="C285" s="3" t="str">
        <f t="shared" si="4"/>
        <v>450013520550</v>
      </c>
      <c r="D285" s="4">
        <v>46269</v>
      </c>
      <c r="E285" s="3" t="s">
        <v>604</v>
      </c>
      <c r="F285" s="3" t="s">
        <v>607</v>
      </c>
    </row>
    <row r="286" spans="1:6" x14ac:dyDescent="0.3">
      <c r="A286" s="3" t="s">
        <v>289</v>
      </c>
      <c r="B286" s="3" t="s">
        <v>32</v>
      </c>
      <c r="C286" s="3" t="str">
        <f t="shared" si="4"/>
        <v>450013530710</v>
      </c>
      <c r="D286" s="4">
        <v>46254</v>
      </c>
      <c r="E286" s="3" t="s">
        <v>604</v>
      </c>
      <c r="F286" s="3" t="s">
        <v>633</v>
      </c>
    </row>
    <row r="287" spans="1:6" x14ac:dyDescent="0.3">
      <c r="A287" s="3" t="s">
        <v>289</v>
      </c>
      <c r="B287" s="3" t="s">
        <v>28</v>
      </c>
      <c r="C287" s="3" t="str">
        <f t="shared" si="4"/>
        <v>450013530720</v>
      </c>
      <c r="D287" s="4">
        <v>46269</v>
      </c>
      <c r="E287" s="3" t="s">
        <v>604</v>
      </c>
      <c r="F287" s="3" t="s">
        <v>633</v>
      </c>
    </row>
    <row r="288" spans="1:6" x14ac:dyDescent="0.3">
      <c r="A288" s="3" t="s">
        <v>289</v>
      </c>
      <c r="B288" s="3" t="s">
        <v>54</v>
      </c>
      <c r="C288" s="3" t="str">
        <f t="shared" si="4"/>
        <v>450013530730</v>
      </c>
      <c r="D288" s="4">
        <v>46269</v>
      </c>
      <c r="E288" s="3" t="s">
        <v>604</v>
      </c>
      <c r="F288" s="3" t="s">
        <v>633</v>
      </c>
    </row>
    <row r="289" spans="1:6" x14ac:dyDescent="0.3">
      <c r="A289" s="3" t="s">
        <v>105</v>
      </c>
      <c r="B289" s="3" t="s">
        <v>32</v>
      </c>
      <c r="C289" s="3" t="str">
        <f t="shared" si="4"/>
        <v>450013535210</v>
      </c>
      <c r="D289" s="4">
        <v>46269</v>
      </c>
      <c r="E289" s="3" t="s">
        <v>611</v>
      </c>
      <c r="F289" s="3" t="s">
        <v>656</v>
      </c>
    </row>
    <row r="290" spans="1:6" x14ac:dyDescent="0.3">
      <c r="A290" s="3" t="s">
        <v>69</v>
      </c>
      <c r="B290" s="3" t="s">
        <v>32</v>
      </c>
      <c r="C290" s="3" t="str">
        <f t="shared" si="4"/>
        <v>450013548010</v>
      </c>
      <c r="D290" s="4">
        <v>46251</v>
      </c>
      <c r="E290" s="3" t="s">
        <v>597</v>
      </c>
      <c r="F290" s="3" t="s">
        <v>657</v>
      </c>
    </row>
    <row r="291" spans="1:6" x14ac:dyDescent="0.3">
      <c r="A291" s="3" t="s">
        <v>69</v>
      </c>
      <c r="B291" s="3" t="s">
        <v>28</v>
      </c>
      <c r="C291" s="3" t="str">
        <f t="shared" si="4"/>
        <v>450013548020</v>
      </c>
      <c r="D291" s="4">
        <v>46251</v>
      </c>
      <c r="E291" s="3" t="s">
        <v>597</v>
      </c>
      <c r="F291" s="3" t="s">
        <v>657</v>
      </c>
    </row>
    <row r="292" spans="1:6" x14ac:dyDescent="0.3">
      <c r="A292" s="3" t="s">
        <v>306</v>
      </c>
      <c r="B292" s="3" t="s">
        <v>32</v>
      </c>
      <c r="C292" s="3" t="str">
        <f t="shared" si="4"/>
        <v>450013553510</v>
      </c>
      <c r="D292" s="4">
        <v>46275</v>
      </c>
      <c r="E292" s="3" t="s">
        <v>595</v>
      </c>
      <c r="F292" s="3" t="s">
        <v>649</v>
      </c>
    </row>
    <row r="293" spans="1:6" x14ac:dyDescent="0.3">
      <c r="A293" s="3" t="s">
        <v>297</v>
      </c>
      <c r="B293" s="3" t="s">
        <v>23</v>
      </c>
      <c r="C293" s="3" t="str">
        <f t="shared" si="4"/>
        <v>450013561940</v>
      </c>
      <c r="D293" s="4">
        <v>46251</v>
      </c>
      <c r="E293" s="3" t="s">
        <v>597</v>
      </c>
      <c r="F293" s="3" t="s">
        <v>644</v>
      </c>
    </row>
    <row r="294" spans="1:6" x14ac:dyDescent="0.3">
      <c r="A294" s="3" t="s">
        <v>405</v>
      </c>
      <c r="B294" s="3" t="s">
        <v>32</v>
      </c>
      <c r="C294" s="3" t="str">
        <f t="shared" si="4"/>
        <v>450013563410</v>
      </c>
      <c r="D294" s="4">
        <v>46287</v>
      </c>
      <c r="E294" s="3" t="s">
        <v>611</v>
      </c>
      <c r="F294" s="3" t="s">
        <v>648</v>
      </c>
    </row>
    <row r="295" spans="1:6" x14ac:dyDescent="0.3">
      <c r="A295" s="3" t="s">
        <v>405</v>
      </c>
      <c r="B295" s="3" t="s">
        <v>28</v>
      </c>
      <c r="C295" s="3" t="str">
        <f t="shared" si="4"/>
        <v>450013563420</v>
      </c>
      <c r="D295" s="4">
        <v>46287</v>
      </c>
      <c r="E295" s="3" t="s">
        <v>611</v>
      </c>
      <c r="F295" s="3" t="s">
        <v>648</v>
      </c>
    </row>
    <row r="296" spans="1:6" x14ac:dyDescent="0.3">
      <c r="A296" s="3" t="s">
        <v>298</v>
      </c>
      <c r="B296" s="3" t="s">
        <v>32</v>
      </c>
      <c r="C296" s="3" t="str">
        <f t="shared" si="4"/>
        <v>450013566110</v>
      </c>
      <c r="D296" s="4">
        <v>46252</v>
      </c>
      <c r="E296" s="3" t="s">
        <v>604</v>
      </c>
      <c r="F296" s="3" t="s">
        <v>647</v>
      </c>
    </row>
    <row r="297" spans="1:6" x14ac:dyDescent="0.3">
      <c r="A297" s="3" t="s">
        <v>298</v>
      </c>
      <c r="B297" s="3" t="s">
        <v>28</v>
      </c>
      <c r="C297" s="3" t="str">
        <f t="shared" si="4"/>
        <v>450013566120</v>
      </c>
      <c r="D297" s="4">
        <v>46252</v>
      </c>
      <c r="E297" s="3" t="s">
        <v>604</v>
      </c>
      <c r="F297" s="3" t="s">
        <v>647</v>
      </c>
    </row>
    <row r="298" spans="1:6" x14ac:dyDescent="0.3">
      <c r="A298" s="3" t="s">
        <v>298</v>
      </c>
      <c r="B298" s="3" t="s">
        <v>54</v>
      </c>
      <c r="C298" s="3" t="str">
        <f t="shared" si="4"/>
        <v>450013566130</v>
      </c>
      <c r="D298" s="4">
        <v>46252</v>
      </c>
      <c r="E298" s="3" t="s">
        <v>604</v>
      </c>
      <c r="F298" s="3" t="s">
        <v>647</v>
      </c>
    </row>
    <row r="299" spans="1:6" x14ac:dyDescent="0.3">
      <c r="A299" s="3" t="s">
        <v>298</v>
      </c>
      <c r="B299" s="3" t="s">
        <v>23</v>
      </c>
      <c r="C299" s="3" t="str">
        <f t="shared" si="4"/>
        <v>450013566140</v>
      </c>
      <c r="D299" s="4">
        <v>46269</v>
      </c>
      <c r="E299" s="3" t="s">
        <v>604</v>
      </c>
      <c r="F299" s="3" t="s">
        <v>647</v>
      </c>
    </row>
    <row r="300" spans="1:6" x14ac:dyDescent="0.3">
      <c r="A300" s="3" t="s">
        <v>298</v>
      </c>
      <c r="B300" s="3" t="s">
        <v>55</v>
      </c>
      <c r="C300" s="3" t="str">
        <f t="shared" si="4"/>
        <v>450013566150</v>
      </c>
      <c r="D300" s="4">
        <v>46269</v>
      </c>
      <c r="E300" s="3" t="s">
        <v>604</v>
      </c>
      <c r="F300" s="3" t="s">
        <v>647</v>
      </c>
    </row>
    <row r="301" spans="1:6" x14ac:dyDescent="0.3">
      <c r="A301" s="3" t="s">
        <v>72</v>
      </c>
      <c r="B301" s="3" t="s">
        <v>32</v>
      </c>
      <c r="C301" s="3" t="str">
        <f t="shared" si="4"/>
        <v>450013571710</v>
      </c>
      <c r="D301" s="4">
        <v>46275</v>
      </c>
      <c r="E301" s="3" t="s">
        <v>611</v>
      </c>
      <c r="F301" s="3" t="s">
        <v>658</v>
      </c>
    </row>
    <row r="302" spans="1:6" x14ac:dyDescent="0.3">
      <c r="A302" s="3" t="s">
        <v>123</v>
      </c>
      <c r="B302" s="3" t="s">
        <v>32</v>
      </c>
      <c r="C302" s="3" t="str">
        <f t="shared" si="4"/>
        <v>450013586710</v>
      </c>
      <c r="D302" s="4">
        <v>46276</v>
      </c>
      <c r="E302" s="3" t="s">
        <v>611</v>
      </c>
      <c r="F302" s="3" t="s">
        <v>659</v>
      </c>
    </row>
    <row r="303" spans="1:6" x14ac:dyDescent="0.3">
      <c r="A303" s="3" t="s">
        <v>336</v>
      </c>
      <c r="B303" s="3" t="s">
        <v>32</v>
      </c>
      <c r="C303" s="3" t="str">
        <f t="shared" si="4"/>
        <v>450013587010</v>
      </c>
      <c r="D303" s="4">
        <v>46276</v>
      </c>
      <c r="E303" s="3" t="s">
        <v>592</v>
      </c>
      <c r="F303" s="3" t="s">
        <v>593</v>
      </c>
    </row>
    <row r="304" spans="1:6" x14ac:dyDescent="0.3">
      <c r="A304" s="3" t="s">
        <v>336</v>
      </c>
      <c r="B304" s="3" t="s">
        <v>28</v>
      </c>
      <c r="C304" s="3" t="str">
        <f t="shared" si="4"/>
        <v>450013587020</v>
      </c>
      <c r="D304" s="4">
        <v>46276</v>
      </c>
      <c r="E304" s="3" t="s">
        <v>592</v>
      </c>
      <c r="F304" s="3" t="s">
        <v>593</v>
      </c>
    </row>
    <row r="305" spans="1:6" x14ac:dyDescent="0.3">
      <c r="A305" s="3" t="s">
        <v>300</v>
      </c>
      <c r="B305" s="3" t="s">
        <v>32</v>
      </c>
      <c r="C305" s="3" t="str">
        <f t="shared" si="4"/>
        <v>450013593010</v>
      </c>
      <c r="D305" s="4">
        <v>46269</v>
      </c>
      <c r="E305" s="3" t="s">
        <v>604</v>
      </c>
      <c r="F305" s="3" t="s">
        <v>624</v>
      </c>
    </row>
    <row r="306" spans="1:6" x14ac:dyDescent="0.3">
      <c r="A306" s="3" t="s">
        <v>310</v>
      </c>
      <c r="B306" s="3" t="s">
        <v>32</v>
      </c>
      <c r="C306" s="3" t="str">
        <f t="shared" si="4"/>
        <v>450013593310</v>
      </c>
      <c r="D306" s="4">
        <v>46275</v>
      </c>
      <c r="E306" s="3" t="s">
        <v>604</v>
      </c>
      <c r="F306" s="3" t="s">
        <v>647</v>
      </c>
    </row>
    <row r="307" spans="1:6" x14ac:dyDescent="0.3">
      <c r="A307" s="3" t="s">
        <v>304</v>
      </c>
      <c r="B307" s="3" t="s">
        <v>32</v>
      </c>
      <c r="C307" s="3" t="str">
        <f t="shared" si="4"/>
        <v>450013613310</v>
      </c>
      <c r="D307" s="4">
        <v>46258</v>
      </c>
      <c r="E307" s="3" t="s">
        <v>597</v>
      </c>
      <c r="F307" s="3" t="s">
        <v>660</v>
      </c>
    </row>
    <row r="308" spans="1:6" x14ac:dyDescent="0.3">
      <c r="A308" s="3" t="s">
        <v>301</v>
      </c>
      <c r="B308" s="3" t="s">
        <v>32</v>
      </c>
      <c r="C308" s="3" t="str">
        <f t="shared" si="4"/>
        <v>450013615310</v>
      </c>
      <c r="D308" s="4">
        <v>46268</v>
      </c>
      <c r="E308" s="3" t="s">
        <v>615</v>
      </c>
      <c r="F308" s="3" t="s">
        <v>647</v>
      </c>
    </row>
    <row r="309" spans="1:6" x14ac:dyDescent="0.3">
      <c r="A309" s="3" t="s">
        <v>96</v>
      </c>
      <c r="B309" s="3" t="s">
        <v>32</v>
      </c>
      <c r="C309" s="3" t="str">
        <f t="shared" si="4"/>
        <v>450013622110</v>
      </c>
      <c r="D309" s="4">
        <v>46276</v>
      </c>
      <c r="E309" s="3" t="s">
        <v>592</v>
      </c>
      <c r="F309" s="3" t="s">
        <v>661</v>
      </c>
    </row>
    <row r="310" spans="1:6" x14ac:dyDescent="0.3">
      <c r="A310" s="3" t="s">
        <v>96</v>
      </c>
      <c r="B310" s="3" t="s">
        <v>28</v>
      </c>
      <c r="C310" s="3" t="str">
        <f t="shared" si="4"/>
        <v>450013622120</v>
      </c>
      <c r="D310" s="4">
        <v>46276</v>
      </c>
      <c r="E310" s="3" t="s">
        <v>592</v>
      </c>
      <c r="F310" s="3" t="s">
        <v>661</v>
      </c>
    </row>
    <row r="311" spans="1:6" x14ac:dyDescent="0.3">
      <c r="A311" s="3" t="s">
        <v>96</v>
      </c>
      <c r="B311" s="3" t="s">
        <v>54</v>
      </c>
      <c r="C311" s="3" t="str">
        <f t="shared" si="4"/>
        <v>450013622130</v>
      </c>
      <c r="D311" s="4">
        <v>46276</v>
      </c>
      <c r="E311" s="3" t="s">
        <v>592</v>
      </c>
      <c r="F311" s="3" t="s">
        <v>661</v>
      </c>
    </row>
    <row r="312" spans="1:6" x14ac:dyDescent="0.3">
      <c r="A312" s="3" t="s">
        <v>96</v>
      </c>
      <c r="B312" s="3" t="s">
        <v>23</v>
      </c>
      <c r="C312" s="3" t="str">
        <f t="shared" si="4"/>
        <v>450013622140</v>
      </c>
      <c r="D312" s="4">
        <v>46276</v>
      </c>
      <c r="E312" s="3" t="s">
        <v>592</v>
      </c>
      <c r="F312" s="3" t="s">
        <v>661</v>
      </c>
    </row>
    <row r="313" spans="1:6" x14ac:dyDescent="0.3">
      <c r="A313" s="3" t="s">
        <v>96</v>
      </c>
      <c r="B313" s="3" t="s">
        <v>55</v>
      </c>
      <c r="C313" s="3" t="str">
        <f t="shared" si="4"/>
        <v>450013622150</v>
      </c>
      <c r="D313" s="4">
        <v>46276</v>
      </c>
      <c r="E313" s="3" t="s">
        <v>592</v>
      </c>
      <c r="F313" s="3" t="s">
        <v>661</v>
      </c>
    </row>
    <row r="314" spans="1:6" x14ac:dyDescent="0.3">
      <c r="A314" s="3" t="s">
        <v>96</v>
      </c>
      <c r="B314" s="3" t="s">
        <v>80</v>
      </c>
      <c r="C314" s="3" t="str">
        <f t="shared" si="4"/>
        <v>450013622160</v>
      </c>
      <c r="D314" s="4">
        <v>46276</v>
      </c>
      <c r="E314" s="3" t="s">
        <v>592</v>
      </c>
      <c r="F314" s="3" t="s">
        <v>661</v>
      </c>
    </row>
    <row r="315" spans="1:6" x14ac:dyDescent="0.3">
      <c r="A315" s="3" t="s">
        <v>96</v>
      </c>
      <c r="B315" s="3" t="s">
        <v>81</v>
      </c>
      <c r="C315" s="3" t="str">
        <f t="shared" si="4"/>
        <v>450013622170</v>
      </c>
      <c r="D315" s="4">
        <v>46276</v>
      </c>
      <c r="E315" s="3" t="s">
        <v>592</v>
      </c>
      <c r="F315" s="3" t="s">
        <v>661</v>
      </c>
    </row>
    <row r="316" spans="1:6" x14ac:dyDescent="0.3">
      <c r="A316" s="3" t="s">
        <v>96</v>
      </c>
      <c r="B316" s="3" t="s">
        <v>82</v>
      </c>
      <c r="C316" s="3" t="str">
        <f t="shared" si="4"/>
        <v>450013622180</v>
      </c>
      <c r="D316" s="4">
        <v>46276</v>
      </c>
      <c r="E316" s="3" t="s">
        <v>592</v>
      </c>
      <c r="F316" s="3" t="s">
        <v>661</v>
      </c>
    </row>
    <row r="317" spans="1:6" x14ac:dyDescent="0.3">
      <c r="A317" s="3" t="s">
        <v>96</v>
      </c>
      <c r="B317" s="3" t="s">
        <v>83</v>
      </c>
      <c r="C317" s="3" t="str">
        <f t="shared" si="4"/>
        <v>450013622190</v>
      </c>
      <c r="D317" s="4">
        <v>46276</v>
      </c>
      <c r="E317" s="3" t="s">
        <v>592</v>
      </c>
      <c r="F317" s="3" t="s">
        <v>661</v>
      </c>
    </row>
    <row r="318" spans="1:6" x14ac:dyDescent="0.3">
      <c r="A318" s="3" t="s">
        <v>96</v>
      </c>
      <c r="B318" s="3" t="s">
        <v>84</v>
      </c>
      <c r="C318" s="3" t="str">
        <f t="shared" si="4"/>
        <v>4500136221100</v>
      </c>
      <c r="D318" s="4">
        <v>46276</v>
      </c>
      <c r="E318" s="3" t="s">
        <v>592</v>
      </c>
      <c r="F318" s="3" t="s">
        <v>661</v>
      </c>
    </row>
    <row r="319" spans="1:6" x14ac:dyDescent="0.3">
      <c r="A319" s="3" t="s">
        <v>381</v>
      </c>
      <c r="B319" s="3" t="s">
        <v>32</v>
      </c>
      <c r="C319" s="3" t="str">
        <f t="shared" si="4"/>
        <v>450013624010</v>
      </c>
      <c r="D319" s="4">
        <v>46258</v>
      </c>
      <c r="E319" s="3" t="s">
        <v>597</v>
      </c>
      <c r="F319" s="3" t="s">
        <v>662</v>
      </c>
    </row>
    <row r="320" spans="1:6" x14ac:dyDescent="0.3">
      <c r="A320" s="3" t="s">
        <v>145</v>
      </c>
      <c r="B320" s="3" t="s">
        <v>32</v>
      </c>
      <c r="C320" s="3" t="str">
        <f t="shared" si="4"/>
        <v>450013628410</v>
      </c>
      <c r="D320" s="4">
        <v>46272</v>
      </c>
      <c r="E320" s="3" t="s">
        <v>592</v>
      </c>
      <c r="F320" s="3" t="s">
        <v>593</v>
      </c>
    </row>
    <row r="321" spans="1:6" x14ac:dyDescent="0.3">
      <c r="A321" s="3" t="s">
        <v>145</v>
      </c>
      <c r="B321" s="3" t="s">
        <v>54</v>
      </c>
      <c r="C321" s="3" t="str">
        <f t="shared" si="4"/>
        <v>450013628430</v>
      </c>
      <c r="D321" s="4">
        <v>46276</v>
      </c>
      <c r="E321" s="3" t="s">
        <v>592</v>
      </c>
      <c r="F321" s="3" t="s">
        <v>593</v>
      </c>
    </row>
    <row r="322" spans="1:6" x14ac:dyDescent="0.3">
      <c r="A322" s="3" t="s">
        <v>63</v>
      </c>
      <c r="B322" s="3" t="s">
        <v>32</v>
      </c>
      <c r="C322" s="3" t="str">
        <f t="shared" si="4"/>
        <v>450013630410</v>
      </c>
      <c r="D322" s="4">
        <v>46258</v>
      </c>
      <c r="E322" s="3" t="s">
        <v>597</v>
      </c>
      <c r="F322" s="3" t="s">
        <v>663</v>
      </c>
    </row>
    <row r="323" spans="1:6" x14ac:dyDescent="0.3">
      <c r="A323" s="3" t="s">
        <v>309</v>
      </c>
      <c r="B323" s="3" t="s">
        <v>32</v>
      </c>
      <c r="C323" s="3" t="str">
        <f t="shared" ref="C323:C386" si="5">_xlfn.CONCAT(A323:B323)</f>
        <v>450013633610</v>
      </c>
      <c r="D323" s="4">
        <v>46269</v>
      </c>
      <c r="E323" s="3" t="s">
        <v>615</v>
      </c>
      <c r="F323" s="3" t="s">
        <v>664</v>
      </c>
    </row>
    <row r="324" spans="1:6" x14ac:dyDescent="0.3">
      <c r="A324" s="3" t="s">
        <v>309</v>
      </c>
      <c r="B324" s="3" t="s">
        <v>28</v>
      </c>
      <c r="C324" s="3" t="str">
        <f t="shared" si="5"/>
        <v>450013633620</v>
      </c>
      <c r="D324" s="4">
        <v>46269</v>
      </c>
      <c r="E324" s="3" t="s">
        <v>615</v>
      </c>
      <c r="F324" s="3" t="s">
        <v>664</v>
      </c>
    </row>
    <row r="325" spans="1:6" x14ac:dyDescent="0.3">
      <c r="A325" s="3" t="s">
        <v>309</v>
      </c>
      <c r="B325" s="3" t="s">
        <v>54</v>
      </c>
      <c r="C325" s="3" t="str">
        <f t="shared" si="5"/>
        <v>450013633630</v>
      </c>
      <c r="D325" s="4">
        <v>46269</v>
      </c>
      <c r="E325" s="3" t="s">
        <v>615</v>
      </c>
      <c r="F325" s="3" t="s">
        <v>664</v>
      </c>
    </row>
    <row r="326" spans="1:6" x14ac:dyDescent="0.3">
      <c r="A326" s="3" t="s">
        <v>498</v>
      </c>
      <c r="B326" s="3" t="s">
        <v>32</v>
      </c>
      <c r="C326" s="3" t="str">
        <f t="shared" si="5"/>
        <v>450013653010</v>
      </c>
      <c r="D326" s="4">
        <v>46269</v>
      </c>
      <c r="E326" s="3" t="s">
        <v>595</v>
      </c>
      <c r="F326" s="3" t="s">
        <v>613</v>
      </c>
    </row>
    <row r="327" spans="1:6" x14ac:dyDescent="0.3">
      <c r="A327" s="3" t="s">
        <v>498</v>
      </c>
      <c r="B327" s="3" t="s">
        <v>28</v>
      </c>
      <c r="C327" s="3" t="str">
        <f t="shared" si="5"/>
        <v>450013653020</v>
      </c>
      <c r="D327" s="4">
        <v>46301</v>
      </c>
      <c r="E327" s="3" t="s">
        <v>595</v>
      </c>
      <c r="F327" s="3" t="s">
        <v>613</v>
      </c>
    </row>
    <row r="328" spans="1:6" x14ac:dyDescent="0.3">
      <c r="A328" s="3" t="s">
        <v>498</v>
      </c>
      <c r="B328" s="3" t="s">
        <v>54</v>
      </c>
      <c r="C328" s="3" t="str">
        <f t="shared" si="5"/>
        <v>450013653030</v>
      </c>
      <c r="D328" s="4">
        <v>46269</v>
      </c>
      <c r="E328" s="3" t="s">
        <v>595</v>
      </c>
      <c r="F328" s="3" t="s">
        <v>613</v>
      </c>
    </row>
    <row r="329" spans="1:6" x14ac:dyDescent="0.3">
      <c r="A329" s="3" t="s">
        <v>316</v>
      </c>
      <c r="B329" s="3" t="s">
        <v>32</v>
      </c>
      <c r="C329" s="3" t="str">
        <f t="shared" si="5"/>
        <v>450013656610</v>
      </c>
      <c r="D329" s="4">
        <v>46261</v>
      </c>
      <c r="E329" s="3" t="s">
        <v>597</v>
      </c>
      <c r="F329" s="3" t="s">
        <v>665</v>
      </c>
    </row>
    <row r="330" spans="1:6" x14ac:dyDescent="0.3">
      <c r="A330" s="3" t="s">
        <v>388</v>
      </c>
      <c r="B330" s="3" t="s">
        <v>32</v>
      </c>
      <c r="C330" s="3" t="str">
        <f t="shared" si="5"/>
        <v>450013660310</v>
      </c>
      <c r="D330" s="4">
        <v>46272</v>
      </c>
      <c r="E330" s="3" t="s">
        <v>595</v>
      </c>
      <c r="F330" s="3" t="s">
        <v>596</v>
      </c>
    </row>
    <row r="331" spans="1:6" x14ac:dyDescent="0.3">
      <c r="A331" s="3" t="s">
        <v>388</v>
      </c>
      <c r="B331" s="3" t="s">
        <v>28</v>
      </c>
      <c r="C331" s="3" t="str">
        <f t="shared" si="5"/>
        <v>450013660320</v>
      </c>
      <c r="D331" s="4">
        <v>46272</v>
      </c>
      <c r="E331" s="3" t="s">
        <v>595</v>
      </c>
      <c r="F331" s="3" t="s">
        <v>596</v>
      </c>
    </row>
    <row r="332" spans="1:6" x14ac:dyDescent="0.3">
      <c r="A332" s="3" t="s">
        <v>388</v>
      </c>
      <c r="B332" s="3" t="s">
        <v>54</v>
      </c>
      <c r="C332" s="3" t="str">
        <f t="shared" si="5"/>
        <v>450013660330</v>
      </c>
      <c r="D332" s="4">
        <v>46272</v>
      </c>
      <c r="E332" s="3" t="s">
        <v>595</v>
      </c>
      <c r="F332" s="3" t="s">
        <v>596</v>
      </c>
    </row>
    <row r="333" spans="1:6" x14ac:dyDescent="0.3">
      <c r="A333" s="3" t="s">
        <v>388</v>
      </c>
      <c r="B333" s="3" t="s">
        <v>23</v>
      </c>
      <c r="C333" s="3" t="str">
        <f t="shared" si="5"/>
        <v>450013660340</v>
      </c>
      <c r="D333" s="4">
        <v>46272</v>
      </c>
      <c r="E333" s="3" t="s">
        <v>595</v>
      </c>
      <c r="F333" s="3" t="s">
        <v>596</v>
      </c>
    </row>
    <row r="334" spans="1:6" x14ac:dyDescent="0.3">
      <c r="A334" s="3" t="s">
        <v>388</v>
      </c>
      <c r="B334" s="3" t="s">
        <v>55</v>
      </c>
      <c r="C334" s="3" t="str">
        <f t="shared" si="5"/>
        <v>450013660350</v>
      </c>
      <c r="D334" s="4">
        <v>46272</v>
      </c>
      <c r="E334" s="3" t="s">
        <v>595</v>
      </c>
      <c r="F334" s="3" t="s">
        <v>596</v>
      </c>
    </row>
    <row r="335" spans="1:6" x14ac:dyDescent="0.3">
      <c r="A335" s="3" t="s">
        <v>388</v>
      </c>
      <c r="B335" s="3" t="s">
        <v>80</v>
      </c>
      <c r="C335" s="3" t="str">
        <f t="shared" si="5"/>
        <v>450013660360</v>
      </c>
      <c r="D335" s="4">
        <v>46272</v>
      </c>
      <c r="E335" s="3" t="s">
        <v>595</v>
      </c>
      <c r="F335" s="3" t="s">
        <v>596</v>
      </c>
    </row>
    <row r="336" spans="1:6" x14ac:dyDescent="0.3">
      <c r="A336" s="3" t="s">
        <v>388</v>
      </c>
      <c r="B336" s="3" t="s">
        <v>81</v>
      </c>
      <c r="C336" s="3" t="str">
        <f t="shared" si="5"/>
        <v>450013660370</v>
      </c>
      <c r="D336" s="4">
        <v>46272</v>
      </c>
      <c r="E336" s="3" t="s">
        <v>595</v>
      </c>
      <c r="F336" s="3" t="s">
        <v>596</v>
      </c>
    </row>
    <row r="337" spans="1:6" x14ac:dyDescent="0.3">
      <c r="A337" s="3" t="s">
        <v>388</v>
      </c>
      <c r="B337" s="3" t="s">
        <v>82</v>
      </c>
      <c r="C337" s="3" t="str">
        <f t="shared" si="5"/>
        <v>450013660380</v>
      </c>
      <c r="D337" s="4">
        <v>46272</v>
      </c>
      <c r="E337" s="3" t="s">
        <v>595</v>
      </c>
      <c r="F337" s="3" t="s">
        <v>596</v>
      </c>
    </row>
    <row r="338" spans="1:6" x14ac:dyDescent="0.3">
      <c r="A338" s="3" t="s">
        <v>388</v>
      </c>
      <c r="B338" s="3" t="s">
        <v>83</v>
      </c>
      <c r="C338" s="3" t="str">
        <f t="shared" si="5"/>
        <v>450013660390</v>
      </c>
      <c r="D338" s="4">
        <v>46272</v>
      </c>
      <c r="E338" s="3" t="s">
        <v>595</v>
      </c>
      <c r="F338" s="3" t="s">
        <v>596</v>
      </c>
    </row>
    <row r="339" spans="1:6" x14ac:dyDescent="0.3">
      <c r="A339" s="3" t="s">
        <v>388</v>
      </c>
      <c r="B339" s="3" t="s">
        <v>84</v>
      </c>
      <c r="C339" s="3" t="str">
        <f t="shared" si="5"/>
        <v>4500136603100</v>
      </c>
      <c r="D339" s="4">
        <v>46272</v>
      </c>
      <c r="E339" s="3" t="s">
        <v>595</v>
      </c>
      <c r="F339" s="3" t="s">
        <v>596</v>
      </c>
    </row>
    <row r="340" spans="1:6" x14ac:dyDescent="0.3">
      <c r="A340" s="3" t="s">
        <v>388</v>
      </c>
      <c r="B340" s="3" t="s">
        <v>86</v>
      </c>
      <c r="C340" s="3" t="str">
        <f t="shared" si="5"/>
        <v>4500136603120</v>
      </c>
      <c r="D340" s="4">
        <v>46272</v>
      </c>
      <c r="E340" s="3" t="s">
        <v>595</v>
      </c>
      <c r="F340" s="3" t="s">
        <v>596</v>
      </c>
    </row>
    <row r="341" spans="1:6" x14ac:dyDescent="0.3">
      <c r="A341" s="3" t="s">
        <v>388</v>
      </c>
      <c r="B341" s="3" t="s">
        <v>65</v>
      </c>
      <c r="C341" s="3" t="str">
        <f t="shared" si="5"/>
        <v>4500136603130</v>
      </c>
      <c r="D341" s="4">
        <v>46272</v>
      </c>
      <c r="E341" s="3" t="s">
        <v>595</v>
      </c>
      <c r="F341" s="3" t="s">
        <v>596</v>
      </c>
    </row>
    <row r="342" spans="1:6" x14ac:dyDescent="0.3">
      <c r="A342" s="3" t="s">
        <v>388</v>
      </c>
      <c r="B342" s="3" t="s">
        <v>66</v>
      </c>
      <c r="C342" s="3" t="str">
        <f t="shared" si="5"/>
        <v>4500136603140</v>
      </c>
      <c r="D342" s="4">
        <v>46272</v>
      </c>
      <c r="E342" s="3" t="s">
        <v>595</v>
      </c>
      <c r="F342" s="3" t="s">
        <v>596</v>
      </c>
    </row>
    <row r="343" spans="1:6" x14ac:dyDescent="0.3">
      <c r="A343" s="3" t="s">
        <v>388</v>
      </c>
      <c r="B343" s="3" t="s">
        <v>87</v>
      </c>
      <c r="C343" s="3" t="str">
        <f t="shared" si="5"/>
        <v>4500136603150</v>
      </c>
      <c r="D343" s="4">
        <v>46272</v>
      </c>
      <c r="E343" s="3" t="s">
        <v>595</v>
      </c>
      <c r="F343" s="3" t="s">
        <v>596</v>
      </c>
    </row>
    <row r="344" spans="1:6" x14ac:dyDescent="0.3">
      <c r="A344" s="3" t="s">
        <v>388</v>
      </c>
      <c r="B344" s="3" t="s">
        <v>88</v>
      </c>
      <c r="C344" s="3" t="str">
        <f t="shared" si="5"/>
        <v>4500136603160</v>
      </c>
      <c r="D344" s="4">
        <v>46272</v>
      </c>
      <c r="E344" s="3" t="s">
        <v>595</v>
      </c>
      <c r="F344" s="3" t="s">
        <v>596</v>
      </c>
    </row>
    <row r="345" spans="1:6" x14ac:dyDescent="0.3">
      <c r="A345" s="3" t="s">
        <v>388</v>
      </c>
      <c r="B345" s="3" t="s">
        <v>67</v>
      </c>
      <c r="C345" s="3" t="str">
        <f t="shared" si="5"/>
        <v>4500136603170</v>
      </c>
      <c r="D345" s="4">
        <v>46272</v>
      </c>
      <c r="E345" s="3" t="s">
        <v>595</v>
      </c>
      <c r="F345" s="3" t="s">
        <v>596</v>
      </c>
    </row>
    <row r="346" spans="1:6" x14ac:dyDescent="0.3">
      <c r="A346" s="3" t="s">
        <v>450</v>
      </c>
      <c r="B346" s="3" t="s">
        <v>55</v>
      </c>
      <c r="C346" s="3" t="str">
        <f t="shared" si="5"/>
        <v>450013665050</v>
      </c>
      <c r="D346" s="4">
        <v>46285</v>
      </c>
      <c r="E346" s="3" t="s">
        <v>595</v>
      </c>
      <c r="F346" s="3" t="s">
        <v>612</v>
      </c>
    </row>
    <row r="347" spans="1:6" x14ac:dyDescent="0.3">
      <c r="A347" s="3" t="s">
        <v>450</v>
      </c>
      <c r="B347" s="3" t="s">
        <v>80</v>
      </c>
      <c r="C347" s="3" t="str">
        <f t="shared" si="5"/>
        <v>450013665060</v>
      </c>
      <c r="D347" s="4">
        <v>46285</v>
      </c>
      <c r="E347" s="3" t="s">
        <v>595</v>
      </c>
      <c r="F347" s="3" t="s">
        <v>612</v>
      </c>
    </row>
    <row r="348" spans="1:6" x14ac:dyDescent="0.3">
      <c r="A348" s="3" t="s">
        <v>353</v>
      </c>
      <c r="B348" s="3" t="s">
        <v>32</v>
      </c>
      <c r="C348" s="3" t="str">
        <f t="shared" si="5"/>
        <v>450013674510</v>
      </c>
      <c r="D348" s="4">
        <v>46289</v>
      </c>
      <c r="E348" s="3" t="s">
        <v>595</v>
      </c>
      <c r="F348" s="3" t="s">
        <v>666</v>
      </c>
    </row>
    <row r="349" spans="1:6" x14ac:dyDescent="0.3">
      <c r="A349" s="3" t="s">
        <v>353</v>
      </c>
      <c r="B349" s="3" t="s">
        <v>28</v>
      </c>
      <c r="C349" s="3" t="str">
        <f t="shared" si="5"/>
        <v>450013674520</v>
      </c>
      <c r="D349" s="4">
        <v>46289</v>
      </c>
      <c r="E349" s="3" t="s">
        <v>595</v>
      </c>
      <c r="F349" s="3" t="s">
        <v>666</v>
      </c>
    </row>
    <row r="350" spans="1:6" x14ac:dyDescent="0.3">
      <c r="A350" s="3" t="s">
        <v>353</v>
      </c>
      <c r="B350" s="3" t="s">
        <v>54</v>
      </c>
      <c r="C350" s="3" t="str">
        <f t="shared" si="5"/>
        <v>450013674530</v>
      </c>
      <c r="D350" s="4">
        <v>46289</v>
      </c>
      <c r="E350" s="3" t="s">
        <v>595</v>
      </c>
      <c r="F350" s="3" t="s">
        <v>666</v>
      </c>
    </row>
    <row r="351" spans="1:6" x14ac:dyDescent="0.3">
      <c r="A351" s="3" t="s">
        <v>353</v>
      </c>
      <c r="B351" s="3" t="s">
        <v>23</v>
      </c>
      <c r="C351" s="3" t="str">
        <f t="shared" si="5"/>
        <v>450013674540</v>
      </c>
      <c r="D351" s="4">
        <v>46289</v>
      </c>
      <c r="E351" s="3" t="s">
        <v>595</v>
      </c>
      <c r="F351" s="3" t="s">
        <v>666</v>
      </c>
    </row>
    <row r="352" spans="1:6" x14ac:dyDescent="0.3">
      <c r="A352" s="3" t="s">
        <v>353</v>
      </c>
      <c r="B352" s="3" t="s">
        <v>55</v>
      </c>
      <c r="C352" s="3" t="str">
        <f t="shared" si="5"/>
        <v>450013674550</v>
      </c>
      <c r="D352" s="4">
        <v>46289</v>
      </c>
      <c r="E352" s="3" t="s">
        <v>595</v>
      </c>
      <c r="F352" s="3" t="s">
        <v>666</v>
      </c>
    </row>
    <row r="353" spans="1:6" x14ac:dyDescent="0.3">
      <c r="A353" s="3" t="s">
        <v>324</v>
      </c>
      <c r="B353" s="3" t="s">
        <v>32</v>
      </c>
      <c r="C353" s="3" t="str">
        <f t="shared" si="5"/>
        <v>450013678610</v>
      </c>
      <c r="D353" s="4">
        <v>46261</v>
      </c>
      <c r="E353" s="3" t="s">
        <v>597</v>
      </c>
      <c r="F353" s="3" t="s">
        <v>667</v>
      </c>
    </row>
    <row r="354" spans="1:6" x14ac:dyDescent="0.3">
      <c r="A354" s="3" t="s">
        <v>324</v>
      </c>
      <c r="B354" s="3" t="s">
        <v>28</v>
      </c>
      <c r="C354" s="3" t="str">
        <f t="shared" si="5"/>
        <v>450013678620</v>
      </c>
      <c r="D354" s="4">
        <v>46261</v>
      </c>
      <c r="E354" s="3" t="s">
        <v>597</v>
      </c>
      <c r="F354" s="3" t="s">
        <v>667</v>
      </c>
    </row>
    <row r="355" spans="1:6" x14ac:dyDescent="0.3">
      <c r="A355" s="3" t="s">
        <v>324</v>
      </c>
      <c r="B355" s="3" t="s">
        <v>54</v>
      </c>
      <c r="C355" s="3" t="str">
        <f t="shared" si="5"/>
        <v>450013678630</v>
      </c>
      <c r="D355" s="4">
        <v>46261</v>
      </c>
      <c r="E355" s="3" t="s">
        <v>597</v>
      </c>
      <c r="F355" s="3" t="s">
        <v>667</v>
      </c>
    </row>
    <row r="356" spans="1:6" x14ac:dyDescent="0.3">
      <c r="A356" s="3" t="s">
        <v>448</v>
      </c>
      <c r="B356" s="3" t="s">
        <v>32</v>
      </c>
      <c r="C356" s="3" t="str">
        <f t="shared" si="5"/>
        <v>450013682210</v>
      </c>
      <c r="D356" s="4">
        <v>46295</v>
      </c>
      <c r="E356" s="3" t="s">
        <v>668</v>
      </c>
      <c r="F356" s="3" t="s">
        <v>669</v>
      </c>
    </row>
    <row r="357" spans="1:6" x14ac:dyDescent="0.3">
      <c r="A357" s="3" t="s">
        <v>319</v>
      </c>
      <c r="B357" s="3" t="s">
        <v>32</v>
      </c>
      <c r="C357" s="3" t="str">
        <f t="shared" si="5"/>
        <v>450013683010</v>
      </c>
      <c r="D357" s="4">
        <v>46272</v>
      </c>
      <c r="E357" s="3" t="s">
        <v>597</v>
      </c>
      <c r="F357" s="3" t="s">
        <v>670</v>
      </c>
    </row>
    <row r="358" spans="1:6" x14ac:dyDescent="0.3">
      <c r="A358" s="3" t="s">
        <v>319</v>
      </c>
      <c r="B358" s="3" t="s">
        <v>88</v>
      </c>
      <c r="C358" s="3" t="str">
        <f t="shared" si="5"/>
        <v>4500136830160</v>
      </c>
      <c r="D358" s="4">
        <v>46272</v>
      </c>
      <c r="E358" s="3" t="s">
        <v>597</v>
      </c>
      <c r="F358" s="3" t="s">
        <v>670</v>
      </c>
    </row>
    <row r="359" spans="1:6" x14ac:dyDescent="0.3">
      <c r="A359" s="3" t="s">
        <v>321</v>
      </c>
      <c r="B359" s="3" t="s">
        <v>83</v>
      </c>
      <c r="C359" s="3" t="str">
        <f t="shared" si="5"/>
        <v>450013687890</v>
      </c>
      <c r="D359" s="4">
        <v>46270</v>
      </c>
      <c r="E359" s="3" t="s">
        <v>595</v>
      </c>
      <c r="F359" s="3" t="s">
        <v>600</v>
      </c>
    </row>
    <row r="360" spans="1:6" x14ac:dyDescent="0.3">
      <c r="A360" s="3" t="s">
        <v>343</v>
      </c>
      <c r="B360" s="3" t="s">
        <v>32</v>
      </c>
      <c r="C360" s="3" t="str">
        <f t="shared" si="5"/>
        <v>450013693910</v>
      </c>
      <c r="D360" s="4">
        <v>46275</v>
      </c>
      <c r="E360" s="3" t="s">
        <v>615</v>
      </c>
      <c r="F360" s="3" t="s">
        <v>654</v>
      </c>
    </row>
    <row r="361" spans="1:6" x14ac:dyDescent="0.3">
      <c r="A361" s="3" t="s">
        <v>343</v>
      </c>
      <c r="B361" s="3" t="s">
        <v>28</v>
      </c>
      <c r="C361" s="3" t="str">
        <f t="shared" si="5"/>
        <v>450013693920</v>
      </c>
      <c r="D361" s="4">
        <v>46275</v>
      </c>
      <c r="E361" s="3" t="s">
        <v>615</v>
      </c>
      <c r="F361" s="3" t="s">
        <v>654</v>
      </c>
    </row>
    <row r="362" spans="1:6" x14ac:dyDescent="0.3">
      <c r="A362" s="3" t="s">
        <v>343</v>
      </c>
      <c r="B362" s="3" t="s">
        <v>54</v>
      </c>
      <c r="C362" s="3" t="str">
        <f t="shared" si="5"/>
        <v>450013693930</v>
      </c>
      <c r="D362" s="4">
        <v>46275</v>
      </c>
      <c r="E362" s="3" t="s">
        <v>615</v>
      </c>
      <c r="F362" s="3" t="s">
        <v>654</v>
      </c>
    </row>
    <row r="363" spans="1:6" x14ac:dyDescent="0.3">
      <c r="A363" s="3" t="s">
        <v>343</v>
      </c>
      <c r="B363" s="3" t="s">
        <v>23</v>
      </c>
      <c r="C363" s="3" t="str">
        <f t="shared" si="5"/>
        <v>450013693940</v>
      </c>
      <c r="D363" s="4">
        <v>46275</v>
      </c>
      <c r="E363" s="3" t="s">
        <v>615</v>
      </c>
      <c r="F363" s="3" t="s">
        <v>654</v>
      </c>
    </row>
    <row r="364" spans="1:6" x14ac:dyDescent="0.3">
      <c r="A364" s="3" t="s">
        <v>343</v>
      </c>
      <c r="B364" s="3" t="s">
        <v>55</v>
      </c>
      <c r="C364" s="3" t="str">
        <f t="shared" si="5"/>
        <v>450013693950</v>
      </c>
      <c r="D364" s="4">
        <v>46275</v>
      </c>
      <c r="E364" s="3" t="s">
        <v>615</v>
      </c>
      <c r="F364" s="3" t="s">
        <v>654</v>
      </c>
    </row>
    <row r="365" spans="1:6" x14ac:dyDescent="0.3">
      <c r="A365" s="3" t="s">
        <v>343</v>
      </c>
      <c r="B365" s="3" t="s">
        <v>80</v>
      </c>
      <c r="C365" s="3" t="str">
        <f t="shared" si="5"/>
        <v>450013693960</v>
      </c>
      <c r="D365" s="4">
        <v>46275</v>
      </c>
      <c r="E365" s="3" t="s">
        <v>615</v>
      </c>
      <c r="F365" s="3" t="s">
        <v>654</v>
      </c>
    </row>
    <row r="366" spans="1:6" x14ac:dyDescent="0.3">
      <c r="A366" s="3" t="s">
        <v>343</v>
      </c>
      <c r="B366" s="3" t="s">
        <v>81</v>
      </c>
      <c r="C366" s="3" t="str">
        <f t="shared" si="5"/>
        <v>450013693970</v>
      </c>
      <c r="D366" s="4">
        <v>46275</v>
      </c>
      <c r="E366" s="3" t="s">
        <v>615</v>
      </c>
      <c r="F366" s="3" t="s">
        <v>654</v>
      </c>
    </row>
    <row r="367" spans="1:6" x14ac:dyDescent="0.3">
      <c r="A367" s="3" t="s">
        <v>343</v>
      </c>
      <c r="B367" s="3" t="s">
        <v>82</v>
      </c>
      <c r="C367" s="3" t="str">
        <f t="shared" si="5"/>
        <v>450013693980</v>
      </c>
      <c r="D367" s="4">
        <v>46275</v>
      </c>
      <c r="E367" s="3" t="s">
        <v>615</v>
      </c>
      <c r="F367" s="3" t="s">
        <v>654</v>
      </c>
    </row>
    <row r="368" spans="1:6" x14ac:dyDescent="0.3">
      <c r="A368" s="3" t="s">
        <v>343</v>
      </c>
      <c r="B368" s="3" t="s">
        <v>83</v>
      </c>
      <c r="C368" s="3" t="str">
        <f t="shared" si="5"/>
        <v>450013693990</v>
      </c>
      <c r="D368" s="4">
        <v>46275</v>
      </c>
      <c r="E368" s="3" t="s">
        <v>615</v>
      </c>
      <c r="F368" s="3" t="s">
        <v>654</v>
      </c>
    </row>
    <row r="369" spans="1:6" x14ac:dyDescent="0.3">
      <c r="A369" s="3" t="s">
        <v>343</v>
      </c>
      <c r="B369" s="3" t="s">
        <v>84</v>
      </c>
      <c r="C369" s="3" t="str">
        <f t="shared" si="5"/>
        <v>4500136939100</v>
      </c>
      <c r="D369" s="4">
        <v>46275</v>
      </c>
      <c r="E369" s="3" t="s">
        <v>615</v>
      </c>
      <c r="F369" s="3" t="s">
        <v>654</v>
      </c>
    </row>
    <row r="370" spans="1:6" x14ac:dyDescent="0.3">
      <c r="A370" s="3" t="s">
        <v>343</v>
      </c>
      <c r="B370" s="3" t="s">
        <v>85</v>
      </c>
      <c r="C370" s="3" t="str">
        <f t="shared" si="5"/>
        <v>4500136939110</v>
      </c>
      <c r="D370" s="4">
        <v>46275</v>
      </c>
      <c r="E370" s="3" t="s">
        <v>615</v>
      </c>
      <c r="F370" s="3" t="s">
        <v>654</v>
      </c>
    </row>
    <row r="371" spans="1:6" x14ac:dyDescent="0.3">
      <c r="A371" s="3" t="s">
        <v>343</v>
      </c>
      <c r="B371" s="3" t="s">
        <v>86</v>
      </c>
      <c r="C371" s="3" t="str">
        <f t="shared" si="5"/>
        <v>4500136939120</v>
      </c>
      <c r="D371" s="4">
        <v>46275</v>
      </c>
      <c r="E371" s="3" t="s">
        <v>615</v>
      </c>
      <c r="F371" s="3" t="s">
        <v>654</v>
      </c>
    </row>
    <row r="372" spans="1:6" x14ac:dyDescent="0.3">
      <c r="A372" s="3" t="s">
        <v>343</v>
      </c>
      <c r="B372" s="3" t="s">
        <v>65</v>
      </c>
      <c r="C372" s="3" t="str">
        <f t="shared" si="5"/>
        <v>4500136939130</v>
      </c>
      <c r="D372" s="4">
        <v>46275</v>
      </c>
      <c r="E372" s="3" t="s">
        <v>615</v>
      </c>
      <c r="F372" s="3" t="s">
        <v>654</v>
      </c>
    </row>
    <row r="373" spans="1:6" x14ac:dyDescent="0.3">
      <c r="A373" s="3" t="s">
        <v>343</v>
      </c>
      <c r="B373" s="3" t="s">
        <v>66</v>
      </c>
      <c r="C373" s="3" t="str">
        <f t="shared" si="5"/>
        <v>4500136939140</v>
      </c>
      <c r="D373" s="4">
        <v>46275</v>
      </c>
      <c r="E373" s="3" t="s">
        <v>615</v>
      </c>
      <c r="F373" s="3" t="s">
        <v>654</v>
      </c>
    </row>
    <row r="374" spans="1:6" x14ac:dyDescent="0.3">
      <c r="A374" s="3" t="s">
        <v>343</v>
      </c>
      <c r="B374" s="3" t="s">
        <v>87</v>
      </c>
      <c r="C374" s="3" t="str">
        <f t="shared" si="5"/>
        <v>4500136939150</v>
      </c>
      <c r="D374" s="4">
        <v>46275</v>
      </c>
      <c r="E374" s="3" t="s">
        <v>615</v>
      </c>
      <c r="F374" s="3" t="s">
        <v>654</v>
      </c>
    </row>
    <row r="375" spans="1:6" x14ac:dyDescent="0.3">
      <c r="A375" s="3" t="s">
        <v>343</v>
      </c>
      <c r="B375" s="3" t="s">
        <v>88</v>
      </c>
      <c r="C375" s="3" t="str">
        <f t="shared" si="5"/>
        <v>4500136939160</v>
      </c>
      <c r="D375" s="4">
        <v>46275</v>
      </c>
      <c r="E375" s="3" t="s">
        <v>615</v>
      </c>
      <c r="F375" s="3" t="s">
        <v>654</v>
      </c>
    </row>
    <row r="376" spans="1:6" x14ac:dyDescent="0.3">
      <c r="A376" s="3" t="s">
        <v>343</v>
      </c>
      <c r="B376" s="3" t="s">
        <v>67</v>
      </c>
      <c r="C376" s="3" t="str">
        <f t="shared" si="5"/>
        <v>4500136939170</v>
      </c>
      <c r="D376" s="4">
        <v>46275</v>
      </c>
      <c r="E376" s="3" t="s">
        <v>615</v>
      </c>
      <c r="F376" s="3" t="s">
        <v>654</v>
      </c>
    </row>
    <row r="377" spans="1:6" x14ac:dyDescent="0.3">
      <c r="A377" s="3" t="s">
        <v>343</v>
      </c>
      <c r="B377" s="3" t="s">
        <v>125</v>
      </c>
      <c r="C377" s="3" t="str">
        <f t="shared" si="5"/>
        <v>4500136939180</v>
      </c>
      <c r="D377" s="4">
        <v>46275</v>
      </c>
      <c r="E377" s="3" t="s">
        <v>615</v>
      </c>
      <c r="F377" s="3" t="s">
        <v>654</v>
      </c>
    </row>
    <row r="378" spans="1:6" x14ac:dyDescent="0.3">
      <c r="A378" s="3" t="s">
        <v>343</v>
      </c>
      <c r="B378" s="3" t="s">
        <v>91</v>
      </c>
      <c r="C378" s="3" t="str">
        <f t="shared" si="5"/>
        <v>4500136939190</v>
      </c>
      <c r="D378" s="4">
        <v>46275</v>
      </c>
      <c r="E378" s="3" t="s">
        <v>615</v>
      </c>
      <c r="F378" s="3" t="s">
        <v>654</v>
      </c>
    </row>
    <row r="379" spans="1:6" x14ac:dyDescent="0.3">
      <c r="A379" s="3" t="s">
        <v>343</v>
      </c>
      <c r="B379" s="3" t="s">
        <v>92</v>
      </c>
      <c r="C379" s="3" t="str">
        <f t="shared" si="5"/>
        <v>4500136939200</v>
      </c>
      <c r="D379" s="4">
        <v>46305</v>
      </c>
      <c r="E379" s="3" t="s">
        <v>615</v>
      </c>
      <c r="F379" s="3" t="s">
        <v>654</v>
      </c>
    </row>
    <row r="380" spans="1:6" x14ac:dyDescent="0.3">
      <c r="A380" s="3" t="s">
        <v>343</v>
      </c>
      <c r="B380" s="3" t="s">
        <v>43</v>
      </c>
      <c r="C380" s="3" t="str">
        <f t="shared" si="5"/>
        <v>4500136939210</v>
      </c>
      <c r="D380" s="4">
        <v>46305</v>
      </c>
      <c r="E380" s="3" t="s">
        <v>615</v>
      </c>
      <c r="F380" s="3" t="s">
        <v>654</v>
      </c>
    </row>
    <row r="381" spans="1:6" x14ac:dyDescent="0.3">
      <c r="A381" s="3" t="s">
        <v>343</v>
      </c>
      <c r="B381" s="3" t="s">
        <v>44</v>
      </c>
      <c r="C381" s="3" t="str">
        <f t="shared" si="5"/>
        <v>4500136939220</v>
      </c>
      <c r="D381" s="4">
        <v>46305</v>
      </c>
      <c r="E381" s="3" t="s">
        <v>615</v>
      </c>
      <c r="F381" s="3" t="s">
        <v>654</v>
      </c>
    </row>
    <row r="382" spans="1:6" x14ac:dyDescent="0.3">
      <c r="A382" s="3" t="s">
        <v>343</v>
      </c>
      <c r="B382" s="3" t="s">
        <v>126</v>
      </c>
      <c r="C382" s="3" t="str">
        <f t="shared" si="5"/>
        <v>4500136939230</v>
      </c>
      <c r="D382" s="4">
        <v>46305</v>
      </c>
      <c r="E382" s="3" t="s">
        <v>615</v>
      </c>
      <c r="F382" s="3" t="s">
        <v>654</v>
      </c>
    </row>
    <row r="383" spans="1:6" x14ac:dyDescent="0.3">
      <c r="A383" s="3" t="s">
        <v>343</v>
      </c>
      <c r="B383" s="3" t="s">
        <v>127</v>
      </c>
      <c r="C383" s="3" t="str">
        <f t="shared" si="5"/>
        <v>4500136939240</v>
      </c>
      <c r="D383" s="4">
        <v>46305</v>
      </c>
      <c r="E383" s="3" t="s">
        <v>615</v>
      </c>
      <c r="F383" s="3" t="s">
        <v>654</v>
      </c>
    </row>
    <row r="384" spans="1:6" x14ac:dyDescent="0.3">
      <c r="A384" s="3" t="s">
        <v>343</v>
      </c>
      <c r="B384" s="3" t="s">
        <v>128</v>
      </c>
      <c r="C384" s="3" t="str">
        <f t="shared" si="5"/>
        <v>4500136939250</v>
      </c>
      <c r="D384" s="4">
        <v>46305</v>
      </c>
      <c r="E384" s="3" t="s">
        <v>615</v>
      </c>
      <c r="F384" s="3" t="s">
        <v>654</v>
      </c>
    </row>
    <row r="385" spans="1:6" x14ac:dyDescent="0.3">
      <c r="A385" s="3" t="s">
        <v>343</v>
      </c>
      <c r="B385" s="3" t="s">
        <v>129</v>
      </c>
      <c r="C385" s="3" t="str">
        <f t="shared" si="5"/>
        <v>4500136939260</v>
      </c>
      <c r="D385" s="4">
        <v>46305</v>
      </c>
      <c r="E385" s="3" t="s">
        <v>615</v>
      </c>
      <c r="F385" s="3" t="s">
        <v>654</v>
      </c>
    </row>
    <row r="386" spans="1:6" x14ac:dyDescent="0.3">
      <c r="A386" s="3" t="s">
        <v>343</v>
      </c>
      <c r="B386" s="3" t="s">
        <v>130</v>
      </c>
      <c r="C386" s="3" t="str">
        <f t="shared" si="5"/>
        <v>4500136939270</v>
      </c>
      <c r="D386" s="4">
        <v>46305</v>
      </c>
      <c r="E386" s="3" t="s">
        <v>615</v>
      </c>
      <c r="F386" s="3" t="s">
        <v>654</v>
      </c>
    </row>
    <row r="387" spans="1:6" x14ac:dyDescent="0.3">
      <c r="A387" s="3" t="s">
        <v>343</v>
      </c>
      <c r="B387" s="3" t="s">
        <v>131</v>
      </c>
      <c r="C387" s="3" t="str">
        <f t="shared" ref="C387:C450" si="6">_xlfn.CONCAT(A387:B387)</f>
        <v>4500136939280</v>
      </c>
      <c r="D387" s="4">
        <v>46305</v>
      </c>
      <c r="E387" s="3" t="s">
        <v>615</v>
      </c>
      <c r="F387" s="3" t="s">
        <v>654</v>
      </c>
    </row>
    <row r="388" spans="1:6" x14ac:dyDescent="0.3">
      <c r="A388" s="3" t="s">
        <v>343</v>
      </c>
      <c r="B388" s="3" t="s">
        <v>132</v>
      </c>
      <c r="C388" s="3" t="str">
        <f t="shared" si="6"/>
        <v>4500136939290</v>
      </c>
      <c r="D388" s="4">
        <v>46305</v>
      </c>
      <c r="E388" s="3" t="s">
        <v>615</v>
      </c>
      <c r="F388" s="3" t="s">
        <v>654</v>
      </c>
    </row>
    <row r="389" spans="1:6" x14ac:dyDescent="0.3">
      <c r="A389" s="3" t="s">
        <v>343</v>
      </c>
      <c r="B389" s="3" t="s">
        <v>133</v>
      </c>
      <c r="C389" s="3" t="str">
        <f t="shared" si="6"/>
        <v>4500136939300</v>
      </c>
      <c r="D389" s="4">
        <v>46305</v>
      </c>
      <c r="E389" s="3" t="s">
        <v>615</v>
      </c>
      <c r="F389" s="3" t="s">
        <v>654</v>
      </c>
    </row>
    <row r="390" spans="1:6" x14ac:dyDescent="0.3">
      <c r="A390" s="3" t="s">
        <v>343</v>
      </c>
      <c r="B390" s="3" t="s">
        <v>134</v>
      </c>
      <c r="C390" s="3" t="str">
        <f t="shared" si="6"/>
        <v>4500136939310</v>
      </c>
      <c r="D390" s="4">
        <v>46305</v>
      </c>
      <c r="E390" s="3" t="s">
        <v>615</v>
      </c>
      <c r="F390" s="3" t="s">
        <v>654</v>
      </c>
    </row>
    <row r="391" spans="1:6" x14ac:dyDescent="0.3">
      <c r="A391" s="3" t="s">
        <v>343</v>
      </c>
      <c r="B391" s="3" t="s">
        <v>135</v>
      </c>
      <c r="C391" s="3" t="str">
        <f t="shared" si="6"/>
        <v>4500136939320</v>
      </c>
      <c r="D391" s="4">
        <v>46305</v>
      </c>
      <c r="E391" s="3" t="s">
        <v>615</v>
      </c>
      <c r="F391" s="3" t="s">
        <v>654</v>
      </c>
    </row>
    <row r="392" spans="1:6" x14ac:dyDescent="0.3">
      <c r="A392" s="3" t="s">
        <v>343</v>
      </c>
      <c r="B392" s="3" t="s">
        <v>430</v>
      </c>
      <c r="C392" s="3" t="str">
        <f t="shared" si="6"/>
        <v>4500136939330</v>
      </c>
      <c r="D392" s="4">
        <v>46305</v>
      </c>
      <c r="E392" s="3" t="s">
        <v>615</v>
      </c>
      <c r="F392" s="3" t="s">
        <v>654</v>
      </c>
    </row>
    <row r="393" spans="1:6" x14ac:dyDescent="0.3">
      <c r="A393" s="3" t="s">
        <v>343</v>
      </c>
      <c r="B393" s="3" t="s">
        <v>579</v>
      </c>
      <c r="C393" s="3" t="str">
        <f t="shared" si="6"/>
        <v>4500136939340</v>
      </c>
      <c r="D393" s="4">
        <v>46305</v>
      </c>
      <c r="E393" s="3" t="s">
        <v>615</v>
      </c>
      <c r="F393" s="3" t="s">
        <v>654</v>
      </c>
    </row>
    <row r="394" spans="1:6" x14ac:dyDescent="0.3">
      <c r="A394" s="3" t="s">
        <v>142</v>
      </c>
      <c r="B394" s="3" t="s">
        <v>32</v>
      </c>
      <c r="C394" s="3" t="str">
        <f t="shared" si="6"/>
        <v>450013697510</v>
      </c>
      <c r="D394" s="4">
        <v>46272</v>
      </c>
      <c r="E394" s="3" t="s">
        <v>618</v>
      </c>
      <c r="F394" s="3" t="s">
        <v>671</v>
      </c>
    </row>
    <row r="395" spans="1:6" x14ac:dyDescent="0.3">
      <c r="A395" s="3" t="s">
        <v>142</v>
      </c>
      <c r="B395" s="3" t="s">
        <v>23</v>
      </c>
      <c r="C395" s="3" t="str">
        <f t="shared" si="6"/>
        <v>450013697540</v>
      </c>
      <c r="D395" s="4">
        <v>46272</v>
      </c>
      <c r="E395" s="3" t="s">
        <v>618</v>
      </c>
      <c r="F395" s="3" t="s">
        <v>671</v>
      </c>
    </row>
    <row r="396" spans="1:6" x14ac:dyDescent="0.3">
      <c r="A396" s="3" t="s">
        <v>142</v>
      </c>
      <c r="B396" s="3" t="s">
        <v>55</v>
      </c>
      <c r="C396" s="3" t="str">
        <f t="shared" si="6"/>
        <v>450013697550</v>
      </c>
      <c r="D396" s="4">
        <v>46272</v>
      </c>
      <c r="E396" s="3" t="s">
        <v>618</v>
      </c>
      <c r="F396" s="3" t="s">
        <v>671</v>
      </c>
    </row>
    <row r="397" spans="1:6" x14ac:dyDescent="0.3">
      <c r="A397" s="3" t="s">
        <v>142</v>
      </c>
      <c r="B397" s="3" t="s">
        <v>80</v>
      </c>
      <c r="C397" s="3" t="str">
        <f t="shared" si="6"/>
        <v>450013697560</v>
      </c>
      <c r="D397" s="4">
        <v>46272</v>
      </c>
      <c r="E397" s="3" t="s">
        <v>618</v>
      </c>
      <c r="F397" s="3" t="s">
        <v>671</v>
      </c>
    </row>
    <row r="398" spans="1:6" x14ac:dyDescent="0.3">
      <c r="A398" s="3" t="s">
        <v>142</v>
      </c>
      <c r="B398" s="3" t="s">
        <v>83</v>
      </c>
      <c r="C398" s="3" t="str">
        <f t="shared" si="6"/>
        <v>450013697590</v>
      </c>
      <c r="D398" s="4">
        <v>46272</v>
      </c>
      <c r="E398" s="3" t="s">
        <v>618</v>
      </c>
      <c r="F398" s="3" t="s">
        <v>671</v>
      </c>
    </row>
    <row r="399" spans="1:6" x14ac:dyDescent="0.3">
      <c r="A399" s="3" t="s">
        <v>142</v>
      </c>
      <c r="B399" s="3" t="s">
        <v>66</v>
      </c>
      <c r="C399" s="3" t="str">
        <f t="shared" si="6"/>
        <v>4500136975140</v>
      </c>
      <c r="D399" s="4">
        <v>46272</v>
      </c>
      <c r="E399" s="3" t="s">
        <v>618</v>
      </c>
      <c r="F399" s="3" t="s">
        <v>671</v>
      </c>
    </row>
    <row r="400" spans="1:6" x14ac:dyDescent="0.3">
      <c r="A400" s="3" t="s">
        <v>142</v>
      </c>
      <c r="B400" s="3" t="s">
        <v>87</v>
      </c>
      <c r="C400" s="3" t="str">
        <f t="shared" si="6"/>
        <v>4500136975150</v>
      </c>
      <c r="D400" s="4">
        <v>46272</v>
      </c>
      <c r="E400" s="3" t="s">
        <v>618</v>
      </c>
      <c r="F400" s="3" t="s">
        <v>671</v>
      </c>
    </row>
    <row r="401" spans="1:6" x14ac:dyDescent="0.3">
      <c r="A401" s="3" t="s">
        <v>142</v>
      </c>
      <c r="B401" s="3" t="s">
        <v>127</v>
      </c>
      <c r="C401" s="3" t="str">
        <f t="shared" si="6"/>
        <v>4500136975240</v>
      </c>
      <c r="D401" s="4">
        <v>46283</v>
      </c>
      <c r="E401" s="3" t="s">
        <v>618</v>
      </c>
      <c r="F401" s="3" t="s">
        <v>671</v>
      </c>
    </row>
    <row r="402" spans="1:6" x14ac:dyDescent="0.3">
      <c r="A402" s="3" t="s">
        <v>142</v>
      </c>
      <c r="B402" s="3" t="s">
        <v>134</v>
      </c>
      <c r="C402" s="3" t="str">
        <f t="shared" si="6"/>
        <v>4500136975310</v>
      </c>
      <c r="D402" s="4">
        <v>46272</v>
      </c>
      <c r="E402" s="3" t="s">
        <v>618</v>
      </c>
      <c r="F402" s="3" t="s">
        <v>671</v>
      </c>
    </row>
    <row r="403" spans="1:6" x14ac:dyDescent="0.3">
      <c r="A403" s="3" t="s">
        <v>142</v>
      </c>
      <c r="B403" s="3" t="s">
        <v>135</v>
      </c>
      <c r="C403" s="3" t="str">
        <f t="shared" si="6"/>
        <v>4500136975320</v>
      </c>
      <c r="D403" s="4">
        <v>46272</v>
      </c>
      <c r="E403" s="3" t="s">
        <v>618</v>
      </c>
      <c r="F403" s="3" t="s">
        <v>671</v>
      </c>
    </row>
    <row r="404" spans="1:6" x14ac:dyDescent="0.3">
      <c r="A404" s="3" t="s">
        <v>142</v>
      </c>
      <c r="B404" s="3" t="s">
        <v>430</v>
      </c>
      <c r="C404" s="3" t="str">
        <f t="shared" si="6"/>
        <v>4500136975330</v>
      </c>
      <c r="D404" s="4">
        <v>46272</v>
      </c>
      <c r="E404" s="3" t="s">
        <v>618</v>
      </c>
      <c r="F404" s="3" t="s">
        <v>671</v>
      </c>
    </row>
    <row r="405" spans="1:6" x14ac:dyDescent="0.3">
      <c r="A405" s="3" t="s">
        <v>142</v>
      </c>
      <c r="B405" s="3" t="s">
        <v>632</v>
      </c>
      <c r="C405" s="3" t="str">
        <f t="shared" si="6"/>
        <v>4500136975360</v>
      </c>
      <c r="D405" s="4">
        <v>46258</v>
      </c>
      <c r="E405" s="3" t="s">
        <v>618</v>
      </c>
      <c r="F405" s="3" t="s">
        <v>671</v>
      </c>
    </row>
    <row r="406" spans="1:6" x14ac:dyDescent="0.3">
      <c r="A406" s="3" t="s">
        <v>142</v>
      </c>
      <c r="B406" s="3" t="s">
        <v>277</v>
      </c>
      <c r="C406" s="3" t="str">
        <f t="shared" si="6"/>
        <v>4500136975370</v>
      </c>
      <c r="D406" s="4">
        <v>46264</v>
      </c>
      <c r="E406" s="3" t="s">
        <v>618</v>
      </c>
      <c r="F406" s="3" t="s">
        <v>671</v>
      </c>
    </row>
    <row r="407" spans="1:6" x14ac:dyDescent="0.3">
      <c r="A407" s="3" t="s">
        <v>142</v>
      </c>
      <c r="B407" s="3" t="s">
        <v>672</v>
      </c>
      <c r="C407" s="3" t="str">
        <f t="shared" si="6"/>
        <v>4500136975380</v>
      </c>
      <c r="D407" s="4">
        <v>46272</v>
      </c>
      <c r="E407" s="3" t="s">
        <v>618</v>
      </c>
      <c r="F407" s="3" t="s">
        <v>671</v>
      </c>
    </row>
    <row r="408" spans="1:6" x14ac:dyDescent="0.3">
      <c r="A408" s="3" t="s">
        <v>338</v>
      </c>
      <c r="B408" s="3" t="s">
        <v>32</v>
      </c>
      <c r="C408" s="3" t="str">
        <f t="shared" si="6"/>
        <v>450013701210</v>
      </c>
      <c r="D408" s="4">
        <v>46269</v>
      </c>
      <c r="E408" s="3" t="s">
        <v>604</v>
      </c>
      <c r="F408" s="3" t="s">
        <v>647</v>
      </c>
    </row>
    <row r="409" spans="1:6" x14ac:dyDescent="0.3">
      <c r="A409" s="3" t="s">
        <v>338</v>
      </c>
      <c r="B409" s="3" t="s">
        <v>28</v>
      </c>
      <c r="C409" s="3" t="str">
        <f t="shared" si="6"/>
        <v>450013701220</v>
      </c>
      <c r="D409" s="4">
        <v>46269</v>
      </c>
      <c r="E409" s="3" t="s">
        <v>604</v>
      </c>
      <c r="F409" s="3" t="s">
        <v>647</v>
      </c>
    </row>
    <row r="410" spans="1:6" x14ac:dyDescent="0.3">
      <c r="A410" s="3" t="s">
        <v>338</v>
      </c>
      <c r="B410" s="3" t="s">
        <v>54</v>
      </c>
      <c r="C410" s="3" t="str">
        <f t="shared" si="6"/>
        <v>450013701230</v>
      </c>
      <c r="D410" s="4">
        <v>46269</v>
      </c>
      <c r="E410" s="3" t="s">
        <v>604</v>
      </c>
      <c r="F410" s="3" t="s">
        <v>647</v>
      </c>
    </row>
    <row r="411" spans="1:6" x14ac:dyDescent="0.3">
      <c r="A411" s="3" t="s">
        <v>338</v>
      </c>
      <c r="B411" s="3" t="s">
        <v>23</v>
      </c>
      <c r="C411" s="3" t="str">
        <f t="shared" si="6"/>
        <v>450013701240</v>
      </c>
      <c r="D411" s="4">
        <v>46269</v>
      </c>
      <c r="E411" s="3" t="s">
        <v>604</v>
      </c>
      <c r="F411" s="3" t="s">
        <v>647</v>
      </c>
    </row>
    <row r="412" spans="1:6" x14ac:dyDescent="0.3">
      <c r="A412" s="3" t="s">
        <v>338</v>
      </c>
      <c r="B412" s="3" t="s">
        <v>55</v>
      </c>
      <c r="C412" s="3" t="str">
        <f t="shared" si="6"/>
        <v>450013701250</v>
      </c>
      <c r="D412" s="4">
        <v>46269</v>
      </c>
      <c r="E412" s="3" t="s">
        <v>604</v>
      </c>
      <c r="F412" s="3" t="s">
        <v>647</v>
      </c>
    </row>
    <row r="413" spans="1:6" x14ac:dyDescent="0.3">
      <c r="A413" s="3" t="s">
        <v>338</v>
      </c>
      <c r="B413" s="3" t="s">
        <v>80</v>
      </c>
      <c r="C413" s="3" t="str">
        <f t="shared" si="6"/>
        <v>450013701260</v>
      </c>
      <c r="D413" s="4">
        <v>46269</v>
      </c>
      <c r="E413" s="3" t="s">
        <v>604</v>
      </c>
      <c r="F413" s="3" t="s">
        <v>647</v>
      </c>
    </row>
    <row r="414" spans="1:6" x14ac:dyDescent="0.3">
      <c r="A414" s="3" t="s">
        <v>338</v>
      </c>
      <c r="B414" s="3" t="s">
        <v>81</v>
      </c>
      <c r="C414" s="3" t="str">
        <f t="shared" si="6"/>
        <v>450013701270</v>
      </c>
      <c r="D414" s="4">
        <v>46269</v>
      </c>
      <c r="E414" s="3" t="s">
        <v>604</v>
      </c>
      <c r="F414" s="3" t="s">
        <v>647</v>
      </c>
    </row>
    <row r="415" spans="1:6" x14ac:dyDescent="0.3">
      <c r="A415" s="3" t="s">
        <v>338</v>
      </c>
      <c r="B415" s="3" t="s">
        <v>82</v>
      </c>
      <c r="C415" s="3" t="str">
        <f t="shared" si="6"/>
        <v>450013701280</v>
      </c>
      <c r="D415" s="4">
        <v>46269</v>
      </c>
      <c r="E415" s="3" t="s">
        <v>604</v>
      </c>
      <c r="F415" s="3" t="s">
        <v>647</v>
      </c>
    </row>
    <row r="416" spans="1:6" x14ac:dyDescent="0.3">
      <c r="A416" s="3" t="s">
        <v>338</v>
      </c>
      <c r="B416" s="3" t="s">
        <v>83</v>
      </c>
      <c r="C416" s="3" t="str">
        <f t="shared" si="6"/>
        <v>450013701290</v>
      </c>
      <c r="D416" s="4">
        <v>46269</v>
      </c>
      <c r="E416" s="3" t="s">
        <v>604</v>
      </c>
      <c r="F416" s="3" t="s">
        <v>647</v>
      </c>
    </row>
    <row r="417" spans="1:6" x14ac:dyDescent="0.3">
      <c r="A417" s="3" t="s">
        <v>338</v>
      </c>
      <c r="B417" s="3" t="s">
        <v>84</v>
      </c>
      <c r="C417" s="3" t="str">
        <f t="shared" si="6"/>
        <v>4500137012100</v>
      </c>
      <c r="D417" s="4">
        <v>46269</v>
      </c>
      <c r="E417" s="3" t="s">
        <v>604</v>
      </c>
      <c r="F417" s="3" t="s">
        <v>647</v>
      </c>
    </row>
    <row r="418" spans="1:6" x14ac:dyDescent="0.3">
      <c r="A418" s="3" t="s">
        <v>338</v>
      </c>
      <c r="B418" s="3" t="s">
        <v>85</v>
      </c>
      <c r="C418" s="3" t="str">
        <f t="shared" si="6"/>
        <v>4500137012110</v>
      </c>
      <c r="D418" s="4">
        <v>46269</v>
      </c>
      <c r="E418" s="3" t="s">
        <v>604</v>
      </c>
      <c r="F418" s="3" t="s">
        <v>647</v>
      </c>
    </row>
    <row r="419" spans="1:6" x14ac:dyDescent="0.3">
      <c r="A419" s="3" t="s">
        <v>338</v>
      </c>
      <c r="B419" s="3" t="s">
        <v>86</v>
      </c>
      <c r="C419" s="3" t="str">
        <f t="shared" si="6"/>
        <v>4500137012120</v>
      </c>
      <c r="D419" s="4">
        <v>46269</v>
      </c>
      <c r="E419" s="3" t="s">
        <v>604</v>
      </c>
      <c r="F419" s="3" t="s">
        <v>647</v>
      </c>
    </row>
    <row r="420" spans="1:6" x14ac:dyDescent="0.3">
      <c r="A420" s="3" t="s">
        <v>337</v>
      </c>
      <c r="B420" s="3" t="s">
        <v>32</v>
      </c>
      <c r="C420" s="3" t="str">
        <f t="shared" si="6"/>
        <v>450013701610</v>
      </c>
      <c r="D420" s="4">
        <v>46286</v>
      </c>
      <c r="E420" s="3" t="s">
        <v>604</v>
      </c>
      <c r="F420" s="3" t="s">
        <v>647</v>
      </c>
    </row>
    <row r="421" spans="1:6" x14ac:dyDescent="0.3">
      <c r="A421" s="3" t="s">
        <v>337</v>
      </c>
      <c r="B421" s="3" t="s">
        <v>28</v>
      </c>
      <c r="C421" s="3" t="str">
        <f t="shared" si="6"/>
        <v>450013701620</v>
      </c>
      <c r="D421" s="4">
        <v>46286</v>
      </c>
      <c r="E421" s="3" t="s">
        <v>604</v>
      </c>
      <c r="F421" s="3" t="s">
        <v>647</v>
      </c>
    </row>
    <row r="422" spans="1:6" x14ac:dyDescent="0.3">
      <c r="A422" s="3" t="s">
        <v>337</v>
      </c>
      <c r="B422" s="3" t="s">
        <v>54</v>
      </c>
      <c r="C422" s="3" t="str">
        <f t="shared" si="6"/>
        <v>450013701630</v>
      </c>
      <c r="D422" s="4">
        <v>46286</v>
      </c>
      <c r="E422" s="3" t="s">
        <v>604</v>
      </c>
      <c r="F422" s="3" t="s">
        <v>647</v>
      </c>
    </row>
    <row r="423" spans="1:6" x14ac:dyDescent="0.3">
      <c r="A423" s="3" t="s">
        <v>78</v>
      </c>
      <c r="B423" s="3" t="s">
        <v>32</v>
      </c>
      <c r="C423" s="3" t="str">
        <f t="shared" si="6"/>
        <v>450013702910</v>
      </c>
      <c r="D423" s="4">
        <v>46268</v>
      </c>
      <c r="E423" s="3" t="s">
        <v>597</v>
      </c>
      <c r="F423" s="3" t="s">
        <v>673</v>
      </c>
    </row>
    <row r="424" spans="1:6" x14ac:dyDescent="0.3">
      <c r="A424" s="3" t="s">
        <v>420</v>
      </c>
      <c r="B424" s="3" t="s">
        <v>32</v>
      </c>
      <c r="C424" s="3" t="str">
        <f t="shared" si="6"/>
        <v>450013704510</v>
      </c>
      <c r="D424" s="4">
        <v>46269</v>
      </c>
      <c r="E424" s="3" t="s">
        <v>597</v>
      </c>
      <c r="F424" s="3" t="s">
        <v>600</v>
      </c>
    </row>
    <row r="425" spans="1:6" x14ac:dyDescent="0.3">
      <c r="A425" s="3" t="s">
        <v>89</v>
      </c>
      <c r="B425" s="3" t="s">
        <v>32</v>
      </c>
      <c r="C425" s="3" t="str">
        <f t="shared" si="6"/>
        <v>450013710110</v>
      </c>
      <c r="D425" s="4">
        <v>46290</v>
      </c>
      <c r="E425" s="3" t="s">
        <v>592</v>
      </c>
      <c r="F425" s="3" t="s">
        <v>593</v>
      </c>
    </row>
    <row r="426" spans="1:6" x14ac:dyDescent="0.3">
      <c r="A426" s="3" t="s">
        <v>326</v>
      </c>
      <c r="B426" s="3" t="s">
        <v>32</v>
      </c>
      <c r="C426" s="3" t="str">
        <f t="shared" si="6"/>
        <v>450013711910</v>
      </c>
      <c r="D426" s="4">
        <v>46289</v>
      </c>
      <c r="E426" s="3" t="s">
        <v>611</v>
      </c>
      <c r="F426" s="3" t="s">
        <v>624</v>
      </c>
    </row>
    <row r="427" spans="1:6" x14ac:dyDescent="0.3">
      <c r="A427" s="3" t="s">
        <v>104</v>
      </c>
      <c r="B427" s="3" t="s">
        <v>32</v>
      </c>
      <c r="C427" s="3" t="str">
        <f t="shared" si="6"/>
        <v>450013713110</v>
      </c>
      <c r="D427" s="4">
        <v>46290</v>
      </c>
      <c r="E427" s="3" t="s">
        <v>611</v>
      </c>
      <c r="F427" s="3" t="s">
        <v>674</v>
      </c>
    </row>
    <row r="428" spans="1:6" x14ac:dyDescent="0.3">
      <c r="A428" s="3" t="s">
        <v>102</v>
      </c>
      <c r="B428" s="3" t="s">
        <v>32</v>
      </c>
      <c r="C428" s="3" t="str">
        <f t="shared" si="6"/>
        <v>450013714710</v>
      </c>
      <c r="D428" s="4">
        <v>46280</v>
      </c>
      <c r="E428" s="3" t="s">
        <v>595</v>
      </c>
      <c r="F428" s="3" t="s">
        <v>675</v>
      </c>
    </row>
    <row r="429" spans="1:6" x14ac:dyDescent="0.3">
      <c r="A429" s="3" t="s">
        <v>121</v>
      </c>
      <c r="B429" s="3" t="s">
        <v>32</v>
      </c>
      <c r="C429" s="3" t="str">
        <f t="shared" si="6"/>
        <v>450013718810</v>
      </c>
      <c r="D429" s="4">
        <v>46274</v>
      </c>
      <c r="E429" s="3" t="s">
        <v>595</v>
      </c>
      <c r="F429" s="3" t="s">
        <v>676</v>
      </c>
    </row>
    <row r="430" spans="1:6" x14ac:dyDescent="0.3">
      <c r="A430" s="3" t="s">
        <v>121</v>
      </c>
      <c r="B430" s="3" t="s">
        <v>28</v>
      </c>
      <c r="C430" s="3" t="str">
        <f t="shared" si="6"/>
        <v>450013718820</v>
      </c>
      <c r="D430" s="4">
        <v>46274</v>
      </c>
      <c r="E430" s="3" t="s">
        <v>595</v>
      </c>
      <c r="F430" s="3" t="s">
        <v>676</v>
      </c>
    </row>
    <row r="431" spans="1:6" x14ac:dyDescent="0.3">
      <c r="A431" s="3" t="s">
        <v>121</v>
      </c>
      <c r="B431" s="3" t="s">
        <v>54</v>
      </c>
      <c r="C431" s="3" t="str">
        <f t="shared" si="6"/>
        <v>450013718830</v>
      </c>
      <c r="D431" s="4">
        <v>46274</v>
      </c>
      <c r="E431" s="3" t="s">
        <v>595</v>
      </c>
      <c r="F431" s="3" t="s">
        <v>676</v>
      </c>
    </row>
    <row r="432" spans="1:6" x14ac:dyDescent="0.3">
      <c r="A432" s="3" t="s">
        <v>121</v>
      </c>
      <c r="B432" s="3" t="s">
        <v>23</v>
      </c>
      <c r="C432" s="3" t="str">
        <f t="shared" si="6"/>
        <v>450013718840</v>
      </c>
      <c r="D432" s="4">
        <v>46274</v>
      </c>
      <c r="E432" s="3" t="s">
        <v>595</v>
      </c>
      <c r="F432" s="3" t="s">
        <v>676</v>
      </c>
    </row>
    <row r="433" spans="1:6" x14ac:dyDescent="0.3">
      <c r="A433" s="3" t="s">
        <v>71</v>
      </c>
      <c r="B433" s="3" t="s">
        <v>32</v>
      </c>
      <c r="C433" s="3" t="str">
        <f t="shared" si="6"/>
        <v>450013737210</v>
      </c>
      <c r="D433" s="4">
        <v>46269</v>
      </c>
      <c r="E433" s="3" t="s">
        <v>597</v>
      </c>
      <c r="F433" s="3" t="s">
        <v>677</v>
      </c>
    </row>
    <row r="434" spans="1:6" x14ac:dyDescent="0.3">
      <c r="A434" s="3" t="s">
        <v>411</v>
      </c>
      <c r="B434" s="3" t="s">
        <v>32</v>
      </c>
      <c r="C434" s="3" t="str">
        <f t="shared" si="6"/>
        <v>450013746110</v>
      </c>
      <c r="D434" s="4">
        <v>46272</v>
      </c>
      <c r="E434" s="3" t="s">
        <v>597</v>
      </c>
      <c r="F434" s="3" t="s">
        <v>678</v>
      </c>
    </row>
    <row r="435" spans="1:6" x14ac:dyDescent="0.3">
      <c r="A435" s="3" t="s">
        <v>53</v>
      </c>
      <c r="B435" s="3" t="s">
        <v>32</v>
      </c>
      <c r="C435" s="3" t="str">
        <f t="shared" si="6"/>
        <v>450013756410</v>
      </c>
      <c r="D435" s="4">
        <v>46290</v>
      </c>
      <c r="E435" s="3" t="s">
        <v>599</v>
      </c>
      <c r="F435" s="3" t="s">
        <v>679</v>
      </c>
    </row>
    <row r="436" spans="1:6" x14ac:dyDescent="0.3">
      <c r="A436" s="3" t="s">
        <v>53</v>
      </c>
      <c r="B436" s="3" t="s">
        <v>28</v>
      </c>
      <c r="C436" s="3" t="str">
        <f t="shared" si="6"/>
        <v>450013756420</v>
      </c>
      <c r="D436" s="4">
        <v>46290</v>
      </c>
      <c r="E436" s="3" t="s">
        <v>599</v>
      </c>
      <c r="F436" s="3" t="s">
        <v>679</v>
      </c>
    </row>
    <row r="437" spans="1:6" x14ac:dyDescent="0.3">
      <c r="A437" s="3" t="s">
        <v>53</v>
      </c>
      <c r="B437" s="3" t="s">
        <v>54</v>
      </c>
      <c r="C437" s="3" t="str">
        <f t="shared" si="6"/>
        <v>450013756430</v>
      </c>
      <c r="D437" s="4">
        <v>46290</v>
      </c>
      <c r="E437" s="3" t="s">
        <v>599</v>
      </c>
      <c r="F437" s="3" t="s">
        <v>679</v>
      </c>
    </row>
    <row r="438" spans="1:6" x14ac:dyDescent="0.3">
      <c r="A438" s="3" t="s">
        <v>53</v>
      </c>
      <c r="B438" s="3" t="s">
        <v>23</v>
      </c>
      <c r="C438" s="3" t="str">
        <f t="shared" si="6"/>
        <v>450013756440</v>
      </c>
      <c r="D438" s="4">
        <v>46290</v>
      </c>
      <c r="E438" s="3" t="s">
        <v>599</v>
      </c>
      <c r="F438" s="3" t="s">
        <v>679</v>
      </c>
    </row>
    <row r="439" spans="1:6" x14ac:dyDescent="0.3">
      <c r="A439" s="3" t="s">
        <v>53</v>
      </c>
      <c r="B439" s="3" t="s">
        <v>55</v>
      </c>
      <c r="C439" s="3" t="str">
        <f t="shared" si="6"/>
        <v>450013756450</v>
      </c>
      <c r="D439" s="4">
        <v>46290</v>
      </c>
      <c r="E439" s="3" t="s">
        <v>599</v>
      </c>
      <c r="F439" s="3" t="s">
        <v>679</v>
      </c>
    </row>
    <row r="440" spans="1:6" x14ac:dyDescent="0.3">
      <c r="A440" s="3" t="s">
        <v>124</v>
      </c>
      <c r="B440" s="3" t="s">
        <v>32</v>
      </c>
      <c r="C440" s="3" t="str">
        <f t="shared" si="6"/>
        <v>450013756810</v>
      </c>
      <c r="D440" s="4">
        <v>46294</v>
      </c>
      <c r="E440" s="3" t="s">
        <v>592</v>
      </c>
      <c r="F440" s="3" t="s">
        <v>680</v>
      </c>
    </row>
    <row r="441" spans="1:6" x14ac:dyDescent="0.3">
      <c r="A441" s="3" t="s">
        <v>124</v>
      </c>
      <c r="B441" s="3" t="s">
        <v>28</v>
      </c>
      <c r="C441" s="3" t="str">
        <f t="shared" si="6"/>
        <v>450013756820</v>
      </c>
      <c r="D441" s="4">
        <v>46294</v>
      </c>
      <c r="E441" s="3" t="s">
        <v>592</v>
      </c>
      <c r="F441" s="3" t="s">
        <v>680</v>
      </c>
    </row>
    <row r="442" spans="1:6" x14ac:dyDescent="0.3">
      <c r="A442" s="3" t="s">
        <v>124</v>
      </c>
      <c r="B442" s="3" t="s">
        <v>54</v>
      </c>
      <c r="C442" s="3" t="str">
        <f t="shared" si="6"/>
        <v>450013756830</v>
      </c>
      <c r="D442" s="4">
        <v>46294</v>
      </c>
      <c r="E442" s="3" t="s">
        <v>592</v>
      </c>
      <c r="F442" s="3" t="s">
        <v>680</v>
      </c>
    </row>
    <row r="443" spans="1:6" x14ac:dyDescent="0.3">
      <c r="A443" s="3" t="s">
        <v>124</v>
      </c>
      <c r="B443" s="3" t="s">
        <v>23</v>
      </c>
      <c r="C443" s="3" t="str">
        <f t="shared" si="6"/>
        <v>450013756840</v>
      </c>
      <c r="D443" s="4">
        <v>46294</v>
      </c>
      <c r="E443" s="3" t="s">
        <v>592</v>
      </c>
      <c r="F443" s="3" t="s">
        <v>680</v>
      </c>
    </row>
    <row r="444" spans="1:6" x14ac:dyDescent="0.3">
      <c r="A444" s="3" t="s">
        <v>124</v>
      </c>
      <c r="B444" s="3" t="s">
        <v>55</v>
      </c>
      <c r="C444" s="3" t="str">
        <f t="shared" si="6"/>
        <v>450013756850</v>
      </c>
      <c r="D444" s="4">
        <v>46294</v>
      </c>
      <c r="E444" s="3" t="s">
        <v>592</v>
      </c>
      <c r="F444" s="3" t="s">
        <v>680</v>
      </c>
    </row>
    <row r="445" spans="1:6" x14ac:dyDescent="0.3">
      <c r="A445" s="3" t="s">
        <v>124</v>
      </c>
      <c r="B445" s="3" t="s">
        <v>80</v>
      </c>
      <c r="C445" s="3" t="str">
        <f t="shared" si="6"/>
        <v>450013756860</v>
      </c>
      <c r="D445" s="4">
        <v>46294</v>
      </c>
      <c r="E445" s="3" t="s">
        <v>592</v>
      </c>
      <c r="F445" s="3" t="s">
        <v>680</v>
      </c>
    </row>
    <row r="446" spans="1:6" x14ac:dyDescent="0.3">
      <c r="A446" s="3" t="s">
        <v>124</v>
      </c>
      <c r="B446" s="3" t="s">
        <v>81</v>
      </c>
      <c r="C446" s="3" t="str">
        <f t="shared" si="6"/>
        <v>450013756870</v>
      </c>
      <c r="D446" s="4">
        <v>46294</v>
      </c>
      <c r="E446" s="3" t="s">
        <v>592</v>
      </c>
      <c r="F446" s="3" t="s">
        <v>680</v>
      </c>
    </row>
    <row r="447" spans="1:6" x14ac:dyDescent="0.3">
      <c r="A447" s="3" t="s">
        <v>124</v>
      </c>
      <c r="B447" s="3" t="s">
        <v>82</v>
      </c>
      <c r="C447" s="3" t="str">
        <f t="shared" si="6"/>
        <v>450013756880</v>
      </c>
      <c r="D447" s="4">
        <v>46294</v>
      </c>
      <c r="E447" s="3" t="s">
        <v>592</v>
      </c>
      <c r="F447" s="3" t="s">
        <v>680</v>
      </c>
    </row>
    <row r="448" spans="1:6" x14ac:dyDescent="0.3">
      <c r="A448" s="3" t="s">
        <v>124</v>
      </c>
      <c r="B448" s="3" t="s">
        <v>83</v>
      </c>
      <c r="C448" s="3" t="str">
        <f t="shared" si="6"/>
        <v>450013756890</v>
      </c>
      <c r="D448" s="4">
        <v>46294</v>
      </c>
      <c r="E448" s="3" t="s">
        <v>592</v>
      </c>
      <c r="F448" s="3" t="s">
        <v>680</v>
      </c>
    </row>
    <row r="449" spans="1:6" x14ac:dyDescent="0.3">
      <c r="A449" s="3" t="s">
        <v>124</v>
      </c>
      <c r="B449" s="3" t="s">
        <v>84</v>
      </c>
      <c r="C449" s="3" t="str">
        <f t="shared" si="6"/>
        <v>4500137568100</v>
      </c>
      <c r="D449" s="4">
        <v>46294</v>
      </c>
      <c r="E449" s="3" t="s">
        <v>592</v>
      </c>
      <c r="F449" s="3" t="s">
        <v>680</v>
      </c>
    </row>
    <row r="450" spans="1:6" x14ac:dyDescent="0.3">
      <c r="A450" s="3" t="s">
        <v>124</v>
      </c>
      <c r="B450" s="3" t="s">
        <v>85</v>
      </c>
      <c r="C450" s="3" t="str">
        <f t="shared" si="6"/>
        <v>4500137568110</v>
      </c>
      <c r="D450" s="4">
        <v>46294</v>
      </c>
      <c r="E450" s="3" t="s">
        <v>592</v>
      </c>
      <c r="F450" s="3" t="s">
        <v>680</v>
      </c>
    </row>
    <row r="451" spans="1:6" x14ac:dyDescent="0.3">
      <c r="A451" s="3" t="s">
        <v>124</v>
      </c>
      <c r="B451" s="3" t="s">
        <v>86</v>
      </c>
      <c r="C451" s="3" t="str">
        <f t="shared" ref="C451:C514" si="7">_xlfn.CONCAT(A451:B451)</f>
        <v>4500137568120</v>
      </c>
      <c r="D451" s="4">
        <v>46294</v>
      </c>
      <c r="E451" s="3" t="s">
        <v>592</v>
      </c>
      <c r="F451" s="3" t="s">
        <v>680</v>
      </c>
    </row>
    <row r="452" spans="1:6" x14ac:dyDescent="0.3">
      <c r="A452" s="3" t="s">
        <v>124</v>
      </c>
      <c r="B452" s="3" t="s">
        <v>65</v>
      </c>
      <c r="C452" s="3" t="str">
        <f t="shared" si="7"/>
        <v>4500137568130</v>
      </c>
      <c r="D452" s="4">
        <v>46294</v>
      </c>
      <c r="E452" s="3" t="s">
        <v>592</v>
      </c>
      <c r="F452" s="3" t="s">
        <v>680</v>
      </c>
    </row>
    <row r="453" spans="1:6" x14ac:dyDescent="0.3">
      <c r="A453" s="3" t="s">
        <v>124</v>
      </c>
      <c r="B453" s="3" t="s">
        <v>66</v>
      </c>
      <c r="C453" s="3" t="str">
        <f t="shared" si="7"/>
        <v>4500137568140</v>
      </c>
      <c r="D453" s="4">
        <v>46294</v>
      </c>
      <c r="E453" s="3" t="s">
        <v>592</v>
      </c>
      <c r="F453" s="3" t="s">
        <v>680</v>
      </c>
    </row>
    <row r="454" spans="1:6" x14ac:dyDescent="0.3">
      <c r="A454" s="3" t="s">
        <v>124</v>
      </c>
      <c r="B454" s="3" t="s">
        <v>87</v>
      </c>
      <c r="C454" s="3" t="str">
        <f t="shared" si="7"/>
        <v>4500137568150</v>
      </c>
      <c r="D454" s="4">
        <v>46294</v>
      </c>
      <c r="E454" s="3" t="s">
        <v>592</v>
      </c>
      <c r="F454" s="3" t="s">
        <v>680</v>
      </c>
    </row>
    <row r="455" spans="1:6" x14ac:dyDescent="0.3">
      <c r="A455" s="3" t="s">
        <v>124</v>
      </c>
      <c r="B455" s="3" t="s">
        <v>88</v>
      </c>
      <c r="C455" s="3" t="str">
        <f t="shared" si="7"/>
        <v>4500137568160</v>
      </c>
      <c r="D455" s="4">
        <v>46294</v>
      </c>
      <c r="E455" s="3" t="s">
        <v>592</v>
      </c>
      <c r="F455" s="3" t="s">
        <v>680</v>
      </c>
    </row>
    <row r="456" spans="1:6" x14ac:dyDescent="0.3">
      <c r="A456" s="3" t="s">
        <v>124</v>
      </c>
      <c r="B456" s="3" t="s">
        <v>67</v>
      </c>
      <c r="C456" s="3" t="str">
        <f t="shared" si="7"/>
        <v>4500137568170</v>
      </c>
      <c r="D456" s="4">
        <v>46294</v>
      </c>
      <c r="E456" s="3" t="s">
        <v>592</v>
      </c>
      <c r="F456" s="3" t="s">
        <v>680</v>
      </c>
    </row>
    <row r="457" spans="1:6" x14ac:dyDescent="0.3">
      <c r="A457" s="3" t="s">
        <v>124</v>
      </c>
      <c r="B457" s="3" t="s">
        <v>125</v>
      </c>
      <c r="C457" s="3" t="str">
        <f t="shared" si="7"/>
        <v>4500137568180</v>
      </c>
      <c r="D457" s="4">
        <v>46294</v>
      </c>
      <c r="E457" s="3" t="s">
        <v>592</v>
      </c>
      <c r="F457" s="3" t="s">
        <v>680</v>
      </c>
    </row>
    <row r="458" spans="1:6" x14ac:dyDescent="0.3">
      <c r="A458" s="3" t="s">
        <v>124</v>
      </c>
      <c r="B458" s="3" t="s">
        <v>91</v>
      </c>
      <c r="C458" s="3" t="str">
        <f t="shared" si="7"/>
        <v>4500137568190</v>
      </c>
      <c r="D458" s="4">
        <v>46294</v>
      </c>
      <c r="E458" s="3" t="s">
        <v>592</v>
      </c>
      <c r="F458" s="3" t="s">
        <v>680</v>
      </c>
    </row>
    <row r="459" spans="1:6" x14ac:dyDescent="0.3">
      <c r="A459" s="3" t="s">
        <v>124</v>
      </c>
      <c r="B459" s="3" t="s">
        <v>92</v>
      </c>
      <c r="C459" s="3" t="str">
        <f t="shared" si="7"/>
        <v>4500137568200</v>
      </c>
      <c r="D459" s="4">
        <v>46294</v>
      </c>
      <c r="E459" s="3" t="s">
        <v>592</v>
      </c>
      <c r="F459" s="3" t="s">
        <v>680</v>
      </c>
    </row>
    <row r="460" spans="1:6" x14ac:dyDescent="0.3">
      <c r="A460" s="3" t="s">
        <v>124</v>
      </c>
      <c r="B460" s="3" t="s">
        <v>43</v>
      </c>
      <c r="C460" s="3" t="str">
        <f t="shared" si="7"/>
        <v>4500137568210</v>
      </c>
      <c r="D460" s="4">
        <v>46294</v>
      </c>
      <c r="E460" s="3" t="s">
        <v>592</v>
      </c>
      <c r="F460" s="3" t="s">
        <v>680</v>
      </c>
    </row>
    <row r="461" spans="1:6" x14ac:dyDescent="0.3">
      <c r="A461" s="3" t="s">
        <v>124</v>
      </c>
      <c r="B461" s="3" t="s">
        <v>44</v>
      </c>
      <c r="C461" s="3" t="str">
        <f t="shared" si="7"/>
        <v>4500137568220</v>
      </c>
      <c r="D461" s="4">
        <v>46294</v>
      </c>
      <c r="E461" s="3" t="s">
        <v>592</v>
      </c>
      <c r="F461" s="3" t="s">
        <v>680</v>
      </c>
    </row>
    <row r="462" spans="1:6" x14ac:dyDescent="0.3">
      <c r="A462" s="3" t="s">
        <v>124</v>
      </c>
      <c r="B462" s="3" t="s">
        <v>126</v>
      </c>
      <c r="C462" s="3" t="str">
        <f t="shared" si="7"/>
        <v>4500137568230</v>
      </c>
      <c r="D462" s="4">
        <v>46294</v>
      </c>
      <c r="E462" s="3" t="s">
        <v>592</v>
      </c>
      <c r="F462" s="3" t="s">
        <v>680</v>
      </c>
    </row>
    <row r="463" spans="1:6" x14ac:dyDescent="0.3">
      <c r="A463" s="3" t="s">
        <v>124</v>
      </c>
      <c r="B463" s="3" t="s">
        <v>127</v>
      </c>
      <c r="C463" s="3" t="str">
        <f t="shared" si="7"/>
        <v>4500137568240</v>
      </c>
      <c r="D463" s="4">
        <v>46294</v>
      </c>
      <c r="E463" s="3" t="s">
        <v>592</v>
      </c>
      <c r="F463" s="3" t="s">
        <v>680</v>
      </c>
    </row>
    <row r="464" spans="1:6" x14ac:dyDescent="0.3">
      <c r="A464" s="3" t="s">
        <v>124</v>
      </c>
      <c r="B464" s="3" t="s">
        <v>128</v>
      </c>
      <c r="C464" s="3" t="str">
        <f t="shared" si="7"/>
        <v>4500137568250</v>
      </c>
      <c r="D464" s="4">
        <v>46294</v>
      </c>
      <c r="E464" s="3" t="s">
        <v>592</v>
      </c>
      <c r="F464" s="3" t="s">
        <v>680</v>
      </c>
    </row>
    <row r="465" spans="1:6" x14ac:dyDescent="0.3">
      <c r="A465" s="3" t="s">
        <v>124</v>
      </c>
      <c r="B465" s="3" t="s">
        <v>129</v>
      </c>
      <c r="C465" s="3" t="str">
        <f t="shared" si="7"/>
        <v>4500137568260</v>
      </c>
      <c r="D465" s="4">
        <v>46294</v>
      </c>
      <c r="E465" s="3" t="s">
        <v>592</v>
      </c>
      <c r="F465" s="3" t="s">
        <v>680</v>
      </c>
    </row>
    <row r="466" spans="1:6" x14ac:dyDescent="0.3">
      <c r="A466" s="3" t="s">
        <v>124</v>
      </c>
      <c r="B466" s="3" t="s">
        <v>130</v>
      </c>
      <c r="C466" s="3" t="str">
        <f t="shared" si="7"/>
        <v>4500137568270</v>
      </c>
      <c r="D466" s="4">
        <v>46294</v>
      </c>
      <c r="E466" s="3" t="s">
        <v>592</v>
      </c>
      <c r="F466" s="3" t="s">
        <v>680</v>
      </c>
    </row>
    <row r="467" spans="1:6" x14ac:dyDescent="0.3">
      <c r="A467" s="3" t="s">
        <v>124</v>
      </c>
      <c r="B467" s="3" t="s">
        <v>131</v>
      </c>
      <c r="C467" s="3" t="str">
        <f t="shared" si="7"/>
        <v>4500137568280</v>
      </c>
      <c r="D467" s="4">
        <v>46294</v>
      </c>
      <c r="E467" s="3" t="s">
        <v>592</v>
      </c>
      <c r="F467" s="3" t="s">
        <v>680</v>
      </c>
    </row>
    <row r="468" spans="1:6" x14ac:dyDescent="0.3">
      <c r="A468" s="3" t="s">
        <v>124</v>
      </c>
      <c r="B468" s="3" t="s">
        <v>132</v>
      </c>
      <c r="C468" s="3" t="str">
        <f t="shared" si="7"/>
        <v>4500137568290</v>
      </c>
      <c r="D468" s="4">
        <v>46294</v>
      </c>
      <c r="E468" s="3" t="s">
        <v>592</v>
      </c>
      <c r="F468" s="3" t="s">
        <v>680</v>
      </c>
    </row>
    <row r="469" spans="1:6" x14ac:dyDescent="0.3">
      <c r="A469" s="3" t="s">
        <v>124</v>
      </c>
      <c r="B469" s="3" t="s">
        <v>133</v>
      </c>
      <c r="C469" s="3" t="str">
        <f t="shared" si="7"/>
        <v>4500137568300</v>
      </c>
      <c r="D469" s="4">
        <v>46294</v>
      </c>
      <c r="E469" s="3" t="s">
        <v>592</v>
      </c>
      <c r="F469" s="3" t="s">
        <v>680</v>
      </c>
    </row>
    <row r="470" spans="1:6" x14ac:dyDescent="0.3">
      <c r="A470" s="3" t="s">
        <v>124</v>
      </c>
      <c r="B470" s="3" t="s">
        <v>134</v>
      </c>
      <c r="C470" s="3" t="str">
        <f t="shared" si="7"/>
        <v>4500137568310</v>
      </c>
      <c r="D470" s="4">
        <v>46294</v>
      </c>
      <c r="E470" s="3" t="s">
        <v>592</v>
      </c>
      <c r="F470" s="3" t="s">
        <v>680</v>
      </c>
    </row>
    <row r="471" spans="1:6" x14ac:dyDescent="0.3">
      <c r="A471" s="3" t="s">
        <v>124</v>
      </c>
      <c r="B471" s="3" t="s">
        <v>135</v>
      </c>
      <c r="C471" s="3" t="str">
        <f t="shared" si="7"/>
        <v>4500137568320</v>
      </c>
      <c r="D471" s="4">
        <v>46294</v>
      </c>
      <c r="E471" s="3" t="s">
        <v>592</v>
      </c>
      <c r="F471" s="3" t="s">
        <v>680</v>
      </c>
    </row>
    <row r="472" spans="1:6" x14ac:dyDescent="0.3">
      <c r="A472" s="3" t="s">
        <v>103</v>
      </c>
      <c r="B472" s="3" t="s">
        <v>32</v>
      </c>
      <c r="C472" s="3" t="str">
        <f t="shared" si="7"/>
        <v>450013759910</v>
      </c>
      <c r="D472" s="4">
        <v>46295</v>
      </c>
      <c r="E472" s="3" t="s">
        <v>595</v>
      </c>
      <c r="F472" s="3" t="s">
        <v>681</v>
      </c>
    </row>
    <row r="473" spans="1:6" x14ac:dyDescent="0.3">
      <c r="A473" s="3" t="s">
        <v>74</v>
      </c>
      <c r="B473" s="3" t="s">
        <v>32</v>
      </c>
      <c r="C473" s="3" t="str">
        <f t="shared" si="7"/>
        <v>450013765510</v>
      </c>
      <c r="D473" s="4">
        <v>46290</v>
      </c>
      <c r="E473" s="3" t="s">
        <v>592</v>
      </c>
      <c r="F473" s="3" t="s">
        <v>593</v>
      </c>
    </row>
    <row r="474" spans="1:6" x14ac:dyDescent="0.3">
      <c r="A474" s="3" t="s">
        <v>74</v>
      </c>
      <c r="B474" s="3" t="s">
        <v>28</v>
      </c>
      <c r="C474" s="3" t="str">
        <f t="shared" si="7"/>
        <v>450013765520</v>
      </c>
      <c r="D474" s="4">
        <v>46290</v>
      </c>
      <c r="E474" s="3" t="s">
        <v>592</v>
      </c>
      <c r="F474" s="3" t="s">
        <v>593</v>
      </c>
    </row>
    <row r="475" spans="1:6" x14ac:dyDescent="0.3">
      <c r="A475" s="3" t="s">
        <v>368</v>
      </c>
      <c r="B475" s="3" t="s">
        <v>32</v>
      </c>
      <c r="C475" s="3" t="str">
        <f t="shared" si="7"/>
        <v>450013772310</v>
      </c>
      <c r="D475" s="4">
        <v>46280</v>
      </c>
      <c r="E475" s="3" t="s">
        <v>595</v>
      </c>
      <c r="F475" s="3" t="s">
        <v>675</v>
      </c>
    </row>
    <row r="476" spans="1:6" x14ac:dyDescent="0.3">
      <c r="A476" s="3" t="s">
        <v>368</v>
      </c>
      <c r="B476" s="3" t="s">
        <v>28</v>
      </c>
      <c r="C476" s="3" t="str">
        <f t="shared" si="7"/>
        <v>450013772320</v>
      </c>
      <c r="D476" s="4">
        <v>46280</v>
      </c>
      <c r="E476" s="3" t="s">
        <v>595</v>
      </c>
      <c r="F476" s="3" t="s">
        <v>675</v>
      </c>
    </row>
    <row r="477" spans="1:6" x14ac:dyDescent="0.3">
      <c r="A477" s="3" t="s">
        <v>368</v>
      </c>
      <c r="B477" s="3" t="s">
        <v>54</v>
      </c>
      <c r="C477" s="3" t="str">
        <f t="shared" si="7"/>
        <v>450013772330</v>
      </c>
      <c r="D477" s="4">
        <v>46280</v>
      </c>
      <c r="E477" s="3" t="s">
        <v>595</v>
      </c>
      <c r="F477" s="3" t="s">
        <v>675</v>
      </c>
    </row>
    <row r="478" spans="1:6" x14ac:dyDescent="0.3">
      <c r="A478" s="3" t="s">
        <v>368</v>
      </c>
      <c r="B478" s="3" t="s">
        <v>23</v>
      </c>
      <c r="C478" s="3" t="str">
        <f t="shared" si="7"/>
        <v>450013772340</v>
      </c>
      <c r="D478" s="4">
        <v>46280</v>
      </c>
      <c r="E478" s="3" t="s">
        <v>595</v>
      </c>
      <c r="F478" s="3" t="s">
        <v>675</v>
      </c>
    </row>
    <row r="479" spans="1:6" x14ac:dyDescent="0.3">
      <c r="A479" s="3" t="s">
        <v>370</v>
      </c>
      <c r="B479" s="3" t="s">
        <v>32</v>
      </c>
      <c r="C479" s="3" t="str">
        <f t="shared" si="7"/>
        <v>450013772910</v>
      </c>
      <c r="D479" s="4">
        <v>46298</v>
      </c>
      <c r="E479" s="3" t="s">
        <v>595</v>
      </c>
      <c r="F479" s="3" t="s">
        <v>675</v>
      </c>
    </row>
    <row r="480" spans="1:6" x14ac:dyDescent="0.3">
      <c r="A480" s="3" t="s">
        <v>375</v>
      </c>
      <c r="B480" s="3" t="s">
        <v>32</v>
      </c>
      <c r="C480" s="3" t="str">
        <f t="shared" si="7"/>
        <v>450013778610</v>
      </c>
      <c r="D480" s="4">
        <v>46276</v>
      </c>
      <c r="E480" s="3" t="s">
        <v>597</v>
      </c>
      <c r="F480" s="3" t="s">
        <v>677</v>
      </c>
    </row>
    <row r="481" spans="1:6" x14ac:dyDescent="0.3">
      <c r="A481" s="3" t="s">
        <v>429</v>
      </c>
      <c r="B481" s="3" t="s">
        <v>32</v>
      </c>
      <c r="C481" s="3" t="str">
        <f t="shared" si="7"/>
        <v>450013779410</v>
      </c>
      <c r="D481" s="4">
        <v>46284</v>
      </c>
      <c r="E481" s="3" t="s">
        <v>597</v>
      </c>
      <c r="F481" s="3" t="s">
        <v>603</v>
      </c>
    </row>
    <row r="482" spans="1:6" x14ac:dyDescent="0.3">
      <c r="A482" s="3" t="s">
        <v>429</v>
      </c>
      <c r="B482" s="3" t="s">
        <v>28</v>
      </c>
      <c r="C482" s="3" t="str">
        <f t="shared" si="7"/>
        <v>450013779420</v>
      </c>
      <c r="D482" s="4">
        <v>46284</v>
      </c>
      <c r="E482" s="3" t="s">
        <v>597</v>
      </c>
      <c r="F482" s="3" t="s">
        <v>603</v>
      </c>
    </row>
    <row r="483" spans="1:6" x14ac:dyDescent="0.3">
      <c r="A483" s="3" t="s">
        <v>429</v>
      </c>
      <c r="B483" s="3" t="s">
        <v>54</v>
      </c>
      <c r="C483" s="3" t="str">
        <f t="shared" si="7"/>
        <v>450013779430</v>
      </c>
      <c r="D483" s="4">
        <v>46284</v>
      </c>
      <c r="E483" s="3" t="s">
        <v>597</v>
      </c>
      <c r="F483" s="3" t="s">
        <v>603</v>
      </c>
    </row>
    <row r="484" spans="1:6" x14ac:dyDescent="0.3">
      <c r="A484" s="3" t="s">
        <v>429</v>
      </c>
      <c r="B484" s="3" t="s">
        <v>23</v>
      </c>
      <c r="C484" s="3" t="str">
        <f t="shared" si="7"/>
        <v>450013779440</v>
      </c>
      <c r="D484" s="4">
        <v>46284</v>
      </c>
      <c r="E484" s="3" t="s">
        <v>597</v>
      </c>
      <c r="F484" s="3" t="s">
        <v>603</v>
      </c>
    </row>
    <row r="485" spans="1:6" x14ac:dyDescent="0.3">
      <c r="A485" s="3" t="s">
        <v>429</v>
      </c>
      <c r="B485" s="3" t="s">
        <v>55</v>
      </c>
      <c r="C485" s="3" t="str">
        <f t="shared" si="7"/>
        <v>450013779450</v>
      </c>
      <c r="D485" s="4">
        <v>46284</v>
      </c>
      <c r="E485" s="3" t="s">
        <v>597</v>
      </c>
      <c r="F485" s="3" t="s">
        <v>603</v>
      </c>
    </row>
    <row r="486" spans="1:6" x14ac:dyDescent="0.3">
      <c r="A486" s="3" t="s">
        <v>429</v>
      </c>
      <c r="B486" s="3" t="s">
        <v>80</v>
      </c>
      <c r="C486" s="3" t="str">
        <f t="shared" si="7"/>
        <v>450013779460</v>
      </c>
      <c r="D486" s="4">
        <v>46284</v>
      </c>
      <c r="E486" s="3" t="s">
        <v>597</v>
      </c>
      <c r="F486" s="3" t="s">
        <v>603</v>
      </c>
    </row>
    <row r="487" spans="1:6" x14ac:dyDescent="0.3">
      <c r="A487" s="3" t="s">
        <v>429</v>
      </c>
      <c r="B487" s="3" t="s">
        <v>81</v>
      </c>
      <c r="C487" s="3" t="str">
        <f t="shared" si="7"/>
        <v>450013779470</v>
      </c>
      <c r="D487" s="4">
        <v>46284</v>
      </c>
      <c r="E487" s="3" t="s">
        <v>597</v>
      </c>
      <c r="F487" s="3" t="s">
        <v>603</v>
      </c>
    </row>
    <row r="488" spans="1:6" x14ac:dyDescent="0.3">
      <c r="A488" s="3" t="s">
        <v>429</v>
      </c>
      <c r="B488" s="3" t="s">
        <v>84</v>
      </c>
      <c r="C488" s="3" t="str">
        <f t="shared" si="7"/>
        <v>4500137794100</v>
      </c>
      <c r="D488" s="4">
        <v>46284</v>
      </c>
      <c r="E488" s="3" t="s">
        <v>597</v>
      </c>
      <c r="F488" s="3" t="s">
        <v>603</v>
      </c>
    </row>
    <row r="489" spans="1:6" x14ac:dyDescent="0.3">
      <c r="A489" s="3" t="s">
        <v>429</v>
      </c>
      <c r="B489" s="3" t="s">
        <v>86</v>
      </c>
      <c r="C489" s="3" t="str">
        <f t="shared" si="7"/>
        <v>4500137794120</v>
      </c>
      <c r="D489" s="4">
        <v>46284</v>
      </c>
      <c r="E489" s="3" t="s">
        <v>597</v>
      </c>
      <c r="F489" s="3" t="s">
        <v>603</v>
      </c>
    </row>
    <row r="490" spans="1:6" x14ac:dyDescent="0.3">
      <c r="A490" s="3" t="s">
        <v>429</v>
      </c>
      <c r="B490" s="3" t="s">
        <v>65</v>
      </c>
      <c r="C490" s="3" t="str">
        <f t="shared" si="7"/>
        <v>4500137794130</v>
      </c>
      <c r="D490" s="4">
        <v>46284</v>
      </c>
      <c r="E490" s="3" t="s">
        <v>597</v>
      </c>
      <c r="F490" s="3" t="s">
        <v>603</v>
      </c>
    </row>
    <row r="491" spans="1:6" x14ac:dyDescent="0.3">
      <c r="A491" s="3" t="s">
        <v>429</v>
      </c>
      <c r="B491" s="3" t="s">
        <v>66</v>
      </c>
      <c r="C491" s="3" t="str">
        <f t="shared" si="7"/>
        <v>4500137794140</v>
      </c>
      <c r="D491" s="4">
        <v>46284</v>
      </c>
      <c r="E491" s="3" t="s">
        <v>597</v>
      </c>
      <c r="F491" s="3" t="s">
        <v>603</v>
      </c>
    </row>
    <row r="492" spans="1:6" x14ac:dyDescent="0.3">
      <c r="A492" s="3" t="s">
        <v>429</v>
      </c>
      <c r="B492" s="3" t="s">
        <v>87</v>
      </c>
      <c r="C492" s="3" t="str">
        <f t="shared" si="7"/>
        <v>4500137794150</v>
      </c>
      <c r="D492" s="4">
        <v>46284</v>
      </c>
      <c r="E492" s="3" t="s">
        <v>597</v>
      </c>
      <c r="F492" s="3" t="s">
        <v>603</v>
      </c>
    </row>
    <row r="493" spans="1:6" x14ac:dyDescent="0.3">
      <c r="A493" s="3" t="s">
        <v>429</v>
      </c>
      <c r="B493" s="3" t="s">
        <v>88</v>
      </c>
      <c r="C493" s="3" t="str">
        <f t="shared" si="7"/>
        <v>4500137794160</v>
      </c>
      <c r="D493" s="4">
        <v>46284</v>
      </c>
      <c r="E493" s="3" t="s">
        <v>597</v>
      </c>
      <c r="F493" s="3" t="s">
        <v>603</v>
      </c>
    </row>
    <row r="494" spans="1:6" x14ac:dyDescent="0.3">
      <c r="A494" s="3" t="s">
        <v>429</v>
      </c>
      <c r="B494" s="3" t="s">
        <v>67</v>
      </c>
      <c r="C494" s="3" t="str">
        <f t="shared" si="7"/>
        <v>4500137794170</v>
      </c>
      <c r="D494" s="4">
        <v>46284</v>
      </c>
      <c r="E494" s="3" t="s">
        <v>597</v>
      </c>
      <c r="F494" s="3" t="s">
        <v>603</v>
      </c>
    </row>
    <row r="495" spans="1:6" x14ac:dyDescent="0.3">
      <c r="A495" s="3" t="s">
        <v>429</v>
      </c>
      <c r="B495" s="3" t="s">
        <v>125</v>
      </c>
      <c r="C495" s="3" t="str">
        <f t="shared" si="7"/>
        <v>4500137794180</v>
      </c>
      <c r="D495" s="4">
        <v>46284</v>
      </c>
      <c r="E495" s="3" t="s">
        <v>597</v>
      </c>
      <c r="F495" s="3" t="s">
        <v>603</v>
      </c>
    </row>
    <row r="496" spans="1:6" x14ac:dyDescent="0.3">
      <c r="A496" s="3" t="s">
        <v>429</v>
      </c>
      <c r="B496" s="3" t="s">
        <v>91</v>
      </c>
      <c r="C496" s="3" t="str">
        <f t="shared" si="7"/>
        <v>4500137794190</v>
      </c>
      <c r="D496" s="4">
        <v>46284</v>
      </c>
      <c r="E496" s="3" t="s">
        <v>597</v>
      </c>
      <c r="F496" s="3" t="s">
        <v>603</v>
      </c>
    </row>
    <row r="497" spans="1:6" x14ac:dyDescent="0.3">
      <c r="A497" s="3" t="s">
        <v>429</v>
      </c>
      <c r="B497" s="3" t="s">
        <v>92</v>
      </c>
      <c r="C497" s="3" t="str">
        <f t="shared" si="7"/>
        <v>4500137794200</v>
      </c>
      <c r="D497" s="4">
        <v>46284</v>
      </c>
      <c r="E497" s="3" t="s">
        <v>597</v>
      </c>
      <c r="F497" s="3" t="s">
        <v>603</v>
      </c>
    </row>
    <row r="498" spans="1:6" x14ac:dyDescent="0.3">
      <c r="A498" s="3" t="s">
        <v>429</v>
      </c>
      <c r="B498" s="3" t="s">
        <v>43</v>
      </c>
      <c r="C498" s="3" t="str">
        <f t="shared" si="7"/>
        <v>4500137794210</v>
      </c>
      <c r="D498" s="4">
        <v>46284</v>
      </c>
      <c r="E498" s="3" t="s">
        <v>597</v>
      </c>
      <c r="F498" s="3" t="s">
        <v>603</v>
      </c>
    </row>
    <row r="499" spans="1:6" x14ac:dyDescent="0.3">
      <c r="A499" s="3" t="s">
        <v>429</v>
      </c>
      <c r="B499" s="3" t="s">
        <v>44</v>
      </c>
      <c r="C499" s="3" t="str">
        <f t="shared" si="7"/>
        <v>4500137794220</v>
      </c>
      <c r="D499" s="4">
        <v>46284</v>
      </c>
      <c r="E499" s="3" t="s">
        <v>597</v>
      </c>
      <c r="F499" s="3" t="s">
        <v>603</v>
      </c>
    </row>
    <row r="500" spans="1:6" x14ac:dyDescent="0.3">
      <c r="A500" s="3" t="s">
        <v>429</v>
      </c>
      <c r="B500" s="3" t="s">
        <v>126</v>
      </c>
      <c r="C500" s="3" t="str">
        <f t="shared" si="7"/>
        <v>4500137794230</v>
      </c>
      <c r="D500" s="4">
        <v>46284</v>
      </c>
      <c r="E500" s="3" t="s">
        <v>597</v>
      </c>
      <c r="F500" s="3" t="s">
        <v>603</v>
      </c>
    </row>
    <row r="501" spans="1:6" x14ac:dyDescent="0.3">
      <c r="A501" s="3" t="s">
        <v>429</v>
      </c>
      <c r="B501" s="3" t="s">
        <v>127</v>
      </c>
      <c r="C501" s="3" t="str">
        <f t="shared" si="7"/>
        <v>4500137794240</v>
      </c>
      <c r="D501" s="4">
        <v>46284</v>
      </c>
      <c r="E501" s="3" t="s">
        <v>597</v>
      </c>
      <c r="F501" s="3" t="s">
        <v>603</v>
      </c>
    </row>
    <row r="502" spans="1:6" x14ac:dyDescent="0.3">
      <c r="A502" s="3" t="s">
        <v>429</v>
      </c>
      <c r="B502" s="3" t="s">
        <v>128</v>
      </c>
      <c r="C502" s="3" t="str">
        <f t="shared" si="7"/>
        <v>4500137794250</v>
      </c>
      <c r="D502" s="4">
        <v>46284</v>
      </c>
      <c r="E502" s="3" t="s">
        <v>597</v>
      </c>
      <c r="F502" s="3" t="s">
        <v>603</v>
      </c>
    </row>
    <row r="503" spans="1:6" x14ac:dyDescent="0.3">
      <c r="A503" s="3" t="s">
        <v>429</v>
      </c>
      <c r="B503" s="3" t="s">
        <v>129</v>
      </c>
      <c r="C503" s="3" t="str">
        <f t="shared" si="7"/>
        <v>4500137794260</v>
      </c>
      <c r="D503" s="4">
        <v>46284</v>
      </c>
      <c r="E503" s="3" t="s">
        <v>597</v>
      </c>
      <c r="F503" s="3" t="s">
        <v>603</v>
      </c>
    </row>
    <row r="504" spans="1:6" x14ac:dyDescent="0.3">
      <c r="A504" s="3" t="s">
        <v>429</v>
      </c>
      <c r="B504" s="3" t="s">
        <v>130</v>
      </c>
      <c r="C504" s="3" t="str">
        <f t="shared" si="7"/>
        <v>4500137794270</v>
      </c>
      <c r="D504" s="4">
        <v>46284</v>
      </c>
      <c r="E504" s="3" t="s">
        <v>597</v>
      </c>
      <c r="F504" s="3" t="s">
        <v>603</v>
      </c>
    </row>
    <row r="505" spans="1:6" x14ac:dyDescent="0.3">
      <c r="A505" s="3" t="s">
        <v>429</v>
      </c>
      <c r="B505" s="3" t="s">
        <v>131</v>
      </c>
      <c r="C505" s="3" t="str">
        <f t="shared" si="7"/>
        <v>4500137794280</v>
      </c>
      <c r="D505" s="4">
        <v>46284</v>
      </c>
      <c r="E505" s="3" t="s">
        <v>597</v>
      </c>
      <c r="F505" s="3" t="s">
        <v>603</v>
      </c>
    </row>
    <row r="506" spans="1:6" x14ac:dyDescent="0.3">
      <c r="A506" s="3" t="s">
        <v>429</v>
      </c>
      <c r="B506" s="3" t="s">
        <v>133</v>
      </c>
      <c r="C506" s="3" t="str">
        <f t="shared" si="7"/>
        <v>4500137794300</v>
      </c>
      <c r="D506" s="4">
        <v>46284</v>
      </c>
      <c r="E506" s="3" t="s">
        <v>597</v>
      </c>
      <c r="F506" s="3" t="s">
        <v>603</v>
      </c>
    </row>
    <row r="507" spans="1:6" x14ac:dyDescent="0.3">
      <c r="A507" s="3" t="s">
        <v>429</v>
      </c>
      <c r="B507" s="3" t="s">
        <v>135</v>
      </c>
      <c r="C507" s="3" t="str">
        <f t="shared" si="7"/>
        <v>4500137794320</v>
      </c>
      <c r="D507" s="4">
        <v>46284</v>
      </c>
      <c r="E507" s="3" t="s">
        <v>597</v>
      </c>
      <c r="F507" s="3" t="s">
        <v>603</v>
      </c>
    </row>
    <row r="508" spans="1:6" x14ac:dyDescent="0.3">
      <c r="A508" s="3" t="s">
        <v>429</v>
      </c>
      <c r="B508" s="3" t="s">
        <v>430</v>
      </c>
      <c r="C508" s="3" t="str">
        <f t="shared" si="7"/>
        <v>4500137794330</v>
      </c>
      <c r="D508" s="4">
        <v>46284</v>
      </c>
      <c r="E508" s="3" t="s">
        <v>597</v>
      </c>
      <c r="F508" s="3" t="s">
        <v>603</v>
      </c>
    </row>
    <row r="509" spans="1:6" x14ac:dyDescent="0.3">
      <c r="A509" s="3" t="s">
        <v>357</v>
      </c>
      <c r="B509" s="3" t="s">
        <v>32</v>
      </c>
      <c r="C509" s="3" t="str">
        <f t="shared" si="7"/>
        <v>450013779710</v>
      </c>
      <c r="D509" s="4">
        <v>46286</v>
      </c>
      <c r="E509" s="3" t="s">
        <v>599</v>
      </c>
      <c r="F509" s="3" t="s">
        <v>600</v>
      </c>
    </row>
    <row r="510" spans="1:6" x14ac:dyDescent="0.3">
      <c r="A510" s="3" t="s">
        <v>357</v>
      </c>
      <c r="B510" s="3" t="s">
        <v>28</v>
      </c>
      <c r="C510" s="3" t="str">
        <f t="shared" si="7"/>
        <v>450013779720</v>
      </c>
      <c r="D510" s="4">
        <v>46286</v>
      </c>
      <c r="E510" s="3" t="s">
        <v>599</v>
      </c>
      <c r="F510" s="3" t="s">
        <v>600</v>
      </c>
    </row>
    <row r="511" spans="1:6" x14ac:dyDescent="0.3">
      <c r="A511" s="3" t="s">
        <v>357</v>
      </c>
      <c r="B511" s="3" t="s">
        <v>54</v>
      </c>
      <c r="C511" s="3" t="str">
        <f t="shared" si="7"/>
        <v>450013779730</v>
      </c>
      <c r="D511" s="4">
        <v>46286</v>
      </c>
      <c r="E511" s="3" t="s">
        <v>599</v>
      </c>
      <c r="F511" s="3" t="s">
        <v>600</v>
      </c>
    </row>
    <row r="512" spans="1:6" x14ac:dyDescent="0.3">
      <c r="A512" s="3" t="s">
        <v>469</v>
      </c>
      <c r="B512" s="3" t="s">
        <v>32</v>
      </c>
      <c r="C512" s="3" t="str">
        <f t="shared" si="7"/>
        <v>450013781410</v>
      </c>
      <c r="D512" s="4">
        <v>46277</v>
      </c>
      <c r="E512" s="3" t="s">
        <v>618</v>
      </c>
      <c r="F512" s="3" t="s">
        <v>682</v>
      </c>
    </row>
    <row r="513" spans="1:6" x14ac:dyDescent="0.3">
      <c r="A513" s="3" t="s">
        <v>423</v>
      </c>
      <c r="B513" s="3" t="s">
        <v>55</v>
      </c>
      <c r="C513" s="3" t="str">
        <f t="shared" si="7"/>
        <v>450013782350</v>
      </c>
      <c r="D513" s="4">
        <v>46276</v>
      </c>
      <c r="E513" s="3" t="s">
        <v>597</v>
      </c>
      <c r="F513" s="3" t="s">
        <v>683</v>
      </c>
    </row>
    <row r="514" spans="1:6" x14ac:dyDescent="0.3">
      <c r="A514" s="3" t="s">
        <v>423</v>
      </c>
      <c r="B514" s="3" t="s">
        <v>84</v>
      </c>
      <c r="C514" s="3" t="str">
        <f t="shared" si="7"/>
        <v>4500137823100</v>
      </c>
      <c r="D514" s="4">
        <v>46295</v>
      </c>
      <c r="E514" s="3" t="s">
        <v>597</v>
      </c>
      <c r="F514" s="3" t="s">
        <v>683</v>
      </c>
    </row>
    <row r="515" spans="1:6" x14ac:dyDescent="0.3">
      <c r="A515" s="3" t="s">
        <v>348</v>
      </c>
      <c r="B515" s="3" t="s">
        <v>32</v>
      </c>
      <c r="C515" s="3" t="str">
        <f t="shared" ref="C515:C578" si="8">_xlfn.CONCAT(A515:B515)</f>
        <v>450013782710</v>
      </c>
      <c r="D515" s="4">
        <v>46275</v>
      </c>
      <c r="E515" s="3" t="s">
        <v>604</v>
      </c>
      <c r="F515" s="3" t="s">
        <v>607</v>
      </c>
    </row>
    <row r="516" spans="1:6" x14ac:dyDescent="0.3">
      <c r="A516" s="3" t="s">
        <v>348</v>
      </c>
      <c r="B516" s="3" t="s">
        <v>28</v>
      </c>
      <c r="C516" s="3" t="str">
        <f t="shared" si="8"/>
        <v>450013782720</v>
      </c>
      <c r="D516" s="4">
        <v>46275</v>
      </c>
      <c r="E516" s="3" t="s">
        <v>604</v>
      </c>
      <c r="F516" s="3" t="s">
        <v>607</v>
      </c>
    </row>
    <row r="517" spans="1:6" x14ac:dyDescent="0.3">
      <c r="A517" s="3" t="s">
        <v>350</v>
      </c>
      <c r="B517" s="3" t="s">
        <v>54</v>
      </c>
      <c r="C517" s="3" t="str">
        <f t="shared" si="8"/>
        <v>450013786030</v>
      </c>
      <c r="D517" s="4">
        <v>46276</v>
      </c>
      <c r="E517" s="3" t="s">
        <v>597</v>
      </c>
      <c r="F517" s="3" t="s">
        <v>644</v>
      </c>
    </row>
    <row r="518" spans="1:6" x14ac:dyDescent="0.3">
      <c r="A518" s="3" t="s">
        <v>395</v>
      </c>
      <c r="B518" s="3" t="s">
        <v>32</v>
      </c>
      <c r="C518" s="3" t="str">
        <f t="shared" si="8"/>
        <v>450013790110</v>
      </c>
      <c r="D518" s="4">
        <v>46295</v>
      </c>
      <c r="E518" s="3" t="s">
        <v>611</v>
      </c>
      <c r="F518" s="3" t="s">
        <v>684</v>
      </c>
    </row>
    <row r="519" spans="1:6" x14ac:dyDescent="0.3">
      <c r="A519" s="3" t="s">
        <v>398</v>
      </c>
      <c r="B519" s="3" t="s">
        <v>32</v>
      </c>
      <c r="C519" s="3" t="str">
        <f t="shared" si="8"/>
        <v>450013795310</v>
      </c>
      <c r="D519" s="4">
        <v>46283</v>
      </c>
      <c r="E519" s="3" t="s">
        <v>589</v>
      </c>
      <c r="F519" s="3" t="s">
        <v>685</v>
      </c>
    </row>
    <row r="520" spans="1:6" x14ac:dyDescent="0.3">
      <c r="A520" s="3" t="s">
        <v>439</v>
      </c>
      <c r="B520" s="3" t="s">
        <v>32</v>
      </c>
      <c r="C520" s="3" t="str">
        <f t="shared" si="8"/>
        <v>450013799910</v>
      </c>
      <c r="D520" s="4">
        <v>46302</v>
      </c>
      <c r="E520" s="3" t="s">
        <v>595</v>
      </c>
      <c r="F520" s="3" t="s">
        <v>666</v>
      </c>
    </row>
    <row r="521" spans="1:6" x14ac:dyDescent="0.3">
      <c r="A521" s="3" t="s">
        <v>355</v>
      </c>
      <c r="B521" s="3" t="s">
        <v>32</v>
      </c>
      <c r="C521" s="3" t="str">
        <f t="shared" si="8"/>
        <v>450013801510</v>
      </c>
      <c r="D521" s="4">
        <v>46274</v>
      </c>
      <c r="E521" s="3" t="s">
        <v>597</v>
      </c>
      <c r="F521" s="3" t="s">
        <v>663</v>
      </c>
    </row>
    <row r="522" spans="1:6" x14ac:dyDescent="0.3">
      <c r="A522" s="3" t="s">
        <v>418</v>
      </c>
      <c r="B522" s="3" t="s">
        <v>32</v>
      </c>
      <c r="C522" s="3" t="str">
        <f t="shared" si="8"/>
        <v>450013801610</v>
      </c>
      <c r="D522" s="4">
        <v>46282</v>
      </c>
      <c r="E522" s="3" t="s">
        <v>595</v>
      </c>
      <c r="F522" s="3" t="s">
        <v>675</v>
      </c>
    </row>
    <row r="523" spans="1:6" x14ac:dyDescent="0.3">
      <c r="A523" s="3" t="s">
        <v>360</v>
      </c>
      <c r="B523" s="3" t="s">
        <v>32</v>
      </c>
      <c r="C523" s="3" t="str">
        <f t="shared" si="8"/>
        <v>450013804710</v>
      </c>
      <c r="D523" s="4">
        <v>46276</v>
      </c>
      <c r="E523" s="3" t="s">
        <v>618</v>
      </c>
      <c r="F523" s="3" t="s">
        <v>593</v>
      </c>
    </row>
    <row r="524" spans="1:6" x14ac:dyDescent="0.3">
      <c r="A524" s="3" t="s">
        <v>360</v>
      </c>
      <c r="B524" s="3" t="s">
        <v>28</v>
      </c>
      <c r="C524" s="3" t="str">
        <f t="shared" si="8"/>
        <v>450013804720</v>
      </c>
      <c r="D524" s="4">
        <v>46276</v>
      </c>
      <c r="E524" s="3" t="s">
        <v>618</v>
      </c>
      <c r="F524" s="3" t="s">
        <v>593</v>
      </c>
    </row>
    <row r="525" spans="1:6" x14ac:dyDescent="0.3">
      <c r="A525" s="3" t="s">
        <v>360</v>
      </c>
      <c r="B525" s="3" t="s">
        <v>83</v>
      </c>
      <c r="C525" s="3" t="str">
        <f t="shared" si="8"/>
        <v>450013804790</v>
      </c>
      <c r="D525" s="4">
        <v>46276</v>
      </c>
      <c r="E525" s="3" t="s">
        <v>618</v>
      </c>
      <c r="F525" s="3" t="s">
        <v>593</v>
      </c>
    </row>
    <row r="526" spans="1:6" x14ac:dyDescent="0.3">
      <c r="A526" s="3" t="s">
        <v>360</v>
      </c>
      <c r="B526" s="3" t="s">
        <v>85</v>
      </c>
      <c r="C526" s="3" t="str">
        <f t="shared" si="8"/>
        <v>4500138047110</v>
      </c>
      <c r="D526" s="4">
        <v>46276</v>
      </c>
      <c r="E526" s="3" t="s">
        <v>618</v>
      </c>
      <c r="F526" s="3" t="s">
        <v>593</v>
      </c>
    </row>
    <row r="527" spans="1:6" x14ac:dyDescent="0.3">
      <c r="A527" s="3" t="s">
        <v>360</v>
      </c>
      <c r="B527" s="3" t="s">
        <v>65</v>
      </c>
      <c r="C527" s="3" t="str">
        <f t="shared" si="8"/>
        <v>4500138047130</v>
      </c>
      <c r="D527" s="4">
        <v>46276</v>
      </c>
      <c r="E527" s="3" t="s">
        <v>618</v>
      </c>
      <c r="F527" s="3" t="s">
        <v>593</v>
      </c>
    </row>
    <row r="528" spans="1:6" x14ac:dyDescent="0.3">
      <c r="A528" s="3" t="s">
        <v>362</v>
      </c>
      <c r="B528" s="3" t="s">
        <v>80</v>
      </c>
      <c r="C528" s="3" t="str">
        <f t="shared" si="8"/>
        <v>450013810360</v>
      </c>
      <c r="D528" s="4">
        <v>46279</v>
      </c>
      <c r="E528" s="3" t="s">
        <v>597</v>
      </c>
      <c r="F528" s="3" t="s">
        <v>638</v>
      </c>
    </row>
    <row r="529" spans="1:6" x14ac:dyDescent="0.3">
      <c r="A529" s="3" t="s">
        <v>140</v>
      </c>
      <c r="B529" s="3" t="s">
        <v>32</v>
      </c>
      <c r="C529" s="3" t="str">
        <f t="shared" si="8"/>
        <v>450013813510</v>
      </c>
      <c r="D529" s="4">
        <v>46285</v>
      </c>
      <c r="E529" s="3" t="s">
        <v>618</v>
      </c>
      <c r="F529" s="3" t="s">
        <v>686</v>
      </c>
    </row>
    <row r="530" spans="1:6" x14ac:dyDescent="0.3">
      <c r="A530" s="3" t="s">
        <v>140</v>
      </c>
      <c r="B530" s="3" t="s">
        <v>28</v>
      </c>
      <c r="C530" s="3" t="str">
        <f t="shared" si="8"/>
        <v>450013813520</v>
      </c>
      <c r="D530" s="4">
        <v>46285</v>
      </c>
      <c r="E530" s="3" t="s">
        <v>618</v>
      </c>
      <c r="F530" s="3" t="s">
        <v>686</v>
      </c>
    </row>
    <row r="531" spans="1:6" x14ac:dyDescent="0.3">
      <c r="A531" s="3" t="s">
        <v>140</v>
      </c>
      <c r="B531" s="3" t="s">
        <v>54</v>
      </c>
      <c r="C531" s="3" t="str">
        <f t="shared" si="8"/>
        <v>450013813530</v>
      </c>
      <c r="D531" s="4">
        <v>46285</v>
      </c>
      <c r="E531" s="3" t="s">
        <v>618</v>
      </c>
      <c r="F531" s="3" t="s">
        <v>686</v>
      </c>
    </row>
    <row r="532" spans="1:6" x14ac:dyDescent="0.3">
      <c r="A532" s="3" t="s">
        <v>140</v>
      </c>
      <c r="B532" s="3" t="s">
        <v>55</v>
      </c>
      <c r="C532" s="3" t="str">
        <f t="shared" si="8"/>
        <v>450013813550</v>
      </c>
      <c r="D532" s="4">
        <v>46285</v>
      </c>
      <c r="E532" s="3" t="s">
        <v>618</v>
      </c>
      <c r="F532" s="3" t="s">
        <v>686</v>
      </c>
    </row>
    <row r="533" spans="1:6" x14ac:dyDescent="0.3">
      <c r="A533" s="3" t="s">
        <v>140</v>
      </c>
      <c r="B533" s="3" t="s">
        <v>80</v>
      </c>
      <c r="C533" s="3" t="str">
        <f t="shared" si="8"/>
        <v>450013813560</v>
      </c>
      <c r="D533" s="4">
        <v>46285</v>
      </c>
      <c r="E533" s="3" t="s">
        <v>618</v>
      </c>
      <c r="F533" s="3" t="s">
        <v>686</v>
      </c>
    </row>
    <row r="534" spans="1:6" x14ac:dyDescent="0.3">
      <c r="A534" s="3" t="s">
        <v>140</v>
      </c>
      <c r="B534" s="3" t="s">
        <v>81</v>
      </c>
      <c r="C534" s="3" t="str">
        <f t="shared" si="8"/>
        <v>450013813570</v>
      </c>
      <c r="D534" s="4">
        <v>46285</v>
      </c>
      <c r="E534" s="3" t="s">
        <v>618</v>
      </c>
      <c r="F534" s="3" t="s">
        <v>686</v>
      </c>
    </row>
    <row r="535" spans="1:6" x14ac:dyDescent="0.3">
      <c r="A535" s="3" t="s">
        <v>386</v>
      </c>
      <c r="B535" s="3" t="s">
        <v>32</v>
      </c>
      <c r="C535" s="3" t="str">
        <f t="shared" si="8"/>
        <v>450013816510</v>
      </c>
      <c r="D535" s="4">
        <v>46321</v>
      </c>
      <c r="E535" s="3" t="s">
        <v>595</v>
      </c>
      <c r="F535" s="3" t="s">
        <v>612</v>
      </c>
    </row>
    <row r="536" spans="1:6" x14ac:dyDescent="0.3">
      <c r="A536" s="3" t="s">
        <v>366</v>
      </c>
      <c r="B536" s="3" t="s">
        <v>32</v>
      </c>
      <c r="C536" s="3" t="str">
        <f t="shared" si="8"/>
        <v>450013818110</v>
      </c>
      <c r="D536" s="4">
        <v>46295</v>
      </c>
      <c r="E536" s="3" t="s">
        <v>604</v>
      </c>
      <c r="F536" s="3" t="s">
        <v>687</v>
      </c>
    </row>
    <row r="537" spans="1:6" x14ac:dyDescent="0.3">
      <c r="A537" s="3" t="s">
        <v>366</v>
      </c>
      <c r="B537" s="3" t="s">
        <v>28</v>
      </c>
      <c r="C537" s="3" t="str">
        <f t="shared" si="8"/>
        <v>450013818120</v>
      </c>
      <c r="D537" s="4">
        <v>46295</v>
      </c>
      <c r="E537" s="3" t="s">
        <v>604</v>
      </c>
      <c r="F537" s="3" t="s">
        <v>687</v>
      </c>
    </row>
    <row r="538" spans="1:6" x14ac:dyDescent="0.3">
      <c r="A538" s="3" t="s">
        <v>366</v>
      </c>
      <c r="B538" s="3" t="s">
        <v>54</v>
      </c>
      <c r="C538" s="3" t="str">
        <f t="shared" si="8"/>
        <v>450013818130</v>
      </c>
      <c r="D538" s="4">
        <v>46295</v>
      </c>
      <c r="E538" s="3" t="s">
        <v>604</v>
      </c>
      <c r="F538" s="3" t="s">
        <v>687</v>
      </c>
    </row>
    <row r="539" spans="1:6" x14ac:dyDescent="0.3">
      <c r="A539" s="3" t="s">
        <v>408</v>
      </c>
      <c r="B539" s="3" t="s">
        <v>32</v>
      </c>
      <c r="C539" s="3" t="str">
        <f t="shared" si="8"/>
        <v>450013818310</v>
      </c>
      <c r="D539" s="4">
        <v>46295</v>
      </c>
      <c r="E539" s="3" t="s">
        <v>604</v>
      </c>
      <c r="F539" s="3" t="s">
        <v>687</v>
      </c>
    </row>
    <row r="540" spans="1:6" x14ac:dyDescent="0.3">
      <c r="A540" s="3" t="s">
        <v>414</v>
      </c>
      <c r="B540" s="3" t="s">
        <v>32</v>
      </c>
      <c r="C540" s="3" t="str">
        <f t="shared" si="8"/>
        <v>450013820510</v>
      </c>
      <c r="D540" s="4">
        <v>46286</v>
      </c>
      <c r="E540" s="3" t="s">
        <v>592</v>
      </c>
      <c r="F540" s="3" t="s">
        <v>673</v>
      </c>
    </row>
    <row r="541" spans="1:6" x14ac:dyDescent="0.3">
      <c r="A541" s="3" t="s">
        <v>64</v>
      </c>
      <c r="B541" s="3" t="s">
        <v>32</v>
      </c>
      <c r="C541" s="3" t="str">
        <f t="shared" si="8"/>
        <v>450013821110</v>
      </c>
      <c r="D541" s="4">
        <v>46295</v>
      </c>
      <c r="E541" s="3" t="s">
        <v>604</v>
      </c>
      <c r="F541" s="3" t="s">
        <v>688</v>
      </c>
    </row>
    <row r="542" spans="1:6" x14ac:dyDescent="0.3">
      <c r="A542" s="3" t="s">
        <v>64</v>
      </c>
      <c r="B542" s="3" t="s">
        <v>28</v>
      </c>
      <c r="C542" s="3" t="str">
        <f t="shared" si="8"/>
        <v>450013821120</v>
      </c>
      <c r="D542" s="4">
        <v>46295</v>
      </c>
      <c r="E542" s="3" t="s">
        <v>604</v>
      </c>
      <c r="F542" s="3" t="s">
        <v>688</v>
      </c>
    </row>
    <row r="543" spans="1:6" x14ac:dyDescent="0.3">
      <c r="A543" s="3" t="s">
        <v>64</v>
      </c>
      <c r="B543" s="3" t="s">
        <v>54</v>
      </c>
      <c r="C543" s="3" t="str">
        <f t="shared" si="8"/>
        <v>450013821130</v>
      </c>
      <c r="D543" s="4">
        <v>46295</v>
      </c>
      <c r="E543" s="3" t="s">
        <v>604</v>
      </c>
      <c r="F543" s="3" t="s">
        <v>688</v>
      </c>
    </row>
    <row r="544" spans="1:6" x14ac:dyDescent="0.3">
      <c r="A544" s="3" t="s">
        <v>64</v>
      </c>
      <c r="B544" s="3" t="s">
        <v>23</v>
      </c>
      <c r="C544" s="3" t="str">
        <f t="shared" si="8"/>
        <v>450013821140</v>
      </c>
      <c r="D544" s="4">
        <v>46295</v>
      </c>
      <c r="E544" s="3" t="s">
        <v>604</v>
      </c>
      <c r="F544" s="3" t="s">
        <v>688</v>
      </c>
    </row>
    <row r="545" spans="1:6" x14ac:dyDescent="0.3">
      <c r="A545" s="3" t="s">
        <v>64</v>
      </c>
      <c r="B545" s="3" t="s">
        <v>55</v>
      </c>
      <c r="C545" s="3" t="str">
        <f t="shared" si="8"/>
        <v>450013821150</v>
      </c>
      <c r="D545" s="4">
        <v>46295</v>
      </c>
      <c r="E545" s="3" t="s">
        <v>604</v>
      </c>
      <c r="F545" s="3" t="s">
        <v>688</v>
      </c>
    </row>
    <row r="546" spans="1:6" x14ac:dyDescent="0.3">
      <c r="A546" s="3" t="s">
        <v>64</v>
      </c>
      <c r="B546" s="3" t="s">
        <v>80</v>
      </c>
      <c r="C546" s="3" t="str">
        <f t="shared" si="8"/>
        <v>450013821160</v>
      </c>
      <c r="D546" s="4">
        <v>46295</v>
      </c>
      <c r="E546" s="3" t="s">
        <v>604</v>
      </c>
      <c r="F546" s="3" t="s">
        <v>688</v>
      </c>
    </row>
    <row r="547" spans="1:6" x14ac:dyDescent="0.3">
      <c r="A547" s="3" t="s">
        <v>64</v>
      </c>
      <c r="B547" s="3" t="s">
        <v>81</v>
      </c>
      <c r="C547" s="3" t="str">
        <f t="shared" si="8"/>
        <v>450013821170</v>
      </c>
      <c r="D547" s="4">
        <v>46295</v>
      </c>
      <c r="E547" s="3" t="s">
        <v>604</v>
      </c>
      <c r="F547" s="3" t="s">
        <v>688</v>
      </c>
    </row>
    <row r="548" spans="1:6" x14ac:dyDescent="0.3">
      <c r="A548" s="3" t="s">
        <v>64</v>
      </c>
      <c r="B548" s="3" t="s">
        <v>82</v>
      </c>
      <c r="C548" s="3" t="str">
        <f t="shared" si="8"/>
        <v>450013821180</v>
      </c>
      <c r="D548" s="4">
        <v>46295</v>
      </c>
      <c r="E548" s="3" t="s">
        <v>604</v>
      </c>
      <c r="F548" s="3" t="s">
        <v>688</v>
      </c>
    </row>
    <row r="549" spans="1:6" x14ac:dyDescent="0.3">
      <c r="A549" s="3" t="s">
        <v>64</v>
      </c>
      <c r="B549" s="3" t="s">
        <v>84</v>
      </c>
      <c r="C549" s="3" t="str">
        <f t="shared" si="8"/>
        <v>4500138211100</v>
      </c>
      <c r="D549" s="4">
        <v>46295</v>
      </c>
      <c r="E549" s="3" t="s">
        <v>604</v>
      </c>
      <c r="F549" s="3" t="s">
        <v>688</v>
      </c>
    </row>
    <row r="550" spans="1:6" x14ac:dyDescent="0.3">
      <c r="A550" s="3" t="s">
        <v>64</v>
      </c>
      <c r="B550" s="3" t="s">
        <v>85</v>
      </c>
      <c r="C550" s="3" t="str">
        <f t="shared" si="8"/>
        <v>4500138211110</v>
      </c>
      <c r="D550" s="4">
        <v>46295</v>
      </c>
      <c r="E550" s="3" t="s">
        <v>604</v>
      </c>
      <c r="F550" s="3" t="s">
        <v>688</v>
      </c>
    </row>
    <row r="551" spans="1:6" x14ac:dyDescent="0.3">
      <c r="A551" s="3" t="s">
        <v>64</v>
      </c>
      <c r="B551" s="3" t="s">
        <v>86</v>
      </c>
      <c r="C551" s="3" t="str">
        <f t="shared" si="8"/>
        <v>4500138211120</v>
      </c>
      <c r="D551" s="4">
        <v>46295</v>
      </c>
      <c r="E551" s="3" t="s">
        <v>604</v>
      </c>
      <c r="F551" s="3" t="s">
        <v>688</v>
      </c>
    </row>
    <row r="552" spans="1:6" x14ac:dyDescent="0.3">
      <c r="A552" s="3" t="s">
        <v>64</v>
      </c>
      <c r="B552" s="3" t="s">
        <v>65</v>
      </c>
      <c r="C552" s="3" t="str">
        <f t="shared" si="8"/>
        <v>4500138211130</v>
      </c>
      <c r="D552" s="4">
        <v>46295</v>
      </c>
      <c r="E552" s="3" t="s">
        <v>604</v>
      </c>
      <c r="F552" s="3" t="s">
        <v>688</v>
      </c>
    </row>
    <row r="553" spans="1:6" x14ac:dyDescent="0.3">
      <c r="A553" s="3" t="s">
        <v>64</v>
      </c>
      <c r="B553" s="3" t="s">
        <v>66</v>
      </c>
      <c r="C553" s="3" t="str">
        <f t="shared" si="8"/>
        <v>4500138211140</v>
      </c>
      <c r="D553" s="4">
        <v>46295</v>
      </c>
      <c r="E553" s="3" t="s">
        <v>604</v>
      </c>
      <c r="F553" s="3" t="s">
        <v>688</v>
      </c>
    </row>
    <row r="554" spans="1:6" x14ac:dyDescent="0.3">
      <c r="A554" s="3" t="s">
        <v>64</v>
      </c>
      <c r="B554" s="3" t="s">
        <v>87</v>
      </c>
      <c r="C554" s="3" t="str">
        <f t="shared" si="8"/>
        <v>4500138211150</v>
      </c>
      <c r="D554" s="4">
        <v>46295</v>
      </c>
      <c r="E554" s="3" t="s">
        <v>604</v>
      </c>
      <c r="F554" s="3" t="s">
        <v>688</v>
      </c>
    </row>
    <row r="555" spans="1:6" x14ac:dyDescent="0.3">
      <c r="A555" s="3" t="s">
        <v>64</v>
      </c>
      <c r="B555" s="3" t="s">
        <v>88</v>
      </c>
      <c r="C555" s="3" t="str">
        <f t="shared" si="8"/>
        <v>4500138211160</v>
      </c>
      <c r="D555" s="4">
        <v>46295</v>
      </c>
      <c r="E555" s="3" t="s">
        <v>604</v>
      </c>
      <c r="F555" s="3" t="s">
        <v>688</v>
      </c>
    </row>
    <row r="556" spans="1:6" x14ac:dyDescent="0.3">
      <c r="A556" s="3" t="s">
        <v>64</v>
      </c>
      <c r="B556" s="3" t="s">
        <v>67</v>
      </c>
      <c r="C556" s="3" t="str">
        <f t="shared" si="8"/>
        <v>4500138211170</v>
      </c>
      <c r="D556" s="4">
        <v>46295</v>
      </c>
      <c r="E556" s="3" t="s">
        <v>604</v>
      </c>
      <c r="F556" s="3" t="s">
        <v>688</v>
      </c>
    </row>
    <row r="557" spans="1:6" x14ac:dyDescent="0.3">
      <c r="A557" s="3" t="s">
        <v>64</v>
      </c>
      <c r="B557" s="3" t="s">
        <v>125</v>
      </c>
      <c r="C557" s="3" t="str">
        <f t="shared" si="8"/>
        <v>4500138211180</v>
      </c>
      <c r="D557" s="4">
        <v>46295</v>
      </c>
      <c r="E557" s="3" t="s">
        <v>604</v>
      </c>
      <c r="F557" s="3" t="s">
        <v>688</v>
      </c>
    </row>
    <row r="558" spans="1:6" x14ac:dyDescent="0.3">
      <c r="A558" s="3" t="s">
        <v>64</v>
      </c>
      <c r="B558" s="3" t="s">
        <v>91</v>
      </c>
      <c r="C558" s="3" t="str">
        <f t="shared" si="8"/>
        <v>4500138211190</v>
      </c>
      <c r="D558" s="4">
        <v>46295</v>
      </c>
      <c r="E558" s="3" t="s">
        <v>604</v>
      </c>
      <c r="F558" s="3" t="s">
        <v>688</v>
      </c>
    </row>
    <row r="559" spans="1:6" x14ac:dyDescent="0.3">
      <c r="A559" s="3" t="s">
        <v>64</v>
      </c>
      <c r="B559" s="3" t="s">
        <v>92</v>
      </c>
      <c r="C559" s="3" t="str">
        <f t="shared" si="8"/>
        <v>4500138211200</v>
      </c>
      <c r="D559" s="4">
        <v>46295</v>
      </c>
      <c r="E559" s="3" t="s">
        <v>604</v>
      </c>
      <c r="F559" s="3" t="s">
        <v>688</v>
      </c>
    </row>
    <row r="560" spans="1:6" x14ac:dyDescent="0.3">
      <c r="A560" s="3" t="s">
        <v>64</v>
      </c>
      <c r="B560" s="3" t="s">
        <v>43</v>
      </c>
      <c r="C560" s="3" t="str">
        <f t="shared" si="8"/>
        <v>4500138211210</v>
      </c>
      <c r="D560" s="4">
        <v>46275</v>
      </c>
      <c r="E560" s="3" t="s">
        <v>604</v>
      </c>
      <c r="F560" s="3" t="s">
        <v>688</v>
      </c>
    </row>
    <row r="561" spans="1:6" x14ac:dyDescent="0.3">
      <c r="A561" s="3" t="s">
        <v>64</v>
      </c>
      <c r="B561" s="3" t="s">
        <v>44</v>
      </c>
      <c r="C561" s="3" t="str">
        <f t="shared" si="8"/>
        <v>4500138211220</v>
      </c>
      <c r="D561" s="4">
        <v>46275</v>
      </c>
      <c r="E561" s="3" t="s">
        <v>604</v>
      </c>
      <c r="F561" s="3" t="s">
        <v>688</v>
      </c>
    </row>
    <row r="562" spans="1:6" x14ac:dyDescent="0.3">
      <c r="A562" s="3" t="s">
        <v>64</v>
      </c>
      <c r="B562" s="3" t="s">
        <v>126</v>
      </c>
      <c r="C562" s="3" t="str">
        <f t="shared" si="8"/>
        <v>4500138211230</v>
      </c>
      <c r="D562" s="4">
        <v>46291</v>
      </c>
      <c r="E562" s="3" t="s">
        <v>604</v>
      </c>
      <c r="F562" s="3" t="s">
        <v>688</v>
      </c>
    </row>
    <row r="563" spans="1:6" x14ac:dyDescent="0.3">
      <c r="A563" s="3" t="s">
        <v>426</v>
      </c>
      <c r="B563" s="3" t="s">
        <v>32</v>
      </c>
      <c r="C563" s="3" t="str">
        <f t="shared" si="8"/>
        <v>450013821210</v>
      </c>
      <c r="D563" s="4">
        <v>46282</v>
      </c>
      <c r="E563" s="3" t="s">
        <v>597</v>
      </c>
      <c r="F563" s="3" t="s">
        <v>663</v>
      </c>
    </row>
    <row r="564" spans="1:6" x14ac:dyDescent="0.3">
      <c r="A564" s="3" t="s">
        <v>116</v>
      </c>
      <c r="B564" s="3" t="s">
        <v>32</v>
      </c>
      <c r="C564" s="3" t="str">
        <f t="shared" si="8"/>
        <v>450013822710</v>
      </c>
      <c r="D564" s="4">
        <v>46283</v>
      </c>
      <c r="E564" s="3" t="s">
        <v>595</v>
      </c>
      <c r="F564" s="3" t="s">
        <v>676</v>
      </c>
    </row>
    <row r="565" spans="1:6" x14ac:dyDescent="0.3">
      <c r="A565" s="3" t="s">
        <v>116</v>
      </c>
      <c r="B565" s="3" t="s">
        <v>28</v>
      </c>
      <c r="C565" s="3" t="str">
        <f t="shared" si="8"/>
        <v>450013822720</v>
      </c>
      <c r="D565" s="4">
        <v>46283</v>
      </c>
      <c r="E565" s="3" t="s">
        <v>595</v>
      </c>
      <c r="F565" s="3" t="s">
        <v>676</v>
      </c>
    </row>
    <row r="566" spans="1:6" x14ac:dyDescent="0.3">
      <c r="A566" s="3" t="s">
        <v>116</v>
      </c>
      <c r="B566" s="3" t="s">
        <v>54</v>
      </c>
      <c r="C566" s="3" t="str">
        <f t="shared" si="8"/>
        <v>450013822730</v>
      </c>
      <c r="D566" s="4">
        <v>46283</v>
      </c>
      <c r="E566" s="3" t="s">
        <v>595</v>
      </c>
      <c r="F566" s="3" t="s">
        <v>676</v>
      </c>
    </row>
    <row r="567" spans="1:6" x14ac:dyDescent="0.3">
      <c r="A567" s="3" t="s">
        <v>116</v>
      </c>
      <c r="B567" s="3" t="s">
        <v>23</v>
      </c>
      <c r="C567" s="3" t="str">
        <f t="shared" si="8"/>
        <v>450013822740</v>
      </c>
      <c r="D567" s="4">
        <v>46283</v>
      </c>
      <c r="E567" s="3" t="s">
        <v>595</v>
      </c>
      <c r="F567" s="3" t="s">
        <v>676</v>
      </c>
    </row>
    <row r="568" spans="1:6" x14ac:dyDescent="0.3">
      <c r="A568" s="3" t="s">
        <v>116</v>
      </c>
      <c r="B568" s="3" t="s">
        <v>55</v>
      </c>
      <c r="C568" s="3" t="str">
        <f t="shared" si="8"/>
        <v>450013822750</v>
      </c>
      <c r="D568" s="4">
        <v>46283</v>
      </c>
      <c r="E568" s="3" t="s">
        <v>595</v>
      </c>
      <c r="F568" s="3" t="s">
        <v>676</v>
      </c>
    </row>
    <row r="569" spans="1:6" x14ac:dyDescent="0.3">
      <c r="A569" s="3" t="s">
        <v>116</v>
      </c>
      <c r="B569" s="3" t="s">
        <v>80</v>
      </c>
      <c r="C569" s="3" t="str">
        <f t="shared" si="8"/>
        <v>450013822760</v>
      </c>
      <c r="D569" s="4">
        <v>46283</v>
      </c>
      <c r="E569" s="3" t="s">
        <v>595</v>
      </c>
      <c r="F569" s="3" t="s">
        <v>676</v>
      </c>
    </row>
    <row r="570" spans="1:6" x14ac:dyDescent="0.3">
      <c r="A570" s="3" t="s">
        <v>390</v>
      </c>
      <c r="B570" s="3" t="s">
        <v>32</v>
      </c>
      <c r="C570" s="3" t="str">
        <f t="shared" si="8"/>
        <v>450013823910</v>
      </c>
      <c r="D570" s="4">
        <v>46283</v>
      </c>
      <c r="E570" s="3" t="s">
        <v>595</v>
      </c>
      <c r="F570" s="3" t="s">
        <v>689</v>
      </c>
    </row>
    <row r="571" spans="1:6" x14ac:dyDescent="0.3">
      <c r="A571" s="3" t="s">
        <v>378</v>
      </c>
      <c r="B571" s="3" t="s">
        <v>32</v>
      </c>
      <c r="C571" s="3" t="str">
        <f t="shared" si="8"/>
        <v>450013828110</v>
      </c>
      <c r="D571" s="4">
        <v>46291</v>
      </c>
      <c r="E571" s="3" t="s">
        <v>604</v>
      </c>
      <c r="F571" s="3" t="s">
        <v>689</v>
      </c>
    </row>
    <row r="572" spans="1:6" x14ac:dyDescent="0.3">
      <c r="A572" s="3" t="s">
        <v>378</v>
      </c>
      <c r="B572" s="3" t="s">
        <v>28</v>
      </c>
      <c r="C572" s="3" t="str">
        <f t="shared" si="8"/>
        <v>450013828120</v>
      </c>
      <c r="D572" s="4">
        <v>46302</v>
      </c>
      <c r="E572" s="3" t="s">
        <v>604</v>
      </c>
      <c r="F572" s="3" t="s">
        <v>689</v>
      </c>
    </row>
    <row r="573" spans="1:6" x14ac:dyDescent="0.3">
      <c r="A573" s="3" t="s">
        <v>476</v>
      </c>
      <c r="B573" s="3" t="s">
        <v>32</v>
      </c>
      <c r="C573" s="3" t="str">
        <f t="shared" si="8"/>
        <v>450013844310</v>
      </c>
      <c r="D573" s="4">
        <v>46289</v>
      </c>
      <c r="E573" s="3" t="s">
        <v>597</v>
      </c>
      <c r="F573" s="3" t="s">
        <v>600</v>
      </c>
    </row>
    <row r="574" spans="1:6" x14ac:dyDescent="0.3">
      <c r="A574" s="3" t="s">
        <v>476</v>
      </c>
      <c r="B574" s="3" t="s">
        <v>28</v>
      </c>
      <c r="C574" s="3" t="str">
        <f t="shared" si="8"/>
        <v>450013844320</v>
      </c>
      <c r="D574" s="4">
        <v>46289</v>
      </c>
      <c r="E574" s="3" t="s">
        <v>597</v>
      </c>
      <c r="F574" s="3" t="s">
        <v>600</v>
      </c>
    </row>
    <row r="575" spans="1:6" x14ac:dyDescent="0.3">
      <c r="A575" s="3" t="s">
        <v>476</v>
      </c>
      <c r="B575" s="3" t="s">
        <v>54</v>
      </c>
      <c r="C575" s="3" t="str">
        <f t="shared" si="8"/>
        <v>450013844330</v>
      </c>
      <c r="D575" s="4">
        <v>46289</v>
      </c>
      <c r="E575" s="3" t="s">
        <v>597</v>
      </c>
      <c r="F575" s="3" t="s">
        <v>600</v>
      </c>
    </row>
    <row r="576" spans="1:6" x14ac:dyDescent="0.3">
      <c r="A576" s="3" t="s">
        <v>476</v>
      </c>
      <c r="B576" s="3" t="s">
        <v>23</v>
      </c>
      <c r="C576" s="3" t="str">
        <f t="shared" si="8"/>
        <v>450013844340</v>
      </c>
      <c r="D576" s="4">
        <v>46289</v>
      </c>
      <c r="E576" s="3" t="s">
        <v>597</v>
      </c>
      <c r="F576" s="3" t="s">
        <v>600</v>
      </c>
    </row>
    <row r="577" spans="1:6" x14ac:dyDescent="0.3">
      <c r="A577" s="3" t="s">
        <v>455</v>
      </c>
      <c r="B577" s="3" t="s">
        <v>32</v>
      </c>
      <c r="C577" s="3" t="str">
        <f t="shared" si="8"/>
        <v>450013845310</v>
      </c>
      <c r="D577" s="4">
        <v>46295</v>
      </c>
      <c r="E577" s="3" t="s">
        <v>618</v>
      </c>
      <c r="F577" s="3" t="s">
        <v>690</v>
      </c>
    </row>
    <row r="578" spans="1:6" x14ac:dyDescent="0.3">
      <c r="A578" s="3" t="s">
        <v>392</v>
      </c>
      <c r="B578" s="3" t="s">
        <v>32</v>
      </c>
      <c r="C578" s="3" t="str">
        <f t="shared" si="8"/>
        <v>450013847310</v>
      </c>
      <c r="D578" s="4">
        <v>46285</v>
      </c>
      <c r="E578" s="3" t="s">
        <v>604</v>
      </c>
      <c r="F578" s="3" t="s">
        <v>607</v>
      </c>
    </row>
    <row r="579" spans="1:6" x14ac:dyDescent="0.3">
      <c r="A579" s="3" t="s">
        <v>392</v>
      </c>
      <c r="B579" s="3" t="s">
        <v>28</v>
      </c>
      <c r="C579" s="3" t="str">
        <f t="shared" ref="C579:C642" si="9">_xlfn.CONCAT(A579:B579)</f>
        <v>450013847320</v>
      </c>
      <c r="D579" s="4">
        <v>46285</v>
      </c>
      <c r="E579" s="3" t="s">
        <v>604</v>
      </c>
      <c r="F579" s="3" t="s">
        <v>607</v>
      </c>
    </row>
    <row r="580" spans="1:6" x14ac:dyDescent="0.3">
      <c r="A580" s="3" t="s">
        <v>464</v>
      </c>
      <c r="B580" s="3" t="s">
        <v>32</v>
      </c>
      <c r="C580" s="3" t="str">
        <f t="shared" si="9"/>
        <v>450013847910</v>
      </c>
      <c r="D580" s="4">
        <v>46287</v>
      </c>
      <c r="E580" s="3" t="s">
        <v>611</v>
      </c>
      <c r="F580" s="3" t="s">
        <v>691</v>
      </c>
    </row>
    <row r="581" spans="1:6" x14ac:dyDescent="0.3">
      <c r="A581" s="3" t="s">
        <v>111</v>
      </c>
      <c r="B581" s="3" t="s">
        <v>32</v>
      </c>
      <c r="C581" s="3" t="str">
        <f t="shared" si="9"/>
        <v>450013864910</v>
      </c>
      <c r="D581" s="4">
        <v>46295</v>
      </c>
      <c r="E581" s="3" t="s">
        <v>611</v>
      </c>
      <c r="F581" s="3" t="s">
        <v>676</v>
      </c>
    </row>
    <row r="582" spans="1:6" x14ac:dyDescent="0.3">
      <c r="A582" s="3" t="s">
        <v>111</v>
      </c>
      <c r="B582" s="3" t="s">
        <v>28</v>
      </c>
      <c r="C582" s="3" t="str">
        <f t="shared" si="9"/>
        <v>450013864920</v>
      </c>
      <c r="D582" s="4">
        <v>46295</v>
      </c>
      <c r="E582" s="3" t="s">
        <v>611</v>
      </c>
      <c r="F582" s="3" t="s">
        <v>676</v>
      </c>
    </row>
    <row r="583" spans="1:6" x14ac:dyDescent="0.3">
      <c r="A583" s="3" t="s">
        <v>111</v>
      </c>
      <c r="B583" s="3" t="s">
        <v>54</v>
      </c>
      <c r="C583" s="3" t="str">
        <f t="shared" si="9"/>
        <v>450013864930</v>
      </c>
      <c r="D583" s="4">
        <v>46295</v>
      </c>
      <c r="E583" s="3" t="s">
        <v>611</v>
      </c>
      <c r="F583" s="3" t="s">
        <v>676</v>
      </c>
    </row>
    <row r="584" spans="1:6" x14ac:dyDescent="0.3">
      <c r="A584" s="3" t="s">
        <v>111</v>
      </c>
      <c r="B584" s="3" t="s">
        <v>23</v>
      </c>
      <c r="C584" s="3" t="str">
        <f t="shared" si="9"/>
        <v>450013864940</v>
      </c>
      <c r="D584" s="4">
        <v>46295</v>
      </c>
      <c r="E584" s="3" t="s">
        <v>611</v>
      </c>
      <c r="F584" s="3" t="s">
        <v>676</v>
      </c>
    </row>
    <row r="585" spans="1:6" x14ac:dyDescent="0.3">
      <c r="A585" s="3" t="s">
        <v>111</v>
      </c>
      <c r="B585" s="3" t="s">
        <v>55</v>
      </c>
      <c r="C585" s="3" t="str">
        <f t="shared" si="9"/>
        <v>450013864950</v>
      </c>
      <c r="D585" s="4">
        <v>46295</v>
      </c>
      <c r="E585" s="3" t="s">
        <v>611</v>
      </c>
      <c r="F585" s="3" t="s">
        <v>676</v>
      </c>
    </row>
    <row r="586" spans="1:6" x14ac:dyDescent="0.3">
      <c r="A586" s="3" t="s">
        <v>111</v>
      </c>
      <c r="B586" s="3" t="s">
        <v>80</v>
      </c>
      <c r="C586" s="3" t="str">
        <f t="shared" si="9"/>
        <v>450013864960</v>
      </c>
      <c r="D586" s="4">
        <v>46295</v>
      </c>
      <c r="E586" s="3" t="s">
        <v>611</v>
      </c>
      <c r="F586" s="3" t="s">
        <v>676</v>
      </c>
    </row>
    <row r="587" spans="1:6" x14ac:dyDescent="0.3">
      <c r="A587" s="3" t="s">
        <v>111</v>
      </c>
      <c r="B587" s="3" t="s">
        <v>81</v>
      </c>
      <c r="C587" s="3" t="str">
        <f t="shared" si="9"/>
        <v>450013864970</v>
      </c>
      <c r="D587" s="4">
        <v>46295</v>
      </c>
      <c r="E587" s="3" t="s">
        <v>611</v>
      </c>
      <c r="F587" s="3" t="s">
        <v>676</v>
      </c>
    </row>
    <row r="588" spans="1:6" x14ac:dyDescent="0.3">
      <c r="A588" s="3" t="s">
        <v>111</v>
      </c>
      <c r="B588" s="3" t="s">
        <v>82</v>
      </c>
      <c r="C588" s="3" t="str">
        <f t="shared" si="9"/>
        <v>450013864980</v>
      </c>
      <c r="D588" s="4">
        <v>46295</v>
      </c>
      <c r="E588" s="3" t="s">
        <v>611</v>
      </c>
      <c r="F588" s="3" t="s">
        <v>676</v>
      </c>
    </row>
    <row r="589" spans="1:6" x14ac:dyDescent="0.3">
      <c r="A589" s="3" t="s">
        <v>416</v>
      </c>
      <c r="B589" s="3" t="s">
        <v>32</v>
      </c>
      <c r="C589" s="3" t="str">
        <f t="shared" si="9"/>
        <v>450013870810</v>
      </c>
      <c r="D589" s="4">
        <v>46291</v>
      </c>
      <c r="E589" s="3" t="s">
        <v>604</v>
      </c>
      <c r="F589" s="3" t="s">
        <v>633</v>
      </c>
    </row>
    <row r="590" spans="1:6" x14ac:dyDescent="0.3">
      <c r="A590" s="3" t="s">
        <v>502</v>
      </c>
      <c r="B590" s="3" t="s">
        <v>32</v>
      </c>
      <c r="C590" s="3" t="str">
        <f t="shared" si="9"/>
        <v>450013873810</v>
      </c>
      <c r="D590" s="4">
        <v>46287</v>
      </c>
      <c r="E590" s="3" t="s">
        <v>597</v>
      </c>
      <c r="F590" s="3" t="s">
        <v>692</v>
      </c>
    </row>
    <row r="591" spans="1:6" x14ac:dyDescent="0.3">
      <c r="A591" s="3" t="s">
        <v>494</v>
      </c>
      <c r="B591" s="3" t="s">
        <v>28</v>
      </c>
      <c r="C591" s="3" t="str">
        <f t="shared" si="9"/>
        <v>450013874820</v>
      </c>
      <c r="D591" s="4">
        <v>46300</v>
      </c>
      <c r="E591" s="3" t="s">
        <v>595</v>
      </c>
      <c r="F591" s="3" t="s">
        <v>596</v>
      </c>
    </row>
    <row r="592" spans="1:6" x14ac:dyDescent="0.3">
      <c r="A592" s="3" t="s">
        <v>478</v>
      </c>
      <c r="B592" s="3" t="s">
        <v>32</v>
      </c>
      <c r="C592" s="3" t="str">
        <f t="shared" si="9"/>
        <v>450013875010</v>
      </c>
      <c r="D592" s="4">
        <v>46286</v>
      </c>
      <c r="E592" s="3" t="s">
        <v>597</v>
      </c>
      <c r="F592" s="3" t="s">
        <v>677</v>
      </c>
    </row>
    <row r="593" spans="1:6" x14ac:dyDescent="0.3">
      <c r="A593" s="3" t="s">
        <v>565</v>
      </c>
      <c r="B593" s="3" t="s">
        <v>32</v>
      </c>
      <c r="C593" s="3" t="str">
        <f t="shared" si="9"/>
        <v>450013877210</v>
      </c>
      <c r="D593" s="4">
        <v>46288</v>
      </c>
      <c r="E593" s="3" t="s">
        <v>597</v>
      </c>
      <c r="F593" s="3" t="s">
        <v>677</v>
      </c>
    </row>
    <row r="594" spans="1:6" x14ac:dyDescent="0.3">
      <c r="A594" s="3" t="s">
        <v>472</v>
      </c>
      <c r="B594" s="3" t="s">
        <v>32</v>
      </c>
      <c r="C594" s="3" t="str">
        <f t="shared" si="9"/>
        <v>450013881210</v>
      </c>
      <c r="D594" s="4">
        <v>46293</v>
      </c>
      <c r="E594" s="3" t="s">
        <v>618</v>
      </c>
      <c r="F594" s="3" t="s">
        <v>693</v>
      </c>
    </row>
    <row r="595" spans="1:6" x14ac:dyDescent="0.3">
      <c r="A595" s="3" t="s">
        <v>472</v>
      </c>
      <c r="B595" s="3" t="s">
        <v>28</v>
      </c>
      <c r="C595" s="3" t="str">
        <f t="shared" si="9"/>
        <v>450013881220</v>
      </c>
      <c r="D595" s="4">
        <v>46293</v>
      </c>
      <c r="E595" s="3" t="s">
        <v>618</v>
      </c>
      <c r="F595" s="3" t="s">
        <v>693</v>
      </c>
    </row>
    <row r="596" spans="1:6" x14ac:dyDescent="0.3">
      <c r="A596" s="3" t="s">
        <v>472</v>
      </c>
      <c r="B596" s="3" t="s">
        <v>54</v>
      </c>
      <c r="C596" s="3" t="str">
        <f t="shared" si="9"/>
        <v>450013881230</v>
      </c>
      <c r="D596" s="4">
        <v>46293</v>
      </c>
      <c r="E596" s="3" t="s">
        <v>618</v>
      </c>
      <c r="F596" s="3" t="s">
        <v>693</v>
      </c>
    </row>
    <row r="597" spans="1:6" x14ac:dyDescent="0.3">
      <c r="A597" s="3" t="s">
        <v>107</v>
      </c>
      <c r="B597" s="3" t="s">
        <v>32</v>
      </c>
      <c r="C597" s="3" t="str">
        <f t="shared" si="9"/>
        <v>450013887110</v>
      </c>
      <c r="D597" s="4">
        <v>46304</v>
      </c>
      <c r="E597" s="3" t="s">
        <v>595</v>
      </c>
      <c r="F597" s="3" t="s">
        <v>613</v>
      </c>
    </row>
    <row r="598" spans="1:6" x14ac:dyDescent="0.3">
      <c r="A598" s="3" t="s">
        <v>432</v>
      </c>
      <c r="B598" s="3" t="s">
        <v>32</v>
      </c>
      <c r="C598" s="3" t="str">
        <f t="shared" si="9"/>
        <v>450013889710</v>
      </c>
      <c r="D598" s="4">
        <v>46295</v>
      </c>
      <c r="E598" s="3" t="s">
        <v>604</v>
      </c>
      <c r="F598" s="3" t="s">
        <v>607</v>
      </c>
    </row>
    <row r="599" spans="1:6" x14ac:dyDescent="0.3">
      <c r="A599" s="3" t="s">
        <v>432</v>
      </c>
      <c r="B599" s="3" t="s">
        <v>28</v>
      </c>
      <c r="C599" s="3" t="str">
        <f t="shared" si="9"/>
        <v>450013889720</v>
      </c>
      <c r="D599" s="4">
        <v>46295</v>
      </c>
      <c r="E599" s="3" t="s">
        <v>604</v>
      </c>
      <c r="F599" s="3" t="s">
        <v>607</v>
      </c>
    </row>
    <row r="600" spans="1:6" x14ac:dyDescent="0.3">
      <c r="A600" s="3" t="s">
        <v>436</v>
      </c>
      <c r="B600" s="3" t="s">
        <v>32</v>
      </c>
      <c r="C600" s="3" t="str">
        <f t="shared" si="9"/>
        <v>450013890010</v>
      </c>
      <c r="D600" s="4">
        <v>46287</v>
      </c>
      <c r="E600" s="3" t="s">
        <v>597</v>
      </c>
      <c r="F600" s="3" t="s">
        <v>663</v>
      </c>
    </row>
    <row r="601" spans="1:6" x14ac:dyDescent="0.3">
      <c r="A601" s="3" t="s">
        <v>445</v>
      </c>
      <c r="B601" s="3" t="s">
        <v>28</v>
      </c>
      <c r="C601" s="3" t="str">
        <f t="shared" si="9"/>
        <v>450013892020</v>
      </c>
      <c r="D601" s="4">
        <v>46289</v>
      </c>
      <c r="E601" s="3" t="s">
        <v>618</v>
      </c>
      <c r="F601" s="3" t="s">
        <v>619</v>
      </c>
    </row>
    <row r="602" spans="1:6" x14ac:dyDescent="0.3">
      <c r="A602" s="3" t="s">
        <v>434</v>
      </c>
      <c r="B602" s="3" t="s">
        <v>32</v>
      </c>
      <c r="C602" s="3" t="str">
        <f t="shared" si="9"/>
        <v>450013894310</v>
      </c>
      <c r="D602" s="4">
        <v>46287</v>
      </c>
      <c r="E602" s="3" t="s">
        <v>597</v>
      </c>
      <c r="F602" s="3" t="s">
        <v>663</v>
      </c>
    </row>
    <row r="603" spans="1:6" x14ac:dyDescent="0.3">
      <c r="A603" s="3" t="s">
        <v>108</v>
      </c>
      <c r="B603" s="3" t="s">
        <v>32</v>
      </c>
      <c r="C603" s="3" t="str">
        <f t="shared" si="9"/>
        <v>450013900010</v>
      </c>
      <c r="D603" s="4">
        <v>46295</v>
      </c>
      <c r="E603" s="3" t="s">
        <v>595</v>
      </c>
      <c r="F603" s="3" t="s">
        <v>676</v>
      </c>
    </row>
    <row r="604" spans="1:6" x14ac:dyDescent="0.3">
      <c r="A604" s="3" t="s">
        <v>108</v>
      </c>
      <c r="B604" s="3" t="s">
        <v>28</v>
      </c>
      <c r="C604" s="3" t="str">
        <f t="shared" si="9"/>
        <v>450013900020</v>
      </c>
      <c r="D604" s="4">
        <v>46295</v>
      </c>
      <c r="E604" s="3" t="s">
        <v>595</v>
      </c>
      <c r="F604" s="3" t="s">
        <v>676</v>
      </c>
    </row>
    <row r="605" spans="1:6" x14ac:dyDescent="0.3">
      <c r="A605" s="3" t="s">
        <v>108</v>
      </c>
      <c r="B605" s="3" t="s">
        <v>54</v>
      </c>
      <c r="C605" s="3" t="str">
        <f t="shared" si="9"/>
        <v>450013900030</v>
      </c>
      <c r="D605" s="4">
        <v>46295</v>
      </c>
      <c r="E605" s="3" t="s">
        <v>595</v>
      </c>
      <c r="F605" s="3" t="s">
        <v>676</v>
      </c>
    </row>
    <row r="606" spans="1:6" x14ac:dyDescent="0.3">
      <c r="A606" s="3" t="s">
        <v>108</v>
      </c>
      <c r="B606" s="3" t="s">
        <v>23</v>
      </c>
      <c r="C606" s="3" t="str">
        <f t="shared" si="9"/>
        <v>450013900040</v>
      </c>
      <c r="D606" s="4">
        <v>46295</v>
      </c>
      <c r="E606" s="3" t="s">
        <v>595</v>
      </c>
      <c r="F606" s="3" t="s">
        <v>676</v>
      </c>
    </row>
    <row r="607" spans="1:6" x14ac:dyDescent="0.3">
      <c r="A607" s="3" t="s">
        <v>442</v>
      </c>
      <c r="B607" s="3" t="s">
        <v>32</v>
      </c>
      <c r="C607" s="3" t="str">
        <f t="shared" si="9"/>
        <v>450013902510</v>
      </c>
      <c r="D607" s="4">
        <v>46288</v>
      </c>
      <c r="E607" s="3" t="s">
        <v>597</v>
      </c>
      <c r="F607" s="3" t="s">
        <v>642</v>
      </c>
    </row>
    <row r="608" spans="1:6" x14ac:dyDescent="0.3">
      <c r="A608" s="3" t="s">
        <v>452</v>
      </c>
      <c r="B608" s="3" t="s">
        <v>32</v>
      </c>
      <c r="C608" s="3" t="str">
        <f t="shared" si="9"/>
        <v>450013903610</v>
      </c>
      <c r="D608" s="4">
        <v>46313</v>
      </c>
      <c r="E608" s="3" t="s">
        <v>595</v>
      </c>
      <c r="F608" s="3" t="s">
        <v>612</v>
      </c>
    </row>
    <row r="609" spans="1:6" x14ac:dyDescent="0.3">
      <c r="A609" s="3" t="s">
        <v>452</v>
      </c>
      <c r="B609" s="3" t="s">
        <v>28</v>
      </c>
      <c r="C609" s="3" t="str">
        <f t="shared" si="9"/>
        <v>450013903620</v>
      </c>
      <c r="D609" s="4">
        <v>46313</v>
      </c>
      <c r="E609" s="3" t="s">
        <v>595</v>
      </c>
      <c r="F609" s="3" t="s">
        <v>612</v>
      </c>
    </row>
    <row r="610" spans="1:6" x14ac:dyDescent="0.3">
      <c r="A610" s="3" t="s">
        <v>452</v>
      </c>
      <c r="B610" s="3" t="s">
        <v>54</v>
      </c>
      <c r="C610" s="3" t="str">
        <f t="shared" si="9"/>
        <v>450013903630</v>
      </c>
      <c r="D610" s="4">
        <v>46313</v>
      </c>
      <c r="E610" s="3" t="s">
        <v>595</v>
      </c>
      <c r="F610" s="3" t="s">
        <v>612</v>
      </c>
    </row>
    <row r="611" spans="1:6" x14ac:dyDescent="0.3">
      <c r="A611" s="3" t="s">
        <v>452</v>
      </c>
      <c r="B611" s="3" t="s">
        <v>23</v>
      </c>
      <c r="C611" s="3" t="str">
        <f t="shared" si="9"/>
        <v>450013903640</v>
      </c>
      <c r="D611" s="4">
        <v>46313</v>
      </c>
      <c r="E611" s="3" t="s">
        <v>595</v>
      </c>
      <c r="F611" s="3" t="s">
        <v>612</v>
      </c>
    </row>
    <row r="612" spans="1:6" x14ac:dyDescent="0.3">
      <c r="A612" s="3" t="s">
        <v>474</v>
      </c>
      <c r="B612" s="3" t="s">
        <v>28</v>
      </c>
      <c r="C612" s="3" t="str">
        <f t="shared" si="9"/>
        <v>450013912220</v>
      </c>
      <c r="D612" s="4">
        <v>46306</v>
      </c>
      <c r="E612" s="3" t="s">
        <v>611</v>
      </c>
      <c r="F612" s="3" t="s">
        <v>612</v>
      </c>
    </row>
    <row r="613" spans="1:6" x14ac:dyDescent="0.3">
      <c r="A613" s="3" t="s">
        <v>474</v>
      </c>
      <c r="B613" s="3" t="s">
        <v>54</v>
      </c>
      <c r="C613" s="3" t="str">
        <f t="shared" si="9"/>
        <v>450013912230</v>
      </c>
      <c r="D613" s="4">
        <v>46306</v>
      </c>
      <c r="E613" s="3" t="s">
        <v>611</v>
      </c>
      <c r="F613" s="3" t="s">
        <v>612</v>
      </c>
    </row>
    <row r="614" spans="1:6" x14ac:dyDescent="0.3">
      <c r="A614" s="3" t="s">
        <v>474</v>
      </c>
      <c r="B614" s="3" t="s">
        <v>23</v>
      </c>
      <c r="C614" s="3" t="str">
        <f t="shared" si="9"/>
        <v>450013912240</v>
      </c>
      <c r="D614" s="4">
        <v>46306</v>
      </c>
      <c r="E614" s="3" t="s">
        <v>611</v>
      </c>
      <c r="F614" s="3" t="s">
        <v>612</v>
      </c>
    </row>
    <row r="615" spans="1:6" x14ac:dyDescent="0.3">
      <c r="A615" s="3" t="s">
        <v>490</v>
      </c>
      <c r="B615" s="3" t="s">
        <v>32</v>
      </c>
      <c r="C615" s="3" t="str">
        <f t="shared" si="9"/>
        <v>450013914010</v>
      </c>
      <c r="D615" s="4">
        <v>46297</v>
      </c>
      <c r="E615" s="3" t="s">
        <v>595</v>
      </c>
      <c r="F615" s="3" t="s">
        <v>675</v>
      </c>
    </row>
    <row r="616" spans="1:6" x14ac:dyDescent="0.3">
      <c r="A616" s="3" t="s">
        <v>573</v>
      </c>
      <c r="B616" s="3" t="s">
        <v>28</v>
      </c>
      <c r="C616" s="3" t="str">
        <f t="shared" si="9"/>
        <v>450013914420</v>
      </c>
      <c r="D616" s="4">
        <v>46293</v>
      </c>
      <c r="E616" s="3" t="s">
        <v>597</v>
      </c>
      <c r="F616" s="3" t="s">
        <v>593</v>
      </c>
    </row>
    <row r="617" spans="1:6" x14ac:dyDescent="0.3">
      <c r="A617" s="3" t="s">
        <v>573</v>
      </c>
      <c r="B617" s="3" t="s">
        <v>54</v>
      </c>
      <c r="C617" s="3" t="str">
        <f t="shared" si="9"/>
        <v>450013914430</v>
      </c>
      <c r="D617" s="4">
        <v>46293</v>
      </c>
      <c r="E617" s="3" t="s">
        <v>597</v>
      </c>
      <c r="F617" s="3" t="s">
        <v>593</v>
      </c>
    </row>
    <row r="618" spans="1:6" x14ac:dyDescent="0.3">
      <c r="A618" s="3" t="s">
        <v>485</v>
      </c>
      <c r="B618" s="3" t="s">
        <v>28</v>
      </c>
      <c r="C618" s="3" t="str">
        <f t="shared" si="9"/>
        <v>450013918520</v>
      </c>
      <c r="D618" s="4">
        <v>46306</v>
      </c>
      <c r="E618" s="3" t="s">
        <v>611</v>
      </c>
      <c r="F618" s="3" t="s">
        <v>612</v>
      </c>
    </row>
    <row r="619" spans="1:6" x14ac:dyDescent="0.3">
      <c r="A619" s="3" t="s">
        <v>485</v>
      </c>
      <c r="B619" s="3" t="s">
        <v>23</v>
      </c>
      <c r="C619" s="3" t="str">
        <f t="shared" si="9"/>
        <v>450013918540</v>
      </c>
      <c r="D619" s="4">
        <v>46306</v>
      </c>
      <c r="E619" s="3" t="s">
        <v>611</v>
      </c>
      <c r="F619" s="3" t="s">
        <v>612</v>
      </c>
    </row>
    <row r="620" spans="1:6" x14ac:dyDescent="0.3">
      <c r="A620" s="3" t="s">
        <v>485</v>
      </c>
      <c r="B620" s="3" t="s">
        <v>55</v>
      </c>
      <c r="C620" s="3" t="str">
        <f t="shared" si="9"/>
        <v>450013918550</v>
      </c>
      <c r="D620" s="4">
        <v>46306</v>
      </c>
      <c r="E620" s="3" t="s">
        <v>611</v>
      </c>
      <c r="F620" s="3" t="s">
        <v>612</v>
      </c>
    </row>
    <row r="621" spans="1:6" x14ac:dyDescent="0.3">
      <c r="A621" s="3" t="s">
        <v>485</v>
      </c>
      <c r="B621" s="3" t="s">
        <v>83</v>
      </c>
      <c r="C621" s="3" t="str">
        <f t="shared" si="9"/>
        <v>450013918590</v>
      </c>
      <c r="D621" s="4">
        <v>46306</v>
      </c>
      <c r="E621" s="3" t="s">
        <v>611</v>
      </c>
      <c r="F621" s="3" t="s">
        <v>612</v>
      </c>
    </row>
    <row r="622" spans="1:6" x14ac:dyDescent="0.3">
      <c r="A622" s="3" t="s">
        <v>459</v>
      </c>
      <c r="B622" s="3" t="s">
        <v>32</v>
      </c>
      <c r="C622" s="3" t="str">
        <f t="shared" si="9"/>
        <v>450013919710</v>
      </c>
      <c r="D622" s="4">
        <v>46294</v>
      </c>
      <c r="E622" s="3" t="s">
        <v>597</v>
      </c>
      <c r="F622" s="3" t="s">
        <v>677</v>
      </c>
    </row>
    <row r="623" spans="1:6" x14ac:dyDescent="0.3">
      <c r="A623" s="3" t="s">
        <v>531</v>
      </c>
      <c r="B623" s="3" t="s">
        <v>32</v>
      </c>
      <c r="C623" s="3" t="str">
        <f t="shared" si="9"/>
        <v>450013924310</v>
      </c>
      <c r="D623" s="4">
        <v>46302</v>
      </c>
      <c r="E623" s="3" t="s">
        <v>597</v>
      </c>
      <c r="F623" s="3" t="s">
        <v>667</v>
      </c>
    </row>
    <row r="624" spans="1:6" x14ac:dyDescent="0.3">
      <c r="A624" s="3" t="s">
        <v>122</v>
      </c>
      <c r="B624" s="3" t="s">
        <v>32</v>
      </c>
      <c r="C624" s="3" t="str">
        <f t="shared" si="9"/>
        <v>450013928410</v>
      </c>
      <c r="D624" s="4">
        <v>46296</v>
      </c>
      <c r="E624" s="3" t="s">
        <v>611</v>
      </c>
      <c r="F624" s="3" t="s">
        <v>676</v>
      </c>
    </row>
    <row r="625" spans="1:6" x14ac:dyDescent="0.3">
      <c r="A625" s="3" t="s">
        <v>457</v>
      </c>
      <c r="B625" s="3" t="s">
        <v>32</v>
      </c>
      <c r="C625" s="3" t="str">
        <f t="shared" si="9"/>
        <v>450013928610</v>
      </c>
      <c r="D625" s="4">
        <v>46313</v>
      </c>
      <c r="E625" s="3" t="s">
        <v>595</v>
      </c>
      <c r="F625" s="3" t="s">
        <v>647</v>
      </c>
    </row>
    <row r="626" spans="1:6" x14ac:dyDescent="0.3">
      <c r="A626" s="3" t="s">
        <v>575</v>
      </c>
      <c r="B626" s="3" t="s">
        <v>32</v>
      </c>
      <c r="C626" s="3" t="str">
        <f t="shared" si="9"/>
        <v>450013929010</v>
      </c>
      <c r="D626" s="4">
        <v>46295</v>
      </c>
      <c r="E626" s="3" t="s">
        <v>618</v>
      </c>
      <c r="F626" s="3" t="s">
        <v>593</v>
      </c>
    </row>
    <row r="627" spans="1:6" x14ac:dyDescent="0.3">
      <c r="A627" s="3" t="s">
        <v>575</v>
      </c>
      <c r="B627" s="3" t="s">
        <v>23</v>
      </c>
      <c r="C627" s="3" t="str">
        <f t="shared" si="9"/>
        <v>450013929040</v>
      </c>
      <c r="D627" s="4">
        <v>46295</v>
      </c>
      <c r="E627" s="3" t="s">
        <v>618</v>
      </c>
      <c r="F627" s="3" t="s">
        <v>593</v>
      </c>
    </row>
    <row r="628" spans="1:6" x14ac:dyDescent="0.3">
      <c r="A628" s="3" t="s">
        <v>575</v>
      </c>
      <c r="B628" s="3" t="s">
        <v>82</v>
      </c>
      <c r="C628" s="3" t="str">
        <f t="shared" si="9"/>
        <v>450013929080</v>
      </c>
      <c r="D628" s="4">
        <v>46295</v>
      </c>
      <c r="E628" s="3" t="s">
        <v>618</v>
      </c>
      <c r="F628" s="3" t="s">
        <v>593</v>
      </c>
    </row>
    <row r="629" spans="1:6" x14ac:dyDescent="0.3">
      <c r="A629" s="3" t="s">
        <v>575</v>
      </c>
      <c r="B629" s="3" t="s">
        <v>83</v>
      </c>
      <c r="C629" s="3" t="str">
        <f t="shared" si="9"/>
        <v>450013929090</v>
      </c>
      <c r="D629" s="4">
        <v>46295</v>
      </c>
      <c r="E629" s="3" t="s">
        <v>618</v>
      </c>
      <c r="F629" s="3" t="s">
        <v>593</v>
      </c>
    </row>
    <row r="630" spans="1:6" x14ac:dyDescent="0.3">
      <c r="A630" s="3" t="s">
        <v>575</v>
      </c>
      <c r="B630" s="3" t="s">
        <v>84</v>
      </c>
      <c r="C630" s="3" t="str">
        <f t="shared" si="9"/>
        <v>4500139290100</v>
      </c>
      <c r="D630" s="4">
        <v>46295</v>
      </c>
      <c r="E630" s="3" t="s">
        <v>618</v>
      </c>
      <c r="F630" s="3" t="s">
        <v>593</v>
      </c>
    </row>
    <row r="631" spans="1:6" x14ac:dyDescent="0.3">
      <c r="A631" s="3" t="s">
        <v>575</v>
      </c>
      <c r="B631" s="3" t="s">
        <v>86</v>
      </c>
      <c r="C631" s="3" t="str">
        <f t="shared" si="9"/>
        <v>4500139290120</v>
      </c>
      <c r="D631" s="4">
        <v>46295</v>
      </c>
      <c r="E631" s="3" t="s">
        <v>618</v>
      </c>
      <c r="F631" s="3" t="s">
        <v>593</v>
      </c>
    </row>
    <row r="632" spans="1:6" x14ac:dyDescent="0.3">
      <c r="A632" s="3" t="s">
        <v>575</v>
      </c>
      <c r="B632" s="3" t="s">
        <v>65</v>
      </c>
      <c r="C632" s="3" t="str">
        <f t="shared" si="9"/>
        <v>4500139290130</v>
      </c>
      <c r="D632" s="4">
        <v>46295</v>
      </c>
      <c r="E632" s="3" t="s">
        <v>618</v>
      </c>
      <c r="F632" s="3" t="s">
        <v>593</v>
      </c>
    </row>
    <row r="633" spans="1:6" x14ac:dyDescent="0.3">
      <c r="A633" s="3" t="s">
        <v>79</v>
      </c>
      <c r="B633" s="3" t="s">
        <v>32</v>
      </c>
      <c r="C633" s="3" t="str">
        <f t="shared" si="9"/>
        <v>450013929510</v>
      </c>
      <c r="D633" s="4">
        <v>46293</v>
      </c>
      <c r="E633" s="3" t="s">
        <v>597</v>
      </c>
      <c r="F633" s="3" t="s">
        <v>593</v>
      </c>
    </row>
    <row r="634" spans="1:6" x14ac:dyDescent="0.3">
      <c r="A634" s="3" t="s">
        <v>79</v>
      </c>
      <c r="B634" s="3" t="s">
        <v>28</v>
      </c>
      <c r="C634" s="3" t="str">
        <f t="shared" si="9"/>
        <v>450013929520</v>
      </c>
      <c r="D634" s="4">
        <v>46293</v>
      </c>
      <c r="E634" s="3" t="s">
        <v>597</v>
      </c>
      <c r="F634" s="3" t="s">
        <v>593</v>
      </c>
    </row>
    <row r="635" spans="1:6" x14ac:dyDescent="0.3">
      <c r="A635" s="3" t="s">
        <v>79</v>
      </c>
      <c r="B635" s="3" t="s">
        <v>54</v>
      </c>
      <c r="C635" s="3" t="str">
        <f t="shared" si="9"/>
        <v>450013929530</v>
      </c>
      <c r="D635" s="4">
        <v>46293</v>
      </c>
      <c r="E635" s="3" t="s">
        <v>597</v>
      </c>
      <c r="F635" s="3" t="s">
        <v>593</v>
      </c>
    </row>
    <row r="636" spans="1:6" x14ac:dyDescent="0.3">
      <c r="A636" s="3" t="s">
        <v>79</v>
      </c>
      <c r="B636" s="3" t="s">
        <v>23</v>
      </c>
      <c r="C636" s="3" t="str">
        <f t="shared" si="9"/>
        <v>450013929540</v>
      </c>
      <c r="D636" s="4">
        <v>46293</v>
      </c>
      <c r="E636" s="3" t="s">
        <v>597</v>
      </c>
      <c r="F636" s="3" t="s">
        <v>593</v>
      </c>
    </row>
    <row r="637" spans="1:6" x14ac:dyDescent="0.3">
      <c r="A637" s="3" t="s">
        <v>79</v>
      </c>
      <c r="B637" s="3" t="s">
        <v>55</v>
      </c>
      <c r="C637" s="3" t="str">
        <f t="shared" si="9"/>
        <v>450013929550</v>
      </c>
      <c r="D637" s="4">
        <v>46293</v>
      </c>
      <c r="E637" s="3" t="s">
        <v>597</v>
      </c>
      <c r="F637" s="3" t="s">
        <v>593</v>
      </c>
    </row>
    <row r="638" spans="1:6" x14ac:dyDescent="0.3">
      <c r="A638" s="3" t="s">
        <v>79</v>
      </c>
      <c r="B638" s="3" t="s">
        <v>80</v>
      </c>
      <c r="C638" s="3" t="str">
        <f t="shared" si="9"/>
        <v>450013929560</v>
      </c>
      <c r="D638" s="4">
        <v>46293</v>
      </c>
      <c r="E638" s="3" t="s">
        <v>597</v>
      </c>
      <c r="F638" s="3" t="s">
        <v>593</v>
      </c>
    </row>
    <row r="639" spans="1:6" x14ac:dyDescent="0.3">
      <c r="A639" s="3" t="s">
        <v>79</v>
      </c>
      <c r="B639" s="3" t="s">
        <v>81</v>
      </c>
      <c r="C639" s="3" t="str">
        <f t="shared" si="9"/>
        <v>450013929570</v>
      </c>
      <c r="D639" s="4">
        <v>46293</v>
      </c>
      <c r="E639" s="3" t="s">
        <v>597</v>
      </c>
      <c r="F639" s="3" t="s">
        <v>593</v>
      </c>
    </row>
    <row r="640" spans="1:6" x14ac:dyDescent="0.3">
      <c r="A640" s="3" t="s">
        <v>79</v>
      </c>
      <c r="B640" s="3" t="s">
        <v>82</v>
      </c>
      <c r="C640" s="3" t="str">
        <f t="shared" si="9"/>
        <v>450013929580</v>
      </c>
      <c r="D640" s="4">
        <v>46293</v>
      </c>
      <c r="E640" s="3" t="s">
        <v>597</v>
      </c>
      <c r="F640" s="3" t="s">
        <v>593</v>
      </c>
    </row>
    <row r="641" spans="1:6" x14ac:dyDescent="0.3">
      <c r="A641" s="3" t="s">
        <v>79</v>
      </c>
      <c r="B641" s="3" t="s">
        <v>83</v>
      </c>
      <c r="C641" s="3" t="str">
        <f t="shared" si="9"/>
        <v>450013929590</v>
      </c>
      <c r="D641" s="4">
        <v>46293</v>
      </c>
      <c r="E641" s="3" t="s">
        <v>597</v>
      </c>
      <c r="F641" s="3" t="s">
        <v>593</v>
      </c>
    </row>
    <row r="642" spans="1:6" x14ac:dyDescent="0.3">
      <c r="A642" s="3" t="s">
        <v>79</v>
      </c>
      <c r="B642" s="3" t="s">
        <v>84</v>
      </c>
      <c r="C642" s="3" t="str">
        <f t="shared" si="9"/>
        <v>4500139295100</v>
      </c>
      <c r="D642" s="4">
        <v>46293</v>
      </c>
      <c r="E642" s="3" t="s">
        <v>597</v>
      </c>
      <c r="F642" s="3" t="s">
        <v>593</v>
      </c>
    </row>
    <row r="643" spans="1:6" x14ac:dyDescent="0.3">
      <c r="A643" s="3" t="s">
        <v>79</v>
      </c>
      <c r="B643" s="3" t="s">
        <v>85</v>
      </c>
      <c r="C643" s="3" t="str">
        <f t="shared" ref="C643:C706" si="10">_xlfn.CONCAT(A643:B643)</f>
        <v>4500139295110</v>
      </c>
      <c r="D643" s="4">
        <v>46293</v>
      </c>
      <c r="E643" s="3" t="s">
        <v>597</v>
      </c>
      <c r="F643" s="3" t="s">
        <v>593</v>
      </c>
    </row>
    <row r="644" spans="1:6" x14ac:dyDescent="0.3">
      <c r="A644" s="3" t="s">
        <v>79</v>
      </c>
      <c r="B644" s="3" t="s">
        <v>86</v>
      </c>
      <c r="C644" s="3" t="str">
        <f t="shared" si="10"/>
        <v>4500139295120</v>
      </c>
      <c r="D644" s="4">
        <v>46293</v>
      </c>
      <c r="E644" s="3" t="s">
        <v>597</v>
      </c>
      <c r="F644" s="3" t="s">
        <v>593</v>
      </c>
    </row>
    <row r="645" spans="1:6" x14ac:dyDescent="0.3">
      <c r="A645" s="3" t="s">
        <v>79</v>
      </c>
      <c r="B645" s="3" t="s">
        <v>65</v>
      </c>
      <c r="C645" s="3" t="str">
        <f t="shared" si="10"/>
        <v>4500139295130</v>
      </c>
      <c r="D645" s="4">
        <v>46293</v>
      </c>
      <c r="E645" s="3" t="s">
        <v>597</v>
      </c>
      <c r="F645" s="3" t="s">
        <v>593</v>
      </c>
    </row>
    <row r="646" spans="1:6" x14ac:dyDescent="0.3">
      <c r="A646" s="3" t="s">
        <v>79</v>
      </c>
      <c r="B646" s="3" t="s">
        <v>66</v>
      </c>
      <c r="C646" s="3" t="str">
        <f t="shared" si="10"/>
        <v>4500139295140</v>
      </c>
      <c r="D646" s="4">
        <v>46293</v>
      </c>
      <c r="E646" s="3" t="s">
        <v>597</v>
      </c>
      <c r="F646" s="3" t="s">
        <v>593</v>
      </c>
    </row>
    <row r="647" spans="1:6" x14ac:dyDescent="0.3">
      <c r="A647" s="3" t="s">
        <v>79</v>
      </c>
      <c r="B647" s="3" t="s">
        <v>87</v>
      </c>
      <c r="C647" s="3" t="str">
        <f t="shared" si="10"/>
        <v>4500139295150</v>
      </c>
      <c r="D647" s="4">
        <v>46293</v>
      </c>
      <c r="E647" s="3" t="s">
        <v>597</v>
      </c>
      <c r="F647" s="3" t="s">
        <v>593</v>
      </c>
    </row>
    <row r="648" spans="1:6" x14ac:dyDescent="0.3">
      <c r="A648" s="3" t="s">
        <v>79</v>
      </c>
      <c r="B648" s="3" t="s">
        <v>88</v>
      </c>
      <c r="C648" s="3" t="str">
        <f t="shared" si="10"/>
        <v>4500139295160</v>
      </c>
      <c r="D648" s="4">
        <v>46293</v>
      </c>
      <c r="E648" s="3" t="s">
        <v>597</v>
      </c>
      <c r="F648" s="3" t="s">
        <v>593</v>
      </c>
    </row>
    <row r="649" spans="1:6" x14ac:dyDescent="0.3">
      <c r="A649" s="3" t="s">
        <v>79</v>
      </c>
      <c r="B649" s="3" t="s">
        <v>67</v>
      </c>
      <c r="C649" s="3" t="str">
        <f t="shared" si="10"/>
        <v>4500139295170</v>
      </c>
      <c r="D649" s="4">
        <v>46293</v>
      </c>
      <c r="E649" s="3" t="s">
        <v>597</v>
      </c>
      <c r="F649" s="3" t="s">
        <v>593</v>
      </c>
    </row>
    <row r="650" spans="1:6" x14ac:dyDescent="0.3">
      <c r="A650" s="3" t="s">
        <v>146</v>
      </c>
      <c r="B650" s="3" t="s">
        <v>32</v>
      </c>
      <c r="C650" s="3" t="str">
        <f t="shared" si="10"/>
        <v>450013929910</v>
      </c>
      <c r="D650" s="4">
        <v>46295</v>
      </c>
      <c r="E650" s="3" t="s">
        <v>618</v>
      </c>
      <c r="F650" s="3" t="s">
        <v>686</v>
      </c>
    </row>
    <row r="651" spans="1:6" x14ac:dyDescent="0.3">
      <c r="A651" s="3" t="s">
        <v>146</v>
      </c>
      <c r="B651" s="3" t="s">
        <v>55</v>
      </c>
      <c r="C651" s="3" t="str">
        <f t="shared" si="10"/>
        <v>450013929950</v>
      </c>
      <c r="D651" s="4">
        <v>46295</v>
      </c>
      <c r="E651" s="3" t="s">
        <v>618</v>
      </c>
      <c r="F651" s="3" t="s">
        <v>686</v>
      </c>
    </row>
    <row r="652" spans="1:6" x14ac:dyDescent="0.3">
      <c r="A652" s="3" t="s">
        <v>146</v>
      </c>
      <c r="B652" s="3" t="s">
        <v>82</v>
      </c>
      <c r="C652" s="3" t="str">
        <f t="shared" si="10"/>
        <v>450013929980</v>
      </c>
      <c r="D652" s="4">
        <v>46295</v>
      </c>
      <c r="E652" s="3" t="s">
        <v>618</v>
      </c>
      <c r="F652" s="3" t="s">
        <v>686</v>
      </c>
    </row>
    <row r="653" spans="1:6" x14ac:dyDescent="0.3">
      <c r="A653" s="3" t="s">
        <v>461</v>
      </c>
      <c r="B653" s="3" t="s">
        <v>23</v>
      </c>
      <c r="C653" s="3" t="str">
        <f t="shared" si="10"/>
        <v>450013930340</v>
      </c>
      <c r="D653" s="4">
        <v>46295</v>
      </c>
      <c r="E653" s="3" t="s">
        <v>618</v>
      </c>
      <c r="F653" s="3" t="s">
        <v>619</v>
      </c>
    </row>
    <row r="654" spans="1:6" x14ac:dyDescent="0.3">
      <c r="A654" s="3" t="s">
        <v>461</v>
      </c>
      <c r="B654" s="3" t="s">
        <v>81</v>
      </c>
      <c r="C654" s="3" t="str">
        <f t="shared" si="10"/>
        <v>450013930370</v>
      </c>
      <c r="D654" s="4">
        <v>46295</v>
      </c>
      <c r="E654" s="3" t="s">
        <v>618</v>
      </c>
      <c r="F654" s="3" t="s">
        <v>619</v>
      </c>
    </row>
    <row r="655" spans="1:6" x14ac:dyDescent="0.3">
      <c r="A655" s="3" t="s">
        <v>100</v>
      </c>
      <c r="B655" s="3" t="s">
        <v>32</v>
      </c>
      <c r="C655" s="3" t="str">
        <f t="shared" si="10"/>
        <v>450013932610</v>
      </c>
      <c r="D655" s="4">
        <v>46304</v>
      </c>
      <c r="E655" s="3" t="s">
        <v>599</v>
      </c>
      <c r="F655" s="3" t="s">
        <v>600</v>
      </c>
    </row>
    <row r="656" spans="1:6" x14ac:dyDescent="0.3">
      <c r="A656" s="3" t="s">
        <v>100</v>
      </c>
      <c r="B656" s="3" t="s">
        <v>28</v>
      </c>
      <c r="C656" s="3" t="str">
        <f t="shared" si="10"/>
        <v>450013932620</v>
      </c>
      <c r="D656" s="4">
        <v>46304</v>
      </c>
      <c r="E656" s="3" t="s">
        <v>599</v>
      </c>
      <c r="F656" s="3" t="s">
        <v>600</v>
      </c>
    </row>
    <row r="657" spans="1:6" x14ac:dyDescent="0.3">
      <c r="A657" s="3" t="s">
        <v>100</v>
      </c>
      <c r="B657" s="3" t="s">
        <v>54</v>
      </c>
      <c r="C657" s="3" t="str">
        <f t="shared" si="10"/>
        <v>450013932630</v>
      </c>
      <c r="D657" s="4">
        <v>46304</v>
      </c>
      <c r="E657" s="3" t="s">
        <v>599</v>
      </c>
      <c r="F657" s="3" t="s">
        <v>600</v>
      </c>
    </row>
    <row r="658" spans="1:6" x14ac:dyDescent="0.3">
      <c r="A658" s="3" t="s">
        <v>100</v>
      </c>
      <c r="B658" s="3" t="s">
        <v>23</v>
      </c>
      <c r="C658" s="3" t="str">
        <f t="shared" si="10"/>
        <v>450013932640</v>
      </c>
      <c r="D658" s="4">
        <v>46304</v>
      </c>
      <c r="E658" s="3" t="s">
        <v>599</v>
      </c>
      <c r="F658" s="3" t="s">
        <v>600</v>
      </c>
    </row>
    <row r="659" spans="1:6" x14ac:dyDescent="0.3">
      <c r="A659" s="3" t="s">
        <v>535</v>
      </c>
      <c r="B659" s="3" t="s">
        <v>32</v>
      </c>
      <c r="C659" s="3" t="str">
        <f t="shared" si="10"/>
        <v>450013935910</v>
      </c>
      <c r="D659" s="4">
        <v>46296</v>
      </c>
      <c r="E659" s="3" t="s">
        <v>597</v>
      </c>
      <c r="F659" s="3" t="s">
        <v>593</v>
      </c>
    </row>
    <row r="660" spans="1:6" x14ac:dyDescent="0.3">
      <c r="A660" s="3" t="s">
        <v>488</v>
      </c>
      <c r="B660" s="3" t="s">
        <v>32</v>
      </c>
      <c r="C660" s="3" t="str">
        <f t="shared" si="10"/>
        <v>450013941710</v>
      </c>
      <c r="D660" s="4">
        <v>46297</v>
      </c>
      <c r="E660" s="3" t="s">
        <v>595</v>
      </c>
      <c r="F660" s="3" t="s">
        <v>612</v>
      </c>
    </row>
    <row r="661" spans="1:6" x14ac:dyDescent="0.3">
      <c r="A661" s="3" t="s">
        <v>488</v>
      </c>
      <c r="B661" s="3" t="s">
        <v>28</v>
      </c>
      <c r="C661" s="3" t="str">
        <f t="shared" si="10"/>
        <v>450013941720</v>
      </c>
      <c r="D661" s="4">
        <v>46297</v>
      </c>
      <c r="E661" s="3" t="s">
        <v>595</v>
      </c>
      <c r="F661" s="3" t="s">
        <v>612</v>
      </c>
    </row>
    <row r="662" spans="1:6" x14ac:dyDescent="0.3">
      <c r="A662" s="3" t="s">
        <v>488</v>
      </c>
      <c r="B662" s="3" t="s">
        <v>54</v>
      </c>
      <c r="C662" s="3" t="str">
        <f t="shared" si="10"/>
        <v>450013941730</v>
      </c>
      <c r="D662" s="4">
        <v>46297</v>
      </c>
      <c r="E662" s="3" t="s">
        <v>595</v>
      </c>
      <c r="F662" s="3" t="s">
        <v>612</v>
      </c>
    </row>
    <row r="663" spans="1:6" x14ac:dyDescent="0.3">
      <c r="A663" s="3" t="s">
        <v>488</v>
      </c>
      <c r="B663" s="3" t="s">
        <v>23</v>
      </c>
      <c r="C663" s="3" t="str">
        <f t="shared" si="10"/>
        <v>450013941740</v>
      </c>
      <c r="D663" s="4">
        <v>46297</v>
      </c>
      <c r="E663" s="3" t="s">
        <v>595</v>
      </c>
      <c r="F663" s="3" t="s">
        <v>612</v>
      </c>
    </row>
    <row r="664" spans="1:6" x14ac:dyDescent="0.3">
      <c r="A664" s="3" t="s">
        <v>581</v>
      </c>
      <c r="B664" s="3" t="s">
        <v>32</v>
      </c>
      <c r="C664" s="3" t="str">
        <f t="shared" si="10"/>
        <v>450013942110</v>
      </c>
      <c r="D664" s="4">
        <v>46297</v>
      </c>
      <c r="E664" s="3" t="s">
        <v>618</v>
      </c>
      <c r="F664" s="3" t="s">
        <v>694</v>
      </c>
    </row>
    <row r="665" spans="1:6" x14ac:dyDescent="0.3">
      <c r="A665" s="3" t="s">
        <v>120</v>
      </c>
      <c r="B665" s="3" t="s">
        <v>32</v>
      </c>
      <c r="C665" s="3" t="str">
        <f t="shared" si="10"/>
        <v>450013946010</v>
      </c>
      <c r="D665" s="4">
        <v>46297</v>
      </c>
      <c r="E665" s="3" t="s">
        <v>599</v>
      </c>
      <c r="F665" s="3" t="s">
        <v>657</v>
      </c>
    </row>
    <row r="666" spans="1:6" x14ac:dyDescent="0.3">
      <c r="A666" s="3" t="s">
        <v>120</v>
      </c>
      <c r="B666" s="3" t="s">
        <v>28</v>
      </c>
      <c r="C666" s="3" t="str">
        <f t="shared" si="10"/>
        <v>450013946020</v>
      </c>
      <c r="D666" s="4">
        <v>46297</v>
      </c>
      <c r="E666" s="3" t="s">
        <v>599</v>
      </c>
      <c r="F666" s="3" t="s">
        <v>657</v>
      </c>
    </row>
    <row r="667" spans="1:6" x14ac:dyDescent="0.3">
      <c r="A667" s="3" t="s">
        <v>98</v>
      </c>
      <c r="B667" s="3" t="s">
        <v>32</v>
      </c>
      <c r="C667" s="3" t="str">
        <f t="shared" si="10"/>
        <v>450013948110</v>
      </c>
      <c r="D667" s="4">
        <v>46304</v>
      </c>
      <c r="E667" s="3" t="s">
        <v>592</v>
      </c>
      <c r="F667" s="3" t="s">
        <v>695</v>
      </c>
    </row>
    <row r="668" spans="1:6" x14ac:dyDescent="0.3">
      <c r="A668" s="3" t="s">
        <v>483</v>
      </c>
      <c r="B668" s="3" t="s">
        <v>32</v>
      </c>
      <c r="C668" s="3" t="str">
        <f t="shared" si="10"/>
        <v>450013951310</v>
      </c>
      <c r="D668" s="4">
        <v>46269</v>
      </c>
      <c r="E668" s="3" t="s">
        <v>604</v>
      </c>
      <c r="F668" s="3" t="s">
        <v>607</v>
      </c>
    </row>
    <row r="669" spans="1:6" x14ac:dyDescent="0.3">
      <c r="A669" s="3" t="s">
        <v>483</v>
      </c>
      <c r="B669" s="3" t="s">
        <v>28</v>
      </c>
      <c r="C669" s="3" t="str">
        <f t="shared" si="10"/>
        <v>450013951320</v>
      </c>
      <c r="D669" s="4">
        <v>46269</v>
      </c>
      <c r="E669" s="3" t="s">
        <v>604</v>
      </c>
      <c r="F669" s="3" t="s">
        <v>607</v>
      </c>
    </row>
    <row r="670" spans="1:6" x14ac:dyDescent="0.3">
      <c r="A670" s="3" t="s">
        <v>483</v>
      </c>
      <c r="B670" s="3" t="s">
        <v>23</v>
      </c>
      <c r="C670" s="3" t="str">
        <f t="shared" si="10"/>
        <v>450013951340</v>
      </c>
      <c r="D670" s="4">
        <v>46304</v>
      </c>
      <c r="E670" s="3" t="s">
        <v>604</v>
      </c>
      <c r="F670" s="3" t="s">
        <v>607</v>
      </c>
    </row>
    <row r="671" spans="1:6" x14ac:dyDescent="0.3">
      <c r="A671" s="3" t="s">
        <v>483</v>
      </c>
      <c r="B671" s="3" t="s">
        <v>55</v>
      </c>
      <c r="C671" s="3" t="str">
        <f t="shared" si="10"/>
        <v>450013951350</v>
      </c>
      <c r="D671" s="4">
        <v>46304</v>
      </c>
      <c r="E671" s="3" t="s">
        <v>604</v>
      </c>
      <c r="F671" s="3" t="s">
        <v>607</v>
      </c>
    </row>
    <row r="672" spans="1:6" x14ac:dyDescent="0.3">
      <c r="A672" s="3" t="s">
        <v>483</v>
      </c>
      <c r="B672" s="3" t="s">
        <v>80</v>
      </c>
      <c r="C672" s="3" t="str">
        <f t="shared" si="10"/>
        <v>450013951360</v>
      </c>
      <c r="D672" s="4">
        <v>46304</v>
      </c>
      <c r="E672" s="3" t="s">
        <v>604</v>
      </c>
      <c r="F672" s="3" t="s">
        <v>607</v>
      </c>
    </row>
    <row r="673" spans="1:6" x14ac:dyDescent="0.3">
      <c r="A673" s="3" t="s">
        <v>466</v>
      </c>
      <c r="B673" s="3" t="s">
        <v>32</v>
      </c>
      <c r="C673" s="3" t="str">
        <f t="shared" si="10"/>
        <v>450013951410</v>
      </c>
      <c r="D673" s="4">
        <v>46301</v>
      </c>
      <c r="E673" s="3" t="s">
        <v>668</v>
      </c>
      <c r="F673" s="3" t="s">
        <v>669</v>
      </c>
    </row>
    <row r="674" spans="1:6" x14ac:dyDescent="0.3">
      <c r="A674" s="3" t="s">
        <v>482</v>
      </c>
      <c r="B674" s="3" t="s">
        <v>32</v>
      </c>
      <c r="C674" s="3" t="str">
        <f t="shared" si="10"/>
        <v>450013951810</v>
      </c>
      <c r="D674" s="4">
        <v>46269</v>
      </c>
      <c r="E674" s="3" t="s">
        <v>604</v>
      </c>
      <c r="F674" s="3" t="s">
        <v>607</v>
      </c>
    </row>
    <row r="675" spans="1:6" x14ac:dyDescent="0.3">
      <c r="A675" s="3" t="s">
        <v>482</v>
      </c>
      <c r="B675" s="3" t="s">
        <v>28</v>
      </c>
      <c r="C675" s="3" t="str">
        <f t="shared" si="10"/>
        <v>450013951820</v>
      </c>
      <c r="D675" s="4">
        <v>46284</v>
      </c>
      <c r="E675" s="3" t="s">
        <v>604</v>
      </c>
      <c r="F675" s="3" t="s">
        <v>607</v>
      </c>
    </row>
    <row r="676" spans="1:6" x14ac:dyDescent="0.3">
      <c r="A676" s="3" t="s">
        <v>482</v>
      </c>
      <c r="B676" s="3" t="s">
        <v>54</v>
      </c>
      <c r="C676" s="3" t="str">
        <f t="shared" si="10"/>
        <v>450013951830</v>
      </c>
      <c r="D676" s="4">
        <v>46286</v>
      </c>
      <c r="E676" s="3" t="s">
        <v>604</v>
      </c>
      <c r="F676" s="3" t="s">
        <v>607</v>
      </c>
    </row>
    <row r="677" spans="1:6" x14ac:dyDescent="0.3">
      <c r="A677" s="3" t="s">
        <v>482</v>
      </c>
      <c r="B677" s="3" t="s">
        <v>23</v>
      </c>
      <c r="C677" s="3" t="str">
        <f t="shared" si="10"/>
        <v>450013951840</v>
      </c>
      <c r="D677" s="4">
        <v>46286</v>
      </c>
      <c r="E677" s="3" t="s">
        <v>604</v>
      </c>
      <c r="F677" s="3" t="s">
        <v>607</v>
      </c>
    </row>
    <row r="678" spans="1:6" x14ac:dyDescent="0.3">
      <c r="A678" s="3" t="s">
        <v>482</v>
      </c>
      <c r="B678" s="3" t="s">
        <v>80</v>
      </c>
      <c r="C678" s="3" t="str">
        <f t="shared" si="10"/>
        <v>450013951860</v>
      </c>
      <c r="D678" s="4">
        <v>46302</v>
      </c>
      <c r="E678" s="3" t="s">
        <v>604</v>
      </c>
      <c r="F678" s="3" t="s">
        <v>607</v>
      </c>
    </row>
    <row r="679" spans="1:6" x14ac:dyDescent="0.3">
      <c r="A679" s="3" t="s">
        <v>482</v>
      </c>
      <c r="B679" s="3" t="s">
        <v>81</v>
      </c>
      <c r="C679" s="3" t="str">
        <f t="shared" si="10"/>
        <v>450013951870</v>
      </c>
      <c r="D679" s="4">
        <v>46302</v>
      </c>
      <c r="E679" s="3" t="s">
        <v>604</v>
      </c>
      <c r="F679" s="3" t="s">
        <v>607</v>
      </c>
    </row>
    <row r="680" spans="1:6" x14ac:dyDescent="0.3">
      <c r="A680" s="3" t="s">
        <v>482</v>
      </c>
      <c r="B680" s="3" t="s">
        <v>83</v>
      </c>
      <c r="C680" s="3" t="str">
        <f t="shared" si="10"/>
        <v>450013951890</v>
      </c>
      <c r="D680" s="4">
        <v>46316</v>
      </c>
      <c r="E680" s="3" t="s">
        <v>604</v>
      </c>
      <c r="F680" s="3" t="s">
        <v>607</v>
      </c>
    </row>
    <row r="681" spans="1:6" x14ac:dyDescent="0.3">
      <c r="A681" s="3" t="s">
        <v>482</v>
      </c>
      <c r="B681" s="3" t="s">
        <v>84</v>
      </c>
      <c r="C681" s="3" t="str">
        <f t="shared" si="10"/>
        <v>4500139518100</v>
      </c>
      <c r="D681" s="4">
        <v>46316</v>
      </c>
      <c r="E681" s="3" t="s">
        <v>604</v>
      </c>
      <c r="F681" s="3" t="s">
        <v>607</v>
      </c>
    </row>
    <row r="682" spans="1:6" x14ac:dyDescent="0.3">
      <c r="A682" s="3" t="s">
        <v>558</v>
      </c>
      <c r="B682" s="3" t="s">
        <v>32</v>
      </c>
      <c r="C682" s="3" t="str">
        <f t="shared" si="10"/>
        <v>450013958510</v>
      </c>
      <c r="D682" s="4">
        <v>46295</v>
      </c>
      <c r="E682" s="3" t="s">
        <v>597</v>
      </c>
      <c r="F682" s="3" t="s">
        <v>638</v>
      </c>
    </row>
    <row r="683" spans="1:6" x14ac:dyDescent="0.3">
      <c r="A683" s="3" t="s">
        <v>558</v>
      </c>
      <c r="B683" s="3" t="s">
        <v>28</v>
      </c>
      <c r="C683" s="3" t="str">
        <f t="shared" si="10"/>
        <v>450013958520</v>
      </c>
      <c r="D683" s="4">
        <v>46295</v>
      </c>
      <c r="E683" s="3" t="s">
        <v>597</v>
      </c>
      <c r="F683" s="3" t="s">
        <v>638</v>
      </c>
    </row>
    <row r="684" spans="1:6" x14ac:dyDescent="0.3">
      <c r="A684" s="3" t="s">
        <v>558</v>
      </c>
      <c r="B684" s="3" t="s">
        <v>54</v>
      </c>
      <c r="C684" s="3" t="str">
        <f t="shared" si="10"/>
        <v>450013958530</v>
      </c>
      <c r="D684" s="4">
        <v>46295</v>
      </c>
      <c r="E684" s="3" t="s">
        <v>597</v>
      </c>
      <c r="F684" s="3" t="s">
        <v>638</v>
      </c>
    </row>
    <row r="685" spans="1:6" x14ac:dyDescent="0.3">
      <c r="A685" s="3" t="s">
        <v>561</v>
      </c>
      <c r="B685" s="3" t="s">
        <v>32</v>
      </c>
      <c r="C685" s="3" t="str">
        <f t="shared" si="10"/>
        <v>450013958610</v>
      </c>
      <c r="D685" s="4">
        <v>46294</v>
      </c>
      <c r="E685" s="3" t="s">
        <v>597</v>
      </c>
      <c r="F685" s="3" t="s">
        <v>694</v>
      </c>
    </row>
    <row r="686" spans="1:6" x14ac:dyDescent="0.3">
      <c r="A686" s="3" t="s">
        <v>514</v>
      </c>
      <c r="B686" s="3" t="s">
        <v>32</v>
      </c>
      <c r="C686" s="3" t="str">
        <f t="shared" si="10"/>
        <v>450013958810</v>
      </c>
      <c r="D686" s="4">
        <v>46297</v>
      </c>
      <c r="E686" s="3" t="s">
        <v>597</v>
      </c>
      <c r="F686" s="3" t="s">
        <v>696</v>
      </c>
    </row>
    <row r="687" spans="1:6" x14ac:dyDescent="0.3">
      <c r="A687" s="3" t="s">
        <v>514</v>
      </c>
      <c r="B687" s="3" t="s">
        <v>28</v>
      </c>
      <c r="C687" s="3" t="str">
        <f t="shared" si="10"/>
        <v>450013958820</v>
      </c>
      <c r="D687" s="4">
        <v>46297</v>
      </c>
      <c r="E687" s="3" t="s">
        <v>597</v>
      </c>
      <c r="F687" s="3" t="s">
        <v>696</v>
      </c>
    </row>
    <row r="688" spans="1:6" x14ac:dyDescent="0.3">
      <c r="A688" s="3" t="s">
        <v>110</v>
      </c>
      <c r="B688" s="3" t="s">
        <v>32</v>
      </c>
      <c r="C688" s="3" t="str">
        <f t="shared" si="10"/>
        <v>450013961810</v>
      </c>
      <c r="D688" s="4">
        <v>46294</v>
      </c>
      <c r="E688" s="3" t="s">
        <v>597</v>
      </c>
      <c r="F688" s="3" t="s">
        <v>687</v>
      </c>
    </row>
    <row r="689" spans="1:6" x14ac:dyDescent="0.3">
      <c r="A689" s="3" t="s">
        <v>113</v>
      </c>
      <c r="B689" s="3" t="s">
        <v>32</v>
      </c>
      <c r="C689" s="3" t="str">
        <f t="shared" si="10"/>
        <v>450013962110</v>
      </c>
      <c r="D689" s="4">
        <v>46294</v>
      </c>
      <c r="E689" s="3" t="s">
        <v>597</v>
      </c>
      <c r="F689" s="3" t="s">
        <v>642</v>
      </c>
    </row>
    <row r="690" spans="1:6" x14ac:dyDescent="0.3">
      <c r="A690" s="3" t="s">
        <v>143</v>
      </c>
      <c r="B690" s="3" t="s">
        <v>28</v>
      </c>
      <c r="C690" s="3" t="str">
        <f t="shared" si="10"/>
        <v>450013962320</v>
      </c>
      <c r="D690" s="4">
        <v>46318</v>
      </c>
      <c r="E690" s="3" t="s">
        <v>592</v>
      </c>
      <c r="F690" s="3" t="s">
        <v>593</v>
      </c>
    </row>
    <row r="691" spans="1:6" x14ac:dyDescent="0.3">
      <c r="A691" s="3" t="s">
        <v>143</v>
      </c>
      <c r="B691" s="3" t="s">
        <v>54</v>
      </c>
      <c r="C691" s="3" t="str">
        <f t="shared" si="10"/>
        <v>450013962330</v>
      </c>
      <c r="D691" s="4">
        <v>46318</v>
      </c>
      <c r="E691" s="3" t="s">
        <v>592</v>
      </c>
      <c r="F691" s="3" t="s">
        <v>593</v>
      </c>
    </row>
    <row r="692" spans="1:6" x14ac:dyDescent="0.3">
      <c r="A692" s="3" t="s">
        <v>143</v>
      </c>
      <c r="B692" s="3" t="s">
        <v>23</v>
      </c>
      <c r="C692" s="3" t="str">
        <f t="shared" si="10"/>
        <v>450013962340</v>
      </c>
      <c r="D692" s="4">
        <v>46318</v>
      </c>
      <c r="E692" s="3" t="s">
        <v>592</v>
      </c>
      <c r="F692" s="3" t="s">
        <v>593</v>
      </c>
    </row>
    <row r="693" spans="1:6" x14ac:dyDescent="0.3">
      <c r="A693" s="3" t="s">
        <v>143</v>
      </c>
      <c r="B693" s="3" t="s">
        <v>55</v>
      </c>
      <c r="C693" s="3" t="str">
        <f t="shared" si="10"/>
        <v>450013962350</v>
      </c>
      <c r="D693" s="4">
        <v>46318</v>
      </c>
      <c r="E693" s="3" t="s">
        <v>592</v>
      </c>
      <c r="F693" s="3" t="s">
        <v>593</v>
      </c>
    </row>
    <row r="694" spans="1:6" x14ac:dyDescent="0.3">
      <c r="A694" s="3" t="s">
        <v>143</v>
      </c>
      <c r="B694" s="3" t="s">
        <v>81</v>
      </c>
      <c r="C694" s="3" t="str">
        <f t="shared" si="10"/>
        <v>450013962370</v>
      </c>
      <c r="D694" s="4">
        <v>46318</v>
      </c>
      <c r="E694" s="3" t="s">
        <v>592</v>
      </c>
      <c r="F694" s="3" t="s">
        <v>593</v>
      </c>
    </row>
    <row r="695" spans="1:6" x14ac:dyDescent="0.3">
      <c r="A695" s="3" t="s">
        <v>143</v>
      </c>
      <c r="B695" s="3" t="s">
        <v>83</v>
      </c>
      <c r="C695" s="3" t="str">
        <f t="shared" si="10"/>
        <v>450013962390</v>
      </c>
      <c r="D695" s="4">
        <v>46318</v>
      </c>
      <c r="E695" s="3" t="s">
        <v>592</v>
      </c>
      <c r="F695" s="3" t="s">
        <v>593</v>
      </c>
    </row>
    <row r="696" spans="1:6" x14ac:dyDescent="0.3">
      <c r="A696" s="3" t="s">
        <v>143</v>
      </c>
      <c r="B696" s="3" t="s">
        <v>84</v>
      </c>
      <c r="C696" s="3" t="str">
        <f t="shared" si="10"/>
        <v>4500139623100</v>
      </c>
      <c r="D696" s="4">
        <v>46318</v>
      </c>
      <c r="E696" s="3" t="s">
        <v>592</v>
      </c>
      <c r="F696" s="3" t="s">
        <v>593</v>
      </c>
    </row>
    <row r="697" spans="1:6" x14ac:dyDescent="0.3">
      <c r="A697" s="3" t="s">
        <v>143</v>
      </c>
      <c r="B697" s="3" t="s">
        <v>85</v>
      </c>
      <c r="C697" s="3" t="str">
        <f t="shared" si="10"/>
        <v>4500139623110</v>
      </c>
      <c r="D697" s="4">
        <v>46318</v>
      </c>
      <c r="E697" s="3" t="s">
        <v>592</v>
      </c>
      <c r="F697" s="3" t="s">
        <v>593</v>
      </c>
    </row>
    <row r="698" spans="1:6" x14ac:dyDescent="0.3">
      <c r="A698" s="3" t="s">
        <v>143</v>
      </c>
      <c r="B698" s="3" t="s">
        <v>86</v>
      </c>
      <c r="C698" s="3" t="str">
        <f t="shared" si="10"/>
        <v>4500139623120</v>
      </c>
      <c r="D698" s="4">
        <v>46318</v>
      </c>
      <c r="E698" s="3" t="s">
        <v>592</v>
      </c>
      <c r="F698" s="3" t="s">
        <v>593</v>
      </c>
    </row>
    <row r="699" spans="1:6" x14ac:dyDescent="0.3">
      <c r="A699" s="3" t="s">
        <v>563</v>
      </c>
      <c r="B699" s="3" t="s">
        <v>32</v>
      </c>
      <c r="C699" s="3" t="str">
        <f t="shared" si="10"/>
        <v>450013967710</v>
      </c>
      <c r="D699" s="4">
        <v>46296</v>
      </c>
      <c r="E699" s="3" t="s">
        <v>597</v>
      </c>
      <c r="F699" s="3" t="s">
        <v>667</v>
      </c>
    </row>
    <row r="700" spans="1:6" x14ac:dyDescent="0.3">
      <c r="A700" s="3" t="s">
        <v>539</v>
      </c>
      <c r="B700" s="3" t="s">
        <v>32</v>
      </c>
      <c r="C700" s="3" t="str">
        <f t="shared" si="10"/>
        <v>450013972010</v>
      </c>
      <c r="D700" s="4">
        <v>46304</v>
      </c>
      <c r="E700" s="3" t="s">
        <v>595</v>
      </c>
      <c r="F700" s="3" t="s">
        <v>596</v>
      </c>
    </row>
    <row r="701" spans="1:6" x14ac:dyDescent="0.3">
      <c r="A701" s="3" t="s">
        <v>539</v>
      </c>
      <c r="B701" s="3" t="s">
        <v>28</v>
      </c>
      <c r="C701" s="3" t="str">
        <f t="shared" si="10"/>
        <v>450013972020</v>
      </c>
      <c r="D701" s="4">
        <v>46304</v>
      </c>
      <c r="E701" s="3" t="s">
        <v>595</v>
      </c>
      <c r="F701" s="3" t="s">
        <v>596</v>
      </c>
    </row>
    <row r="702" spans="1:6" x14ac:dyDescent="0.3">
      <c r="A702" s="3" t="s">
        <v>539</v>
      </c>
      <c r="B702" s="3" t="s">
        <v>54</v>
      </c>
      <c r="C702" s="3" t="str">
        <f t="shared" si="10"/>
        <v>450013972030</v>
      </c>
      <c r="D702" s="4">
        <v>46304</v>
      </c>
      <c r="E702" s="3" t="s">
        <v>595</v>
      </c>
      <c r="F702" s="3" t="s">
        <v>596</v>
      </c>
    </row>
    <row r="703" spans="1:6" x14ac:dyDescent="0.3">
      <c r="A703" s="3" t="s">
        <v>539</v>
      </c>
      <c r="B703" s="3" t="s">
        <v>23</v>
      </c>
      <c r="C703" s="3" t="str">
        <f t="shared" si="10"/>
        <v>450013972040</v>
      </c>
      <c r="D703" s="4">
        <v>46304</v>
      </c>
      <c r="E703" s="3" t="s">
        <v>595</v>
      </c>
      <c r="F703" s="3" t="s">
        <v>596</v>
      </c>
    </row>
    <row r="704" spans="1:6" x14ac:dyDescent="0.3">
      <c r="A704" s="3" t="s">
        <v>539</v>
      </c>
      <c r="B704" s="3" t="s">
        <v>55</v>
      </c>
      <c r="C704" s="3" t="str">
        <f t="shared" si="10"/>
        <v>450013972050</v>
      </c>
      <c r="D704" s="4">
        <v>46304</v>
      </c>
      <c r="E704" s="3" t="s">
        <v>595</v>
      </c>
      <c r="F704" s="3" t="s">
        <v>596</v>
      </c>
    </row>
    <row r="705" spans="1:6" x14ac:dyDescent="0.3">
      <c r="A705" s="3" t="s">
        <v>539</v>
      </c>
      <c r="B705" s="3" t="s">
        <v>80</v>
      </c>
      <c r="C705" s="3" t="str">
        <f t="shared" si="10"/>
        <v>450013972060</v>
      </c>
      <c r="D705" s="4">
        <v>46304</v>
      </c>
      <c r="E705" s="3" t="s">
        <v>595</v>
      </c>
      <c r="F705" s="3" t="s">
        <v>596</v>
      </c>
    </row>
    <row r="706" spans="1:6" x14ac:dyDescent="0.3">
      <c r="A706" s="3" t="s">
        <v>539</v>
      </c>
      <c r="B706" s="3" t="s">
        <v>81</v>
      </c>
      <c r="C706" s="3" t="str">
        <f t="shared" si="10"/>
        <v>450013972070</v>
      </c>
      <c r="D706" s="4">
        <v>46304</v>
      </c>
      <c r="E706" s="3" t="s">
        <v>595</v>
      </c>
      <c r="F706" s="3" t="s">
        <v>596</v>
      </c>
    </row>
    <row r="707" spans="1:6" x14ac:dyDescent="0.3">
      <c r="A707" s="3" t="s">
        <v>539</v>
      </c>
      <c r="B707" s="3" t="s">
        <v>82</v>
      </c>
      <c r="C707" s="3" t="str">
        <f t="shared" ref="C707:C770" si="11">_xlfn.CONCAT(A707:B707)</f>
        <v>450013972080</v>
      </c>
      <c r="D707" s="4">
        <v>46304</v>
      </c>
      <c r="E707" s="3" t="s">
        <v>595</v>
      </c>
      <c r="F707" s="3" t="s">
        <v>596</v>
      </c>
    </row>
    <row r="708" spans="1:6" x14ac:dyDescent="0.3">
      <c r="A708" s="3" t="s">
        <v>539</v>
      </c>
      <c r="B708" s="3" t="s">
        <v>83</v>
      </c>
      <c r="C708" s="3" t="str">
        <f t="shared" si="11"/>
        <v>450013972090</v>
      </c>
      <c r="D708" s="4">
        <v>46304</v>
      </c>
      <c r="E708" s="3" t="s">
        <v>595</v>
      </c>
      <c r="F708" s="3" t="s">
        <v>596</v>
      </c>
    </row>
    <row r="709" spans="1:6" x14ac:dyDescent="0.3">
      <c r="A709" s="3" t="s">
        <v>539</v>
      </c>
      <c r="B709" s="3" t="s">
        <v>84</v>
      </c>
      <c r="C709" s="3" t="str">
        <f t="shared" si="11"/>
        <v>4500139720100</v>
      </c>
      <c r="D709" s="4">
        <v>46304</v>
      </c>
      <c r="E709" s="3" t="s">
        <v>595</v>
      </c>
      <c r="F709" s="3" t="s">
        <v>596</v>
      </c>
    </row>
    <row r="710" spans="1:6" x14ac:dyDescent="0.3">
      <c r="A710" s="3" t="s">
        <v>539</v>
      </c>
      <c r="B710" s="3" t="s">
        <v>85</v>
      </c>
      <c r="C710" s="3" t="str">
        <f t="shared" si="11"/>
        <v>4500139720110</v>
      </c>
      <c r="D710" s="4">
        <v>46304</v>
      </c>
      <c r="E710" s="3" t="s">
        <v>595</v>
      </c>
      <c r="F710" s="3" t="s">
        <v>596</v>
      </c>
    </row>
    <row r="711" spans="1:6" x14ac:dyDescent="0.3">
      <c r="A711" s="3" t="s">
        <v>537</v>
      </c>
      <c r="B711" s="3" t="s">
        <v>32</v>
      </c>
      <c r="C711" s="3" t="str">
        <f t="shared" si="11"/>
        <v>450013974210</v>
      </c>
      <c r="D711" s="4">
        <v>46318</v>
      </c>
      <c r="E711" s="3" t="s">
        <v>592</v>
      </c>
      <c r="F711" s="3" t="s">
        <v>593</v>
      </c>
    </row>
    <row r="712" spans="1:6" x14ac:dyDescent="0.3">
      <c r="A712" s="3" t="s">
        <v>537</v>
      </c>
      <c r="B712" s="3" t="s">
        <v>28</v>
      </c>
      <c r="C712" s="3" t="str">
        <f t="shared" si="11"/>
        <v>450013974220</v>
      </c>
      <c r="D712" s="4">
        <v>46318</v>
      </c>
      <c r="E712" s="3" t="s">
        <v>592</v>
      </c>
      <c r="F712" s="3" t="s">
        <v>593</v>
      </c>
    </row>
    <row r="713" spans="1:6" x14ac:dyDescent="0.3">
      <c r="A713" s="3" t="s">
        <v>537</v>
      </c>
      <c r="B713" s="3" t="s">
        <v>23</v>
      </c>
      <c r="C713" s="3" t="str">
        <f t="shared" si="11"/>
        <v>450013974240</v>
      </c>
      <c r="D713" s="4">
        <v>46318</v>
      </c>
      <c r="E713" s="3" t="s">
        <v>592</v>
      </c>
      <c r="F713" s="3" t="s">
        <v>593</v>
      </c>
    </row>
    <row r="714" spans="1:6" x14ac:dyDescent="0.3">
      <c r="A714" s="3" t="s">
        <v>571</v>
      </c>
      <c r="B714" s="3" t="s">
        <v>28</v>
      </c>
      <c r="C714" s="3" t="str">
        <f t="shared" si="11"/>
        <v>450013974820</v>
      </c>
      <c r="D714" s="4">
        <v>46305</v>
      </c>
      <c r="E714" s="3" t="s">
        <v>595</v>
      </c>
      <c r="F714" s="3" t="s">
        <v>613</v>
      </c>
    </row>
    <row r="715" spans="1:6" x14ac:dyDescent="0.3">
      <c r="A715" s="3" t="s">
        <v>504</v>
      </c>
      <c r="B715" s="3" t="s">
        <v>32</v>
      </c>
      <c r="C715" s="3" t="str">
        <f t="shared" si="11"/>
        <v>450013975610</v>
      </c>
      <c r="D715" s="4">
        <v>46311</v>
      </c>
      <c r="E715" s="3" t="s">
        <v>599</v>
      </c>
      <c r="F715" s="3" t="s">
        <v>600</v>
      </c>
    </row>
    <row r="716" spans="1:6" x14ac:dyDescent="0.3">
      <c r="A716" s="3" t="s">
        <v>504</v>
      </c>
      <c r="B716" s="3" t="s">
        <v>28</v>
      </c>
      <c r="C716" s="3" t="str">
        <f t="shared" si="11"/>
        <v>450013975620</v>
      </c>
      <c r="D716" s="4">
        <v>46311</v>
      </c>
      <c r="E716" s="3" t="s">
        <v>599</v>
      </c>
      <c r="F716" s="3" t="s">
        <v>600</v>
      </c>
    </row>
    <row r="717" spans="1:6" x14ac:dyDescent="0.3">
      <c r="A717" s="3" t="s">
        <v>504</v>
      </c>
      <c r="B717" s="3" t="s">
        <v>54</v>
      </c>
      <c r="C717" s="3" t="str">
        <f t="shared" si="11"/>
        <v>450013975630</v>
      </c>
      <c r="D717" s="4">
        <v>46311</v>
      </c>
      <c r="E717" s="3" t="s">
        <v>599</v>
      </c>
      <c r="F717" s="3" t="s">
        <v>600</v>
      </c>
    </row>
    <row r="718" spans="1:6" x14ac:dyDescent="0.3">
      <c r="A718" s="3" t="s">
        <v>492</v>
      </c>
      <c r="B718" s="3" t="s">
        <v>32</v>
      </c>
      <c r="C718" s="3" t="str">
        <f t="shared" si="11"/>
        <v>450013976910</v>
      </c>
      <c r="D718" s="4">
        <v>46313</v>
      </c>
      <c r="E718" s="3" t="s">
        <v>604</v>
      </c>
      <c r="F718" s="3" t="s">
        <v>607</v>
      </c>
    </row>
    <row r="719" spans="1:6" x14ac:dyDescent="0.3">
      <c r="A719" s="3" t="s">
        <v>492</v>
      </c>
      <c r="B719" s="3" t="s">
        <v>28</v>
      </c>
      <c r="C719" s="3" t="str">
        <f t="shared" si="11"/>
        <v>450013976920</v>
      </c>
      <c r="D719" s="4">
        <v>46305</v>
      </c>
      <c r="E719" s="3" t="s">
        <v>604</v>
      </c>
      <c r="F719" s="3" t="s">
        <v>607</v>
      </c>
    </row>
    <row r="720" spans="1:6" x14ac:dyDescent="0.3">
      <c r="A720" s="3" t="s">
        <v>496</v>
      </c>
      <c r="B720" s="3" t="s">
        <v>32</v>
      </c>
      <c r="C720" s="3" t="str">
        <f t="shared" si="11"/>
        <v>450013977010</v>
      </c>
      <c r="D720" s="4">
        <v>46301</v>
      </c>
      <c r="E720" s="3" t="s">
        <v>597</v>
      </c>
      <c r="F720" s="3" t="s">
        <v>593</v>
      </c>
    </row>
    <row r="721" spans="1:6" x14ac:dyDescent="0.3">
      <c r="A721" s="3" t="s">
        <v>496</v>
      </c>
      <c r="B721" s="3" t="s">
        <v>28</v>
      </c>
      <c r="C721" s="3" t="str">
        <f t="shared" si="11"/>
        <v>450013977020</v>
      </c>
      <c r="D721" s="4">
        <v>46301</v>
      </c>
      <c r="E721" s="3" t="s">
        <v>597</v>
      </c>
      <c r="F721" s="3" t="s">
        <v>593</v>
      </c>
    </row>
    <row r="722" spans="1:6" x14ac:dyDescent="0.3">
      <c r="A722" s="3" t="s">
        <v>496</v>
      </c>
      <c r="B722" s="3" t="s">
        <v>54</v>
      </c>
      <c r="C722" s="3" t="str">
        <f t="shared" si="11"/>
        <v>450013977030</v>
      </c>
      <c r="D722" s="4">
        <v>46301</v>
      </c>
      <c r="E722" s="3" t="s">
        <v>597</v>
      </c>
      <c r="F722" s="3" t="s">
        <v>593</v>
      </c>
    </row>
    <row r="723" spans="1:6" x14ac:dyDescent="0.3">
      <c r="A723" s="3" t="s">
        <v>496</v>
      </c>
      <c r="B723" s="3" t="s">
        <v>23</v>
      </c>
      <c r="C723" s="3" t="str">
        <f t="shared" si="11"/>
        <v>450013977040</v>
      </c>
      <c r="D723" s="4">
        <v>46301</v>
      </c>
      <c r="E723" s="3" t="s">
        <v>597</v>
      </c>
      <c r="F723" s="3" t="s">
        <v>593</v>
      </c>
    </row>
    <row r="724" spans="1:6" x14ac:dyDescent="0.3">
      <c r="A724" s="3" t="s">
        <v>509</v>
      </c>
      <c r="B724" s="3" t="s">
        <v>85</v>
      </c>
      <c r="C724" s="3" t="str">
        <f t="shared" si="11"/>
        <v>4500139775110</v>
      </c>
      <c r="D724" s="4">
        <v>46301</v>
      </c>
      <c r="E724" s="3" t="s">
        <v>597</v>
      </c>
      <c r="F724" s="3" t="s">
        <v>593</v>
      </c>
    </row>
    <row r="725" spans="1:6" x14ac:dyDescent="0.3">
      <c r="A725" s="3" t="s">
        <v>509</v>
      </c>
      <c r="B725" s="3" t="s">
        <v>43</v>
      </c>
      <c r="C725" s="3" t="str">
        <f t="shared" si="11"/>
        <v>4500139775210</v>
      </c>
      <c r="D725" s="4">
        <v>46301</v>
      </c>
      <c r="E725" s="3" t="s">
        <v>597</v>
      </c>
      <c r="F725" s="3" t="s">
        <v>593</v>
      </c>
    </row>
    <row r="726" spans="1:6" x14ac:dyDescent="0.3">
      <c r="A726" s="3" t="s">
        <v>506</v>
      </c>
      <c r="B726" s="3" t="s">
        <v>54</v>
      </c>
      <c r="C726" s="3" t="str">
        <f t="shared" si="11"/>
        <v>450013978630</v>
      </c>
      <c r="D726" s="4">
        <v>46301</v>
      </c>
      <c r="E726" s="3" t="s">
        <v>597</v>
      </c>
      <c r="F726" s="3" t="s">
        <v>600</v>
      </c>
    </row>
    <row r="727" spans="1:6" x14ac:dyDescent="0.3">
      <c r="A727" s="3" t="s">
        <v>506</v>
      </c>
      <c r="B727" s="3" t="s">
        <v>23</v>
      </c>
      <c r="C727" s="3" t="str">
        <f t="shared" si="11"/>
        <v>450013978640</v>
      </c>
      <c r="D727" s="4">
        <v>46301</v>
      </c>
      <c r="E727" s="3" t="s">
        <v>597</v>
      </c>
      <c r="F727" s="3" t="s">
        <v>600</v>
      </c>
    </row>
    <row r="728" spans="1:6" x14ac:dyDescent="0.3">
      <c r="A728" s="3" t="s">
        <v>506</v>
      </c>
      <c r="B728" s="3" t="s">
        <v>55</v>
      </c>
      <c r="C728" s="3" t="str">
        <f t="shared" si="11"/>
        <v>450013978650</v>
      </c>
      <c r="D728" s="4">
        <v>46301</v>
      </c>
      <c r="E728" s="3" t="s">
        <v>597</v>
      </c>
      <c r="F728" s="3" t="s">
        <v>600</v>
      </c>
    </row>
    <row r="729" spans="1:6" x14ac:dyDescent="0.3">
      <c r="A729" s="3" t="s">
        <v>506</v>
      </c>
      <c r="B729" s="3" t="s">
        <v>80</v>
      </c>
      <c r="C729" s="3" t="str">
        <f t="shared" si="11"/>
        <v>450013978660</v>
      </c>
      <c r="D729" s="4">
        <v>46301</v>
      </c>
      <c r="E729" s="3" t="s">
        <v>597</v>
      </c>
      <c r="F729" s="3" t="s">
        <v>600</v>
      </c>
    </row>
    <row r="730" spans="1:6" x14ac:dyDescent="0.3">
      <c r="A730" s="3" t="s">
        <v>506</v>
      </c>
      <c r="B730" s="3" t="s">
        <v>81</v>
      </c>
      <c r="C730" s="3" t="str">
        <f t="shared" si="11"/>
        <v>450013978670</v>
      </c>
      <c r="D730" s="4">
        <v>46301</v>
      </c>
      <c r="E730" s="3" t="s">
        <v>597</v>
      </c>
      <c r="F730" s="3" t="s">
        <v>600</v>
      </c>
    </row>
    <row r="731" spans="1:6" x14ac:dyDescent="0.3">
      <c r="A731" s="3" t="s">
        <v>506</v>
      </c>
      <c r="B731" s="3" t="s">
        <v>82</v>
      </c>
      <c r="C731" s="3" t="str">
        <f t="shared" si="11"/>
        <v>450013978680</v>
      </c>
      <c r="D731" s="4">
        <v>46301</v>
      </c>
      <c r="E731" s="3" t="s">
        <v>597</v>
      </c>
      <c r="F731" s="3" t="s">
        <v>600</v>
      </c>
    </row>
    <row r="732" spans="1:6" x14ac:dyDescent="0.3">
      <c r="A732" s="3" t="s">
        <v>506</v>
      </c>
      <c r="B732" s="3" t="s">
        <v>83</v>
      </c>
      <c r="C732" s="3" t="str">
        <f t="shared" si="11"/>
        <v>450013978690</v>
      </c>
      <c r="D732" s="4">
        <v>46301</v>
      </c>
      <c r="E732" s="3" t="s">
        <v>597</v>
      </c>
      <c r="F732" s="3" t="s">
        <v>600</v>
      </c>
    </row>
    <row r="733" spans="1:6" x14ac:dyDescent="0.3">
      <c r="A733" s="3" t="s">
        <v>506</v>
      </c>
      <c r="B733" s="3" t="s">
        <v>84</v>
      </c>
      <c r="C733" s="3" t="str">
        <f t="shared" si="11"/>
        <v>4500139786100</v>
      </c>
      <c r="D733" s="4">
        <v>46301</v>
      </c>
      <c r="E733" s="3" t="s">
        <v>597</v>
      </c>
      <c r="F733" s="3" t="s">
        <v>600</v>
      </c>
    </row>
    <row r="734" spans="1:6" x14ac:dyDescent="0.3">
      <c r="A734" s="3" t="s">
        <v>506</v>
      </c>
      <c r="B734" s="3" t="s">
        <v>85</v>
      </c>
      <c r="C734" s="3" t="str">
        <f t="shared" si="11"/>
        <v>4500139786110</v>
      </c>
      <c r="D734" s="4">
        <v>46301</v>
      </c>
      <c r="E734" s="3" t="s">
        <v>597</v>
      </c>
      <c r="F734" s="3" t="s">
        <v>600</v>
      </c>
    </row>
    <row r="735" spans="1:6" x14ac:dyDescent="0.3">
      <c r="A735" s="3" t="s">
        <v>510</v>
      </c>
      <c r="B735" s="3" t="s">
        <v>28</v>
      </c>
      <c r="C735" s="3" t="str">
        <f t="shared" si="11"/>
        <v>450013979120</v>
      </c>
      <c r="D735" s="4">
        <v>46303</v>
      </c>
      <c r="E735" s="3" t="s">
        <v>597</v>
      </c>
      <c r="F735" s="3" t="s">
        <v>600</v>
      </c>
    </row>
    <row r="736" spans="1:6" x14ac:dyDescent="0.3">
      <c r="A736" s="3" t="s">
        <v>510</v>
      </c>
      <c r="B736" s="3" t="s">
        <v>54</v>
      </c>
      <c r="C736" s="3" t="str">
        <f t="shared" si="11"/>
        <v>450013979130</v>
      </c>
      <c r="D736" s="4">
        <v>46303</v>
      </c>
      <c r="E736" s="3" t="s">
        <v>597</v>
      </c>
      <c r="F736" s="3" t="s">
        <v>600</v>
      </c>
    </row>
    <row r="737" spans="1:6" x14ac:dyDescent="0.3">
      <c r="A737" s="3" t="s">
        <v>510</v>
      </c>
      <c r="B737" s="3" t="s">
        <v>23</v>
      </c>
      <c r="C737" s="3" t="str">
        <f t="shared" si="11"/>
        <v>450013979140</v>
      </c>
      <c r="D737" s="4">
        <v>46303</v>
      </c>
      <c r="E737" s="3" t="s">
        <v>597</v>
      </c>
      <c r="F737" s="3" t="s">
        <v>600</v>
      </c>
    </row>
    <row r="738" spans="1:6" x14ac:dyDescent="0.3">
      <c r="A738" s="3" t="s">
        <v>510</v>
      </c>
      <c r="B738" s="3" t="s">
        <v>55</v>
      </c>
      <c r="C738" s="3" t="str">
        <f t="shared" si="11"/>
        <v>450013979150</v>
      </c>
      <c r="D738" s="4">
        <v>46303</v>
      </c>
      <c r="E738" s="3" t="s">
        <v>597</v>
      </c>
      <c r="F738" s="3" t="s">
        <v>600</v>
      </c>
    </row>
    <row r="739" spans="1:6" x14ac:dyDescent="0.3">
      <c r="A739" s="3" t="s">
        <v>510</v>
      </c>
      <c r="B739" s="3" t="s">
        <v>80</v>
      </c>
      <c r="C739" s="3" t="str">
        <f t="shared" si="11"/>
        <v>450013979160</v>
      </c>
      <c r="D739" s="4">
        <v>46303</v>
      </c>
      <c r="E739" s="3" t="s">
        <v>597</v>
      </c>
      <c r="F739" s="3" t="s">
        <v>600</v>
      </c>
    </row>
    <row r="740" spans="1:6" x14ac:dyDescent="0.3">
      <c r="A740" s="3" t="s">
        <v>510</v>
      </c>
      <c r="B740" s="3" t="s">
        <v>81</v>
      </c>
      <c r="C740" s="3" t="str">
        <f t="shared" si="11"/>
        <v>450013979170</v>
      </c>
      <c r="D740" s="4">
        <v>46303</v>
      </c>
      <c r="E740" s="3" t="s">
        <v>597</v>
      </c>
      <c r="F740" s="3" t="s">
        <v>600</v>
      </c>
    </row>
    <row r="741" spans="1:6" x14ac:dyDescent="0.3">
      <c r="A741" s="3" t="s">
        <v>510</v>
      </c>
      <c r="B741" s="3" t="s">
        <v>83</v>
      </c>
      <c r="C741" s="3" t="str">
        <f t="shared" si="11"/>
        <v>450013979190</v>
      </c>
      <c r="D741" s="4">
        <v>46303</v>
      </c>
      <c r="E741" s="3" t="s">
        <v>597</v>
      </c>
      <c r="F741" s="3" t="s">
        <v>600</v>
      </c>
    </row>
    <row r="742" spans="1:6" x14ac:dyDescent="0.3">
      <c r="A742" s="3" t="s">
        <v>541</v>
      </c>
      <c r="B742" s="3" t="s">
        <v>32</v>
      </c>
      <c r="C742" s="3" t="str">
        <f t="shared" si="11"/>
        <v>450013979310</v>
      </c>
      <c r="D742" s="4">
        <v>46301</v>
      </c>
      <c r="E742" s="3" t="s">
        <v>597</v>
      </c>
      <c r="F742" s="3" t="s">
        <v>692</v>
      </c>
    </row>
    <row r="743" spans="1:6" x14ac:dyDescent="0.3">
      <c r="A743" s="3" t="s">
        <v>541</v>
      </c>
      <c r="B743" s="3" t="s">
        <v>28</v>
      </c>
      <c r="C743" s="3" t="str">
        <f t="shared" si="11"/>
        <v>450013979320</v>
      </c>
      <c r="D743" s="4">
        <v>46301</v>
      </c>
      <c r="E743" s="3" t="s">
        <v>597</v>
      </c>
      <c r="F743" s="3" t="s">
        <v>692</v>
      </c>
    </row>
    <row r="744" spans="1:6" x14ac:dyDescent="0.3">
      <c r="A744" s="3" t="s">
        <v>115</v>
      </c>
      <c r="B744" s="3" t="s">
        <v>32</v>
      </c>
      <c r="C744" s="3" t="str">
        <f t="shared" si="11"/>
        <v>450013980710</v>
      </c>
      <c r="D744" s="4">
        <v>46311</v>
      </c>
      <c r="E744" s="3" t="s">
        <v>599</v>
      </c>
      <c r="F744" s="3" t="s">
        <v>697</v>
      </c>
    </row>
    <row r="745" spans="1:6" x14ac:dyDescent="0.3">
      <c r="A745" s="3" t="s">
        <v>115</v>
      </c>
      <c r="B745" s="3" t="s">
        <v>28</v>
      </c>
      <c r="C745" s="3" t="str">
        <f t="shared" si="11"/>
        <v>450013980720</v>
      </c>
      <c r="D745" s="4">
        <v>46311</v>
      </c>
      <c r="E745" s="3" t="s">
        <v>599</v>
      </c>
      <c r="F745" s="3" t="s">
        <v>697</v>
      </c>
    </row>
    <row r="746" spans="1:6" x14ac:dyDescent="0.3">
      <c r="A746" s="3" t="s">
        <v>578</v>
      </c>
      <c r="B746" s="3" t="s">
        <v>32</v>
      </c>
      <c r="C746" s="3" t="str">
        <f t="shared" si="11"/>
        <v>450013982210</v>
      </c>
      <c r="D746" s="4">
        <v>46300</v>
      </c>
      <c r="E746" s="3" t="s">
        <v>597</v>
      </c>
      <c r="F746" s="3" t="s">
        <v>642</v>
      </c>
    </row>
    <row r="747" spans="1:6" x14ac:dyDescent="0.3">
      <c r="A747" s="3" t="s">
        <v>567</v>
      </c>
      <c r="B747" s="3" t="s">
        <v>32</v>
      </c>
      <c r="C747" s="3" t="str">
        <f t="shared" si="11"/>
        <v>450013982510</v>
      </c>
      <c r="D747" s="4">
        <v>46303</v>
      </c>
      <c r="E747" s="3" t="s">
        <v>597</v>
      </c>
      <c r="F747" s="3" t="s">
        <v>669</v>
      </c>
    </row>
    <row r="748" spans="1:6" x14ac:dyDescent="0.3">
      <c r="A748" s="3" t="s">
        <v>516</v>
      </c>
      <c r="B748" s="3" t="s">
        <v>32</v>
      </c>
      <c r="C748" s="3" t="str">
        <f t="shared" si="11"/>
        <v>450013988910</v>
      </c>
      <c r="D748" s="4">
        <v>46297</v>
      </c>
      <c r="E748" s="3" t="s">
        <v>597</v>
      </c>
      <c r="F748" s="3" t="s">
        <v>677</v>
      </c>
    </row>
    <row r="749" spans="1:6" x14ac:dyDescent="0.3">
      <c r="A749" s="3" t="s">
        <v>556</v>
      </c>
      <c r="B749" s="3" t="s">
        <v>28</v>
      </c>
      <c r="C749" s="3" t="str">
        <f t="shared" si="11"/>
        <v>450013995420</v>
      </c>
      <c r="D749" s="4">
        <v>46317</v>
      </c>
      <c r="E749" s="3" t="s">
        <v>618</v>
      </c>
      <c r="F749" s="3" t="s">
        <v>630</v>
      </c>
    </row>
    <row r="750" spans="1:6" x14ac:dyDescent="0.3">
      <c r="A750" s="3" t="s">
        <v>569</v>
      </c>
      <c r="B750" s="3" t="s">
        <v>32</v>
      </c>
      <c r="C750" s="3" t="str">
        <f t="shared" si="11"/>
        <v>450013996110</v>
      </c>
      <c r="D750" s="4">
        <v>46303</v>
      </c>
      <c r="E750" s="3" t="s">
        <v>595</v>
      </c>
      <c r="F750" s="3" t="s">
        <v>612</v>
      </c>
    </row>
    <row r="751" spans="1:6" x14ac:dyDescent="0.3">
      <c r="A751" s="3" t="s">
        <v>551</v>
      </c>
      <c r="B751" s="3" t="s">
        <v>32</v>
      </c>
      <c r="C751" s="3" t="str">
        <f t="shared" si="11"/>
        <v>450014000610</v>
      </c>
      <c r="D751" s="4">
        <v>46318</v>
      </c>
      <c r="E751" s="3" t="s">
        <v>602</v>
      </c>
      <c r="F751" s="3" t="s">
        <v>603</v>
      </c>
    </row>
    <row r="752" spans="1:6" x14ac:dyDescent="0.3">
      <c r="A752" s="3" t="s">
        <v>551</v>
      </c>
      <c r="B752" s="3" t="s">
        <v>54</v>
      </c>
      <c r="C752" s="3" t="str">
        <f t="shared" si="11"/>
        <v>450014000630</v>
      </c>
      <c r="D752" s="4">
        <v>46318</v>
      </c>
      <c r="E752" s="3" t="s">
        <v>602</v>
      </c>
      <c r="F752" s="3" t="s">
        <v>603</v>
      </c>
    </row>
    <row r="753" spans="1:6" x14ac:dyDescent="0.3">
      <c r="A753" s="3" t="s">
        <v>551</v>
      </c>
      <c r="B753" s="3" t="s">
        <v>55</v>
      </c>
      <c r="C753" s="3" t="str">
        <f t="shared" si="11"/>
        <v>450014000650</v>
      </c>
      <c r="D753" s="4">
        <v>46318</v>
      </c>
      <c r="E753" s="3" t="s">
        <v>602</v>
      </c>
      <c r="F753" s="3" t="s">
        <v>603</v>
      </c>
    </row>
    <row r="754" spans="1:6" x14ac:dyDescent="0.3">
      <c r="A754" s="3" t="s">
        <v>551</v>
      </c>
      <c r="B754" s="3" t="s">
        <v>84</v>
      </c>
      <c r="C754" s="3" t="str">
        <f t="shared" si="11"/>
        <v>4500140006100</v>
      </c>
      <c r="D754" s="4">
        <v>46318</v>
      </c>
      <c r="E754" s="3" t="s">
        <v>602</v>
      </c>
      <c r="F754" s="3" t="s">
        <v>603</v>
      </c>
    </row>
    <row r="755" spans="1:6" x14ac:dyDescent="0.3">
      <c r="A755" s="3" t="s">
        <v>551</v>
      </c>
      <c r="B755" s="3" t="s">
        <v>86</v>
      </c>
      <c r="C755" s="3" t="str">
        <f t="shared" si="11"/>
        <v>4500140006120</v>
      </c>
      <c r="D755" s="4">
        <v>46318</v>
      </c>
      <c r="E755" s="3" t="s">
        <v>602</v>
      </c>
      <c r="F755" s="3" t="s">
        <v>603</v>
      </c>
    </row>
    <row r="756" spans="1:6" x14ac:dyDescent="0.3">
      <c r="A756" s="3" t="s">
        <v>551</v>
      </c>
      <c r="B756" s="3" t="s">
        <v>65</v>
      </c>
      <c r="C756" s="3" t="str">
        <f t="shared" si="11"/>
        <v>4500140006130</v>
      </c>
      <c r="D756" s="4">
        <v>46318</v>
      </c>
      <c r="E756" s="3" t="s">
        <v>602</v>
      </c>
      <c r="F756" s="3" t="s">
        <v>603</v>
      </c>
    </row>
    <row r="757" spans="1:6" x14ac:dyDescent="0.3">
      <c r="A757" s="3" t="s">
        <v>551</v>
      </c>
      <c r="B757" s="3" t="s">
        <v>66</v>
      </c>
      <c r="C757" s="3" t="str">
        <f t="shared" si="11"/>
        <v>4500140006140</v>
      </c>
      <c r="D757" s="4">
        <v>46318</v>
      </c>
      <c r="E757" s="3" t="s">
        <v>602</v>
      </c>
      <c r="F757" s="3" t="s">
        <v>603</v>
      </c>
    </row>
    <row r="758" spans="1:6" x14ac:dyDescent="0.3">
      <c r="A758" s="3" t="s">
        <v>551</v>
      </c>
      <c r="B758" s="3" t="s">
        <v>87</v>
      </c>
      <c r="C758" s="3" t="str">
        <f t="shared" si="11"/>
        <v>4500140006150</v>
      </c>
      <c r="D758" s="4">
        <v>46318</v>
      </c>
      <c r="E758" s="3" t="s">
        <v>602</v>
      </c>
      <c r="F758" s="3" t="s">
        <v>603</v>
      </c>
    </row>
    <row r="759" spans="1:6" x14ac:dyDescent="0.3">
      <c r="A759" s="3" t="s">
        <v>551</v>
      </c>
      <c r="B759" s="3" t="s">
        <v>67</v>
      </c>
      <c r="C759" s="3" t="str">
        <f t="shared" si="11"/>
        <v>4500140006170</v>
      </c>
      <c r="D759" s="4">
        <v>46318</v>
      </c>
      <c r="E759" s="3" t="s">
        <v>602</v>
      </c>
      <c r="F759" s="3" t="s">
        <v>603</v>
      </c>
    </row>
    <row r="760" spans="1:6" x14ac:dyDescent="0.3">
      <c r="A760" s="3" t="s">
        <v>551</v>
      </c>
      <c r="B760" s="3" t="s">
        <v>125</v>
      </c>
      <c r="C760" s="3" t="str">
        <f t="shared" si="11"/>
        <v>4500140006180</v>
      </c>
      <c r="D760" s="4">
        <v>46318</v>
      </c>
      <c r="E760" s="3" t="s">
        <v>602</v>
      </c>
      <c r="F760" s="3" t="s">
        <v>603</v>
      </c>
    </row>
    <row r="761" spans="1:6" x14ac:dyDescent="0.3">
      <c r="A761" s="3" t="s">
        <v>551</v>
      </c>
      <c r="B761" s="3" t="s">
        <v>91</v>
      </c>
      <c r="C761" s="3" t="str">
        <f t="shared" si="11"/>
        <v>4500140006190</v>
      </c>
      <c r="D761" s="4">
        <v>46318</v>
      </c>
      <c r="E761" s="3" t="s">
        <v>602</v>
      </c>
      <c r="F761" s="3" t="s">
        <v>603</v>
      </c>
    </row>
    <row r="762" spans="1:6" x14ac:dyDescent="0.3">
      <c r="A762" s="3" t="s">
        <v>551</v>
      </c>
      <c r="B762" s="3" t="s">
        <v>92</v>
      </c>
      <c r="C762" s="3" t="str">
        <f t="shared" si="11"/>
        <v>4500140006200</v>
      </c>
      <c r="D762" s="4">
        <v>46318</v>
      </c>
      <c r="E762" s="3" t="s">
        <v>602</v>
      </c>
      <c r="F762" s="3" t="s">
        <v>603</v>
      </c>
    </row>
    <row r="763" spans="1:6" x14ac:dyDescent="0.3">
      <c r="A763" s="3" t="s">
        <v>551</v>
      </c>
      <c r="B763" s="3" t="s">
        <v>44</v>
      </c>
      <c r="C763" s="3" t="str">
        <f t="shared" si="11"/>
        <v>4500140006220</v>
      </c>
      <c r="D763" s="4">
        <v>46318</v>
      </c>
      <c r="E763" s="3" t="s">
        <v>602</v>
      </c>
      <c r="F763" s="3" t="s">
        <v>603</v>
      </c>
    </row>
    <row r="764" spans="1:6" x14ac:dyDescent="0.3">
      <c r="A764" s="3" t="s">
        <v>551</v>
      </c>
      <c r="B764" s="3" t="s">
        <v>126</v>
      </c>
      <c r="C764" s="3" t="str">
        <f t="shared" si="11"/>
        <v>4500140006230</v>
      </c>
      <c r="D764" s="4">
        <v>46318</v>
      </c>
      <c r="E764" s="3" t="s">
        <v>602</v>
      </c>
      <c r="F764" s="3" t="s">
        <v>603</v>
      </c>
    </row>
    <row r="765" spans="1:6" x14ac:dyDescent="0.3">
      <c r="A765" s="3" t="s">
        <v>551</v>
      </c>
      <c r="B765" s="3" t="s">
        <v>128</v>
      </c>
      <c r="C765" s="3" t="str">
        <f t="shared" si="11"/>
        <v>4500140006250</v>
      </c>
      <c r="D765" s="4">
        <v>46318</v>
      </c>
      <c r="E765" s="3" t="s">
        <v>602</v>
      </c>
      <c r="F765" s="3" t="s">
        <v>603</v>
      </c>
    </row>
    <row r="766" spans="1:6" x14ac:dyDescent="0.3">
      <c r="A766" s="3" t="s">
        <v>551</v>
      </c>
      <c r="B766" s="3" t="s">
        <v>129</v>
      </c>
      <c r="C766" s="3" t="str">
        <f t="shared" si="11"/>
        <v>4500140006260</v>
      </c>
      <c r="D766" s="4">
        <v>46318</v>
      </c>
      <c r="E766" s="3" t="s">
        <v>602</v>
      </c>
      <c r="F766" s="3" t="s">
        <v>603</v>
      </c>
    </row>
    <row r="767" spans="1:6" x14ac:dyDescent="0.3">
      <c r="A767" s="3" t="s">
        <v>551</v>
      </c>
      <c r="B767" s="3" t="s">
        <v>130</v>
      </c>
      <c r="C767" s="3" t="str">
        <f t="shared" si="11"/>
        <v>4500140006270</v>
      </c>
      <c r="D767" s="4">
        <v>46318</v>
      </c>
      <c r="E767" s="3" t="s">
        <v>602</v>
      </c>
      <c r="F767" s="3" t="s">
        <v>603</v>
      </c>
    </row>
    <row r="768" spans="1:6" x14ac:dyDescent="0.3">
      <c r="A768" s="3" t="s">
        <v>551</v>
      </c>
      <c r="B768" s="3" t="s">
        <v>131</v>
      </c>
      <c r="C768" s="3" t="str">
        <f t="shared" si="11"/>
        <v>4500140006280</v>
      </c>
      <c r="D768" s="4">
        <v>46318</v>
      </c>
      <c r="E768" s="3" t="s">
        <v>602</v>
      </c>
      <c r="F768" s="3" t="s">
        <v>603</v>
      </c>
    </row>
    <row r="769" spans="1:6" x14ac:dyDescent="0.3">
      <c r="A769" s="3" t="s">
        <v>551</v>
      </c>
      <c r="B769" s="3" t="s">
        <v>132</v>
      </c>
      <c r="C769" s="3" t="str">
        <f t="shared" si="11"/>
        <v>4500140006290</v>
      </c>
      <c r="D769" s="4">
        <v>46318</v>
      </c>
      <c r="E769" s="3" t="s">
        <v>602</v>
      </c>
      <c r="F769" s="3" t="s">
        <v>603</v>
      </c>
    </row>
    <row r="770" spans="1:6" x14ac:dyDescent="0.3">
      <c r="A770" s="3" t="s">
        <v>554</v>
      </c>
      <c r="B770" s="3" t="s">
        <v>28</v>
      </c>
      <c r="C770" s="3" t="str">
        <f t="shared" si="11"/>
        <v>450014001420</v>
      </c>
      <c r="D770" s="4">
        <v>46309</v>
      </c>
      <c r="E770" s="3" t="s">
        <v>602</v>
      </c>
      <c r="F770" s="3" t="s">
        <v>603</v>
      </c>
    </row>
    <row r="771" spans="1:6" x14ac:dyDescent="0.3">
      <c r="A771" s="3" t="s">
        <v>554</v>
      </c>
      <c r="B771" s="3" t="s">
        <v>54</v>
      </c>
      <c r="C771" s="3" t="str">
        <f t="shared" ref="C771:C834" si="12">_xlfn.CONCAT(A771:B771)</f>
        <v>450014001430</v>
      </c>
      <c r="D771" s="4">
        <v>46309</v>
      </c>
      <c r="E771" s="3" t="s">
        <v>602</v>
      </c>
      <c r="F771" s="3" t="s">
        <v>603</v>
      </c>
    </row>
    <row r="772" spans="1:6" x14ac:dyDescent="0.3">
      <c r="A772" s="3" t="s">
        <v>533</v>
      </c>
      <c r="B772" s="3" t="s">
        <v>32</v>
      </c>
      <c r="C772" s="3" t="str">
        <f t="shared" si="12"/>
        <v>450014001610</v>
      </c>
      <c r="D772" s="4">
        <v>46300</v>
      </c>
      <c r="E772" s="3" t="s">
        <v>597</v>
      </c>
      <c r="F772" s="3" t="s">
        <v>663</v>
      </c>
    </row>
    <row r="773" spans="1:6" x14ac:dyDescent="0.3">
      <c r="A773" s="3" t="s">
        <v>543</v>
      </c>
      <c r="B773" s="3" t="s">
        <v>32</v>
      </c>
      <c r="C773" s="3" t="str">
        <f t="shared" si="12"/>
        <v>450014005110</v>
      </c>
      <c r="D773" s="4">
        <v>46305</v>
      </c>
      <c r="E773" s="3" t="s">
        <v>698</v>
      </c>
      <c r="F773" s="3" t="s">
        <v>677</v>
      </c>
    </row>
    <row r="774" spans="1:6" x14ac:dyDescent="0.3">
      <c r="A774" s="3" t="s">
        <v>144</v>
      </c>
      <c r="B774" s="3" t="s">
        <v>32</v>
      </c>
      <c r="C774" s="3" t="str">
        <f t="shared" si="12"/>
        <v>450014009810</v>
      </c>
      <c r="D774" s="4">
        <v>46310</v>
      </c>
      <c r="E774" s="3" t="s">
        <v>615</v>
      </c>
      <c r="F774" s="3" t="s">
        <v>699</v>
      </c>
    </row>
    <row r="775" spans="1:6" x14ac:dyDescent="0.3">
      <c r="A775" s="3" t="s">
        <v>549</v>
      </c>
      <c r="B775" s="3" t="s">
        <v>32</v>
      </c>
      <c r="C775" s="3" t="str">
        <f t="shared" si="12"/>
        <v>450014012810</v>
      </c>
      <c r="D775" s="4">
        <v>46311</v>
      </c>
      <c r="E775" s="3" t="s">
        <v>615</v>
      </c>
      <c r="F775" s="3" t="s">
        <v>700</v>
      </c>
    </row>
    <row r="776" spans="1:6" x14ac:dyDescent="0.3">
      <c r="A776" s="3" t="s">
        <v>549</v>
      </c>
      <c r="B776" s="3" t="s">
        <v>28</v>
      </c>
      <c r="C776" s="3" t="str">
        <f t="shared" si="12"/>
        <v>450014012820</v>
      </c>
      <c r="D776" s="4">
        <v>46311</v>
      </c>
      <c r="E776" s="3" t="s">
        <v>615</v>
      </c>
      <c r="F776" s="3" t="s">
        <v>700</v>
      </c>
    </row>
    <row r="777" spans="1:6" x14ac:dyDescent="0.3">
      <c r="A777" s="3" t="s">
        <v>806</v>
      </c>
      <c r="B777" s="3" t="s">
        <v>32</v>
      </c>
      <c r="C777" s="3" t="str">
        <f t="shared" si="12"/>
        <v>450013976410</v>
      </c>
      <c r="D777" s="4">
        <v>46310</v>
      </c>
      <c r="E777" s="3" t="s">
        <v>836</v>
      </c>
      <c r="F777" s="3" t="s">
        <v>837</v>
      </c>
    </row>
    <row r="778" spans="1:6" x14ac:dyDescent="0.3">
      <c r="A778" s="3" t="s">
        <v>777</v>
      </c>
      <c r="B778" s="3" t="s">
        <v>82</v>
      </c>
      <c r="C778" s="3" t="str">
        <f t="shared" si="12"/>
        <v>450013978980</v>
      </c>
      <c r="D778" s="4">
        <v>46321</v>
      </c>
      <c r="E778" s="3" t="s">
        <v>618</v>
      </c>
      <c r="F778" s="3" t="s">
        <v>671</v>
      </c>
    </row>
    <row r="779" spans="1:6" x14ac:dyDescent="0.3">
      <c r="A779" s="3" t="s">
        <v>763</v>
      </c>
      <c r="B779" s="3" t="s">
        <v>32</v>
      </c>
      <c r="C779" s="3" t="str">
        <f t="shared" si="12"/>
        <v>450014006510</v>
      </c>
      <c r="D779" s="4">
        <v>46311</v>
      </c>
      <c r="E779" s="3" t="s">
        <v>592</v>
      </c>
      <c r="F779" s="3" t="s">
        <v>695</v>
      </c>
    </row>
    <row r="780" spans="1:6" x14ac:dyDescent="0.3">
      <c r="A780" s="3" t="s">
        <v>825</v>
      </c>
      <c r="B780" s="3" t="s">
        <v>32</v>
      </c>
      <c r="C780" s="3" t="str">
        <f t="shared" si="12"/>
        <v>450014008910</v>
      </c>
      <c r="D780" s="4">
        <v>46325</v>
      </c>
      <c r="E780" s="3" t="s">
        <v>592</v>
      </c>
      <c r="F780" s="3" t="s">
        <v>593</v>
      </c>
    </row>
    <row r="781" spans="1:6" x14ac:dyDescent="0.3">
      <c r="A781" s="3" t="s">
        <v>825</v>
      </c>
      <c r="B781" s="3" t="s">
        <v>28</v>
      </c>
      <c r="C781" s="3" t="str">
        <f t="shared" si="12"/>
        <v>450014008920</v>
      </c>
      <c r="D781" s="4">
        <v>46325</v>
      </c>
      <c r="E781" s="3" t="s">
        <v>592</v>
      </c>
      <c r="F781" s="3" t="s">
        <v>593</v>
      </c>
    </row>
    <row r="782" spans="1:6" x14ac:dyDescent="0.3">
      <c r="A782" s="3" t="s">
        <v>825</v>
      </c>
      <c r="B782" s="3" t="s">
        <v>54</v>
      </c>
      <c r="C782" s="3" t="str">
        <f t="shared" si="12"/>
        <v>450014008930</v>
      </c>
      <c r="D782" s="4">
        <v>46325</v>
      </c>
      <c r="E782" s="3" t="s">
        <v>592</v>
      </c>
      <c r="F782" s="3" t="s">
        <v>593</v>
      </c>
    </row>
    <row r="783" spans="1:6" x14ac:dyDescent="0.3">
      <c r="A783" s="3" t="s">
        <v>825</v>
      </c>
      <c r="B783" s="3" t="s">
        <v>23</v>
      </c>
      <c r="C783" s="3" t="str">
        <f t="shared" si="12"/>
        <v>450014008940</v>
      </c>
      <c r="D783" s="4">
        <v>46325</v>
      </c>
      <c r="E783" s="3" t="s">
        <v>592</v>
      </c>
      <c r="F783" s="3" t="s">
        <v>593</v>
      </c>
    </row>
    <row r="784" spans="1:6" x14ac:dyDescent="0.3">
      <c r="A784" s="3" t="s">
        <v>795</v>
      </c>
      <c r="B784" s="3" t="s">
        <v>32</v>
      </c>
      <c r="C784" s="3" t="str">
        <f t="shared" si="12"/>
        <v>450012916210</v>
      </c>
      <c r="D784" s="4">
        <v>46507</v>
      </c>
      <c r="E784" s="3" t="s">
        <v>586</v>
      </c>
      <c r="F784" s="3" t="s">
        <v>838</v>
      </c>
    </row>
    <row r="785" spans="1:6" x14ac:dyDescent="0.3">
      <c r="A785" s="3" t="s">
        <v>754</v>
      </c>
      <c r="B785" s="3" t="s">
        <v>32</v>
      </c>
      <c r="C785" s="3" t="str">
        <f t="shared" si="12"/>
        <v>450013981010</v>
      </c>
      <c r="D785" s="4">
        <v>46320</v>
      </c>
      <c r="E785" s="3" t="s">
        <v>618</v>
      </c>
      <c r="F785" s="3" t="s">
        <v>671</v>
      </c>
    </row>
    <row r="786" spans="1:6" x14ac:dyDescent="0.3">
      <c r="A786" s="3" t="s">
        <v>827</v>
      </c>
      <c r="B786" s="3" t="s">
        <v>23</v>
      </c>
      <c r="C786" s="3" t="str">
        <f t="shared" si="12"/>
        <v>450014007240</v>
      </c>
      <c r="D786" s="4">
        <v>46302</v>
      </c>
      <c r="E786" s="3" t="s">
        <v>604</v>
      </c>
      <c r="F786" s="3" t="s">
        <v>605</v>
      </c>
    </row>
    <row r="787" spans="1:6" x14ac:dyDescent="0.3">
      <c r="A787" s="3" t="s">
        <v>730</v>
      </c>
      <c r="B787" s="3" t="s">
        <v>66</v>
      </c>
      <c r="C787" s="3" t="str">
        <f t="shared" si="12"/>
        <v>4500136112140</v>
      </c>
      <c r="D787" s="4">
        <v>46320</v>
      </c>
      <c r="E787" s="3" t="s">
        <v>604</v>
      </c>
      <c r="F787" s="3" t="s">
        <v>622</v>
      </c>
    </row>
    <row r="788" spans="1:6" x14ac:dyDescent="0.3">
      <c r="A788" s="3" t="s">
        <v>730</v>
      </c>
      <c r="B788" s="3" t="s">
        <v>87</v>
      </c>
      <c r="C788" s="3" t="str">
        <f t="shared" si="12"/>
        <v>4500136112150</v>
      </c>
      <c r="D788" s="4">
        <v>46320</v>
      </c>
      <c r="E788" s="3" t="s">
        <v>604</v>
      </c>
      <c r="F788" s="3" t="s">
        <v>622</v>
      </c>
    </row>
    <row r="789" spans="1:6" x14ac:dyDescent="0.3">
      <c r="A789" s="3" t="s">
        <v>833</v>
      </c>
      <c r="B789" s="3" t="s">
        <v>32</v>
      </c>
      <c r="C789" s="3" t="str">
        <f t="shared" si="12"/>
        <v>450012703010</v>
      </c>
      <c r="D789" s="4">
        <v>46213</v>
      </c>
      <c r="E789" s="3" t="s">
        <v>595</v>
      </c>
      <c r="F789" s="3" t="s">
        <v>612</v>
      </c>
    </row>
    <row r="790" spans="1:6" x14ac:dyDescent="0.3">
      <c r="A790" s="3" t="s">
        <v>833</v>
      </c>
      <c r="B790" s="3" t="s">
        <v>28</v>
      </c>
      <c r="C790" s="3" t="str">
        <f t="shared" si="12"/>
        <v>450012703020</v>
      </c>
      <c r="D790" s="4">
        <v>46322</v>
      </c>
      <c r="E790" s="3" t="s">
        <v>595</v>
      </c>
      <c r="F790" s="3" t="s">
        <v>612</v>
      </c>
    </row>
    <row r="791" spans="1:6" x14ac:dyDescent="0.3">
      <c r="A791" s="3" t="s">
        <v>833</v>
      </c>
      <c r="B791" s="3" t="s">
        <v>54</v>
      </c>
      <c r="C791" s="3" t="str">
        <f t="shared" si="12"/>
        <v>450012703030</v>
      </c>
      <c r="D791" s="4">
        <v>46160</v>
      </c>
      <c r="E791" s="3" t="s">
        <v>595</v>
      </c>
      <c r="F791" s="3" t="s">
        <v>612</v>
      </c>
    </row>
    <row r="792" spans="1:6" x14ac:dyDescent="0.3">
      <c r="A792" s="3" t="s">
        <v>810</v>
      </c>
      <c r="B792" s="3" t="s">
        <v>81</v>
      </c>
      <c r="C792" s="3" t="str">
        <f t="shared" si="12"/>
        <v>450013494770</v>
      </c>
      <c r="D792" s="4">
        <v>46275</v>
      </c>
      <c r="E792" s="3" t="s">
        <v>604</v>
      </c>
      <c r="F792" s="3" t="s">
        <v>629</v>
      </c>
    </row>
    <row r="793" spans="1:6" x14ac:dyDescent="0.3">
      <c r="A793" s="3" t="s">
        <v>810</v>
      </c>
      <c r="B793" s="3" t="s">
        <v>82</v>
      </c>
      <c r="C793" s="3" t="str">
        <f t="shared" si="12"/>
        <v>450013494780</v>
      </c>
      <c r="D793" s="4">
        <v>46275</v>
      </c>
      <c r="E793" s="3" t="s">
        <v>604</v>
      </c>
      <c r="F793" s="3" t="s">
        <v>629</v>
      </c>
    </row>
    <row r="794" spans="1:6" x14ac:dyDescent="0.3">
      <c r="A794" s="3" t="s">
        <v>810</v>
      </c>
      <c r="B794" s="3" t="s">
        <v>65</v>
      </c>
      <c r="C794" s="3" t="str">
        <f t="shared" si="12"/>
        <v>4500134947130</v>
      </c>
      <c r="D794" s="4">
        <v>46275</v>
      </c>
      <c r="E794" s="3" t="s">
        <v>604</v>
      </c>
      <c r="F794" s="3" t="s">
        <v>629</v>
      </c>
    </row>
    <row r="795" spans="1:6" x14ac:dyDescent="0.3">
      <c r="A795" s="3" t="s">
        <v>768</v>
      </c>
      <c r="B795" s="3" t="s">
        <v>32</v>
      </c>
      <c r="C795" s="3" t="str">
        <f t="shared" si="12"/>
        <v>450013701510</v>
      </c>
      <c r="D795" s="4">
        <v>46295</v>
      </c>
      <c r="E795" s="3" t="s">
        <v>604</v>
      </c>
      <c r="F795" s="3" t="s">
        <v>647</v>
      </c>
    </row>
    <row r="796" spans="1:6" x14ac:dyDescent="0.3">
      <c r="A796" s="3" t="s">
        <v>768</v>
      </c>
      <c r="B796" s="3" t="s">
        <v>28</v>
      </c>
      <c r="C796" s="3" t="str">
        <f t="shared" si="12"/>
        <v>450013701520</v>
      </c>
      <c r="D796" s="4">
        <v>46295</v>
      </c>
      <c r="E796" s="3" t="s">
        <v>604</v>
      </c>
      <c r="F796" s="3" t="s">
        <v>647</v>
      </c>
    </row>
    <row r="797" spans="1:6" x14ac:dyDescent="0.3">
      <c r="A797" s="3" t="s">
        <v>768</v>
      </c>
      <c r="B797" s="3" t="s">
        <v>54</v>
      </c>
      <c r="C797" s="3" t="str">
        <f t="shared" si="12"/>
        <v>450013701530</v>
      </c>
      <c r="D797" s="4">
        <v>46295</v>
      </c>
      <c r="E797" s="3" t="s">
        <v>604</v>
      </c>
      <c r="F797" s="3" t="s">
        <v>647</v>
      </c>
    </row>
    <row r="798" spans="1:6" x14ac:dyDescent="0.3">
      <c r="A798" s="3" t="s">
        <v>738</v>
      </c>
      <c r="B798" s="3" t="s">
        <v>32</v>
      </c>
      <c r="C798" s="3" t="str">
        <f t="shared" si="12"/>
        <v>450013795410</v>
      </c>
      <c r="D798" s="4">
        <v>46274</v>
      </c>
      <c r="E798" s="3" t="s">
        <v>597</v>
      </c>
      <c r="F798" s="3" t="s">
        <v>663</v>
      </c>
    </row>
    <row r="799" spans="1:6" x14ac:dyDescent="0.3">
      <c r="A799" s="3" t="s">
        <v>772</v>
      </c>
      <c r="B799" s="3" t="s">
        <v>32</v>
      </c>
      <c r="C799" s="3" t="str">
        <f t="shared" si="12"/>
        <v>450013857010</v>
      </c>
      <c r="D799" s="4">
        <v>46310</v>
      </c>
      <c r="E799" s="3" t="s">
        <v>599</v>
      </c>
      <c r="F799" s="3" t="s">
        <v>839</v>
      </c>
    </row>
    <row r="800" spans="1:6" x14ac:dyDescent="0.3">
      <c r="A800" s="3" t="s">
        <v>772</v>
      </c>
      <c r="B800" s="3" t="s">
        <v>28</v>
      </c>
      <c r="C800" s="3" t="str">
        <f t="shared" si="12"/>
        <v>450013857020</v>
      </c>
      <c r="D800" s="4">
        <v>46310</v>
      </c>
      <c r="E800" s="3" t="s">
        <v>599</v>
      </c>
      <c r="F800" s="3" t="s">
        <v>839</v>
      </c>
    </row>
    <row r="801" spans="1:6" x14ac:dyDescent="0.3">
      <c r="A801" s="3" t="s">
        <v>772</v>
      </c>
      <c r="B801" s="3" t="s">
        <v>54</v>
      </c>
      <c r="C801" s="3" t="str">
        <f t="shared" si="12"/>
        <v>450013857030</v>
      </c>
      <c r="D801" s="4">
        <v>46310</v>
      </c>
      <c r="E801" s="3" t="s">
        <v>599</v>
      </c>
      <c r="F801" s="3" t="s">
        <v>839</v>
      </c>
    </row>
    <row r="802" spans="1:6" x14ac:dyDescent="0.3">
      <c r="A802" s="3" t="s">
        <v>772</v>
      </c>
      <c r="B802" s="3" t="s">
        <v>23</v>
      </c>
      <c r="C802" s="3" t="str">
        <f t="shared" si="12"/>
        <v>450013857040</v>
      </c>
      <c r="D802" s="4">
        <v>46310</v>
      </c>
      <c r="E802" s="3" t="s">
        <v>599</v>
      </c>
      <c r="F802" s="3" t="s">
        <v>839</v>
      </c>
    </row>
    <row r="803" spans="1:6" x14ac:dyDescent="0.3">
      <c r="A803" s="3" t="s">
        <v>772</v>
      </c>
      <c r="B803" s="3" t="s">
        <v>55</v>
      </c>
      <c r="C803" s="3" t="str">
        <f t="shared" si="12"/>
        <v>450013857050</v>
      </c>
      <c r="D803" s="4">
        <v>46310</v>
      </c>
      <c r="E803" s="3" t="s">
        <v>599</v>
      </c>
      <c r="F803" s="3" t="s">
        <v>839</v>
      </c>
    </row>
    <row r="804" spans="1:6" x14ac:dyDescent="0.3">
      <c r="A804" s="3" t="s">
        <v>772</v>
      </c>
      <c r="B804" s="3" t="s">
        <v>80</v>
      </c>
      <c r="C804" s="3" t="str">
        <f t="shared" si="12"/>
        <v>450013857060</v>
      </c>
      <c r="D804" s="4">
        <v>46310</v>
      </c>
      <c r="E804" s="3" t="s">
        <v>599</v>
      </c>
      <c r="F804" s="3" t="s">
        <v>839</v>
      </c>
    </row>
    <row r="805" spans="1:6" x14ac:dyDescent="0.3">
      <c r="A805" s="3" t="s">
        <v>772</v>
      </c>
      <c r="B805" s="3" t="s">
        <v>81</v>
      </c>
      <c r="C805" s="3" t="str">
        <f t="shared" si="12"/>
        <v>450013857070</v>
      </c>
      <c r="D805" s="4">
        <v>46310</v>
      </c>
      <c r="E805" s="3" t="s">
        <v>599</v>
      </c>
      <c r="F805" s="3" t="s">
        <v>839</v>
      </c>
    </row>
    <row r="806" spans="1:6" x14ac:dyDescent="0.3">
      <c r="A806" s="3" t="s">
        <v>779</v>
      </c>
      <c r="B806" s="3" t="s">
        <v>32</v>
      </c>
      <c r="C806" s="3" t="str">
        <f t="shared" si="12"/>
        <v>450013882810</v>
      </c>
      <c r="D806" s="4">
        <v>46295</v>
      </c>
      <c r="E806" s="3" t="s">
        <v>604</v>
      </c>
      <c r="F806" s="3" t="s">
        <v>629</v>
      </c>
    </row>
    <row r="807" spans="1:6" x14ac:dyDescent="0.3">
      <c r="A807" s="3" t="s">
        <v>779</v>
      </c>
      <c r="B807" s="3" t="s">
        <v>28</v>
      </c>
      <c r="C807" s="3" t="str">
        <f t="shared" si="12"/>
        <v>450013882820</v>
      </c>
      <c r="D807" s="4">
        <v>46295</v>
      </c>
      <c r="E807" s="3" t="s">
        <v>604</v>
      </c>
      <c r="F807" s="3" t="s">
        <v>629</v>
      </c>
    </row>
    <row r="808" spans="1:6" x14ac:dyDescent="0.3">
      <c r="A808" s="3" t="s">
        <v>779</v>
      </c>
      <c r="B808" s="3" t="s">
        <v>54</v>
      </c>
      <c r="C808" s="3" t="str">
        <f t="shared" si="12"/>
        <v>450013882830</v>
      </c>
      <c r="D808" s="4">
        <v>46295</v>
      </c>
      <c r="E808" s="3" t="s">
        <v>604</v>
      </c>
      <c r="F808" s="3" t="s">
        <v>629</v>
      </c>
    </row>
    <row r="809" spans="1:6" x14ac:dyDescent="0.3">
      <c r="A809" s="3" t="s">
        <v>779</v>
      </c>
      <c r="B809" s="3" t="s">
        <v>23</v>
      </c>
      <c r="C809" s="3" t="str">
        <f t="shared" si="12"/>
        <v>450013882840</v>
      </c>
      <c r="D809" s="4">
        <v>46295</v>
      </c>
      <c r="E809" s="3" t="s">
        <v>604</v>
      </c>
      <c r="F809" s="3" t="s">
        <v>629</v>
      </c>
    </row>
    <row r="810" spans="1:6" x14ac:dyDescent="0.3">
      <c r="A810" s="3" t="s">
        <v>779</v>
      </c>
      <c r="B810" s="3" t="s">
        <v>55</v>
      </c>
      <c r="C810" s="3" t="str">
        <f t="shared" si="12"/>
        <v>450013882850</v>
      </c>
      <c r="D810" s="4">
        <v>46302</v>
      </c>
      <c r="E810" s="3" t="s">
        <v>604</v>
      </c>
      <c r="F810" s="3" t="s">
        <v>629</v>
      </c>
    </row>
    <row r="811" spans="1:6" x14ac:dyDescent="0.3">
      <c r="A811" s="3" t="s">
        <v>779</v>
      </c>
      <c r="B811" s="3" t="s">
        <v>80</v>
      </c>
      <c r="C811" s="3" t="str">
        <f t="shared" si="12"/>
        <v>450013882860</v>
      </c>
      <c r="D811" s="4">
        <v>46302</v>
      </c>
      <c r="E811" s="3" t="s">
        <v>604</v>
      </c>
      <c r="F811" s="3" t="s">
        <v>629</v>
      </c>
    </row>
    <row r="812" spans="1:6" x14ac:dyDescent="0.3">
      <c r="A812" s="3" t="s">
        <v>801</v>
      </c>
      <c r="B812" s="3" t="s">
        <v>32</v>
      </c>
      <c r="C812" s="3" t="str">
        <f t="shared" si="12"/>
        <v>450013902910</v>
      </c>
      <c r="D812" s="4">
        <v>46311</v>
      </c>
      <c r="E812" s="3" t="s">
        <v>592</v>
      </c>
      <c r="F812" s="3" t="s">
        <v>593</v>
      </c>
    </row>
    <row r="813" spans="1:6" x14ac:dyDescent="0.3">
      <c r="A813" s="3" t="s">
        <v>801</v>
      </c>
      <c r="B813" s="3" t="s">
        <v>28</v>
      </c>
      <c r="C813" s="3" t="str">
        <f t="shared" si="12"/>
        <v>450013902920</v>
      </c>
      <c r="D813" s="4">
        <v>46311</v>
      </c>
      <c r="E813" s="3" t="s">
        <v>592</v>
      </c>
      <c r="F813" s="3" t="s">
        <v>593</v>
      </c>
    </row>
    <row r="814" spans="1:6" x14ac:dyDescent="0.3">
      <c r="A814" s="3" t="s">
        <v>748</v>
      </c>
      <c r="B814" s="3" t="s">
        <v>28</v>
      </c>
      <c r="C814" s="3" t="str">
        <f t="shared" si="12"/>
        <v>450013910220</v>
      </c>
      <c r="D814" s="4">
        <v>46300</v>
      </c>
      <c r="E814" s="3" t="s">
        <v>618</v>
      </c>
      <c r="F814" s="3" t="s">
        <v>671</v>
      </c>
    </row>
    <row r="815" spans="1:6" x14ac:dyDescent="0.3">
      <c r="A815" s="3" t="s">
        <v>748</v>
      </c>
      <c r="B815" s="3" t="s">
        <v>54</v>
      </c>
      <c r="C815" s="3" t="str">
        <f t="shared" si="12"/>
        <v>450013910230</v>
      </c>
      <c r="D815" s="4">
        <v>46300</v>
      </c>
      <c r="E815" s="3" t="s">
        <v>618</v>
      </c>
      <c r="F815" s="3" t="s">
        <v>671</v>
      </c>
    </row>
    <row r="816" spans="1:6" x14ac:dyDescent="0.3">
      <c r="A816" s="3" t="s">
        <v>748</v>
      </c>
      <c r="B816" s="3" t="s">
        <v>23</v>
      </c>
      <c r="C816" s="3" t="str">
        <f t="shared" si="12"/>
        <v>450013910240</v>
      </c>
      <c r="D816" s="4">
        <v>46300</v>
      </c>
      <c r="E816" s="3" t="s">
        <v>618</v>
      </c>
      <c r="F816" s="3" t="s">
        <v>671</v>
      </c>
    </row>
    <row r="817" spans="1:6" x14ac:dyDescent="0.3">
      <c r="A817" s="3" t="s">
        <v>748</v>
      </c>
      <c r="B817" s="3" t="s">
        <v>55</v>
      </c>
      <c r="C817" s="3" t="str">
        <f t="shared" si="12"/>
        <v>450013910250</v>
      </c>
      <c r="D817" s="4">
        <v>46300</v>
      </c>
      <c r="E817" s="3" t="s">
        <v>618</v>
      </c>
      <c r="F817" s="3" t="s">
        <v>671</v>
      </c>
    </row>
    <row r="818" spans="1:6" x14ac:dyDescent="0.3">
      <c r="A818" s="3" t="s">
        <v>748</v>
      </c>
      <c r="B818" s="3" t="s">
        <v>80</v>
      </c>
      <c r="C818" s="3" t="str">
        <f t="shared" si="12"/>
        <v>450013910260</v>
      </c>
      <c r="D818" s="4">
        <v>46300</v>
      </c>
      <c r="E818" s="3" t="s">
        <v>618</v>
      </c>
      <c r="F818" s="3" t="s">
        <v>671</v>
      </c>
    </row>
    <row r="819" spans="1:6" x14ac:dyDescent="0.3">
      <c r="A819" s="3" t="s">
        <v>748</v>
      </c>
      <c r="B819" s="3" t="s">
        <v>81</v>
      </c>
      <c r="C819" s="3" t="str">
        <f t="shared" si="12"/>
        <v>450013910270</v>
      </c>
      <c r="D819" s="4">
        <v>46300</v>
      </c>
      <c r="E819" s="3" t="s">
        <v>618</v>
      </c>
      <c r="F819" s="3" t="s">
        <v>671</v>
      </c>
    </row>
    <row r="820" spans="1:6" x14ac:dyDescent="0.3">
      <c r="A820" s="3" t="s">
        <v>748</v>
      </c>
      <c r="B820" s="3" t="s">
        <v>82</v>
      </c>
      <c r="C820" s="3" t="str">
        <f t="shared" si="12"/>
        <v>450013910280</v>
      </c>
      <c r="D820" s="4">
        <v>46300</v>
      </c>
      <c r="E820" s="3" t="s">
        <v>618</v>
      </c>
      <c r="F820" s="3" t="s">
        <v>671</v>
      </c>
    </row>
    <row r="821" spans="1:6" x14ac:dyDescent="0.3">
      <c r="A821" s="3" t="s">
        <v>748</v>
      </c>
      <c r="B821" s="3" t="s">
        <v>83</v>
      </c>
      <c r="C821" s="3" t="str">
        <f t="shared" si="12"/>
        <v>450013910290</v>
      </c>
      <c r="D821" s="4">
        <v>46300</v>
      </c>
      <c r="E821" s="3" t="s">
        <v>618</v>
      </c>
      <c r="F821" s="3" t="s">
        <v>671</v>
      </c>
    </row>
    <row r="822" spans="1:6" x14ac:dyDescent="0.3">
      <c r="A822" s="3" t="s">
        <v>748</v>
      </c>
      <c r="B822" s="3" t="s">
        <v>84</v>
      </c>
      <c r="C822" s="3" t="str">
        <f t="shared" si="12"/>
        <v>4500139102100</v>
      </c>
      <c r="D822" s="4">
        <v>46300</v>
      </c>
      <c r="E822" s="3" t="s">
        <v>618</v>
      </c>
      <c r="F822" s="3" t="s">
        <v>671</v>
      </c>
    </row>
    <row r="823" spans="1:6" x14ac:dyDescent="0.3">
      <c r="A823" s="3" t="s">
        <v>748</v>
      </c>
      <c r="B823" s="3" t="s">
        <v>85</v>
      </c>
      <c r="C823" s="3" t="str">
        <f t="shared" si="12"/>
        <v>4500139102110</v>
      </c>
      <c r="D823" s="4">
        <v>46300</v>
      </c>
      <c r="E823" s="3" t="s">
        <v>618</v>
      </c>
      <c r="F823" s="3" t="s">
        <v>671</v>
      </c>
    </row>
    <row r="824" spans="1:6" x14ac:dyDescent="0.3">
      <c r="A824" s="3" t="s">
        <v>748</v>
      </c>
      <c r="B824" s="3" t="s">
        <v>86</v>
      </c>
      <c r="C824" s="3" t="str">
        <f t="shared" si="12"/>
        <v>4500139102120</v>
      </c>
      <c r="D824" s="4">
        <v>46300</v>
      </c>
      <c r="E824" s="3" t="s">
        <v>618</v>
      </c>
      <c r="F824" s="3" t="s">
        <v>671</v>
      </c>
    </row>
    <row r="825" spans="1:6" x14ac:dyDescent="0.3">
      <c r="A825" s="3" t="s">
        <v>748</v>
      </c>
      <c r="B825" s="3" t="s">
        <v>65</v>
      </c>
      <c r="C825" s="3" t="str">
        <f t="shared" si="12"/>
        <v>4500139102130</v>
      </c>
      <c r="D825" s="4">
        <v>46300</v>
      </c>
      <c r="E825" s="3" t="s">
        <v>618</v>
      </c>
      <c r="F825" s="3" t="s">
        <v>671</v>
      </c>
    </row>
    <row r="826" spans="1:6" x14ac:dyDescent="0.3">
      <c r="A826" s="3" t="s">
        <v>748</v>
      </c>
      <c r="B826" s="3" t="s">
        <v>66</v>
      </c>
      <c r="C826" s="3" t="str">
        <f t="shared" si="12"/>
        <v>4500139102140</v>
      </c>
      <c r="D826" s="4">
        <v>46300</v>
      </c>
      <c r="E826" s="3" t="s">
        <v>618</v>
      </c>
      <c r="F826" s="3" t="s">
        <v>671</v>
      </c>
    </row>
    <row r="827" spans="1:6" x14ac:dyDescent="0.3">
      <c r="A827" s="3" t="s">
        <v>750</v>
      </c>
      <c r="B827" s="3" t="s">
        <v>32</v>
      </c>
      <c r="C827" s="3" t="str">
        <f t="shared" si="12"/>
        <v>450013910910</v>
      </c>
      <c r="D827" s="4">
        <v>46297</v>
      </c>
      <c r="E827" s="3" t="s">
        <v>618</v>
      </c>
      <c r="F827" s="3" t="s">
        <v>671</v>
      </c>
    </row>
    <row r="828" spans="1:6" x14ac:dyDescent="0.3">
      <c r="A828" s="3" t="s">
        <v>798</v>
      </c>
      <c r="B828" s="3" t="s">
        <v>28</v>
      </c>
      <c r="C828" s="3" t="str">
        <f t="shared" si="12"/>
        <v>450013912420</v>
      </c>
      <c r="D828" s="4">
        <v>46294</v>
      </c>
      <c r="E828" s="3" t="s">
        <v>597</v>
      </c>
      <c r="F828" s="3" t="s">
        <v>593</v>
      </c>
    </row>
    <row r="829" spans="1:6" x14ac:dyDescent="0.3">
      <c r="A829" s="3" t="s">
        <v>798</v>
      </c>
      <c r="B829" s="3" t="s">
        <v>54</v>
      </c>
      <c r="C829" s="3" t="str">
        <f t="shared" si="12"/>
        <v>450013912430</v>
      </c>
      <c r="D829" s="4">
        <v>46294</v>
      </c>
      <c r="E829" s="3" t="s">
        <v>597</v>
      </c>
      <c r="F829" s="3" t="s">
        <v>593</v>
      </c>
    </row>
    <row r="830" spans="1:6" x14ac:dyDescent="0.3">
      <c r="A830" s="3" t="s">
        <v>798</v>
      </c>
      <c r="B830" s="3" t="s">
        <v>23</v>
      </c>
      <c r="C830" s="3" t="str">
        <f t="shared" si="12"/>
        <v>450013912440</v>
      </c>
      <c r="D830" s="4">
        <v>46294</v>
      </c>
      <c r="E830" s="3" t="s">
        <v>597</v>
      </c>
      <c r="F830" s="3" t="s">
        <v>593</v>
      </c>
    </row>
    <row r="831" spans="1:6" x14ac:dyDescent="0.3">
      <c r="A831" s="3" t="s">
        <v>766</v>
      </c>
      <c r="B831" s="3" t="s">
        <v>32</v>
      </c>
      <c r="C831" s="3" t="str">
        <f t="shared" si="12"/>
        <v>450013926210</v>
      </c>
      <c r="D831" s="4">
        <v>46317</v>
      </c>
      <c r="E831" s="3" t="s">
        <v>595</v>
      </c>
      <c r="F831" s="3" t="s">
        <v>666</v>
      </c>
    </row>
    <row r="832" spans="1:6" x14ac:dyDescent="0.3">
      <c r="A832" s="3" t="s">
        <v>766</v>
      </c>
      <c r="B832" s="3" t="s">
        <v>28</v>
      </c>
      <c r="C832" s="3" t="str">
        <f t="shared" si="12"/>
        <v>450013926220</v>
      </c>
      <c r="D832" s="4">
        <v>46317</v>
      </c>
      <c r="E832" s="3" t="s">
        <v>595</v>
      </c>
      <c r="F832" s="3" t="s">
        <v>666</v>
      </c>
    </row>
    <row r="833" spans="1:6" x14ac:dyDescent="0.3">
      <c r="A833" s="3" t="s">
        <v>735</v>
      </c>
      <c r="B833" s="3" t="s">
        <v>32</v>
      </c>
      <c r="C833" s="3" t="str">
        <f t="shared" si="12"/>
        <v>450013933710</v>
      </c>
      <c r="D833" s="4">
        <v>46304</v>
      </c>
      <c r="E833" s="3" t="s">
        <v>599</v>
      </c>
      <c r="F833" s="3" t="s">
        <v>840</v>
      </c>
    </row>
    <row r="834" spans="1:6" x14ac:dyDescent="0.3">
      <c r="A834" s="3" t="s">
        <v>735</v>
      </c>
      <c r="B834" s="3" t="s">
        <v>28</v>
      </c>
      <c r="C834" s="3" t="str">
        <f t="shared" si="12"/>
        <v>450013933720</v>
      </c>
      <c r="D834" s="4">
        <v>46304</v>
      </c>
      <c r="E834" s="3" t="s">
        <v>599</v>
      </c>
      <c r="F834" s="3" t="s">
        <v>840</v>
      </c>
    </row>
    <row r="835" spans="1:6" x14ac:dyDescent="0.3">
      <c r="A835" s="3" t="s">
        <v>746</v>
      </c>
      <c r="B835" s="3" t="s">
        <v>32</v>
      </c>
      <c r="C835" s="3" t="str">
        <f t="shared" ref="C835:C898" si="13">_xlfn.CONCAT(A835:B835)</f>
        <v>450013940610</v>
      </c>
      <c r="D835" s="4">
        <v>46297</v>
      </c>
      <c r="E835" s="3" t="s">
        <v>597</v>
      </c>
      <c r="F835" s="3" t="s">
        <v>671</v>
      </c>
    </row>
    <row r="836" spans="1:6" x14ac:dyDescent="0.3">
      <c r="A836" s="3" t="s">
        <v>746</v>
      </c>
      <c r="B836" s="3" t="s">
        <v>28</v>
      </c>
      <c r="C836" s="3" t="str">
        <f t="shared" si="13"/>
        <v>450013940620</v>
      </c>
      <c r="D836" s="4">
        <v>46297</v>
      </c>
      <c r="E836" s="3" t="s">
        <v>597</v>
      </c>
      <c r="F836" s="3" t="s">
        <v>671</v>
      </c>
    </row>
    <row r="837" spans="1:6" x14ac:dyDescent="0.3">
      <c r="A837" s="3" t="s">
        <v>746</v>
      </c>
      <c r="B837" s="3" t="s">
        <v>54</v>
      </c>
      <c r="C837" s="3" t="str">
        <f t="shared" si="13"/>
        <v>450013940630</v>
      </c>
      <c r="D837" s="4">
        <v>46297</v>
      </c>
      <c r="E837" s="3" t="s">
        <v>597</v>
      </c>
      <c r="F837" s="3" t="s">
        <v>671</v>
      </c>
    </row>
    <row r="838" spans="1:6" x14ac:dyDescent="0.3">
      <c r="A838" s="3" t="s">
        <v>746</v>
      </c>
      <c r="B838" s="3" t="s">
        <v>23</v>
      </c>
      <c r="C838" s="3" t="str">
        <f t="shared" si="13"/>
        <v>450013940640</v>
      </c>
      <c r="D838" s="4">
        <v>46297</v>
      </c>
      <c r="E838" s="3" t="s">
        <v>597</v>
      </c>
      <c r="F838" s="3" t="s">
        <v>671</v>
      </c>
    </row>
    <row r="839" spans="1:6" x14ac:dyDescent="0.3">
      <c r="A839" s="3" t="s">
        <v>746</v>
      </c>
      <c r="B839" s="3" t="s">
        <v>55</v>
      </c>
      <c r="C839" s="3" t="str">
        <f t="shared" si="13"/>
        <v>450013940650</v>
      </c>
      <c r="D839" s="4">
        <v>46297</v>
      </c>
      <c r="E839" s="3" t="s">
        <v>597</v>
      </c>
      <c r="F839" s="3" t="s">
        <v>671</v>
      </c>
    </row>
    <row r="840" spans="1:6" x14ac:dyDescent="0.3">
      <c r="A840" s="3" t="s">
        <v>814</v>
      </c>
      <c r="B840" s="3" t="s">
        <v>81</v>
      </c>
      <c r="C840" s="3" t="str">
        <f t="shared" si="13"/>
        <v>450013945970</v>
      </c>
      <c r="D840" s="4">
        <v>46297</v>
      </c>
      <c r="E840" s="3" t="s">
        <v>597</v>
      </c>
      <c r="F840" s="3" t="s">
        <v>841</v>
      </c>
    </row>
    <row r="841" spans="1:6" x14ac:dyDescent="0.3">
      <c r="A841" s="3" t="s">
        <v>814</v>
      </c>
      <c r="B841" s="3" t="s">
        <v>82</v>
      </c>
      <c r="C841" s="3" t="str">
        <f t="shared" si="13"/>
        <v>450013945980</v>
      </c>
      <c r="D841" s="4">
        <v>46297</v>
      </c>
      <c r="E841" s="3" t="s">
        <v>597</v>
      </c>
      <c r="F841" s="3" t="s">
        <v>841</v>
      </c>
    </row>
    <row r="842" spans="1:6" x14ac:dyDescent="0.3">
      <c r="A842" s="3" t="s">
        <v>814</v>
      </c>
      <c r="B842" s="3" t="s">
        <v>83</v>
      </c>
      <c r="C842" s="3" t="str">
        <f t="shared" si="13"/>
        <v>450013945990</v>
      </c>
      <c r="D842" s="4">
        <v>46297</v>
      </c>
      <c r="E842" s="3" t="s">
        <v>597</v>
      </c>
      <c r="F842" s="3" t="s">
        <v>841</v>
      </c>
    </row>
    <row r="843" spans="1:6" x14ac:dyDescent="0.3">
      <c r="A843" s="3" t="s">
        <v>814</v>
      </c>
      <c r="B843" s="3" t="s">
        <v>84</v>
      </c>
      <c r="C843" s="3" t="str">
        <f t="shared" si="13"/>
        <v>4500139459100</v>
      </c>
      <c r="D843" s="4">
        <v>46297</v>
      </c>
      <c r="E843" s="3" t="s">
        <v>597</v>
      </c>
      <c r="F843" s="3" t="s">
        <v>841</v>
      </c>
    </row>
    <row r="844" spans="1:6" x14ac:dyDescent="0.3">
      <c r="A844" s="3" t="s">
        <v>814</v>
      </c>
      <c r="B844" s="3" t="s">
        <v>85</v>
      </c>
      <c r="C844" s="3" t="str">
        <f t="shared" si="13"/>
        <v>4500139459110</v>
      </c>
      <c r="D844" s="4">
        <v>46297</v>
      </c>
      <c r="E844" s="3" t="s">
        <v>597</v>
      </c>
      <c r="F844" s="3" t="s">
        <v>841</v>
      </c>
    </row>
    <row r="845" spans="1:6" x14ac:dyDescent="0.3">
      <c r="A845" s="3" t="s">
        <v>814</v>
      </c>
      <c r="B845" s="3" t="s">
        <v>86</v>
      </c>
      <c r="C845" s="3" t="str">
        <f t="shared" si="13"/>
        <v>4500139459120</v>
      </c>
      <c r="D845" s="4">
        <v>46297</v>
      </c>
      <c r="E845" s="3" t="s">
        <v>597</v>
      </c>
      <c r="F845" s="3" t="s">
        <v>841</v>
      </c>
    </row>
    <row r="846" spans="1:6" x14ac:dyDescent="0.3">
      <c r="A846" s="3" t="s">
        <v>814</v>
      </c>
      <c r="B846" s="3" t="s">
        <v>65</v>
      </c>
      <c r="C846" s="3" t="str">
        <f t="shared" si="13"/>
        <v>4500139459130</v>
      </c>
      <c r="D846" s="4">
        <v>46297</v>
      </c>
      <c r="E846" s="3" t="s">
        <v>597</v>
      </c>
      <c r="F846" s="3" t="s">
        <v>841</v>
      </c>
    </row>
    <row r="847" spans="1:6" x14ac:dyDescent="0.3">
      <c r="A847" s="3" t="s">
        <v>819</v>
      </c>
      <c r="B847" s="3" t="s">
        <v>32</v>
      </c>
      <c r="C847" s="3" t="str">
        <f t="shared" si="13"/>
        <v>450013947210</v>
      </c>
      <c r="D847" s="4">
        <v>46297</v>
      </c>
      <c r="E847" s="3" t="s">
        <v>597</v>
      </c>
      <c r="F847" s="3" t="s">
        <v>842</v>
      </c>
    </row>
    <row r="848" spans="1:6" x14ac:dyDescent="0.3">
      <c r="A848" s="3" t="s">
        <v>819</v>
      </c>
      <c r="B848" s="3" t="s">
        <v>28</v>
      </c>
      <c r="C848" s="3" t="str">
        <f t="shared" si="13"/>
        <v>450013947220</v>
      </c>
      <c r="D848" s="4">
        <v>46297</v>
      </c>
      <c r="E848" s="3" t="s">
        <v>597</v>
      </c>
      <c r="F848" s="3" t="s">
        <v>842</v>
      </c>
    </row>
    <row r="849" spans="1:6" x14ac:dyDescent="0.3">
      <c r="A849" s="3" t="s">
        <v>819</v>
      </c>
      <c r="B849" s="3" t="s">
        <v>54</v>
      </c>
      <c r="C849" s="3" t="str">
        <f t="shared" si="13"/>
        <v>450013947230</v>
      </c>
      <c r="D849" s="4">
        <v>46297</v>
      </c>
      <c r="E849" s="3" t="s">
        <v>597</v>
      </c>
      <c r="F849" s="3" t="s">
        <v>842</v>
      </c>
    </row>
    <row r="850" spans="1:6" x14ac:dyDescent="0.3">
      <c r="A850" s="3" t="s">
        <v>756</v>
      </c>
      <c r="B850" s="3" t="s">
        <v>32</v>
      </c>
      <c r="C850" s="3" t="str">
        <f t="shared" si="13"/>
        <v>450013958210</v>
      </c>
      <c r="D850" s="4">
        <v>46298</v>
      </c>
      <c r="E850" s="3" t="s">
        <v>618</v>
      </c>
      <c r="F850" s="3" t="s">
        <v>671</v>
      </c>
    </row>
    <row r="851" spans="1:6" x14ac:dyDescent="0.3">
      <c r="A851" s="3" t="s">
        <v>758</v>
      </c>
      <c r="B851" s="3" t="s">
        <v>32</v>
      </c>
      <c r="C851" s="3" t="str">
        <f t="shared" si="13"/>
        <v>450013968110</v>
      </c>
      <c r="D851" s="4">
        <v>46310</v>
      </c>
      <c r="E851" s="3" t="s">
        <v>618</v>
      </c>
      <c r="F851" s="3" t="s">
        <v>671</v>
      </c>
    </row>
    <row r="852" spans="1:6" x14ac:dyDescent="0.3">
      <c r="A852" s="3" t="s">
        <v>758</v>
      </c>
      <c r="B852" s="3" t="s">
        <v>54</v>
      </c>
      <c r="C852" s="3" t="str">
        <f t="shared" si="13"/>
        <v>450013968130</v>
      </c>
      <c r="D852" s="4">
        <v>46310</v>
      </c>
      <c r="E852" s="3" t="s">
        <v>618</v>
      </c>
      <c r="F852" s="3" t="s">
        <v>671</v>
      </c>
    </row>
    <row r="853" spans="1:6" x14ac:dyDescent="0.3">
      <c r="A853" s="3" t="s">
        <v>758</v>
      </c>
      <c r="B853" s="3" t="s">
        <v>23</v>
      </c>
      <c r="C853" s="3" t="str">
        <f t="shared" si="13"/>
        <v>450013968140</v>
      </c>
      <c r="D853" s="4">
        <v>46310</v>
      </c>
      <c r="E853" s="3" t="s">
        <v>618</v>
      </c>
      <c r="F853" s="3" t="s">
        <v>671</v>
      </c>
    </row>
    <row r="854" spans="1:6" x14ac:dyDescent="0.3">
      <c r="A854" s="3" t="s">
        <v>806</v>
      </c>
      <c r="B854" s="3" t="s">
        <v>28</v>
      </c>
      <c r="C854" s="3" t="str">
        <f t="shared" si="13"/>
        <v>450013976420</v>
      </c>
      <c r="D854" s="4">
        <v>46310</v>
      </c>
      <c r="E854" s="3" t="s">
        <v>836</v>
      </c>
      <c r="F854" s="3" t="s">
        <v>837</v>
      </c>
    </row>
    <row r="855" spans="1:6" x14ac:dyDescent="0.3">
      <c r="A855" s="3" t="s">
        <v>808</v>
      </c>
      <c r="B855" s="3" t="s">
        <v>32</v>
      </c>
      <c r="C855" s="3" t="str">
        <f t="shared" si="13"/>
        <v>450013976810</v>
      </c>
      <c r="D855" s="4">
        <v>46302</v>
      </c>
      <c r="E855" s="3" t="s">
        <v>604</v>
      </c>
      <c r="F855" s="3" t="s">
        <v>629</v>
      </c>
    </row>
    <row r="856" spans="1:6" x14ac:dyDescent="0.3">
      <c r="A856" s="3" t="s">
        <v>742</v>
      </c>
      <c r="B856" s="3" t="s">
        <v>32</v>
      </c>
      <c r="C856" s="3" t="str">
        <f t="shared" si="13"/>
        <v>450013978110</v>
      </c>
      <c r="D856" s="4">
        <v>46315</v>
      </c>
      <c r="E856" s="3" t="s">
        <v>595</v>
      </c>
      <c r="F856" s="3" t="s">
        <v>596</v>
      </c>
    </row>
    <row r="857" spans="1:6" x14ac:dyDescent="0.3">
      <c r="A857" s="3" t="s">
        <v>777</v>
      </c>
      <c r="B857" s="3" t="s">
        <v>23</v>
      </c>
      <c r="C857" s="3" t="str">
        <f t="shared" si="13"/>
        <v>450013978940</v>
      </c>
      <c r="D857" s="4">
        <v>46321</v>
      </c>
      <c r="E857" s="3" t="s">
        <v>618</v>
      </c>
      <c r="F857" s="3" t="s">
        <v>671</v>
      </c>
    </row>
    <row r="858" spans="1:6" x14ac:dyDescent="0.3">
      <c r="A858" s="3" t="s">
        <v>777</v>
      </c>
      <c r="B858" s="3" t="s">
        <v>55</v>
      </c>
      <c r="C858" s="3" t="str">
        <f t="shared" si="13"/>
        <v>450013978950</v>
      </c>
      <c r="D858" s="4">
        <v>46321</v>
      </c>
      <c r="E858" s="3" t="s">
        <v>618</v>
      </c>
      <c r="F858" s="3" t="s">
        <v>671</v>
      </c>
    </row>
    <row r="859" spans="1:6" x14ac:dyDescent="0.3">
      <c r="A859" s="3" t="s">
        <v>777</v>
      </c>
      <c r="B859" s="3" t="s">
        <v>80</v>
      </c>
      <c r="C859" s="3" t="str">
        <f t="shared" si="13"/>
        <v>450013978960</v>
      </c>
      <c r="D859" s="4">
        <v>46321</v>
      </c>
      <c r="E859" s="3" t="s">
        <v>618</v>
      </c>
      <c r="F859" s="3" t="s">
        <v>671</v>
      </c>
    </row>
    <row r="860" spans="1:6" x14ac:dyDescent="0.3">
      <c r="A860" s="3" t="s">
        <v>777</v>
      </c>
      <c r="B860" s="3" t="s">
        <v>81</v>
      </c>
      <c r="C860" s="3" t="str">
        <f t="shared" si="13"/>
        <v>450013978970</v>
      </c>
      <c r="D860" s="4">
        <v>46321</v>
      </c>
      <c r="E860" s="3" t="s">
        <v>618</v>
      </c>
      <c r="F860" s="3" t="s">
        <v>671</v>
      </c>
    </row>
    <row r="861" spans="1:6" x14ac:dyDescent="0.3">
      <c r="A861" s="3" t="s">
        <v>777</v>
      </c>
      <c r="B861" s="3" t="s">
        <v>84</v>
      </c>
      <c r="C861" s="3" t="str">
        <f t="shared" si="13"/>
        <v>4500139789100</v>
      </c>
      <c r="D861" s="4">
        <v>46321</v>
      </c>
      <c r="E861" s="3" t="s">
        <v>618</v>
      </c>
      <c r="F861" s="3" t="s">
        <v>671</v>
      </c>
    </row>
    <row r="862" spans="1:6" x14ac:dyDescent="0.3">
      <c r="A862" s="3" t="s">
        <v>777</v>
      </c>
      <c r="B862" s="3" t="s">
        <v>86</v>
      </c>
      <c r="C862" s="3" t="str">
        <f t="shared" si="13"/>
        <v>4500139789120</v>
      </c>
      <c r="D862" s="4">
        <v>46321</v>
      </c>
      <c r="E862" s="3" t="s">
        <v>618</v>
      </c>
      <c r="F862" s="3" t="s">
        <v>671</v>
      </c>
    </row>
    <row r="863" spans="1:6" x14ac:dyDescent="0.3">
      <c r="A863" s="3" t="s">
        <v>777</v>
      </c>
      <c r="B863" s="3" t="s">
        <v>65</v>
      </c>
      <c r="C863" s="3" t="str">
        <f t="shared" si="13"/>
        <v>4500139789130</v>
      </c>
      <c r="D863" s="4">
        <v>46321</v>
      </c>
      <c r="E863" s="3" t="s">
        <v>618</v>
      </c>
      <c r="F863" s="3" t="s">
        <v>671</v>
      </c>
    </row>
    <row r="864" spans="1:6" x14ac:dyDescent="0.3">
      <c r="A864" s="3" t="s">
        <v>777</v>
      </c>
      <c r="B864" s="3" t="s">
        <v>66</v>
      </c>
      <c r="C864" s="3" t="str">
        <f t="shared" si="13"/>
        <v>4500139789140</v>
      </c>
      <c r="D864" s="4">
        <v>46321</v>
      </c>
      <c r="E864" s="3" t="s">
        <v>618</v>
      </c>
      <c r="F864" s="3" t="s">
        <v>671</v>
      </c>
    </row>
    <row r="865" spans="1:6" x14ac:dyDescent="0.3">
      <c r="A865" s="3" t="s">
        <v>754</v>
      </c>
      <c r="B865" s="3" t="s">
        <v>28</v>
      </c>
      <c r="C865" s="3" t="str">
        <f t="shared" si="13"/>
        <v>450013981020</v>
      </c>
      <c r="D865" s="4">
        <v>46320</v>
      </c>
      <c r="E865" s="3" t="s">
        <v>618</v>
      </c>
      <c r="F865" s="3" t="s">
        <v>671</v>
      </c>
    </row>
    <row r="866" spans="1:6" x14ac:dyDescent="0.3">
      <c r="A866" s="3" t="s">
        <v>803</v>
      </c>
      <c r="B866" s="3" t="s">
        <v>32</v>
      </c>
      <c r="C866" s="3" t="str">
        <f t="shared" si="13"/>
        <v>450013982910</v>
      </c>
      <c r="D866" s="4">
        <v>46323</v>
      </c>
      <c r="E866" s="3" t="s">
        <v>843</v>
      </c>
      <c r="F866" s="3" t="s">
        <v>666</v>
      </c>
    </row>
    <row r="867" spans="1:6" x14ac:dyDescent="0.3">
      <c r="A867" s="3" t="s">
        <v>792</v>
      </c>
      <c r="B867" s="3" t="s">
        <v>28</v>
      </c>
      <c r="C867" s="3" t="str">
        <f t="shared" si="13"/>
        <v>450013986320</v>
      </c>
      <c r="D867" s="4">
        <v>46304</v>
      </c>
      <c r="E867" s="3" t="s">
        <v>592</v>
      </c>
      <c r="F867" s="3" t="s">
        <v>844</v>
      </c>
    </row>
    <row r="868" spans="1:6" x14ac:dyDescent="0.3">
      <c r="A868" s="3" t="s">
        <v>792</v>
      </c>
      <c r="B868" s="3" t="s">
        <v>54</v>
      </c>
      <c r="C868" s="3" t="str">
        <f t="shared" si="13"/>
        <v>450013986330</v>
      </c>
      <c r="D868" s="4">
        <v>46304</v>
      </c>
      <c r="E868" s="3" t="s">
        <v>592</v>
      </c>
      <c r="F868" s="3" t="s">
        <v>844</v>
      </c>
    </row>
    <row r="869" spans="1:6" x14ac:dyDescent="0.3">
      <c r="A869" s="3" t="s">
        <v>744</v>
      </c>
      <c r="B869" s="3" t="s">
        <v>32</v>
      </c>
      <c r="C869" s="3" t="str">
        <f t="shared" si="13"/>
        <v>450013987010</v>
      </c>
      <c r="D869" s="4">
        <v>46304</v>
      </c>
      <c r="E869" s="3" t="s">
        <v>836</v>
      </c>
      <c r="F869" s="3" t="s">
        <v>671</v>
      </c>
    </row>
    <row r="870" spans="1:6" x14ac:dyDescent="0.3">
      <c r="A870" s="3" t="s">
        <v>744</v>
      </c>
      <c r="B870" s="3" t="s">
        <v>28</v>
      </c>
      <c r="C870" s="3" t="str">
        <f t="shared" si="13"/>
        <v>450013987020</v>
      </c>
      <c r="D870" s="4">
        <v>46304</v>
      </c>
      <c r="E870" s="3" t="s">
        <v>836</v>
      </c>
      <c r="F870" s="3" t="s">
        <v>671</v>
      </c>
    </row>
    <row r="871" spans="1:6" x14ac:dyDescent="0.3">
      <c r="A871" s="3" t="s">
        <v>744</v>
      </c>
      <c r="B871" s="3" t="s">
        <v>54</v>
      </c>
      <c r="C871" s="3" t="str">
        <f t="shared" si="13"/>
        <v>450013987030</v>
      </c>
      <c r="D871" s="4">
        <v>46304</v>
      </c>
      <c r="E871" s="3" t="s">
        <v>836</v>
      </c>
      <c r="F871" s="3" t="s">
        <v>671</v>
      </c>
    </row>
    <row r="872" spans="1:6" x14ac:dyDescent="0.3">
      <c r="A872" s="3" t="s">
        <v>744</v>
      </c>
      <c r="B872" s="3" t="s">
        <v>23</v>
      </c>
      <c r="C872" s="3" t="str">
        <f t="shared" si="13"/>
        <v>450013987040</v>
      </c>
      <c r="D872" s="4">
        <v>46304</v>
      </c>
      <c r="E872" s="3" t="s">
        <v>836</v>
      </c>
      <c r="F872" s="3" t="s">
        <v>671</v>
      </c>
    </row>
    <row r="873" spans="1:6" x14ac:dyDescent="0.3">
      <c r="A873" s="3" t="s">
        <v>744</v>
      </c>
      <c r="B873" s="3" t="s">
        <v>55</v>
      </c>
      <c r="C873" s="3" t="str">
        <f t="shared" si="13"/>
        <v>450013987050</v>
      </c>
      <c r="D873" s="4">
        <v>46304</v>
      </c>
      <c r="E873" s="3" t="s">
        <v>836</v>
      </c>
      <c r="F873" s="3" t="s">
        <v>671</v>
      </c>
    </row>
    <row r="874" spans="1:6" x14ac:dyDescent="0.3">
      <c r="A874" s="3" t="s">
        <v>752</v>
      </c>
      <c r="B874" s="3" t="s">
        <v>32</v>
      </c>
      <c r="C874" s="3" t="str">
        <f t="shared" si="13"/>
        <v>450013993910</v>
      </c>
      <c r="D874" s="4">
        <v>46301</v>
      </c>
      <c r="E874" s="3" t="s">
        <v>597</v>
      </c>
      <c r="F874" s="3" t="s">
        <v>671</v>
      </c>
    </row>
    <row r="875" spans="1:6" x14ac:dyDescent="0.3">
      <c r="A875" s="3" t="s">
        <v>821</v>
      </c>
      <c r="B875" s="3" t="s">
        <v>32</v>
      </c>
      <c r="C875" s="3" t="str">
        <f t="shared" si="13"/>
        <v>450013997510</v>
      </c>
      <c r="D875" s="4">
        <v>46311</v>
      </c>
      <c r="E875" s="3" t="s">
        <v>599</v>
      </c>
      <c r="F875" s="3" t="s">
        <v>600</v>
      </c>
    </row>
    <row r="876" spans="1:6" x14ac:dyDescent="0.3">
      <c r="A876" s="3" t="s">
        <v>781</v>
      </c>
      <c r="B876" s="3" t="s">
        <v>32</v>
      </c>
      <c r="C876" s="3" t="str">
        <f t="shared" si="13"/>
        <v>450014000310</v>
      </c>
      <c r="D876" s="4">
        <v>46301</v>
      </c>
      <c r="E876" s="3" t="s">
        <v>597</v>
      </c>
      <c r="F876" s="3" t="s">
        <v>677</v>
      </c>
    </row>
    <row r="877" spans="1:6" x14ac:dyDescent="0.3">
      <c r="A877" s="3" t="s">
        <v>831</v>
      </c>
      <c r="B877" s="3" t="s">
        <v>32</v>
      </c>
      <c r="C877" s="3" t="str">
        <f t="shared" si="13"/>
        <v>450014000710</v>
      </c>
      <c r="D877" s="4">
        <v>46301</v>
      </c>
      <c r="E877" s="3" t="s">
        <v>597</v>
      </c>
      <c r="F877" s="3" t="s">
        <v>841</v>
      </c>
    </row>
    <row r="878" spans="1:6" x14ac:dyDescent="0.3">
      <c r="A878" s="3" t="s">
        <v>831</v>
      </c>
      <c r="B878" s="3" t="s">
        <v>28</v>
      </c>
      <c r="C878" s="3" t="str">
        <f t="shared" si="13"/>
        <v>450014000720</v>
      </c>
      <c r="D878" s="4">
        <v>46301</v>
      </c>
      <c r="E878" s="3" t="s">
        <v>597</v>
      </c>
      <c r="F878" s="3" t="s">
        <v>841</v>
      </c>
    </row>
    <row r="879" spans="1:6" x14ac:dyDescent="0.3">
      <c r="A879" s="3" t="s">
        <v>785</v>
      </c>
      <c r="B879" s="3" t="s">
        <v>32</v>
      </c>
      <c r="C879" s="3" t="str">
        <f t="shared" si="13"/>
        <v>450014000910</v>
      </c>
      <c r="D879" s="4">
        <v>46318</v>
      </c>
      <c r="E879" s="3" t="s">
        <v>602</v>
      </c>
      <c r="F879" s="3" t="s">
        <v>692</v>
      </c>
    </row>
    <row r="880" spans="1:6" x14ac:dyDescent="0.3">
      <c r="A880" s="3" t="s">
        <v>785</v>
      </c>
      <c r="B880" s="3" t="s">
        <v>28</v>
      </c>
      <c r="C880" s="3" t="str">
        <f t="shared" si="13"/>
        <v>450014000920</v>
      </c>
      <c r="D880" s="4">
        <v>46318</v>
      </c>
      <c r="E880" s="3" t="s">
        <v>602</v>
      </c>
      <c r="F880" s="3" t="s">
        <v>692</v>
      </c>
    </row>
    <row r="881" spans="1:6" x14ac:dyDescent="0.3">
      <c r="A881" s="3" t="s">
        <v>785</v>
      </c>
      <c r="B881" s="3" t="s">
        <v>54</v>
      </c>
      <c r="C881" s="3" t="str">
        <f t="shared" si="13"/>
        <v>450014000930</v>
      </c>
      <c r="D881" s="4">
        <v>46318</v>
      </c>
      <c r="E881" s="3" t="s">
        <v>602</v>
      </c>
      <c r="F881" s="3" t="s">
        <v>692</v>
      </c>
    </row>
    <row r="882" spans="1:6" x14ac:dyDescent="0.3">
      <c r="A882" s="3" t="s">
        <v>785</v>
      </c>
      <c r="B882" s="3" t="s">
        <v>23</v>
      </c>
      <c r="C882" s="3" t="str">
        <f t="shared" si="13"/>
        <v>450014000940</v>
      </c>
      <c r="D882" s="4">
        <v>46318</v>
      </c>
      <c r="E882" s="3" t="s">
        <v>602</v>
      </c>
      <c r="F882" s="3" t="s">
        <v>692</v>
      </c>
    </row>
    <row r="883" spans="1:6" x14ac:dyDescent="0.3">
      <c r="A883" s="3" t="s">
        <v>785</v>
      </c>
      <c r="B883" s="3" t="s">
        <v>55</v>
      </c>
      <c r="C883" s="3" t="str">
        <f t="shared" si="13"/>
        <v>450014000950</v>
      </c>
      <c r="D883" s="4">
        <v>46318</v>
      </c>
      <c r="E883" s="3" t="s">
        <v>602</v>
      </c>
      <c r="F883" s="3" t="s">
        <v>692</v>
      </c>
    </row>
    <row r="884" spans="1:6" x14ac:dyDescent="0.3">
      <c r="A884" s="3" t="s">
        <v>785</v>
      </c>
      <c r="B884" s="3" t="s">
        <v>80</v>
      </c>
      <c r="C884" s="3" t="str">
        <f t="shared" si="13"/>
        <v>450014000960</v>
      </c>
      <c r="D884" s="4">
        <v>46318</v>
      </c>
      <c r="E884" s="3" t="s">
        <v>602</v>
      </c>
      <c r="F884" s="3" t="s">
        <v>692</v>
      </c>
    </row>
    <row r="885" spans="1:6" x14ac:dyDescent="0.3">
      <c r="A885" s="3" t="s">
        <v>785</v>
      </c>
      <c r="B885" s="3" t="s">
        <v>81</v>
      </c>
      <c r="C885" s="3" t="str">
        <f t="shared" si="13"/>
        <v>450014000970</v>
      </c>
      <c r="D885" s="4">
        <v>46318</v>
      </c>
      <c r="E885" s="3" t="s">
        <v>602</v>
      </c>
      <c r="F885" s="3" t="s">
        <v>692</v>
      </c>
    </row>
    <row r="886" spans="1:6" x14ac:dyDescent="0.3">
      <c r="A886" s="3" t="s">
        <v>785</v>
      </c>
      <c r="B886" s="3" t="s">
        <v>82</v>
      </c>
      <c r="C886" s="3" t="str">
        <f t="shared" si="13"/>
        <v>450014000980</v>
      </c>
      <c r="D886" s="4">
        <v>46318</v>
      </c>
      <c r="E886" s="3" t="s">
        <v>602</v>
      </c>
      <c r="F886" s="3" t="s">
        <v>692</v>
      </c>
    </row>
    <row r="887" spans="1:6" x14ac:dyDescent="0.3">
      <c r="A887" s="3" t="s">
        <v>785</v>
      </c>
      <c r="B887" s="3" t="s">
        <v>83</v>
      </c>
      <c r="C887" s="3" t="str">
        <f t="shared" si="13"/>
        <v>450014000990</v>
      </c>
      <c r="D887" s="4">
        <v>46318</v>
      </c>
      <c r="E887" s="3" t="s">
        <v>602</v>
      </c>
      <c r="F887" s="3" t="s">
        <v>692</v>
      </c>
    </row>
    <row r="888" spans="1:6" x14ac:dyDescent="0.3">
      <c r="A888" s="3" t="s">
        <v>785</v>
      </c>
      <c r="B888" s="3" t="s">
        <v>84</v>
      </c>
      <c r="C888" s="3" t="str">
        <f t="shared" si="13"/>
        <v>4500140009100</v>
      </c>
      <c r="D888" s="4">
        <v>46318</v>
      </c>
      <c r="E888" s="3" t="s">
        <v>602</v>
      </c>
      <c r="F888" s="3" t="s">
        <v>692</v>
      </c>
    </row>
    <row r="889" spans="1:6" x14ac:dyDescent="0.3">
      <c r="A889" s="3" t="s">
        <v>827</v>
      </c>
      <c r="B889" s="3" t="s">
        <v>32</v>
      </c>
      <c r="C889" s="3" t="str">
        <f t="shared" si="13"/>
        <v>450014007210</v>
      </c>
      <c r="D889" s="4">
        <v>46302</v>
      </c>
      <c r="E889" s="3" t="s">
        <v>604</v>
      </c>
      <c r="F889" s="3" t="s">
        <v>605</v>
      </c>
    </row>
    <row r="890" spans="1:6" x14ac:dyDescent="0.3">
      <c r="A890" s="3" t="s">
        <v>827</v>
      </c>
      <c r="B890" s="3" t="s">
        <v>28</v>
      </c>
      <c r="C890" s="3" t="str">
        <f t="shared" si="13"/>
        <v>450014007220</v>
      </c>
      <c r="D890" s="4">
        <v>46302</v>
      </c>
      <c r="E890" s="3" t="s">
        <v>604</v>
      </c>
      <c r="F890" s="3" t="s">
        <v>605</v>
      </c>
    </row>
    <row r="891" spans="1:6" x14ac:dyDescent="0.3">
      <c r="A891" s="3" t="s">
        <v>789</v>
      </c>
      <c r="B891" s="3" t="s">
        <v>32</v>
      </c>
      <c r="C891" s="3" t="str">
        <f t="shared" si="13"/>
        <v>450014008710</v>
      </c>
      <c r="D891" s="4">
        <v>46311</v>
      </c>
      <c r="E891" s="3" t="s">
        <v>592</v>
      </c>
      <c r="F891" s="3" t="s">
        <v>657</v>
      </c>
    </row>
    <row r="892" spans="1:6" x14ac:dyDescent="0.3">
      <c r="A892" s="3" t="s">
        <v>789</v>
      </c>
      <c r="B892" s="3" t="s">
        <v>28</v>
      </c>
      <c r="C892" s="3" t="str">
        <f t="shared" si="13"/>
        <v>450014008720</v>
      </c>
      <c r="D892" s="4">
        <v>46311</v>
      </c>
      <c r="E892" s="3" t="s">
        <v>592</v>
      </c>
      <c r="F892" s="3" t="s">
        <v>657</v>
      </c>
    </row>
    <row r="893" spans="1:6" x14ac:dyDescent="0.3">
      <c r="A893" s="3" t="s">
        <v>789</v>
      </c>
      <c r="B893" s="3" t="s">
        <v>54</v>
      </c>
      <c r="C893" s="3" t="str">
        <f t="shared" si="13"/>
        <v>450014008730</v>
      </c>
      <c r="D893" s="4">
        <v>46311</v>
      </c>
      <c r="E893" s="3" t="s">
        <v>592</v>
      </c>
      <c r="F893" s="3" t="s">
        <v>657</v>
      </c>
    </row>
    <row r="894" spans="1:6" x14ac:dyDescent="0.3">
      <c r="A894" s="3" t="s">
        <v>789</v>
      </c>
      <c r="B894" s="3" t="s">
        <v>23</v>
      </c>
      <c r="C894" s="3" t="str">
        <f t="shared" si="13"/>
        <v>450014008740</v>
      </c>
      <c r="D894" s="4">
        <v>46311</v>
      </c>
      <c r="E894" s="3" t="s">
        <v>592</v>
      </c>
      <c r="F894" s="3" t="s">
        <v>657</v>
      </c>
    </row>
    <row r="895" spans="1:6" x14ac:dyDescent="0.3">
      <c r="A895" s="3" t="s">
        <v>825</v>
      </c>
      <c r="B895" s="3" t="s">
        <v>55</v>
      </c>
      <c r="C895" s="3" t="str">
        <f t="shared" si="13"/>
        <v>450014008950</v>
      </c>
      <c r="D895" s="4">
        <v>46311</v>
      </c>
      <c r="E895" s="3" t="s">
        <v>592</v>
      </c>
      <c r="F895" s="3" t="s">
        <v>593</v>
      </c>
    </row>
    <row r="896" spans="1:6" x14ac:dyDescent="0.3">
      <c r="A896" s="3" t="s">
        <v>825</v>
      </c>
      <c r="B896" s="3" t="s">
        <v>80</v>
      </c>
      <c r="C896" s="3" t="str">
        <f t="shared" si="13"/>
        <v>450014008960</v>
      </c>
      <c r="D896" s="4">
        <v>46311</v>
      </c>
      <c r="E896" s="3" t="s">
        <v>592</v>
      </c>
      <c r="F896" s="3" t="s">
        <v>593</v>
      </c>
    </row>
    <row r="897" spans="1:6" x14ac:dyDescent="0.3">
      <c r="A897" s="3" t="s">
        <v>825</v>
      </c>
      <c r="B897" s="3" t="s">
        <v>81</v>
      </c>
      <c r="C897" s="3" t="str">
        <f t="shared" si="13"/>
        <v>450014008970</v>
      </c>
      <c r="D897" s="4">
        <v>46311</v>
      </c>
      <c r="E897" s="3" t="s">
        <v>592</v>
      </c>
      <c r="F897" s="3" t="s">
        <v>593</v>
      </c>
    </row>
    <row r="898" spans="1:6" x14ac:dyDescent="0.3">
      <c r="A898" s="3" t="s">
        <v>823</v>
      </c>
      <c r="B898" s="3" t="s">
        <v>32</v>
      </c>
      <c r="C898" s="3" t="str">
        <f t="shared" si="13"/>
        <v>450014012910</v>
      </c>
      <c r="D898" s="4">
        <v>46304</v>
      </c>
      <c r="E898" s="3" t="s">
        <v>597</v>
      </c>
      <c r="F898" s="3" t="s">
        <v>678</v>
      </c>
    </row>
    <row r="899" spans="1:6" x14ac:dyDescent="0.3">
      <c r="A899" s="3" t="s">
        <v>816</v>
      </c>
      <c r="B899" s="3" t="s">
        <v>32</v>
      </c>
      <c r="C899" s="3" t="str">
        <f t="shared" ref="C899:C962" si="14">_xlfn.CONCAT(A899:B899)</f>
        <v>450014015810</v>
      </c>
      <c r="D899" s="4">
        <v>46304</v>
      </c>
      <c r="E899" s="3" t="s">
        <v>597</v>
      </c>
      <c r="F899" s="3" t="s">
        <v>694</v>
      </c>
    </row>
    <row r="900" spans="1:6" x14ac:dyDescent="0.3">
      <c r="A900" s="3" t="s">
        <v>761</v>
      </c>
      <c r="B900" s="3" t="s">
        <v>32</v>
      </c>
      <c r="C900" s="3" t="str">
        <f t="shared" si="14"/>
        <v>450014016410</v>
      </c>
      <c r="D900" s="4">
        <v>46311</v>
      </c>
      <c r="E900" s="3" t="s">
        <v>595</v>
      </c>
      <c r="F900" s="3" t="s">
        <v>845</v>
      </c>
    </row>
    <row r="901" spans="1:6" x14ac:dyDescent="0.3">
      <c r="A901" s="3" t="s">
        <v>787</v>
      </c>
      <c r="B901" s="3" t="s">
        <v>32</v>
      </c>
      <c r="C901" s="3" t="str">
        <f t="shared" si="14"/>
        <v>450014017410</v>
      </c>
      <c r="D901" s="4">
        <v>46335</v>
      </c>
      <c r="E901" s="3" t="s">
        <v>599</v>
      </c>
      <c r="F901" s="3" t="s">
        <v>697</v>
      </c>
    </row>
    <row r="902" spans="1:6" x14ac:dyDescent="0.3">
      <c r="A902" s="3" t="s">
        <v>783</v>
      </c>
      <c r="B902" s="3" t="s">
        <v>32</v>
      </c>
      <c r="C902" s="3" t="str">
        <f t="shared" si="14"/>
        <v>450014021110</v>
      </c>
      <c r="D902" s="4">
        <v>46304</v>
      </c>
      <c r="E902" s="3" t="s">
        <v>597</v>
      </c>
      <c r="F902" s="3" t="s">
        <v>692</v>
      </c>
    </row>
    <row r="903" spans="1:6" x14ac:dyDescent="0.3">
      <c r="A903" s="3" t="s">
        <v>783</v>
      </c>
      <c r="B903" s="3" t="s">
        <v>28</v>
      </c>
      <c r="C903" s="3" t="str">
        <f t="shared" si="14"/>
        <v>450014021120</v>
      </c>
      <c r="D903" s="4">
        <v>46304</v>
      </c>
      <c r="E903" s="3" t="s">
        <v>597</v>
      </c>
      <c r="F903" s="3" t="s">
        <v>692</v>
      </c>
    </row>
    <row r="904" spans="1:6" x14ac:dyDescent="0.3">
      <c r="A904" s="3" t="s">
        <v>783</v>
      </c>
      <c r="B904" s="3" t="s">
        <v>54</v>
      </c>
      <c r="C904" s="3" t="str">
        <f t="shared" si="14"/>
        <v>450014021130</v>
      </c>
      <c r="D904" s="4">
        <v>46304</v>
      </c>
      <c r="E904" s="3" t="s">
        <v>597</v>
      </c>
      <c r="F904" s="3" t="s">
        <v>692</v>
      </c>
    </row>
    <row r="905" spans="1:6" x14ac:dyDescent="0.3">
      <c r="A905" s="3" t="s">
        <v>783</v>
      </c>
      <c r="B905" s="3" t="s">
        <v>23</v>
      </c>
      <c r="C905" s="3" t="str">
        <f t="shared" si="14"/>
        <v>450014021140</v>
      </c>
      <c r="D905" s="4">
        <v>46304</v>
      </c>
      <c r="E905" s="3" t="s">
        <v>597</v>
      </c>
      <c r="F905" s="3" t="s">
        <v>692</v>
      </c>
    </row>
    <row r="906" spans="1:6" x14ac:dyDescent="0.3">
      <c r="A906" s="3" t="s">
        <v>774</v>
      </c>
      <c r="B906" s="3" t="s">
        <v>32</v>
      </c>
      <c r="C906" s="3" t="str">
        <f t="shared" si="14"/>
        <v>450014022810</v>
      </c>
      <c r="D906" s="4">
        <v>46300</v>
      </c>
      <c r="E906" s="3" t="s">
        <v>586</v>
      </c>
      <c r="F906" s="3" t="s">
        <v>601</v>
      </c>
    </row>
    <row r="907" spans="1:6" x14ac:dyDescent="0.3">
      <c r="A907" s="3" t="s">
        <v>829</v>
      </c>
      <c r="B907" s="3" t="s">
        <v>32</v>
      </c>
      <c r="C907" s="3" t="str">
        <f t="shared" si="14"/>
        <v>450014040310</v>
      </c>
      <c r="D907" s="4">
        <v>46310</v>
      </c>
      <c r="E907" s="3" t="s">
        <v>586</v>
      </c>
      <c r="F907" s="3" t="s">
        <v>700</v>
      </c>
    </row>
    <row r="908" spans="1:6" x14ac:dyDescent="0.3">
      <c r="A908" s="3" t="s">
        <v>829</v>
      </c>
      <c r="B908" s="3" t="s">
        <v>28</v>
      </c>
      <c r="C908" s="3" t="str">
        <f t="shared" si="14"/>
        <v>450014040320</v>
      </c>
      <c r="D908" s="4">
        <v>46310</v>
      </c>
      <c r="E908" s="3" t="s">
        <v>586</v>
      </c>
      <c r="F908" s="3" t="s">
        <v>700</v>
      </c>
    </row>
    <row r="909" spans="1:6" x14ac:dyDescent="0.3">
      <c r="A909" s="3" t="s">
        <v>829</v>
      </c>
      <c r="B909" s="3" t="s">
        <v>54</v>
      </c>
      <c r="C909" s="3" t="str">
        <f t="shared" si="14"/>
        <v>450014040330</v>
      </c>
      <c r="D909" s="4">
        <v>46310</v>
      </c>
      <c r="E909" s="3" t="s">
        <v>586</v>
      </c>
      <c r="F909" s="3" t="s">
        <v>700</v>
      </c>
    </row>
    <row r="910" spans="1:6" x14ac:dyDescent="0.3">
      <c r="A910" s="3" t="s">
        <v>829</v>
      </c>
      <c r="B910" s="3" t="s">
        <v>23</v>
      </c>
      <c r="C910" s="3" t="str">
        <f t="shared" si="14"/>
        <v>450014040340</v>
      </c>
      <c r="D910" s="4">
        <v>46310</v>
      </c>
      <c r="E910" s="3" t="s">
        <v>586</v>
      </c>
      <c r="F910" s="3" t="s">
        <v>700</v>
      </c>
    </row>
    <row r="911" spans="1:6" x14ac:dyDescent="0.3">
      <c r="A911" s="3" t="s">
        <v>922</v>
      </c>
      <c r="B911" s="3" t="s">
        <v>86</v>
      </c>
      <c r="C911" s="3" t="str">
        <f t="shared" si="14"/>
        <v>4500140272120</v>
      </c>
      <c r="D911" s="4">
        <v>46315</v>
      </c>
      <c r="E911" s="3" t="s">
        <v>618</v>
      </c>
      <c r="F911" s="3" t="s">
        <v>593</v>
      </c>
    </row>
    <row r="912" spans="1:6" x14ac:dyDescent="0.3">
      <c r="A912" s="3" t="s">
        <v>922</v>
      </c>
      <c r="B912" s="3" t="s">
        <v>92</v>
      </c>
      <c r="C912" s="3" t="str">
        <f t="shared" si="14"/>
        <v>4500140272200</v>
      </c>
      <c r="D912" s="4">
        <v>46315</v>
      </c>
      <c r="E912" s="3" t="s">
        <v>618</v>
      </c>
      <c r="F912" s="3" t="s">
        <v>593</v>
      </c>
    </row>
    <row r="913" spans="1:6" x14ac:dyDescent="0.3">
      <c r="A913" s="3" t="s">
        <v>922</v>
      </c>
      <c r="B913" s="3" t="s">
        <v>43</v>
      </c>
      <c r="C913" s="3" t="str">
        <f t="shared" si="14"/>
        <v>4500140272210</v>
      </c>
      <c r="D913" s="4">
        <v>46315</v>
      </c>
      <c r="E913" s="3" t="s">
        <v>618</v>
      </c>
      <c r="F913" s="3" t="s">
        <v>593</v>
      </c>
    </row>
    <row r="914" spans="1:6" x14ac:dyDescent="0.3">
      <c r="A914" s="3" t="s">
        <v>937</v>
      </c>
      <c r="B914" s="3" t="s">
        <v>32</v>
      </c>
      <c r="C914" s="3" t="str">
        <f t="shared" si="14"/>
        <v>450013454510</v>
      </c>
      <c r="D914" s="4">
        <v>46299</v>
      </c>
      <c r="E914" s="3" t="s">
        <v>597</v>
      </c>
      <c r="F914" s="3" t="s">
        <v>966</v>
      </c>
    </row>
    <row r="915" spans="1:6" x14ac:dyDescent="0.3">
      <c r="A915" s="3" t="s">
        <v>937</v>
      </c>
      <c r="B915" s="3" t="s">
        <v>28</v>
      </c>
      <c r="C915" s="3" t="str">
        <f t="shared" si="14"/>
        <v>450013454520</v>
      </c>
      <c r="D915" s="4">
        <v>46299</v>
      </c>
      <c r="E915" s="3" t="s">
        <v>597</v>
      </c>
      <c r="F915" s="3" t="s">
        <v>966</v>
      </c>
    </row>
    <row r="916" spans="1:6" x14ac:dyDescent="0.3">
      <c r="A916" s="3" t="s">
        <v>889</v>
      </c>
      <c r="B916" s="3" t="s">
        <v>32</v>
      </c>
      <c r="C916" s="3" t="str">
        <f t="shared" si="14"/>
        <v>450013697410</v>
      </c>
      <c r="D916" s="4">
        <v>46283</v>
      </c>
      <c r="E916" s="3" t="s">
        <v>592</v>
      </c>
      <c r="F916" s="3" t="s">
        <v>593</v>
      </c>
    </row>
    <row r="917" spans="1:6" x14ac:dyDescent="0.3">
      <c r="A917" s="3" t="s">
        <v>889</v>
      </c>
      <c r="B917" s="3" t="s">
        <v>28</v>
      </c>
      <c r="C917" s="3" t="str">
        <f t="shared" si="14"/>
        <v>450013697420</v>
      </c>
      <c r="D917" s="4">
        <v>46283</v>
      </c>
      <c r="E917" s="3" t="s">
        <v>592</v>
      </c>
      <c r="F917" s="3" t="s">
        <v>593</v>
      </c>
    </row>
    <row r="918" spans="1:6" x14ac:dyDescent="0.3">
      <c r="A918" s="3" t="s">
        <v>889</v>
      </c>
      <c r="B918" s="3" t="s">
        <v>54</v>
      </c>
      <c r="C918" s="3" t="str">
        <f t="shared" si="14"/>
        <v>450013697430</v>
      </c>
      <c r="D918" s="4">
        <v>46283</v>
      </c>
      <c r="E918" s="3" t="s">
        <v>592</v>
      </c>
      <c r="F918" s="3" t="s">
        <v>593</v>
      </c>
    </row>
    <row r="919" spans="1:6" x14ac:dyDescent="0.3">
      <c r="A919" s="3" t="s">
        <v>940</v>
      </c>
      <c r="B919" s="3" t="s">
        <v>32</v>
      </c>
      <c r="C919" s="3" t="str">
        <f t="shared" si="14"/>
        <v>450013733510</v>
      </c>
      <c r="D919" s="4">
        <v>46283</v>
      </c>
      <c r="E919" s="3" t="s">
        <v>592</v>
      </c>
      <c r="F919" s="3" t="s">
        <v>657</v>
      </c>
    </row>
    <row r="920" spans="1:6" x14ac:dyDescent="0.3">
      <c r="A920" s="3" t="s">
        <v>940</v>
      </c>
      <c r="B920" s="3" t="s">
        <v>28</v>
      </c>
      <c r="C920" s="3" t="str">
        <f t="shared" si="14"/>
        <v>450013733520</v>
      </c>
      <c r="D920" s="4">
        <v>46311</v>
      </c>
      <c r="E920" s="3" t="s">
        <v>592</v>
      </c>
      <c r="F920" s="3" t="s">
        <v>657</v>
      </c>
    </row>
    <row r="921" spans="1:6" x14ac:dyDescent="0.3">
      <c r="A921" s="3" t="s">
        <v>940</v>
      </c>
      <c r="B921" s="3" t="s">
        <v>54</v>
      </c>
      <c r="C921" s="3" t="str">
        <f t="shared" si="14"/>
        <v>450013733530</v>
      </c>
      <c r="D921" s="4">
        <v>46283</v>
      </c>
      <c r="E921" s="3" t="s">
        <v>592</v>
      </c>
      <c r="F921" s="3" t="s">
        <v>657</v>
      </c>
    </row>
    <row r="922" spans="1:6" x14ac:dyDescent="0.3">
      <c r="A922" s="3" t="s">
        <v>940</v>
      </c>
      <c r="B922" s="3" t="s">
        <v>23</v>
      </c>
      <c r="C922" s="3" t="str">
        <f t="shared" si="14"/>
        <v>450013733540</v>
      </c>
      <c r="D922" s="4">
        <v>46283</v>
      </c>
      <c r="E922" s="3" t="s">
        <v>592</v>
      </c>
      <c r="F922" s="3" t="s">
        <v>657</v>
      </c>
    </row>
    <row r="923" spans="1:6" x14ac:dyDescent="0.3">
      <c r="A923" s="3" t="s">
        <v>940</v>
      </c>
      <c r="B923" s="3" t="s">
        <v>55</v>
      </c>
      <c r="C923" s="3" t="str">
        <f t="shared" si="14"/>
        <v>450013733550</v>
      </c>
      <c r="D923" s="4">
        <v>46283</v>
      </c>
      <c r="E923" s="3" t="s">
        <v>592</v>
      </c>
      <c r="F923" s="3" t="s">
        <v>657</v>
      </c>
    </row>
    <row r="924" spans="1:6" x14ac:dyDescent="0.3">
      <c r="A924" s="3" t="s">
        <v>964</v>
      </c>
      <c r="B924" s="3" t="s">
        <v>32</v>
      </c>
      <c r="C924" s="3" t="str">
        <f t="shared" si="14"/>
        <v>450013878110</v>
      </c>
      <c r="D924" s="4">
        <v>46287</v>
      </c>
      <c r="E924" s="3" t="s">
        <v>597</v>
      </c>
      <c r="F924" s="3" t="s">
        <v>600</v>
      </c>
    </row>
    <row r="925" spans="1:6" x14ac:dyDescent="0.3">
      <c r="A925" s="3" t="s">
        <v>964</v>
      </c>
      <c r="B925" s="3" t="s">
        <v>28</v>
      </c>
      <c r="C925" s="3" t="str">
        <f t="shared" si="14"/>
        <v>450013878120</v>
      </c>
      <c r="D925" s="4">
        <v>46287</v>
      </c>
      <c r="E925" s="3" t="s">
        <v>597</v>
      </c>
      <c r="F925" s="3" t="s">
        <v>600</v>
      </c>
    </row>
    <row r="926" spans="1:6" x14ac:dyDescent="0.3">
      <c r="A926" s="3" t="s">
        <v>944</v>
      </c>
      <c r="B926" s="3" t="s">
        <v>32</v>
      </c>
      <c r="C926" s="3" t="str">
        <f t="shared" si="14"/>
        <v>450013955710</v>
      </c>
      <c r="D926" s="4">
        <v>46302</v>
      </c>
      <c r="E926" s="3" t="s">
        <v>604</v>
      </c>
      <c r="F926" s="3" t="s">
        <v>612</v>
      </c>
    </row>
    <row r="927" spans="1:6" x14ac:dyDescent="0.3">
      <c r="A927" s="3" t="s">
        <v>944</v>
      </c>
      <c r="B927" s="3" t="s">
        <v>28</v>
      </c>
      <c r="C927" s="3" t="str">
        <f t="shared" si="14"/>
        <v>450013955720</v>
      </c>
      <c r="D927" s="4">
        <v>46302</v>
      </c>
      <c r="E927" s="3" t="s">
        <v>604</v>
      </c>
      <c r="F927" s="3" t="s">
        <v>612</v>
      </c>
    </row>
    <row r="928" spans="1:6" x14ac:dyDescent="0.3">
      <c r="A928" s="3" t="s">
        <v>944</v>
      </c>
      <c r="B928" s="3" t="s">
        <v>54</v>
      </c>
      <c r="C928" s="3" t="str">
        <f t="shared" si="14"/>
        <v>450013955730</v>
      </c>
      <c r="D928" s="4">
        <v>46302</v>
      </c>
      <c r="E928" s="3" t="s">
        <v>604</v>
      </c>
      <c r="F928" s="3" t="s">
        <v>612</v>
      </c>
    </row>
    <row r="929" spans="1:6" x14ac:dyDescent="0.3">
      <c r="A929" s="3" t="s">
        <v>944</v>
      </c>
      <c r="B929" s="3" t="s">
        <v>23</v>
      </c>
      <c r="C929" s="3" t="str">
        <f t="shared" si="14"/>
        <v>450013955740</v>
      </c>
      <c r="D929" s="4">
        <v>46302</v>
      </c>
      <c r="E929" s="3" t="s">
        <v>604</v>
      </c>
      <c r="F929" s="3" t="s">
        <v>612</v>
      </c>
    </row>
    <row r="930" spans="1:6" x14ac:dyDescent="0.3">
      <c r="A930" s="3" t="s">
        <v>944</v>
      </c>
      <c r="B930" s="3" t="s">
        <v>55</v>
      </c>
      <c r="C930" s="3" t="str">
        <f t="shared" si="14"/>
        <v>450013955750</v>
      </c>
      <c r="D930" s="4">
        <v>46316</v>
      </c>
      <c r="E930" s="3" t="s">
        <v>604</v>
      </c>
      <c r="F930" s="3" t="s">
        <v>612</v>
      </c>
    </row>
    <row r="931" spans="1:6" x14ac:dyDescent="0.3">
      <c r="A931" s="3" t="s">
        <v>926</v>
      </c>
      <c r="B931" s="3" t="s">
        <v>32</v>
      </c>
      <c r="C931" s="3" t="str">
        <f t="shared" si="14"/>
        <v>450013963510</v>
      </c>
      <c r="D931" s="4">
        <v>46312</v>
      </c>
      <c r="E931" s="3" t="s">
        <v>611</v>
      </c>
      <c r="F931" s="3" t="s">
        <v>649</v>
      </c>
    </row>
    <row r="932" spans="1:6" x14ac:dyDescent="0.3">
      <c r="A932" s="3" t="s">
        <v>929</v>
      </c>
      <c r="B932" s="3" t="s">
        <v>32</v>
      </c>
      <c r="C932" s="3" t="str">
        <f t="shared" si="14"/>
        <v>450013971210</v>
      </c>
      <c r="D932" s="4">
        <v>46323</v>
      </c>
      <c r="E932" s="3" t="s">
        <v>595</v>
      </c>
      <c r="F932" s="3" t="s">
        <v>967</v>
      </c>
    </row>
    <row r="933" spans="1:6" x14ac:dyDescent="0.3">
      <c r="A933" s="3" t="s">
        <v>915</v>
      </c>
      <c r="B933" s="3" t="s">
        <v>32</v>
      </c>
      <c r="C933" s="3" t="str">
        <f t="shared" si="14"/>
        <v>450013992010</v>
      </c>
      <c r="D933" s="4">
        <v>46302</v>
      </c>
      <c r="E933" s="3" t="s">
        <v>597</v>
      </c>
      <c r="F933" s="3" t="s">
        <v>657</v>
      </c>
    </row>
    <row r="934" spans="1:6" x14ac:dyDescent="0.3">
      <c r="A934" s="3" t="s">
        <v>887</v>
      </c>
      <c r="B934" s="3" t="s">
        <v>32</v>
      </c>
      <c r="C934" s="3" t="str">
        <f t="shared" si="14"/>
        <v>450014013210</v>
      </c>
      <c r="D934" s="4">
        <v>46303</v>
      </c>
      <c r="E934" s="3" t="s">
        <v>597</v>
      </c>
      <c r="F934" s="3" t="s">
        <v>968</v>
      </c>
    </row>
    <row r="935" spans="1:6" x14ac:dyDescent="0.3">
      <c r="A935" s="3" t="s">
        <v>942</v>
      </c>
      <c r="B935" s="3" t="s">
        <v>32</v>
      </c>
      <c r="C935" s="3" t="str">
        <f t="shared" si="14"/>
        <v>450014024310</v>
      </c>
      <c r="D935" s="4">
        <v>46322</v>
      </c>
      <c r="E935" s="3" t="s">
        <v>618</v>
      </c>
      <c r="F935" s="3" t="s">
        <v>686</v>
      </c>
    </row>
    <row r="936" spans="1:6" x14ac:dyDescent="0.3">
      <c r="A936" s="3" t="s">
        <v>942</v>
      </c>
      <c r="B936" s="3" t="s">
        <v>28</v>
      </c>
      <c r="C936" s="3" t="str">
        <f t="shared" si="14"/>
        <v>450014024320</v>
      </c>
      <c r="D936" s="4">
        <v>46311</v>
      </c>
      <c r="E936" s="3" t="s">
        <v>618</v>
      </c>
      <c r="F936" s="3" t="s">
        <v>686</v>
      </c>
    </row>
    <row r="937" spans="1:6" x14ac:dyDescent="0.3">
      <c r="A937" s="3" t="s">
        <v>909</v>
      </c>
      <c r="B937" s="3" t="s">
        <v>32</v>
      </c>
      <c r="C937" s="3" t="str">
        <f t="shared" si="14"/>
        <v>450014025610</v>
      </c>
      <c r="D937" s="4">
        <v>46315</v>
      </c>
      <c r="E937" s="3" t="s">
        <v>595</v>
      </c>
      <c r="F937" s="3" t="s">
        <v>654</v>
      </c>
    </row>
    <row r="938" spans="1:6" x14ac:dyDescent="0.3">
      <c r="A938" s="3" t="s">
        <v>922</v>
      </c>
      <c r="B938" s="3" t="s">
        <v>28</v>
      </c>
      <c r="C938" s="3" t="str">
        <f t="shared" si="14"/>
        <v>450014027220</v>
      </c>
      <c r="D938" s="4">
        <v>46315</v>
      </c>
      <c r="E938" s="3" t="s">
        <v>618</v>
      </c>
      <c r="F938" s="3" t="s">
        <v>593</v>
      </c>
    </row>
    <row r="939" spans="1:6" x14ac:dyDescent="0.3">
      <c r="A939" s="3" t="s">
        <v>922</v>
      </c>
      <c r="B939" s="3" t="s">
        <v>87</v>
      </c>
      <c r="C939" s="3" t="str">
        <f t="shared" si="14"/>
        <v>4500140272150</v>
      </c>
      <c r="D939" s="4">
        <v>46315</v>
      </c>
      <c r="E939" s="3" t="s">
        <v>618</v>
      </c>
      <c r="F939" s="3" t="s">
        <v>593</v>
      </c>
    </row>
    <row r="940" spans="1:6" x14ac:dyDescent="0.3">
      <c r="A940" s="3" t="s">
        <v>922</v>
      </c>
      <c r="B940" s="3" t="s">
        <v>126</v>
      </c>
      <c r="C940" s="3" t="str">
        <f t="shared" si="14"/>
        <v>4500140272230</v>
      </c>
      <c r="D940" s="4">
        <v>46315</v>
      </c>
      <c r="E940" s="3" t="s">
        <v>618</v>
      </c>
      <c r="F940" s="3" t="s">
        <v>593</v>
      </c>
    </row>
    <row r="941" spans="1:6" x14ac:dyDescent="0.3">
      <c r="A941" s="3" t="s">
        <v>934</v>
      </c>
      <c r="B941" s="3" t="s">
        <v>32</v>
      </c>
      <c r="C941" s="3" t="str">
        <f t="shared" si="14"/>
        <v>450014030710</v>
      </c>
      <c r="D941" s="4">
        <v>46314</v>
      </c>
      <c r="E941" s="3" t="s">
        <v>589</v>
      </c>
      <c r="F941" s="3" t="s">
        <v>969</v>
      </c>
    </row>
    <row r="942" spans="1:6" x14ac:dyDescent="0.3">
      <c r="A942" s="3" t="s">
        <v>948</v>
      </c>
      <c r="B942" s="3" t="s">
        <v>32</v>
      </c>
      <c r="C942" s="3" t="str">
        <f t="shared" si="14"/>
        <v>450014034210</v>
      </c>
      <c r="D942" s="4">
        <v>46303</v>
      </c>
      <c r="E942" s="3" t="s">
        <v>597</v>
      </c>
      <c r="F942" s="3" t="s">
        <v>624</v>
      </c>
    </row>
    <row r="943" spans="1:6" x14ac:dyDescent="0.3">
      <c r="A943" s="3" t="s">
        <v>931</v>
      </c>
      <c r="B943" s="3" t="s">
        <v>32</v>
      </c>
      <c r="C943" s="3" t="str">
        <f t="shared" si="14"/>
        <v>450014041510</v>
      </c>
      <c r="D943" s="4">
        <v>46307</v>
      </c>
      <c r="E943" s="3" t="s">
        <v>597</v>
      </c>
      <c r="F943" s="3" t="s">
        <v>662</v>
      </c>
    </row>
    <row r="944" spans="1:6" x14ac:dyDescent="0.3">
      <c r="A944" s="3" t="s">
        <v>962</v>
      </c>
      <c r="B944" s="3" t="s">
        <v>32</v>
      </c>
      <c r="C944" s="3" t="str">
        <f t="shared" si="14"/>
        <v>450014043110</v>
      </c>
      <c r="D944" s="4">
        <v>46311</v>
      </c>
      <c r="E944" s="3" t="s">
        <v>618</v>
      </c>
      <c r="F944" s="3" t="s">
        <v>671</v>
      </c>
    </row>
    <row r="945" spans="1:6" x14ac:dyDescent="0.3">
      <c r="A945" s="3" t="s">
        <v>917</v>
      </c>
      <c r="B945" s="3" t="s">
        <v>28</v>
      </c>
      <c r="C945" s="3" t="str">
        <f t="shared" si="14"/>
        <v>450014047020</v>
      </c>
      <c r="D945" s="4">
        <v>46307</v>
      </c>
      <c r="E945" s="3" t="s">
        <v>597</v>
      </c>
      <c r="F945" s="3" t="s">
        <v>697</v>
      </c>
    </row>
    <row r="946" spans="1:6" x14ac:dyDescent="0.3">
      <c r="A946" s="3" t="s">
        <v>919</v>
      </c>
      <c r="B946" s="3" t="s">
        <v>32</v>
      </c>
      <c r="C946" s="3" t="str">
        <f t="shared" si="14"/>
        <v>450014048810</v>
      </c>
      <c r="D946" s="4">
        <v>46307</v>
      </c>
      <c r="E946" s="3" t="s">
        <v>597</v>
      </c>
      <c r="F946" s="3" t="s">
        <v>697</v>
      </c>
    </row>
    <row r="947" spans="1:6" x14ac:dyDescent="0.3">
      <c r="A947" s="3" t="s">
        <v>919</v>
      </c>
      <c r="B947" s="3" t="s">
        <v>28</v>
      </c>
      <c r="C947" s="3" t="str">
        <f t="shared" si="14"/>
        <v>450014048820</v>
      </c>
      <c r="D947" s="4">
        <v>46307</v>
      </c>
      <c r="E947" s="3" t="s">
        <v>597</v>
      </c>
      <c r="F947" s="3" t="s">
        <v>697</v>
      </c>
    </row>
    <row r="948" spans="1:6" x14ac:dyDescent="0.3">
      <c r="A948" s="3" t="s">
        <v>946</v>
      </c>
      <c r="B948" s="3" t="s">
        <v>55</v>
      </c>
      <c r="C948" s="3" t="str">
        <f t="shared" si="14"/>
        <v>450014049150</v>
      </c>
      <c r="D948" s="4">
        <v>46307</v>
      </c>
      <c r="E948" s="3" t="s">
        <v>597</v>
      </c>
      <c r="F948" s="3" t="s">
        <v>644</v>
      </c>
    </row>
    <row r="949" spans="1:6" x14ac:dyDescent="0.3">
      <c r="A949" s="3" t="s">
        <v>955</v>
      </c>
      <c r="B949" s="3" t="s">
        <v>28</v>
      </c>
      <c r="C949" s="3" t="str">
        <f t="shared" si="14"/>
        <v>450014050720</v>
      </c>
      <c r="D949" s="4">
        <v>46309</v>
      </c>
      <c r="E949" s="3" t="s">
        <v>597</v>
      </c>
      <c r="F949" s="3" t="s">
        <v>593</v>
      </c>
    </row>
    <row r="950" spans="1:6" x14ac:dyDescent="0.3">
      <c r="A950" s="3" t="s">
        <v>955</v>
      </c>
      <c r="B950" s="3" t="s">
        <v>54</v>
      </c>
      <c r="C950" s="3" t="str">
        <f t="shared" si="14"/>
        <v>450014050730</v>
      </c>
      <c r="D950" s="4">
        <v>46309</v>
      </c>
      <c r="E950" s="3" t="s">
        <v>597</v>
      </c>
      <c r="F950" s="3" t="s">
        <v>593</v>
      </c>
    </row>
    <row r="951" spans="1:6" x14ac:dyDescent="0.3">
      <c r="A951" s="3" t="s">
        <v>955</v>
      </c>
      <c r="B951" s="3" t="s">
        <v>55</v>
      </c>
      <c r="C951" s="3" t="str">
        <f t="shared" si="14"/>
        <v>450014050750</v>
      </c>
      <c r="D951" s="4">
        <v>46309</v>
      </c>
      <c r="E951" s="3" t="s">
        <v>597</v>
      </c>
      <c r="F951" s="3" t="s">
        <v>593</v>
      </c>
    </row>
    <row r="952" spans="1:6" x14ac:dyDescent="0.3">
      <c r="A952" s="3" t="s">
        <v>955</v>
      </c>
      <c r="B952" s="3" t="s">
        <v>80</v>
      </c>
      <c r="C952" s="3" t="str">
        <f t="shared" si="14"/>
        <v>450014050760</v>
      </c>
      <c r="D952" s="4">
        <v>46309</v>
      </c>
      <c r="E952" s="3" t="s">
        <v>597</v>
      </c>
      <c r="F952" s="3" t="s">
        <v>593</v>
      </c>
    </row>
    <row r="953" spans="1:6" x14ac:dyDescent="0.3">
      <c r="A953" s="3" t="s">
        <v>955</v>
      </c>
      <c r="B953" s="3" t="s">
        <v>81</v>
      </c>
      <c r="C953" s="3" t="str">
        <f t="shared" si="14"/>
        <v>450014050770</v>
      </c>
      <c r="D953" s="4">
        <v>46309</v>
      </c>
      <c r="E953" s="3" t="s">
        <v>597</v>
      </c>
      <c r="F953" s="3" t="s">
        <v>593</v>
      </c>
    </row>
    <row r="954" spans="1:6" x14ac:dyDescent="0.3">
      <c r="A954" s="3" t="s">
        <v>955</v>
      </c>
      <c r="B954" s="3" t="s">
        <v>82</v>
      </c>
      <c r="C954" s="3" t="str">
        <f t="shared" si="14"/>
        <v>450014050780</v>
      </c>
      <c r="D954" s="4">
        <v>46309</v>
      </c>
      <c r="E954" s="3" t="s">
        <v>597</v>
      </c>
      <c r="F954" s="3" t="s">
        <v>593</v>
      </c>
    </row>
    <row r="955" spans="1:6" x14ac:dyDescent="0.3">
      <c r="A955" s="3" t="s">
        <v>955</v>
      </c>
      <c r="B955" s="3" t="s">
        <v>83</v>
      </c>
      <c r="C955" s="3" t="str">
        <f t="shared" si="14"/>
        <v>450014050790</v>
      </c>
      <c r="D955" s="4">
        <v>46309</v>
      </c>
      <c r="E955" s="3" t="s">
        <v>597</v>
      </c>
      <c r="F955" s="3" t="s">
        <v>593</v>
      </c>
    </row>
    <row r="956" spans="1:6" x14ac:dyDescent="0.3">
      <c r="A956" s="3" t="s">
        <v>912</v>
      </c>
      <c r="B956" s="3" t="s">
        <v>32</v>
      </c>
      <c r="C956" s="3" t="str">
        <f t="shared" si="14"/>
        <v>450014051010</v>
      </c>
      <c r="D956" s="4">
        <v>46310</v>
      </c>
      <c r="E956" s="3" t="s">
        <v>597</v>
      </c>
      <c r="F956" s="3" t="s">
        <v>642</v>
      </c>
    </row>
    <row r="957" spans="1:6" x14ac:dyDescent="0.3">
      <c r="A957" s="3" t="s">
        <v>960</v>
      </c>
      <c r="B957" s="3" t="s">
        <v>32</v>
      </c>
      <c r="C957" s="3" t="str">
        <f t="shared" si="14"/>
        <v>450014053810</v>
      </c>
      <c r="D957" s="4">
        <v>46308</v>
      </c>
      <c r="E957" s="3" t="s">
        <v>597</v>
      </c>
      <c r="F957" s="3" t="s">
        <v>600</v>
      </c>
    </row>
    <row r="958" spans="1:6" x14ac:dyDescent="0.3">
      <c r="A958" s="3" t="s">
        <v>960</v>
      </c>
      <c r="B958" s="3" t="s">
        <v>28</v>
      </c>
      <c r="C958" s="3" t="str">
        <f t="shared" si="14"/>
        <v>450014053820</v>
      </c>
      <c r="D958" s="4">
        <v>46308</v>
      </c>
      <c r="E958" s="3" t="s">
        <v>597</v>
      </c>
      <c r="F958" s="3" t="s">
        <v>600</v>
      </c>
    </row>
    <row r="959" spans="1:6" x14ac:dyDescent="0.3">
      <c r="A959" s="3" t="s">
        <v>950</v>
      </c>
      <c r="B959" s="3" t="s">
        <v>32</v>
      </c>
      <c r="C959" s="3" t="str">
        <f t="shared" si="14"/>
        <v>450014064910</v>
      </c>
      <c r="D959" s="4">
        <v>46308</v>
      </c>
      <c r="E959" s="3" t="s">
        <v>597</v>
      </c>
      <c r="F959" s="3" t="s">
        <v>692</v>
      </c>
    </row>
    <row r="960" spans="1:6" x14ac:dyDescent="0.3">
      <c r="A960" s="3" t="s">
        <v>950</v>
      </c>
      <c r="B960" s="3" t="s">
        <v>28</v>
      </c>
      <c r="C960" s="3" t="str">
        <f t="shared" si="14"/>
        <v>450014064920</v>
      </c>
      <c r="D960" s="4">
        <v>46308</v>
      </c>
      <c r="E960" s="3" t="s">
        <v>597</v>
      </c>
      <c r="F960" s="3" t="s">
        <v>692</v>
      </c>
    </row>
    <row r="961" spans="1:6" x14ac:dyDescent="0.3">
      <c r="A961" s="3" t="s">
        <v>953</v>
      </c>
      <c r="B961" s="3" t="s">
        <v>32</v>
      </c>
      <c r="C961" s="3" t="str">
        <f t="shared" si="14"/>
        <v>450014065110</v>
      </c>
      <c r="D961" s="4">
        <v>46319</v>
      </c>
      <c r="E961" s="3" t="s">
        <v>615</v>
      </c>
      <c r="F961" s="3" t="s">
        <v>699</v>
      </c>
    </row>
    <row r="962" spans="1:6" x14ac:dyDescent="0.3">
      <c r="A962" s="3" t="s">
        <v>957</v>
      </c>
      <c r="B962" s="3" t="s">
        <v>32</v>
      </c>
      <c r="C962" s="3" t="str">
        <f t="shared" si="14"/>
        <v>450014066110</v>
      </c>
      <c r="D962" s="4">
        <v>46310</v>
      </c>
      <c r="E962" s="3" t="s">
        <v>592</v>
      </c>
      <c r="F962" s="3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David Ezequiel Benitez</cp:lastModifiedBy>
  <cp:revision>1</cp:revision>
  <dcterms:created xsi:type="dcterms:W3CDTF">2026-10-05T19:07:24Z</dcterms:created>
  <dcterms:modified xsi:type="dcterms:W3CDTF">2026-10-13T15:09:31Z</dcterms:modified>
  <cp:category/>
</cp:coreProperties>
</file>